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s\Bussines\WeEmpower\2026\01.Aulas de Microsoft Excel\Aulas de Microsoft Excel\Aula3\"/>
    </mc:Choice>
  </mc:AlternateContent>
  <xr:revisionPtr revIDLastSave="0" documentId="8_{B9F78446-7B1C-4925-9080-511C4BF4B472}" xr6:coauthVersionLast="47" xr6:coauthVersionMax="47" xr10:uidLastSave="{00000000-0000-0000-0000-000000000000}"/>
  <bookViews>
    <workbookView xWindow="-108" yWindow="-13068" windowWidth="23256" windowHeight="12456" activeTab="1" xr2:uid="{37E8858E-FC0C-4172-A838-0D0097175E02}"/>
  </bookViews>
  <sheets>
    <sheet name="Dados_Filter" sheetId="1" r:id="rId1"/>
    <sheet name="Dados_Raw" sheetId="2" r:id="rId2"/>
  </sheets>
  <definedNames>
    <definedName name="_xlnm._FilterDatabase" localSheetId="0" hidden="1">Dados_Filter!$B$1:$P$2501</definedName>
    <definedName name="_xlnm._FilterDatabase" localSheetId="1" hidden="1">Dados_Raw!$B$1:$P$2501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" i="2" l="1"/>
  <c r="T21" i="2"/>
  <c r="S24" i="2"/>
  <c r="S22" i="2"/>
  <c r="T22" i="2"/>
  <c r="S23" i="2"/>
  <c r="T23" i="2"/>
  <c r="T24" i="2"/>
  <c r="S21" i="2"/>
  <c r="S16" i="2"/>
  <c r="S15" i="2"/>
  <c r="S14" i="2"/>
  <c r="S13" i="2"/>
  <c r="S10" i="2"/>
  <c r="S9" i="2"/>
  <c r="S8" i="2"/>
  <c r="S7" i="2"/>
  <c r="S6" i="2"/>
  <c r="S5" i="2"/>
  <c r="T2" i="2"/>
  <c r="V4" i="2"/>
  <c r="S4" i="2"/>
  <c r="U4" i="2" s="1"/>
  <c r="S2" i="1" a="1"/>
  <c r="S2" i="1" s="1"/>
  <c r="S17" i="2" l="1"/>
  <c r="T13" i="2" s="1"/>
  <c r="T16" i="2" l="1"/>
  <c r="T15" i="2"/>
  <c r="T14" i="2"/>
  <c r="T1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<sst xmlns="http://schemas.openxmlformats.org/spreadsheetml/2006/main" count="40077" uniqueCount="66">
  <si>
    <t>ID</t>
  </si>
  <si>
    <t>Provincia</t>
  </si>
  <si>
    <t>Sexo</t>
  </si>
  <si>
    <t>Estado_Civil</t>
  </si>
  <si>
    <t>Escolaridade</t>
  </si>
  <si>
    <t>Seguro_Saude</t>
  </si>
  <si>
    <t>Diagnostico</t>
  </si>
  <si>
    <t>Idade</t>
  </si>
  <si>
    <t>Peso_kg</t>
  </si>
  <si>
    <t>Altura_m</t>
  </si>
  <si>
    <t>Consultas_Ano</t>
  </si>
  <si>
    <t>PA_Sistolica</t>
  </si>
  <si>
    <t>Glicemia_mgdL</t>
  </si>
  <si>
    <t>Zona</t>
  </si>
  <si>
    <t>Fumador</t>
  </si>
  <si>
    <t>Maputo Provincia</t>
  </si>
  <si>
    <t>Feminino</t>
  </si>
  <si>
    <t>Casado(a)</t>
  </si>
  <si>
    <t>Secundaria</t>
  </si>
  <si>
    <t>Nao</t>
  </si>
  <si>
    <t>Malaria</t>
  </si>
  <si>
    <t>Urbana</t>
  </si>
  <si>
    <t>Zambezia</t>
  </si>
  <si>
    <t>Masculino</t>
  </si>
  <si>
    <t>Primaria</t>
  </si>
  <si>
    <t>Diarreia</t>
  </si>
  <si>
    <t>Rural</t>
  </si>
  <si>
    <t>Nampula</t>
  </si>
  <si>
    <t>Nenhuma</t>
  </si>
  <si>
    <t>Tete</t>
  </si>
  <si>
    <t>Sim</t>
  </si>
  <si>
    <t>Gaza</t>
  </si>
  <si>
    <t>Diabetes</t>
  </si>
  <si>
    <t>Niassa</t>
  </si>
  <si>
    <t>HIV/SIDA</t>
  </si>
  <si>
    <t>Solteiro(a)</t>
  </si>
  <si>
    <t>Hipertensao</t>
  </si>
  <si>
    <t>Viuvo(a)</t>
  </si>
  <si>
    <t>Pneumonia</t>
  </si>
  <si>
    <t>Inhambane</t>
  </si>
  <si>
    <t>Manica</t>
  </si>
  <si>
    <t>Sofala</t>
  </si>
  <si>
    <t>Superior</t>
  </si>
  <si>
    <t>Cabo Delgado</t>
  </si>
  <si>
    <t>Divorciado(a)</t>
  </si>
  <si>
    <t>Maputo Cidade</t>
  </si>
  <si>
    <t>Tuberculose</t>
  </si>
  <si>
    <t>Filter_As_Gender</t>
  </si>
  <si>
    <t>Média da idade</t>
  </si>
  <si>
    <t>Media</t>
  </si>
  <si>
    <t>Sum</t>
  </si>
  <si>
    <t>Sumif</t>
  </si>
  <si>
    <t>diagnostico</t>
  </si>
  <si>
    <t>Mediana</t>
  </si>
  <si>
    <t>Minimo</t>
  </si>
  <si>
    <t>Maxima</t>
  </si>
  <si>
    <t>Moda</t>
  </si>
  <si>
    <t>Contagem</t>
  </si>
  <si>
    <t>Fr%</t>
  </si>
  <si>
    <t>Media de Idade</t>
  </si>
  <si>
    <t>Peso Medio</t>
  </si>
  <si>
    <t>Varianca</t>
  </si>
  <si>
    <t>Tabelas de Frequencia simples para todas variáveis qalitativas;</t>
  </si>
  <si>
    <t>Tabelas de Frequencia simples para todas variáveis quantitativas;</t>
  </si>
  <si>
    <t>TPC</t>
  </si>
  <si>
    <t>Tabelas de frequencia com intervalo de clase para 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</si>
</sst>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9" fontId="0" fillId="0" borderId="0" xfId="2" applyFont="1"/>
    <xf numFmtId="43" fontId="0" fillId="0" borderId="0" xfId="1" applyFont="1"/>
    <xf numFmtId="0" fontId="0" fillId="4" borderId="0" xfId="0" applyFill="1"/>
    <xf numFmtId="0" fontId="0" fillId="5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Dados_Raw!$I$2:$I$2501</c:f>
              <c:numCache>
                <c:formatCode>General</c:formatCode>
                <c:ptCount val="2500"/>
                <c:pt idx="0">
                  <c:v>43</c:v>
                </c:pt>
                <c:pt idx="1">
                  <c:v>4</c:v>
                </c:pt>
                <c:pt idx="2">
                  <c:v>13</c:v>
                </c:pt>
                <c:pt idx="3">
                  <c:v>22</c:v>
                </c:pt>
                <c:pt idx="4">
                  <c:v>11</c:v>
                </c:pt>
                <c:pt idx="5">
                  <c:v>4</c:v>
                </c:pt>
                <c:pt idx="6">
                  <c:v>4</c:v>
                </c:pt>
                <c:pt idx="7">
                  <c:v>11</c:v>
                </c:pt>
                <c:pt idx="8">
                  <c:v>36</c:v>
                </c:pt>
                <c:pt idx="9">
                  <c:v>63</c:v>
                </c:pt>
                <c:pt idx="10">
                  <c:v>20</c:v>
                </c:pt>
                <c:pt idx="11">
                  <c:v>15</c:v>
                </c:pt>
                <c:pt idx="12">
                  <c:v>17</c:v>
                </c:pt>
                <c:pt idx="13">
                  <c:v>12</c:v>
                </c:pt>
                <c:pt idx="14">
                  <c:v>56</c:v>
                </c:pt>
                <c:pt idx="15">
                  <c:v>70</c:v>
                </c:pt>
                <c:pt idx="16">
                  <c:v>53</c:v>
                </c:pt>
                <c:pt idx="17">
                  <c:v>55</c:v>
                </c:pt>
                <c:pt idx="18">
                  <c:v>54</c:v>
                </c:pt>
                <c:pt idx="19">
                  <c:v>28</c:v>
                </c:pt>
                <c:pt idx="20">
                  <c:v>42</c:v>
                </c:pt>
                <c:pt idx="21">
                  <c:v>41</c:v>
                </c:pt>
                <c:pt idx="22">
                  <c:v>56</c:v>
                </c:pt>
                <c:pt idx="23">
                  <c:v>14</c:v>
                </c:pt>
                <c:pt idx="24">
                  <c:v>63</c:v>
                </c:pt>
                <c:pt idx="25">
                  <c:v>31</c:v>
                </c:pt>
                <c:pt idx="26">
                  <c:v>8</c:v>
                </c:pt>
                <c:pt idx="27">
                  <c:v>5</c:v>
                </c:pt>
                <c:pt idx="28">
                  <c:v>12</c:v>
                </c:pt>
                <c:pt idx="29">
                  <c:v>20</c:v>
                </c:pt>
                <c:pt idx="30">
                  <c:v>8</c:v>
                </c:pt>
                <c:pt idx="31">
                  <c:v>62</c:v>
                </c:pt>
                <c:pt idx="32">
                  <c:v>60</c:v>
                </c:pt>
                <c:pt idx="33">
                  <c:v>15</c:v>
                </c:pt>
                <c:pt idx="34">
                  <c:v>46</c:v>
                </c:pt>
                <c:pt idx="35">
                  <c:v>12</c:v>
                </c:pt>
                <c:pt idx="36">
                  <c:v>19</c:v>
                </c:pt>
                <c:pt idx="37">
                  <c:v>81</c:v>
                </c:pt>
                <c:pt idx="38">
                  <c:v>23</c:v>
                </c:pt>
                <c:pt idx="39">
                  <c:v>26</c:v>
                </c:pt>
                <c:pt idx="40">
                  <c:v>45</c:v>
                </c:pt>
                <c:pt idx="41">
                  <c:v>0</c:v>
                </c:pt>
                <c:pt idx="42">
                  <c:v>20</c:v>
                </c:pt>
                <c:pt idx="43">
                  <c:v>2</c:v>
                </c:pt>
                <c:pt idx="44">
                  <c:v>19</c:v>
                </c:pt>
                <c:pt idx="45">
                  <c:v>39</c:v>
                </c:pt>
                <c:pt idx="46">
                  <c:v>59</c:v>
                </c:pt>
                <c:pt idx="47">
                  <c:v>35</c:v>
                </c:pt>
                <c:pt idx="48">
                  <c:v>43</c:v>
                </c:pt>
                <c:pt idx="49">
                  <c:v>23</c:v>
                </c:pt>
                <c:pt idx="50">
                  <c:v>30</c:v>
                </c:pt>
                <c:pt idx="51">
                  <c:v>87</c:v>
                </c:pt>
                <c:pt idx="52">
                  <c:v>10</c:v>
                </c:pt>
                <c:pt idx="53">
                  <c:v>6</c:v>
                </c:pt>
                <c:pt idx="54">
                  <c:v>83</c:v>
                </c:pt>
                <c:pt idx="55">
                  <c:v>24</c:v>
                </c:pt>
                <c:pt idx="56">
                  <c:v>25</c:v>
                </c:pt>
                <c:pt idx="57">
                  <c:v>34</c:v>
                </c:pt>
                <c:pt idx="58">
                  <c:v>22</c:v>
                </c:pt>
                <c:pt idx="59">
                  <c:v>37</c:v>
                </c:pt>
                <c:pt idx="60">
                  <c:v>59</c:v>
                </c:pt>
                <c:pt idx="61">
                  <c:v>35</c:v>
                </c:pt>
                <c:pt idx="62">
                  <c:v>41</c:v>
                </c:pt>
                <c:pt idx="63">
                  <c:v>9</c:v>
                </c:pt>
                <c:pt idx="64">
                  <c:v>3</c:v>
                </c:pt>
                <c:pt idx="65">
                  <c:v>5</c:v>
                </c:pt>
                <c:pt idx="66">
                  <c:v>20</c:v>
                </c:pt>
                <c:pt idx="67">
                  <c:v>12</c:v>
                </c:pt>
                <c:pt idx="68">
                  <c:v>23</c:v>
                </c:pt>
                <c:pt idx="69">
                  <c:v>74</c:v>
                </c:pt>
                <c:pt idx="70">
                  <c:v>78</c:v>
                </c:pt>
                <c:pt idx="71">
                  <c:v>23</c:v>
                </c:pt>
                <c:pt idx="72">
                  <c:v>82</c:v>
                </c:pt>
                <c:pt idx="73">
                  <c:v>57</c:v>
                </c:pt>
                <c:pt idx="74">
                  <c:v>62</c:v>
                </c:pt>
                <c:pt idx="75">
                  <c:v>41</c:v>
                </c:pt>
                <c:pt idx="76">
                  <c:v>31</c:v>
                </c:pt>
                <c:pt idx="77">
                  <c:v>18</c:v>
                </c:pt>
                <c:pt idx="78">
                  <c:v>26</c:v>
                </c:pt>
                <c:pt idx="79">
                  <c:v>87</c:v>
                </c:pt>
                <c:pt idx="80">
                  <c:v>23</c:v>
                </c:pt>
                <c:pt idx="81">
                  <c:v>4</c:v>
                </c:pt>
                <c:pt idx="82">
                  <c:v>60</c:v>
                </c:pt>
                <c:pt idx="83">
                  <c:v>17</c:v>
                </c:pt>
                <c:pt idx="84">
                  <c:v>18</c:v>
                </c:pt>
                <c:pt idx="85">
                  <c:v>30</c:v>
                </c:pt>
                <c:pt idx="86">
                  <c:v>35</c:v>
                </c:pt>
                <c:pt idx="87">
                  <c:v>55</c:v>
                </c:pt>
                <c:pt idx="88">
                  <c:v>19</c:v>
                </c:pt>
                <c:pt idx="89">
                  <c:v>2</c:v>
                </c:pt>
                <c:pt idx="90">
                  <c:v>23</c:v>
                </c:pt>
                <c:pt idx="91">
                  <c:v>15</c:v>
                </c:pt>
                <c:pt idx="92">
                  <c:v>47</c:v>
                </c:pt>
                <c:pt idx="93">
                  <c:v>30</c:v>
                </c:pt>
                <c:pt idx="94">
                  <c:v>44</c:v>
                </c:pt>
                <c:pt idx="95">
                  <c:v>7</c:v>
                </c:pt>
                <c:pt idx="96">
                  <c:v>37</c:v>
                </c:pt>
                <c:pt idx="97">
                  <c:v>29</c:v>
                </c:pt>
                <c:pt idx="98">
                  <c:v>21</c:v>
                </c:pt>
                <c:pt idx="99">
                  <c:v>2</c:v>
                </c:pt>
                <c:pt idx="100">
                  <c:v>43</c:v>
                </c:pt>
                <c:pt idx="101">
                  <c:v>4</c:v>
                </c:pt>
                <c:pt idx="102">
                  <c:v>27</c:v>
                </c:pt>
                <c:pt idx="103">
                  <c:v>42</c:v>
                </c:pt>
                <c:pt idx="104">
                  <c:v>4</c:v>
                </c:pt>
                <c:pt idx="105">
                  <c:v>3</c:v>
                </c:pt>
                <c:pt idx="106">
                  <c:v>15</c:v>
                </c:pt>
                <c:pt idx="107">
                  <c:v>44</c:v>
                </c:pt>
                <c:pt idx="108">
                  <c:v>5</c:v>
                </c:pt>
                <c:pt idx="109">
                  <c:v>8</c:v>
                </c:pt>
                <c:pt idx="110">
                  <c:v>18</c:v>
                </c:pt>
                <c:pt idx="111">
                  <c:v>10</c:v>
                </c:pt>
                <c:pt idx="112">
                  <c:v>12</c:v>
                </c:pt>
                <c:pt idx="113">
                  <c:v>69</c:v>
                </c:pt>
                <c:pt idx="114">
                  <c:v>14</c:v>
                </c:pt>
                <c:pt idx="115">
                  <c:v>34</c:v>
                </c:pt>
                <c:pt idx="116">
                  <c:v>37</c:v>
                </c:pt>
                <c:pt idx="117">
                  <c:v>29</c:v>
                </c:pt>
                <c:pt idx="118">
                  <c:v>2</c:v>
                </c:pt>
                <c:pt idx="119">
                  <c:v>23</c:v>
                </c:pt>
                <c:pt idx="120">
                  <c:v>19</c:v>
                </c:pt>
                <c:pt idx="121">
                  <c:v>1</c:v>
                </c:pt>
                <c:pt idx="122">
                  <c:v>29</c:v>
                </c:pt>
                <c:pt idx="123">
                  <c:v>46</c:v>
                </c:pt>
                <c:pt idx="124">
                  <c:v>20</c:v>
                </c:pt>
                <c:pt idx="125">
                  <c:v>49</c:v>
                </c:pt>
                <c:pt idx="126">
                  <c:v>25</c:v>
                </c:pt>
                <c:pt idx="127">
                  <c:v>0</c:v>
                </c:pt>
                <c:pt idx="128">
                  <c:v>16</c:v>
                </c:pt>
                <c:pt idx="129">
                  <c:v>53</c:v>
                </c:pt>
                <c:pt idx="130">
                  <c:v>13</c:v>
                </c:pt>
                <c:pt idx="131">
                  <c:v>39</c:v>
                </c:pt>
                <c:pt idx="132">
                  <c:v>5</c:v>
                </c:pt>
                <c:pt idx="133">
                  <c:v>8</c:v>
                </c:pt>
                <c:pt idx="134">
                  <c:v>3</c:v>
                </c:pt>
                <c:pt idx="135">
                  <c:v>4</c:v>
                </c:pt>
                <c:pt idx="136">
                  <c:v>55</c:v>
                </c:pt>
                <c:pt idx="137">
                  <c:v>1</c:v>
                </c:pt>
                <c:pt idx="138">
                  <c:v>33</c:v>
                </c:pt>
                <c:pt idx="139">
                  <c:v>9</c:v>
                </c:pt>
                <c:pt idx="140">
                  <c:v>21</c:v>
                </c:pt>
                <c:pt idx="141">
                  <c:v>30</c:v>
                </c:pt>
                <c:pt idx="142">
                  <c:v>57</c:v>
                </c:pt>
                <c:pt idx="143">
                  <c:v>55</c:v>
                </c:pt>
                <c:pt idx="144">
                  <c:v>30</c:v>
                </c:pt>
                <c:pt idx="145">
                  <c:v>13</c:v>
                </c:pt>
                <c:pt idx="146">
                  <c:v>44</c:v>
                </c:pt>
                <c:pt idx="147">
                  <c:v>21</c:v>
                </c:pt>
                <c:pt idx="148">
                  <c:v>9</c:v>
                </c:pt>
                <c:pt idx="149">
                  <c:v>17</c:v>
                </c:pt>
                <c:pt idx="150">
                  <c:v>10</c:v>
                </c:pt>
                <c:pt idx="151">
                  <c:v>65</c:v>
                </c:pt>
                <c:pt idx="152">
                  <c:v>15</c:v>
                </c:pt>
                <c:pt idx="153">
                  <c:v>22</c:v>
                </c:pt>
                <c:pt idx="154">
                  <c:v>83</c:v>
                </c:pt>
                <c:pt idx="155">
                  <c:v>39</c:v>
                </c:pt>
                <c:pt idx="156">
                  <c:v>1</c:v>
                </c:pt>
                <c:pt idx="157">
                  <c:v>34</c:v>
                </c:pt>
                <c:pt idx="158">
                  <c:v>78</c:v>
                </c:pt>
                <c:pt idx="159">
                  <c:v>21</c:v>
                </c:pt>
                <c:pt idx="160">
                  <c:v>51</c:v>
                </c:pt>
                <c:pt idx="161">
                  <c:v>12</c:v>
                </c:pt>
                <c:pt idx="162">
                  <c:v>19</c:v>
                </c:pt>
                <c:pt idx="163">
                  <c:v>23</c:v>
                </c:pt>
                <c:pt idx="164">
                  <c:v>87</c:v>
                </c:pt>
                <c:pt idx="165">
                  <c:v>53</c:v>
                </c:pt>
                <c:pt idx="166">
                  <c:v>39</c:v>
                </c:pt>
                <c:pt idx="167">
                  <c:v>14</c:v>
                </c:pt>
                <c:pt idx="168">
                  <c:v>19</c:v>
                </c:pt>
                <c:pt idx="169">
                  <c:v>80</c:v>
                </c:pt>
                <c:pt idx="170">
                  <c:v>14</c:v>
                </c:pt>
                <c:pt idx="171">
                  <c:v>66</c:v>
                </c:pt>
                <c:pt idx="172">
                  <c:v>10</c:v>
                </c:pt>
                <c:pt idx="173">
                  <c:v>11</c:v>
                </c:pt>
                <c:pt idx="174">
                  <c:v>31</c:v>
                </c:pt>
                <c:pt idx="175">
                  <c:v>35</c:v>
                </c:pt>
                <c:pt idx="176">
                  <c:v>24</c:v>
                </c:pt>
                <c:pt idx="177">
                  <c:v>11</c:v>
                </c:pt>
                <c:pt idx="178">
                  <c:v>10</c:v>
                </c:pt>
                <c:pt idx="179">
                  <c:v>74</c:v>
                </c:pt>
                <c:pt idx="180">
                  <c:v>54</c:v>
                </c:pt>
                <c:pt idx="181">
                  <c:v>4</c:v>
                </c:pt>
                <c:pt idx="182">
                  <c:v>2</c:v>
                </c:pt>
                <c:pt idx="183">
                  <c:v>36</c:v>
                </c:pt>
                <c:pt idx="184">
                  <c:v>13</c:v>
                </c:pt>
                <c:pt idx="185">
                  <c:v>8</c:v>
                </c:pt>
                <c:pt idx="186">
                  <c:v>38</c:v>
                </c:pt>
                <c:pt idx="187">
                  <c:v>35</c:v>
                </c:pt>
                <c:pt idx="188">
                  <c:v>20</c:v>
                </c:pt>
                <c:pt idx="189">
                  <c:v>26</c:v>
                </c:pt>
                <c:pt idx="190">
                  <c:v>5</c:v>
                </c:pt>
                <c:pt idx="191">
                  <c:v>7</c:v>
                </c:pt>
                <c:pt idx="192">
                  <c:v>19</c:v>
                </c:pt>
                <c:pt idx="193">
                  <c:v>13</c:v>
                </c:pt>
                <c:pt idx="194">
                  <c:v>7</c:v>
                </c:pt>
                <c:pt idx="195">
                  <c:v>35</c:v>
                </c:pt>
                <c:pt idx="196">
                  <c:v>15</c:v>
                </c:pt>
                <c:pt idx="197">
                  <c:v>44</c:v>
                </c:pt>
                <c:pt idx="198">
                  <c:v>12</c:v>
                </c:pt>
                <c:pt idx="199">
                  <c:v>25</c:v>
                </c:pt>
                <c:pt idx="200">
                  <c:v>15</c:v>
                </c:pt>
                <c:pt idx="201">
                  <c:v>19</c:v>
                </c:pt>
                <c:pt idx="202">
                  <c:v>9</c:v>
                </c:pt>
                <c:pt idx="203">
                  <c:v>7</c:v>
                </c:pt>
                <c:pt idx="204">
                  <c:v>27</c:v>
                </c:pt>
                <c:pt idx="205">
                  <c:v>27</c:v>
                </c:pt>
                <c:pt idx="206">
                  <c:v>23</c:v>
                </c:pt>
                <c:pt idx="207">
                  <c:v>9</c:v>
                </c:pt>
                <c:pt idx="208">
                  <c:v>27</c:v>
                </c:pt>
                <c:pt idx="209">
                  <c:v>15</c:v>
                </c:pt>
                <c:pt idx="210">
                  <c:v>73</c:v>
                </c:pt>
                <c:pt idx="211">
                  <c:v>50</c:v>
                </c:pt>
                <c:pt idx="212">
                  <c:v>41</c:v>
                </c:pt>
                <c:pt idx="213">
                  <c:v>0</c:v>
                </c:pt>
                <c:pt idx="214">
                  <c:v>19</c:v>
                </c:pt>
                <c:pt idx="215">
                  <c:v>45</c:v>
                </c:pt>
                <c:pt idx="216">
                  <c:v>40</c:v>
                </c:pt>
                <c:pt idx="217">
                  <c:v>22</c:v>
                </c:pt>
                <c:pt idx="218">
                  <c:v>25</c:v>
                </c:pt>
                <c:pt idx="219">
                  <c:v>0</c:v>
                </c:pt>
                <c:pt idx="220">
                  <c:v>1</c:v>
                </c:pt>
                <c:pt idx="221">
                  <c:v>19</c:v>
                </c:pt>
                <c:pt idx="222">
                  <c:v>20</c:v>
                </c:pt>
                <c:pt idx="223">
                  <c:v>25</c:v>
                </c:pt>
                <c:pt idx="224">
                  <c:v>8</c:v>
                </c:pt>
                <c:pt idx="225">
                  <c:v>8</c:v>
                </c:pt>
                <c:pt idx="226">
                  <c:v>3</c:v>
                </c:pt>
                <c:pt idx="227">
                  <c:v>0</c:v>
                </c:pt>
                <c:pt idx="228">
                  <c:v>45</c:v>
                </c:pt>
                <c:pt idx="229">
                  <c:v>37</c:v>
                </c:pt>
                <c:pt idx="230">
                  <c:v>27</c:v>
                </c:pt>
                <c:pt idx="231">
                  <c:v>58</c:v>
                </c:pt>
                <c:pt idx="232">
                  <c:v>21</c:v>
                </c:pt>
                <c:pt idx="233">
                  <c:v>60</c:v>
                </c:pt>
                <c:pt idx="234">
                  <c:v>57</c:v>
                </c:pt>
                <c:pt idx="235">
                  <c:v>31</c:v>
                </c:pt>
                <c:pt idx="236">
                  <c:v>19</c:v>
                </c:pt>
                <c:pt idx="237">
                  <c:v>15</c:v>
                </c:pt>
                <c:pt idx="238">
                  <c:v>20</c:v>
                </c:pt>
                <c:pt idx="239">
                  <c:v>1</c:v>
                </c:pt>
                <c:pt idx="240">
                  <c:v>24</c:v>
                </c:pt>
                <c:pt idx="241">
                  <c:v>18</c:v>
                </c:pt>
                <c:pt idx="242">
                  <c:v>13</c:v>
                </c:pt>
                <c:pt idx="243">
                  <c:v>22</c:v>
                </c:pt>
                <c:pt idx="244">
                  <c:v>16</c:v>
                </c:pt>
                <c:pt idx="245">
                  <c:v>39</c:v>
                </c:pt>
                <c:pt idx="246">
                  <c:v>26</c:v>
                </c:pt>
                <c:pt idx="247">
                  <c:v>8</c:v>
                </c:pt>
                <c:pt idx="248">
                  <c:v>21</c:v>
                </c:pt>
                <c:pt idx="249">
                  <c:v>60</c:v>
                </c:pt>
                <c:pt idx="250">
                  <c:v>14</c:v>
                </c:pt>
                <c:pt idx="251">
                  <c:v>53</c:v>
                </c:pt>
                <c:pt idx="252">
                  <c:v>5</c:v>
                </c:pt>
                <c:pt idx="253">
                  <c:v>9</c:v>
                </c:pt>
                <c:pt idx="254">
                  <c:v>38</c:v>
                </c:pt>
                <c:pt idx="255">
                  <c:v>60</c:v>
                </c:pt>
                <c:pt idx="256">
                  <c:v>17</c:v>
                </c:pt>
                <c:pt idx="257">
                  <c:v>43</c:v>
                </c:pt>
                <c:pt idx="258">
                  <c:v>18</c:v>
                </c:pt>
                <c:pt idx="259">
                  <c:v>22</c:v>
                </c:pt>
                <c:pt idx="260">
                  <c:v>40</c:v>
                </c:pt>
                <c:pt idx="261">
                  <c:v>19</c:v>
                </c:pt>
                <c:pt idx="262">
                  <c:v>1</c:v>
                </c:pt>
                <c:pt idx="263">
                  <c:v>15</c:v>
                </c:pt>
                <c:pt idx="264">
                  <c:v>26</c:v>
                </c:pt>
                <c:pt idx="265">
                  <c:v>7</c:v>
                </c:pt>
                <c:pt idx="266">
                  <c:v>26</c:v>
                </c:pt>
                <c:pt idx="267">
                  <c:v>38</c:v>
                </c:pt>
                <c:pt idx="268">
                  <c:v>19</c:v>
                </c:pt>
                <c:pt idx="269">
                  <c:v>69</c:v>
                </c:pt>
                <c:pt idx="270">
                  <c:v>30</c:v>
                </c:pt>
                <c:pt idx="271">
                  <c:v>27</c:v>
                </c:pt>
                <c:pt idx="272">
                  <c:v>5</c:v>
                </c:pt>
                <c:pt idx="273">
                  <c:v>17</c:v>
                </c:pt>
                <c:pt idx="274">
                  <c:v>21</c:v>
                </c:pt>
                <c:pt idx="275">
                  <c:v>22</c:v>
                </c:pt>
                <c:pt idx="276">
                  <c:v>5</c:v>
                </c:pt>
                <c:pt idx="277">
                  <c:v>70</c:v>
                </c:pt>
                <c:pt idx="278">
                  <c:v>28</c:v>
                </c:pt>
                <c:pt idx="279">
                  <c:v>32</c:v>
                </c:pt>
                <c:pt idx="280">
                  <c:v>17</c:v>
                </c:pt>
                <c:pt idx="281">
                  <c:v>35</c:v>
                </c:pt>
                <c:pt idx="282">
                  <c:v>58</c:v>
                </c:pt>
                <c:pt idx="283">
                  <c:v>32</c:v>
                </c:pt>
                <c:pt idx="284">
                  <c:v>10</c:v>
                </c:pt>
                <c:pt idx="285">
                  <c:v>68</c:v>
                </c:pt>
                <c:pt idx="286">
                  <c:v>56</c:v>
                </c:pt>
                <c:pt idx="287">
                  <c:v>36</c:v>
                </c:pt>
                <c:pt idx="288">
                  <c:v>44</c:v>
                </c:pt>
                <c:pt idx="289">
                  <c:v>21</c:v>
                </c:pt>
                <c:pt idx="290">
                  <c:v>23</c:v>
                </c:pt>
                <c:pt idx="291">
                  <c:v>34</c:v>
                </c:pt>
                <c:pt idx="292">
                  <c:v>10</c:v>
                </c:pt>
                <c:pt idx="293">
                  <c:v>31</c:v>
                </c:pt>
                <c:pt idx="294">
                  <c:v>63</c:v>
                </c:pt>
                <c:pt idx="295">
                  <c:v>74</c:v>
                </c:pt>
                <c:pt idx="296">
                  <c:v>30</c:v>
                </c:pt>
                <c:pt idx="297">
                  <c:v>15</c:v>
                </c:pt>
                <c:pt idx="298">
                  <c:v>5</c:v>
                </c:pt>
                <c:pt idx="299">
                  <c:v>21</c:v>
                </c:pt>
                <c:pt idx="300">
                  <c:v>10</c:v>
                </c:pt>
                <c:pt idx="301">
                  <c:v>29</c:v>
                </c:pt>
                <c:pt idx="302">
                  <c:v>51</c:v>
                </c:pt>
                <c:pt idx="303">
                  <c:v>0</c:v>
                </c:pt>
                <c:pt idx="304">
                  <c:v>64</c:v>
                </c:pt>
                <c:pt idx="305">
                  <c:v>4</c:v>
                </c:pt>
                <c:pt idx="306">
                  <c:v>29</c:v>
                </c:pt>
                <c:pt idx="307">
                  <c:v>24</c:v>
                </c:pt>
                <c:pt idx="308">
                  <c:v>40</c:v>
                </c:pt>
                <c:pt idx="309">
                  <c:v>50</c:v>
                </c:pt>
                <c:pt idx="310">
                  <c:v>10</c:v>
                </c:pt>
                <c:pt idx="311">
                  <c:v>29</c:v>
                </c:pt>
                <c:pt idx="312">
                  <c:v>24</c:v>
                </c:pt>
                <c:pt idx="313">
                  <c:v>28</c:v>
                </c:pt>
                <c:pt idx="314">
                  <c:v>8</c:v>
                </c:pt>
                <c:pt idx="315">
                  <c:v>21</c:v>
                </c:pt>
                <c:pt idx="316">
                  <c:v>5</c:v>
                </c:pt>
                <c:pt idx="317">
                  <c:v>3</c:v>
                </c:pt>
                <c:pt idx="318">
                  <c:v>39</c:v>
                </c:pt>
                <c:pt idx="319">
                  <c:v>0</c:v>
                </c:pt>
                <c:pt idx="320">
                  <c:v>16</c:v>
                </c:pt>
                <c:pt idx="321">
                  <c:v>42</c:v>
                </c:pt>
                <c:pt idx="322">
                  <c:v>11</c:v>
                </c:pt>
                <c:pt idx="323">
                  <c:v>1</c:v>
                </c:pt>
                <c:pt idx="324">
                  <c:v>47</c:v>
                </c:pt>
                <c:pt idx="325">
                  <c:v>57</c:v>
                </c:pt>
                <c:pt idx="326">
                  <c:v>2</c:v>
                </c:pt>
                <c:pt idx="327">
                  <c:v>44</c:v>
                </c:pt>
                <c:pt idx="328">
                  <c:v>3</c:v>
                </c:pt>
                <c:pt idx="329">
                  <c:v>19</c:v>
                </c:pt>
                <c:pt idx="330">
                  <c:v>3</c:v>
                </c:pt>
                <c:pt idx="331">
                  <c:v>24</c:v>
                </c:pt>
                <c:pt idx="332">
                  <c:v>52</c:v>
                </c:pt>
                <c:pt idx="333">
                  <c:v>14</c:v>
                </c:pt>
                <c:pt idx="334">
                  <c:v>35</c:v>
                </c:pt>
                <c:pt idx="335">
                  <c:v>0</c:v>
                </c:pt>
                <c:pt idx="336">
                  <c:v>5</c:v>
                </c:pt>
                <c:pt idx="337">
                  <c:v>6</c:v>
                </c:pt>
                <c:pt idx="338">
                  <c:v>1</c:v>
                </c:pt>
                <c:pt idx="339">
                  <c:v>7</c:v>
                </c:pt>
                <c:pt idx="340">
                  <c:v>76</c:v>
                </c:pt>
                <c:pt idx="341">
                  <c:v>24</c:v>
                </c:pt>
                <c:pt idx="342">
                  <c:v>16</c:v>
                </c:pt>
                <c:pt idx="343">
                  <c:v>39</c:v>
                </c:pt>
                <c:pt idx="344">
                  <c:v>24</c:v>
                </c:pt>
                <c:pt idx="345">
                  <c:v>18</c:v>
                </c:pt>
                <c:pt idx="346">
                  <c:v>49</c:v>
                </c:pt>
                <c:pt idx="347">
                  <c:v>50</c:v>
                </c:pt>
                <c:pt idx="348">
                  <c:v>12</c:v>
                </c:pt>
                <c:pt idx="349">
                  <c:v>56</c:v>
                </c:pt>
                <c:pt idx="350">
                  <c:v>6</c:v>
                </c:pt>
                <c:pt idx="351">
                  <c:v>32</c:v>
                </c:pt>
                <c:pt idx="352">
                  <c:v>47</c:v>
                </c:pt>
                <c:pt idx="353">
                  <c:v>66</c:v>
                </c:pt>
                <c:pt idx="354">
                  <c:v>18</c:v>
                </c:pt>
                <c:pt idx="355">
                  <c:v>36</c:v>
                </c:pt>
                <c:pt idx="356">
                  <c:v>12</c:v>
                </c:pt>
                <c:pt idx="357">
                  <c:v>56</c:v>
                </c:pt>
                <c:pt idx="358">
                  <c:v>2</c:v>
                </c:pt>
                <c:pt idx="359">
                  <c:v>22</c:v>
                </c:pt>
                <c:pt idx="360">
                  <c:v>13</c:v>
                </c:pt>
                <c:pt idx="361">
                  <c:v>18</c:v>
                </c:pt>
                <c:pt idx="362">
                  <c:v>4</c:v>
                </c:pt>
                <c:pt idx="363">
                  <c:v>38</c:v>
                </c:pt>
                <c:pt idx="364">
                  <c:v>27</c:v>
                </c:pt>
                <c:pt idx="365">
                  <c:v>26</c:v>
                </c:pt>
                <c:pt idx="366">
                  <c:v>4</c:v>
                </c:pt>
                <c:pt idx="367">
                  <c:v>12</c:v>
                </c:pt>
                <c:pt idx="368">
                  <c:v>44</c:v>
                </c:pt>
                <c:pt idx="369">
                  <c:v>30</c:v>
                </c:pt>
                <c:pt idx="370">
                  <c:v>46</c:v>
                </c:pt>
                <c:pt idx="371">
                  <c:v>66</c:v>
                </c:pt>
                <c:pt idx="372">
                  <c:v>29</c:v>
                </c:pt>
                <c:pt idx="373">
                  <c:v>3</c:v>
                </c:pt>
                <c:pt idx="374">
                  <c:v>33</c:v>
                </c:pt>
                <c:pt idx="375">
                  <c:v>17</c:v>
                </c:pt>
                <c:pt idx="376">
                  <c:v>40</c:v>
                </c:pt>
                <c:pt idx="377">
                  <c:v>8</c:v>
                </c:pt>
                <c:pt idx="378">
                  <c:v>5</c:v>
                </c:pt>
                <c:pt idx="379">
                  <c:v>61</c:v>
                </c:pt>
                <c:pt idx="380">
                  <c:v>18</c:v>
                </c:pt>
                <c:pt idx="381">
                  <c:v>84</c:v>
                </c:pt>
                <c:pt idx="382">
                  <c:v>6</c:v>
                </c:pt>
                <c:pt idx="383">
                  <c:v>54</c:v>
                </c:pt>
                <c:pt idx="384">
                  <c:v>14</c:v>
                </c:pt>
                <c:pt idx="385">
                  <c:v>55</c:v>
                </c:pt>
                <c:pt idx="386">
                  <c:v>20</c:v>
                </c:pt>
                <c:pt idx="387">
                  <c:v>23</c:v>
                </c:pt>
                <c:pt idx="388">
                  <c:v>38</c:v>
                </c:pt>
                <c:pt idx="389">
                  <c:v>0</c:v>
                </c:pt>
                <c:pt idx="390">
                  <c:v>4</c:v>
                </c:pt>
                <c:pt idx="391">
                  <c:v>51</c:v>
                </c:pt>
                <c:pt idx="392">
                  <c:v>34</c:v>
                </c:pt>
                <c:pt idx="393">
                  <c:v>65</c:v>
                </c:pt>
                <c:pt idx="394">
                  <c:v>17</c:v>
                </c:pt>
                <c:pt idx="395">
                  <c:v>56</c:v>
                </c:pt>
                <c:pt idx="396">
                  <c:v>3</c:v>
                </c:pt>
                <c:pt idx="397">
                  <c:v>11</c:v>
                </c:pt>
                <c:pt idx="398">
                  <c:v>17</c:v>
                </c:pt>
                <c:pt idx="399">
                  <c:v>31</c:v>
                </c:pt>
                <c:pt idx="400">
                  <c:v>22</c:v>
                </c:pt>
                <c:pt idx="401">
                  <c:v>69</c:v>
                </c:pt>
                <c:pt idx="402">
                  <c:v>2</c:v>
                </c:pt>
                <c:pt idx="403">
                  <c:v>17</c:v>
                </c:pt>
                <c:pt idx="404">
                  <c:v>14</c:v>
                </c:pt>
                <c:pt idx="405">
                  <c:v>73</c:v>
                </c:pt>
                <c:pt idx="406">
                  <c:v>36</c:v>
                </c:pt>
                <c:pt idx="407">
                  <c:v>22</c:v>
                </c:pt>
                <c:pt idx="408">
                  <c:v>90</c:v>
                </c:pt>
                <c:pt idx="409">
                  <c:v>17</c:v>
                </c:pt>
                <c:pt idx="410">
                  <c:v>0</c:v>
                </c:pt>
                <c:pt idx="411">
                  <c:v>51</c:v>
                </c:pt>
                <c:pt idx="412">
                  <c:v>18</c:v>
                </c:pt>
                <c:pt idx="413">
                  <c:v>51</c:v>
                </c:pt>
                <c:pt idx="414">
                  <c:v>38</c:v>
                </c:pt>
                <c:pt idx="415">
                  <c:v>0</c:v>
                </c:pt>
                <c:pt idx="416">
                  <c:v>20</c:v>
                </c:pt>
                <c:pt idx="417">
                  <c:v>3</c:v>
                </c:pt>
                <c:pt idx="418">
                  <c:v>40</c:v>
                </c:pt>
                <c:pt idx="419">
                  <c:v>53</c:v>
                </c:pt>
                <c:pt idx="420">
                  <c:v>19</c:v>
                </c:pt>
                <c:pt idx="421">
                  <c:v>85</c:v>
                </c:pt>
                <c:pt idx="422">
                  <c:v>4</c:v>
                </c:pt>
                <c:pt idx="423">
                  <c:v>4</c:v>
                </c:pt>
                <c:pt idx="424">
                  <c:v>26</c:v>
                </c:pt>
                <c:pt idx="425">
                  <c:v>8</c:v>
                </c:pt>
                <c:pt idx="426">
                  <c:v>63</c:v>
                </c:pt>
                <c:pt idx="427">
                  <c:v>19</c:v>
                </c:pt>
                <c:pt idx="428">
                  <c:v>5</c:v>
                </c:pt>
                <c:pt idx="429">
                  <c:v>61</c:v>
                </c:pt>
                <c:pt idx="430">
                  <c:v>40</c:v>
                </c:pt>
                <c:pt idx="431">
                  <c:v>2</c:v>
                </c:pt>
                <c:pt idx="432">
                  <c:v>40</c:v>
                </c:pt>
                <c:pt idx="433">
                  <c:v>5</c:v>
                </c:pt>
                <c:pt idx="434">
                  <c:v>31</c:v>
                </c:pt>
                <c:pt idx="435">
                  <c:v>48</c:v>
                </c:pt>
                <c:pt idx="436">
                  <c:v>24</c:v>
                </c:pt>
                <c:pt idx="437">
                  <c:v>29</c:v>
                </c:pt>
                <c:pt idx="438">
                  <c:v>7</c:v>
                </c:pt>
                <c:pt idx="439">
                  <c:v>13</c:v>
                </c:pt>
                <c:pt idx="440">
                  <c:v>5</c:v>
                </c:pt>
                <c:pt idx="441">
                  <c:v>18</c:v>
                </c:pt>
                <c:pt idx="442">
                  <c:v>77</c:v>
                </c:pt>
                <c:pt idx="443">
                  <c:v>17</c:v>
                </c:pt>
                <c:pt idx="444">
                  <c:v>16</c:v>
                </c:pt>
                <c:pt idx="445">
                  <c:v>15</c:v>
                </c:pt>
                <c:pt idx="446">
                  <c:v>3</c:v>
                </c:pt>
                <c:pt idx="447">
                  <c:v>34</c:v>
                </c:pt>
                <c:pt idx="448">
                  <c:v>4</c:v>
                </c:pt>
                <c:pt idx="449">
                  <c:v>12</c:v>
                </c:pt>
                <c:pt idx="450">
                  <c:v>10</c:v>
                </c:pt>
                <c:pt idx="451">
                  <c:v>52</c:v>
                </c:pt>
                <c:pt idx="452">
                  <c:v>28</c:v>
                </c:pt>
                <c:pt idx="453">
                  <c:v>21</c:v>
                </c:pt>
                <c:pt idx="454">
                  <c:v>22</c:v>
                </c:pt>
                <c:pt idx="455">
                  <c:v>6</c:v>
                </c:pt>
                <c:pt idx="456">
                  <c:v>11</c:v>
                </c:pt>
                <c:pt idx="457">
                  <c:v>19</c:v>
                </c:pt>
                <c:pt idx="458">
                  <c:v>43</c:v>
                </c:pt>
                <c:pt idx="459">
                  <c:v>22</c:v>
                </c:pt>
                <c:pt idx="460">
                  <c:v>15</c:v>
                </c:pt>
                <c:pt idx="461">
                  <c:v>38</c:v>
                </c:pt>
                <c:pt idx="462">
                  <c:v>4</c:v>
                </c:pt>
                <c:pt idx="463">
                  <c:v>64</c:v>
                </c:pt>
                <c:pt idx="464">
                  <c:v>46</c:v>
                </c:pt>
                <c:pt idx="465">
                  <c:v>10</c:v>
                </c:pt>
                <c:pt idx="466">
                  <c:v>51</c:v>
                </c:pt>
                <c:pt idx="467">
                  <c:v>26</c:v>
                </c:pt>
                <c:pt idx="468">
                  <c:v>15</c:v>
                </c:pt>
                <c:pt idx="469">
                  <c:v>32</c:v>
                </c:pt>
                <c:pt idx="470">
                  <c:v>32</c:v>
                </c:pt>
                <c:pt idx="471">
                  <c:v>21</c:v>
                </c:pt>
                <c:pt idx="472">
                  <c:v>82</c:v>
                </c:pt>
                <c:pt idx="473">
                  <c:v>13</c:v>
                </c:pt>
                <c:pt idx="474">
                  <c:v>8</c:v>
                </c:pt>
                <c:pt idx="475">
                  <c:v>29</c:v>
                </c:pt>
                <c:pt idx="476">
                  <c:v>47</c:v>
                </c:pt>
                <c:pt idx="477">
                  <c:v>7</c:v>
                </c:pt>
                <c:pt idx="478">
                  <c:v>38</c:v>
                </c:pt>
                <c:pt idx="479">
                  <c:v>20</c:v>
                </c:pt>
                <c:pt idx="480">
                  <c:v>7</c:v>
                </c:pt>
                <c:pt idx="481">
                  <c:v>6</c:v>
                </c:pt>
                <c:pt idx="482">
                  <c:v>16</c:v>
                </c:pt>
                <c:pt idx="483">
                  <c:v>18</c:v>
                </c:pt>
                <c:pt idx="484">
                  <c:v>11</c:v>
                </c:pt>
                <c:pt idx="485">
                  <c:v>2</c:v>
                </c:pt>
                <c:pt idx="486">
                  <c:v>13</c:v>
                </c:pt>
                <c:pt idx="487">
                  <c:v>37</c:v>
                </c:pt>
                <c:pt idx="488">
                  <c:v>11</c:v>
                </c:pt>
                <c:pt idx="489">
                  <c:v>58</c:v>
                </c:pt>
                <c:pt idx="490">
                  <c:v>14</c:v>
                </c:pt>
                <c:pt idx="491">
                  <c:v>62</c:v>
                </c:pt>
                <c:pt idx="492">
                  <c:v>62</c:v>
                </c:pt>
                <c:pt idx="493">
                  <c:v>52</c:v>
                </c:pt>
                <c:pt idx="494">
                  <c:v>28</c:v>
                </c:pt>
                <c:pt idx="495">
                  <c:v>52</c:v>
                </c:pt>
                <c:pt idx="496">
                  <c:v>7</c:v>
                </c:pt>
                <c:pt idx="497">
                  <c:v>20</c:v>
                </c:pt>
                <c:pt idx="498">
                  <c:v>35</c:v>
                </c:pt>
                <c:pt idx="499">
                  <c:v>50</c:v>
                </c:pt>
                <c:pt idx="500">
                  <c:v>7</c:v>
                </c:pt>
                <c:pt idx="501">
                  <c:v>42</c:v>
                </c:pt>
                <c:pt idx="502">
                  <c:v>53</c:v>
                </c:pt>
                <c:pt idx="503">
                  <c:v>10</c:v>
                </c:pt>
                <c:pt idx="504">
                  <c:v>0</c:v>
                </c:pt>
                <c:pt idx="505">
                  <c:v>27</c:v>
                </c:pt>
                <c:pt idx="506">
                  <c:v>12</c:v>
                </c:pt>
                <c:pt idx="507">
                  <c:v>43</c:v>
                </c:pt>
                <c:pt idx="508">
                  <c:v>3</c:v>
                </c:pt>
                <c:pt idx="509">
                  <c:v>12</c:v>
                </c:pt>
                <c:pt idx="510">
                  <c:v>42</c:v>
                </c:pt>
                <c:pt idx="511">
                  <c:v>42</c:v>
                </c:pt>
                <c:pt idx="512">
                  <c:v>88</c:v>
                </c:pt>
                <c:pt idx="513">
                  <c:v>45</c:v>
                </c:pt>
                <c:pt idx="514">
                  <c:v>0</c:v>
                </c:pt>
                <c:pt idx="515">
                  <c:v>2</c:v>
                </c:pt>
                <c:pt idx="516">
                  <c:v>35</c:v>
                </c:pt>
                <c:pt idx="517">
                  <c:v>11</c:v>
                </c:pt>
                <c:pt idx="518">
                  <c:v>82</c:v>
                </c:pt>
                <c:pt idx="519">
                  <c:v>11</c:v>
                </c:pt>
                <c:pt idx="520">
                  <c:v>33</c:v>
                </c:pt>
                <c:pt idx="521">
                  <c:v>31</c:v>
                </c:pt>
                <c:pt idx="522">
                  <c:v>24</c:v>
                </c:pt>
                <c:pt idx="523">
                  <c:v>22</c:v>
                </c:pt>
                <c:pt idx="524">
                  <c:v>15</c:v>
                </c:pt>
                <c:pt idx="525">
                  <c:v>12</c:v>
                </c:pt>
                <c:pt idx="526">
                  <c:v>70</c:v>
                </c:pt>
                <c:pt idx="527">
                  <c:v>0</c:v>
                </c:pt>
                <c:pt idx="528">
                  <c:v>38</c:v>
                </c:pt>
                <c:pt idx="529">
                  <c:v>11</c:v>
                </c:pt>
                <c:pt idx="530">
                  <c:v>5</c:v>
                </c:pt>
                <c:pt idx="531">
                  <c:v>32</c:v>
                </c:pt>
                <c:pt idx="532">
                  <c:v>24</c:v>
                </c:pt>
                <c:pt idx="533">
                  <c:v>21</c:v>
                </c:pt>
                <c:pt idx="534">
                  <c:v>12</c:v>
                </c:pt>
                <c:pt idx="535">
                  <c:v>26</c:v>
                </c:pt>
                <c:pt idx="536">
                  <c:v>15</c:v>
                </c:pt>
                <c:pt idx="537">
                  <c:v>11</c:v>
                </c:pt>
                <c:pt idx="538">
                  <c:v>77</c:v>
                </c:pt>
                <c:pt idx="539">
                  <c:v>26</c:v>
                </c:pt>
                <c:pt idx="540">
                  <c:v>31</c:v>
                </c:pt>
                <c:pt idx="541">
                  <c:v>10</c:v>
                </c:pt>
                <c:pt idx="542">
                  <c:v>64</c:v>
                </c:pt>
                <c:pt idx="543">
                  <c:v>24</c:v>
                </c:pt>
                <c:pt idx="544">
                  <c:v>14</c:v>
                </c:pt>
                <c:pt idx="545">
                  <c:v>76</c:v>
                </c:pt>
                <c:pt idx="546">
                  <c:v>10</c:v>
                </c:pt>
                <c:pt idx="547">
                  <c:v>8</c:v>
                </c:pt>
                <c:pt idx="548">
                  <c:v>10</c:v>
                </c:pt>
                <c:pt idx="549">
                  <c:v>27</c:v>
                </c:pt>
                <c:pt idx="550">
                  <c:v>53</c:v>
                </c:pt>
                <c:pt idx="551">
                  <c:v>88</c:v>
                </c:pt>
                <c:pt idx="552">
                  <c:v>41</c:v>
                </c:pt>
                <c:pt idx="553">
                  <c:v>35</c:v>
                </c:pt>
                <c:pt idx="554">
                  <c:v>49</c:v>
                </c:pt>
                <c:pt idx="555">
                  <c:v>69</c:v>
                </c:pt>
                <c:pt idx="556">
                  <c:v>6</c:v>
                </c:pt>
                <c:pt idx="557">
                  <c:v>10</c:v>
                </c:pt>
                <c:pt idx="558">
                  <c:v>7</c:v>
                </c:pt>
                <c:pt idx="559">
                  <c:v>13</c:v>
                </c:pt>
                <c:pt idx="560">
                  <c:v>44</c:v>
                </c:pt>
                <c:pt idx="561">
                  <c:v>61</c:v>
                </c:pt>
                <c:pt idx="562">
                  <c:v>9</c:v>
                </c:pt>
                <c:pt idx="563">
                  <c:v>79</c:v>
                </c:pt>
                <c:pt idx="564">
                  <c:v>23</c:v>
                </c:pt>
                <c:pt idx="565">
                  <c:v>19</c:v>
                </c:pt>
                <c:pt idx="566">
                  <c:v>38</c:v>
                </c:pt>
                <c:pt idx="567">
                  <c:v>3</c:v>
                </c:pt>
                <c:pt idx="568">
                  <c:v>1</c:v>
                </c:pt>
                <c:pt idx="569">
                  <c:v>51</c:v>
                </c:pt>
                <c:pt idx="570">
                  <c:v>62</c:v>
                </c:pt>
                <c:pt idx="571">
                  <c:v>52</c:v>
                </c:pt>
                <c:pt idx="572">
                  <c:v>8</c:v>
                </c:pt>
                <c:pt idx="573">
                  <c:v>24</c:v>
                </c:pt>
                <c:pt idx="574">
                  <c:v>33</c:v>
                </c:pt>
                <c:pt idx="575">
                  <c:v>7</c:v>
                </c:pt>
                <c:pt idx="576">
                  <c:v>2</c:v>
                </c:pt>
                <c:pt idx="577">
                  <c:v>8</c:v>
                </c:pt>
                <c:pt idx="578">
                  <c:v>25</c:v>
                </c:pt>
                <c:pt idx="579">
                  <c:v>15</c:v>
                </c:pt>
                <c:pt idx="580">
                  <c:v>89</c:v>
                </c:pt>
                <c:pt idx="581">
                  <c:v>9</c:v>
                </c:pt>
                <c:pt idx="582">
                  <c:v>13</c:v>
                </c:pt>
                <c:pt idx="583">
                  <c:v>40</c:v>
                </c:pt>
                <c:pt idx="584">
                  <c:v>42</c:v>
                </c:pt>
                <c:pt idx="585">
                  <c:v>8</c:v>
                </c:pt>
                <c:pt idx="586">
                  <c:v>11</c:v>
                </c:pt>
                <c:pt idx="587">
                  <c:v>32</c:v>
                </c:pt>
                <c:pt idx="588">
                  <c:v>14</c:v>
                </c:pt>
                <c:pt idx="589">
                  <c:v>28</c:v>
                </c:pt>
                <c:pt idx="590">
                  <c:v>11</c:v>
                </c:pt>
                <c:pt idx="591">
                  <c:v>11</c:v>
                </c:pt>
                <c:pt idx="592">
                  <c:v>5</c:v>
                </c:pt>
                <c:pt idx="593">
                  <c:v>71</c:v>
                </c:pt>
                <c:pt idx="594">
                  <c:v>14</c:v>
                </c:pt>
                <c:pt idx="595">
                  <c:v>37</c:v>
                </c:pt>
                <c:pt idx="596">
                  <c:v>51</c:v>
                </c:pt>
                <c:pt idx="597">
                  <c:v>57</c:v>
                </c:pt>
                <c:pt idx="598">
                  <c:v>55</c:v>
                </c:pt>
                <c:pt idx="599">
                  <c:v>3</c:v>
                </c:pt>
                <c:pt idx="600">
                  <c:v>60</c:v>
                </c:pt>
                <c:pt idx="601">
                  <c:v>4</c:v>
                </c:pt>
                <c:pt idx="602">
                  <c:v>5</c:v>
                </c:pt>
                <c:pt idx="603">
                  <c:v>8</c:v>
                </c:pt>
                <c:pt idx="604">
                  <c:v>18</c:v>
                </c:pt>
                <c:pt idx="605">
                  <c:v>44</c:v>
                </c:pt>
                <c:pt idx="606">
                  <c:v>44</c:v>
                </c:pt>
                <c:pt idx="607">
                  <c:v>11</c:v>
                </c:pt>
                <c:pt idx="608">
                  <c:v>47</c:v>
                </c:pt>
                <c:pt idx="609">
                  <c:v>4</c:v>
                </c:pt>
                <c:pt idx="610">
                  <c:v>59</c:v>
                </c:pt>
                <c:pt idx="611">
                  <c:v>19</c:v>
                </c:pt>
                <c:pt idx="612">
                  <c:v>10</c:v>
                </c:pt>
                <c:pt idx="613">
                  <c:v>20</c:v>
                </c:pt>
                <c:pt idx="614">
                  <c:v>22</c:v>
                </c:pt>
                <c:pt idx="615">
                  <c:v>0</c:v>
                </c:pt>
                <c:pt idx="616">
                  <c:v>42</c:v>
                </c:pt>
                <c:pt idx="617">
                  <c:v>13</c:v>
                </c:pt>
                <c:pt idx="618">
                  <c:v>16</c:v>
                </c:pt>
                <c:pt idx="619">
                  <c:v>35</c:v>
                </c:pt>
                <c:pt idx="620">
                  <c:v>5</c:v>
                </c:pt>
                <c:pt idx="621">
                  <c:v>13</c:v>
                </c:pt>
                <c:pt idx="622">
                  <c:v>41</c:v>
                </c:pt>
                <c:pt idx="623">
                  <c:v>18</c:v>
                </c:pt>
                <c:pt idx="624">
                  <c:v>59</c:v>
                </c:pt>
                <c:pt idx="625">
                  <c:v>8</c:v>
                </c:pt>
                <c:pt idx="626">
                  <c:v>45</c:v>
                </c:pt>
                <c:pt idx="627">
                  <c:v>24</c:v>
                </c:pt>
                <c:pt idx="628">
                  <c:v>33</c:v>
                </c:pt>
                <c:pt idx="629">
                  <c:v>1</c:v>
                </c:pt>
                <c:pt idx="630">
                  <c:v>52</c:v>
                </c:pt>
                <c:pt idx="631">
                  <c:v>13</c:v>
                </c:pt>
                <c:pt idx="632">
                  <c:v>2</c:v>
                </c:pt>
                <c:pt idx="633">
                  <c:v>38</c:v>
                </c:pt>
                <c:pt idx="634">
                  <c:v>61</c:v>
                </c:pt>
                <c:pt idx="635">
                  <c:v>7</c:v>
                </c:pt>
                <c:pt idx="636">
                  <c:v>47</c:v>
                </c:pt>
                <c:pt idx="637">
                  <c:v>3</c:v>
                </c:pt>
                <c:pt idx="638">
                  <c:v>16</c:v>
                </c:pt>
                <c:pt idx="639">
                  <c:v>2</c:v>
                </c:pt>
                <c:pt idx="640">
                  <c:v>1</c:v>
                </c:pt>
                <c:pt idx="641">
                  <c:v>56</c:v>
                </c:pt>
                <c:pt idx="642">
                  <c:v>61</c:v>
                </c:pt>
                <c:pt idx="643">
                  <c:v>39</c:v>
                </c:pt>
                <c:pt idx="644">
                  <c:v>12</c:v>
                </c:pt>
                <c:pt idx="645">
                  <c:v>12</c:v>
                </c:pt>
                <c:pt idx="646">
                  <c:v>40</c:v>
                </c:pt>
                <c:pt idx="647">
                  <c:v>2</c:v>
                </c:pt>
                <c:pt idx="648">
                  <c:v>55</c:v>
                </c:pt>
                <c:pt idx="649">
                  <c:v>12</c:v>
                </c:pt>
                <c:pt idx="650">
                  <c:v>47</c:v>
                </c:pt>
                <c:pt idx="651">
                  <c:v>23</c:v>
                </c:pt>
                <c:pt idx="652">
                  <c:v>85</c:v>
                </c:pt>
                <c:pt idx="653">
                  <c:v>3</c:v>
                </c:pt>
                <c:pt idx="654">
                  <c:v>17</c:v>
                </c:pt>
                <c:pt idx="655">
                  <c:v>19</c:v>
                </c:pt>
                <c:pt idx="656">
                  <c:v>1</c:v>
                </c:pt>
                <c:pt idx="657">
                  <c:v>9</c:v>
                </c:pt>
                <c:pt idx="658">
                  <c:v>9</c:v>
                </c:pt>
                <c:pt idx="659">
                  <c:v>7</c:v>
                </c:pt>
                <c:pt idx="660">
                  <c:v>22</c:v>
                </c:pt>
                <c:pt idx="661">
                  <c:v>3</c:v>
                </c:pt>
                <c:pt idx="662">
                  <c:v>54</c:v>
                </c:pt>
                <c:pt idx="663">
                  <c:v>5</c:v>
                </c:pt>
                <c:pt idx="664">
                  <c:v>37</c:v>
                </c:pt>
                <c:pt idx="665">
                  <c:v>16</c:v>
                </c:pt>
                <c:pt idx="666">
                  <c:v>28</c:v>
                </c:pt>
                <c:pt idx="667">
                  <c:v>12</c:v>
                </c:pt>
                <c:pt idx="668">
                  <c:v>56</c:v>
                </c:pt>
                <c:pt idx="669">
                  <c:v>4</c:v>
                </c:pt>
                <c:pt idx="670">
                  <c:v>6</c:v>
                </c:pt>
                <c:pt idx="671">
                  <c:v>29</c:v>
                </c:pt>
                <c:pt idx="672">
                  <c:v>10</c:v>
                </c:pt>
                <c:pt idx="673">
                  <c:v>23</c:v>
                </c:pt>
                <c:pt idx="674">
                  <c:v>18</c:v>
                </c:pt>
                <c:pt idx="675">
                  <c:v>33</c:v>
                </c:pt>
                <c:pt idx="676">
                  <c:v>19</c:v>
                </c:pt>
                <c:pt idx="677">
                  <c:v>18</c:v>
                </c:pt>
                <c:pt idx="678">
                  <c:v>16</c:v>
                </c:pt>
                <c:pt idx="679">
                  <c:v>6</c:v>
                </c:pt>
                <c:pt idx="680">
                  <c:v>36</c:v>
                </c:pt>
                <c:pt idx="681">
                  <c:v>14</c:v>
                </c:pt>
                <c:pt idx="682">
                  <c:v>45</c:v>
                </c:pt>
                <c:pt idx="683">
                  <c:v>4</c:v>
                </c:pt>
                <c:pt idx="684">
                  <c:v>10</c:v>
                </c:pt>
                <c:pt idx="685">
                  <c:v>23</c:v>
                </c:pt>
                <c:pt idx="686">
                  <c:v>13</c:v>
                </c:pt>
                <c:pt idx="687">
                  <c:v>12</c:v>
                </c:pt>
                <c:pt idx="688">
                  <c:v>37</c:v>
                </c:pt>
                <c:pt idx="689">
                  <c:v>9</c:v>
                </c:pt>
                <c:pt idx="690">
                  <c:v>39</c:v>
                </c:pt>
                <c:pt idx="691">
                  <c:v>55</c:v>
                </c:pt>
                <c:pt idx="692">
                  <c:v>40</c:v>
                </c:pt>
                <c:pt idx="693">
                  <c:v>35</c:v>
                </c:pt>
                <c:pt idx="694">
                  <c:v>26</c:v>
                </c:pt>
                <c:pt idx="695">
                  <c:v>8</c:v>
                </c:pt>
                <c:pt idx="696">
                  <c:v>19</c:v>
                </c:pt>
                <c:pt idx="697">
                  <c:v>21</c:v>
                </c:pt>
                <c:pt idx="698">
                  <c:v>4</c:v>
                </c:pt>
                <c:pt idx="699">
                  <c:v>24</c:v>
                </c:pt>
                <c:pt idx="700">
                  <c:v>41</c:v>
                </c:pt>
                <c:pt idx="701">
                  <c:v>29</c:v>
                </c:pt>
                <c:pt idx="702">
                  <c:v>10</c:v>
                </c:pt>
                <c:pt idx="703">
                  <c:v>4</c:v>
                </c:pt>
                <c:pt idx="704">
                  <c:v>8</c:v>
                </c:pt>
                <c:pt idx="705">
                  <c:v>22</c:v>
                </c:pt>
                <c:pt idx="706">
                  <c:v>5</c:v>
                </c:pt>
                <c:pt idx="707">
                  <c:v>3</c:v>
                </c:pt>
                <c:pt idx="708">
                  <c:v>11</c:v>
                </c:pt>
                <c:pt idx="709">
                  <c:v>43</c:v>
                </c:pt>
                <c:pt idx="710">
                  <c:v>16</c:v>
                </c:pt>
                <c:pt idx="711">
                  <c:v>21</c:v>
                </c:pt>
                <c:pt idx="712">
                  <c:v>26</c:v>
                </c:pt>
                <c:pt idx="713">
                  <c:v>51</c:v>
                </c:pt>
                <c:pt idx="714">
                  <c:v>43</c:v>
                </c:pt>
                <c:pt idx="715">
                  <c:v>15</c:v>
                </c:pt>
                <c:pt idx="716">
                  <c:v>55</c:v>
                </c:pt>
                <c:pt idx="717">
                  <c:v>42</c:v>
                </c:pt>
                <c:pt idx="718">
                  <c:v>27</c:v>
                </c:pt>
                <c:pt idx="719">
                  <c:v>48</c:v>
                </c:pt>
                <c:pt idx="720">
                  <c:v>11</c:v>
                </c:pt>
                <c:pt idx="721">
                  <c:v>36</c:v>
                </c:pt>
                <c:pt idx="722">
                  <c:v>9</c:v>
                </c:pt>
                <c:pt idx="723">
                  <c:v>18</c:v>
                </c:pt>
                <c:pt idx="724">
                  <c:v>2</c:v>
                </c:pt>
                <c:pt idx="725">
                  <c:v>8</c:v>
                </c:pt>
                <c:pt idx="726">
                  <c:v>9</c:v>
                </c:pt>
                <c:pt idx="727">
                  <c:v>16</c:v>
                </c:pt>
                <c:pt idx="728">
                  <c:v>13</c:v>
                </c:pt>
                <c:pt idx="729">
                  <c:v>24</c:v>
                </c:pt>
                <c:pt idx="730">
                  <c:v>90</c:v>
                </c:pt>
                <c:pt idx="731">
                  <c:v>22</c:v>
                </c:pt>
                <c:pt idx="732">
                  <c:v>0</c:v>
                </c:pt>
                <c:pt idx="733">
                  <c:v>3</c:v>
                </c:pt>
                <c:pt idx="734">
                  <c:v>71</c:v>
                </c:pt>
                <c:pt idx="735">
                  <c:v>5</c:v>
                </c:pt>
                <c:pt idx="736">
                  <c:v>20</c:v>
                </c:pt>
                <c:pt idx="737">
                  <c:v>2</c:v>
                </c:pt>
                <c:pt idx="738">
                  <c:v>77</c:v>
                </c:pt>
                <c:pt idx="739">
                  <c:v>5</c:v>
                </c:pt>
                <c:pt idx="740">
                  <c:v>6</c:v>
                </c:pt>
                <c:pt idx="741">
                  <c:v>37</c:v>
                </c:pt>
                <c:pt idx="742">
                  <c:v>32</c:v>
                </c:pt>
                <c:pt idx="743">
                  <c:v>1</c:v>
                </c:pt>
                <c:pt idx="744">
                  <c:v>4</c:v>
                </c:pt>
                <c:pt idx="745">
                  <c:v>74</c:v>
                </c:pt>
                <c:pt idx="746">
                  <c:v>10</c:v>
                </c:pt>
                <c:pt idx="747">
                  <c:v>41</c:v>
                </c:pt>
                <c:pt idx="748">
                  <c:v>38</c:v>
                </c:pt>
                <c:pt idx="749">
                  <c:v>6</c:v>
                </c:pt>
                <c:pt idx="750">
                  <c:v>73</c:v>
                </c:pt>
                <c:pt idx="751">
                  <c:v>64</c:v>
                </c:pt>
                <c:pt idx="752">
                  <c:v>15</c:v>
                </c:pt>
                <c:pt idx="753">
                  <c:v>32</c:v>
                </c:pt>
                <c:pt idx="754">
                  <c:v>2</c:v>
                </c:pt>
                <c:pt idx="755">
                  <c:v>17</c:v>
                </c:pt>
                <c:pt idx="756">
                  <c:v>22</c:v>
                </c:pt>
                <c:pt idx="757">
                  <c:v>22</c:v>
                </c:pt>
                <c:pt idx="758">
                  <c:v>35</c:v>
                </c:pt>
                <c:pt idx="759">
                  <c:v>14</c:v>
                </c:pt>
                <c:pt idx="760">
                  <c:v>34</c:v>
                </c:pt>
                <c:pt idx="761">
                  <c:v>43</c:v>
                </c:pt>
                <c:pt idx="762">
                  <c:v>40</c:v>
                </c:pt>
                <c:pt idx="763">
                  <c:v>22</c:v>
                </c:pt>
                <c:pt idx="764">
                  <c:v>58</c:v>
                </c:pt>
                <c:pt idx="765">
                  <c:v>14</c:v>
                </c:pt>
                <c:pt idx="766">
                  <c:v>39</c:v>
                </c:pt>
                <c:pt idx="767">
                  <c:v>15</c:v>
                </c:pt>
                <c:pt idx="768">
                  <c:v>62</c:v>
                </c:pt>
                <c:pt idx="769">
                  <c:v>22</c:v>
                </c:pt>
                <c:pt idx="770">
                  <c:v>23</c:v>
                </c:pt>
                <c:pt idx="771">
                  <c:v>9</c:v>
                </c:pt>
                <c:pt idx="772">
                  <c:v>19</c:v>
                </c:pt>
                <c:pt idx="773">
                  <c:v>37</c:v>
                </c:pt>
                <c:pt idx="774">
                  <c:v>28</c:v>
                </c:pt>
                <c:pt idx="775">
                  <c:v>16</c:v>
                </c:pt>
                <c:pt idx="776">
                  <c:v>61</c:v>
                </c:pt>
                <c:pt idx="777">
                  <c:v>11</c:v>
                </c:pt>
                <c:pt idx="778">
                  <c:v>21</c:v>
                </c:pt>
                <c:pt idx="779">
                  <c:v>7</c:v>
                </c:pt>
                <c:pt idx="780">
                  <c:v>40</c:v>
                </c:pt>
                <c:pt idx="781">
                  <c:v>48</c:v>
                </c:pt>
                <c:pt idx="782">
                  <c:v>55</c:v>
                </c:pt>
                <c:pt idx="783">
                  <c:v>28</c:v>
                </c:pt>
                <c:pt idx="784">
                  <c:v>29</c:v>
                </c:pt>
                <c:pt idx="785">
                  <c:v>38</c:v>
                </c:pt>
                <c:pt idx="786">
                  <c:v>23</c:v>
                </c:pt>
                <c:pt idx="787">
                  <c:v>1</c:v>
                </c:pt>
                <c:pt idx="788">
                  <c:v>10</c:v>
                </c:pt>
                <c:pt idx="789">
                  <c:v>3</c:v>
                </c:pt>
                <c:pt idx="790">
                  <c:v>40</c:v>
                </c:pt>
                <c:pt idx="791">
                  <c:v>3</c:v>
                </c:pt>
                <c:pt idx="792">
                  <c:v>16</c:v>
                </c:pt>
                <c:pt idx="793">
                  <c:v>10</c:v>
                </c:pt>
                <c:pt idx="794">
                  <c:v>20</c:v>
                </c:pt>
                <c:pt idx="795">
                  <c:v>19</c:v>
                </c:pt>
                <c:pt idx="796">
                  <c:v>4</c:v>
                </c:pt>
                <c:pt idx="797">
                  <c:v>56</c:v>
                </c:pt>
                <c:pt idx="798">
                  <c:v>11</c:v>
                </c:pt>
                <c:pt idx="799">
                  <c:v>37</c:v>
                </c:pt>
                <c:pt idx="800">
                  <c:v>21</c:v>
                </c:pt>
                <c:pt idx="801">
                  <c:v>4</c:v>
                </c:pt>
                <c:pt idx="802">
                  <c:v>52</c:v>
                </c:pt>
                <c:pt idx="803">
                  <c:v>7</c:v>
                </c:pt>
                <c:pt idx="804">
                  <c:v>25</c:v>
                </c:pt>
                <c:pt idx="805">
                  <c:v>28</c:v>
                </c:pt>
                <c:pt idx="806">
                  <c:v>19</c:v>
                </c:pt>
                <c:pt idx="807">
                  <c:v>50</c:v>
                </c:pt>
                <c:pt idx="808">
                  <c:v>15</c:v>
                </c:pt>
                <c:pt idx="809">
                  <c:v>5</c:v>
                </c:pt>
                <c:pt idx="810">
                  <c:v>1</c:v>
                </c:pt>
                <c:pt idx="811">
                  <c:v>7</c:v>
                </c:pt>
                <c:pt idx="812">
                  <c:v>30</c:v>
                </c:pt>
                <c:pt idx="813">
                  <c:v>55</c:v>
                </c:pt>
                <c:pt idx="814">
                  <c:v>3</c:v>
                </c:pt>
                <c:pt idx="815">
                  <c:v>32</c:v>
                </c:pt>
                <c:pt idx="816">
                  <c:v>43</c:v>
                </c:pt>
                <c:pt idx="817">
                  <c:v>34</c:v>
                </c:pt>
                <c:pt idx="818">
                  <c:v>27</c:v>
                </c:pt>
                <c:pt idx="819">
                  <c:v>55</c:v>
                </c:pt>
                <c:pt idx="820">
                  <c:v>21</c:v>
                </c:pt>
                <c:pt idx="821">
                  <c:v>8</c:v>
                </c:pt>
                <c:pt idx="822">
                  <c:v>69</c:v>
                </c:pt>
                <c:pt idx="823">
                  <c:v>17</c:v>
                </c:pt>
                <c:pt idx="824">
                  <c:v>65</c:v>
                </c:pt>
                <c:pt idx="825">
                  <c:v>90</c:v>
                </c:pt>
                <c:pt idx="826">
                  <c:v>1</c:v>
                </c:pt>
                <c:pt idx="827">
                  <c:v>9</c:v>
                </c:pt>
                <c:pt idx="828">
                  <c:v>20</c:v>
                </c:pt>
                <c:pt idx="829">
                  <c:v>10</c:v>
                </c:pt>
                <c:pt idx="830">
                  <c:v>44</c:v>
                </c:pt>
                <c:pt idx="831">
                  <c:v>41</c:v>
                </c:pt>
                <c:pt idx="832">
                  <c:v>31</c:v>
                </c:pt>
                <c:pt idx="833">
                  <c:v>55</c:v>
                </c:pt>
                <c:pt idx="834">
                  <c:v>40</c:v>
                </c:pt>
                <c:pt idx="835">
                  <c:v>37</c:v>
                </c:pt>
                <c:pt idx="836">
                  <c:v>45</c:v>
                </c:pt>
                <c:pt idx="837">
                  <c:v>49</c:v>
                </c:pt>
                <c:pt idx="838">
                  <c:v>0</c:v>
                </c:pt>
                <c:pt idx="839">
                  <c:v>5</c:v>
                </c:pt>
                <c:pt idx="840">
                  <c:v>46</c:v>
                </c:pt>
                <c:pt idx="841">
                  <c:v>31</c:v>
                </c:pt>
                <c:pt idx="842">
                  <c:v>0</c:v>
                </c:pt>
                <c:pt idx="843">
                  <c:v>28</c:v>
                </c:pt>
                <c:pt idx="844">
                  <c:v>24</c:v>
                </c:pt>
                <c:pt idx="845">
                  <c:v>22</c:v>
                </c:pt>
                <c:pt idx="846">
                  <c:v>10</c:v>
                </c:pt>
                <c:pt idx="847">
                  <c:v>55</c:v>
                </c:pt>
                <c:pt idx="848">
                  <c:v>7</c:v>
                </c:pt>
                <c:pt idx="849">
                  <c:v>18</c:v>
                </c:pt>
                <c:pt idx="850">
                  <c:v>15</c:v>
                </c:pt>
                <c:pt idx="851">
                  <c:v>72</c:v>
                </c:pt>
                <c:pt idx="852">
                  <c:v>13</c:v>
                </c:pt>
                <c:pt idx="853">
                  <c:v>7</c:v>
                </c:pt>
                <c:pt idx="854">
                  <c:v>7</c:v>
                </c:pt>
                <c:pt idx="855">
                  <c:v>57</c:v>
                </c:pt>
                <c:pt idx="856">
                  <c:v>22</c:v>
                </c:pt>
                <c:pt idx="857">
                  <c:v>19</c:v>
                </c:pt>
                <c:pt idx="858">
                  <c:v>44</c:v>
                </c:pt>
                <c:pt idx="859">
                  <c:v>6</c:v>
                </c:pt>
                <c:pt idx="860">
                  <c:v>35</c:v>
                </c:pt>
                <c:pt idx="861">
                  <c:v>18</c:v>
                </c:pt>
                <c:pt idx="862">
                  <c:v>8</c:v>
                </c:pt>
                <c:pt idx="863">
                  <c:v>58</c:v>
                </c:pt>
                <c:pt idx="864">
                  <c:v>17</c:v>
                </c:pt>
                <c:pt idx="865">
                  <c:v>4</c:v>
                </c:pt>
                <c:pt idx="866">
                  <c:v>26</c:v>
                </c:pt>
                <c:pt idx="867">
                  <c:v>4</c:v>
                </c:pt>
                <c:pt idx="868">
                  <c:v>38</c:v>
                </c:pt>
                <c:pt idx="869">
                  <c:v>12</c:v>
                </c:pt>
                <c:pt idx="870">
                  <c:v>9</c:v>
                </c:pt>
                <c:pt idx="871">
                  <c:v>4</c:v>
                </c:pt>
                <c:pt idx="872">
                  <c:v>38</c:v>
                </c:pt>
                <c:pt idx="873">
                  <c:v>28</c:v>
                </c:pt>
                <c:pt idx="874">
                  <c:v>61</c:v>
                </c:pt>
                <c:pt idx="875">
                  <c:v>57</c:v>
                </c:pt>
                <c:pt idx="876">
                  <c:v>29</c:v>
                </c:pt>
                <c:pt idx="877">
                  <c:v>17</c:v>
                </c:pt>
                <c:pt idx="878">
                  <c:v>0</c:v>
                </c:pt>
                <c:pt idx="879">
                  <c:v>1</c:v>
                </c:pt>
                <c:pt idx="880">
                  <c:v>30</c:v>
                </c:pt>
                <c:pt idx="881">
                  <c:v>6</c:v>
                </c:pt>
                <c:pt idx="882">
                  <c:v>16</c:v>
                </c:pt>
                <c:pt idx="883">
                  <c:v>1</c:v>
                </c:pt>
                <c:pt idx="884">
                  <c:v>31</c:v>
                </c:pt>
                <c:pt idx="885">
                  <c:v>37</c:v>
                </c:pt>
                <c:pt idx="886">
                  <c:v>0</c:v>
                </c:pt>
                <c:pt idx="887">
                  <c:v>71</c:v>
                </c:pt>
                <c:pt idx="888">
                  <c:v>26</c:v>
                </c:pt>
                <c:pt idx="889">
                  <c:v>14</c:v>
                </c:pt>
                <c:pt idx="890">
                  <c:v>51</c:v>
                </c:pt>
                <c:pt idx="891">
                  <c:v>17</c:v>
                </c:pt>
                <c:pt idx="892">
                  <c:v>2</c:v>
                </c:pt>
                <c:pt idx="893">
                  <c:v>74</c:v>
                </c:pt>
                <c:pt idx="894">
                  <c:v>17</c:v>
                </c:pt>
                <c:pt idx="895">
                  <c:v>66</c:v>
                </c:pt>
                <c:pt idx="896">
                  <c:v>7</c:v>
                </c:pt>
                <c:pt idx="897">
                  <c:v>5</c:v>
                </c:pt>
                <c:pt idx="898">
                  <c:v>0</c:v>
                </c:pt>
                <c:pt idx="899">
                  <c:v>55</c:v>
                </c:pt>
                <c:pt idx="900">
                  <c:v>53</c:v>
                </c:pt>
                <c:pt idx="901">
                  <c:v>26</c:v>
                </c:pt>
                <c:pt idx="902">
                  <c:v>38</c:v>
                </c:pt>
                <c:pt idx="903">
                  <c:v>16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9</c:v>
                </c:pt>
                <c:pt idx="908">
                  <c:v>74</c:v>
                </c:pt>
                <c:pt idx="909">
                  <c:v>14</c:v>
                </c:pt>
                <c:pt idx="910">
                  <c:v>63</c:v>
                </c:pt>
                <c:pt idx="911">
                  <c:v>52</c:v>
                </c:pt>
                <c:pt idx="912">
                  <c:v>35</c:v>
                </c:pt>
                <c:pt idx="913">
                  <c:v>42</c:v>
                </c:pt>
                <c:pt idx="914">
                  <c:v>37</c:v>
                </c:pt>
                <c:pt idx="915">
                  <c:v>16</c:v>
                </c:pt>
                <c:pt idx="916">
                  <c:v>43</c:v>
                </c:pt>
                <c:pt idx="917">
                  <c:v>19</c:v>
                </c:pt>
                <c:pt idx="918">
                  <c:v>44</c:v>
                </c:pt>
                <c:pt idx="919">
                  <c:v>56</c:v>
                </c:pt>
                <c:pt idx="920">
                  <c:v>34</c:v>
                </c:pt>
                <c:pt idx="921">
                  <c:v>6</c:v>
                </c:pt>
                <c:pt idx="922">
                  <c:v>14</c:v>
                </c:pt>
                <c:pt idx="923">
                  <c:v>16</c:v>
                </c:pt>
                <c:pt idx="924">
                  <c:v>26</c:v>
                </c:pt>
                <c:pt idx="925">
                  <c:v>17</c:v>
                </c:pt>
                <c:pt idx="926">
                  <c:v>15</c:v>
                </c:pt>
                <c:pt idx="927">
                  <c:v>13</c:v>
                </c:pt>
                <c:pt idx="928">
                  <c:v>2</c:v>
                </c:pt>
                <c:pt idx="929">
                  <c:v>51</c:v>
                </c:pt>
                <c:pt idx="930">
                  <c:v>52</c:v>
                </c:pt>
                <c:pt idx="931">
                  <c:v>22</c:v>
                </c:pt>
                <c:pt idx="932">
                  <c:v>47</c:v>
                </c:pt>
                <c:pt idx="933">
                  <c:v>5</c:v>
                </c:pt>
                <c:pt idx="934">
                  <c:v>0</c:v>
                </c:pt>
                <c:pt idx="935">
                  <c:v>40</c:v>
                </c:pt>
                <c:pt idx="936">
                  <c:v>14</c:v>
                </c:pt>
                <c:pt idx="937">
                  <c:v>13</c:v>
                </c:pt>
                <c:pt idx="938">
                  <c:v>25</c:v>
                </c:pt>
                <c:pt idx="939">
                  <c:v>59</c:v>
                </c:pt>
                <c:pt idx="940">
                  <c:v>6</c:v>
                </c:pt>
                <c:pt idx="941">
                  <c:v>8</c:v>
                </c:pt>
                <c:pt idx="942">
                  <c:v>27</c:v>
                </c:pt>
                <c:pt idx="943">
                  <c:v>18</c:v>
                </c:pt>
                <c:pt idx="944">
                  <c:v>13</c:v>
                </c:pt>
                <c:pt idx="945">
                  <c:v>42</c:v>
                </c:pt>
                <c:pt idx="946">
                  <c:v>6</c:v>
                </c:pt>
                <c:pt idx="947">
                  <c:v>3</c:v>
                </c:pt>
                <c:pt idx="948">
                  <c:v>2</c:v>
                </c:pt>
                <c:pt idx="949">
                  <c:v>9</c:v>
                </c:pt>
                <c:pt idx="950">
                  <c:v>60</c:v>
                </c:pt>
                <c:pt idx="951">
                  <c:v>1</c:v>
                </c:pt>
                <c:pt idx="952">
                  <c:v>0</c:v>
                </c:pt>
                <c:pt idx="953">
                  <c:v>83</c:v>
                </c:pt>
                <c:pt idx="954">
                  <c:v>58</c:v>
                </c:pt>
                <c:pt idx="955">
                  <c:v>13</c:v>
                </c:pt>
                <c:pt idx="956">
                  <c:v>10</c:v>
                </c:pt>
                <c:pt idx="957">
                  <c:v>23</c:v>
                </c:pt>
                <c:pt idx="958">
                  <c:v>13</c:v>
                </c:pt>
                <c:pt idx="959">
                  <c:v>14</c:v>
                </c:pt>
                <c:pt idx="960">
                  <c:v>47</c:v>
                </c:pt>
                <c:pt idx="961">
                  <c:v>27</c:v>
                </c:pt>
                <c:pt idx="962">
                  <c:v>90</c:v>
                </c:pt>
                <c:pt idx="963">
                  <c:v>20</c:v>
                </c:pt>
                <c:pt idx="964">
                  <c:v>57</c:v>
                </c:pt>
                <c:pt idx="965">
                  <c:v>26</c:v>
                </c:pt>
                <c:pt idx="966">
                  <c:v>33</c:v>
                </c:pt>
                <c:pt idx="967">
                  <c:v>12</c:v>
                </c:pt>
                <c:pt idx="968">
                  <c:v>25</c:v>
                </c:pt>
                <c:pt idx="969">
                  <c:v>29</c:v>
                </c:pt>
                <c:pt idx="970">
                  <c:v>15</c:v>
                </c:pt>
                <c:pt idx="971">
                  <c:v>90</c:v>
                </c:pt>
                <c:pt idx="972">
                  <c:v>41</c:v>
                </c:pt>
                <c:pt idx="973">
                  <c:v>53</c:v>
                </c:pt>
                <c:pt idx="974">
                  <c:v>64</c:v>
                </c:pt>
                <c:pt idx="975">
                  <c:v>1</c:v>
                </c:pt>
                <c:pt idx="976">
                  <c:v>55</c:v>
                </c:pt>
                <c:pt idx="977">
                  <c:v>34</c:v>
                </c:pt>
                <c:pt idx="978">
                  <c:v>7</c:v>
                </c:pt>
                <c:pt idx="979">
                  <c:v>14</c:v>
                </c:pt>
                <c:pt idx="980">
                  <c:v>16</c:v>
                </c:pt>
                <c:pt idx="981">
                  <c:v>26</c:v>
                </c:pt>
                <c:pt idx="982">
                  <c:v>12</c:v>
                </c:pt>
                <c:pt idx="983">
                  <c:v>6</c:v>
                </c:pt>
                <c:pt idx="984">
                  <c:v>5</c:v>
                </c:pt>
                <c:pt idx="985">
                  <c:v>10</c:v>
                </c:pt>
                <c:pt idx="986">
                  <c:v>24</c:v>
                </c:pt>
                <c:pt idx="987">
                  <c:v>7</c:v>
                </c:pt>
                <c:pt idx="988">
                  <c:v>54</c:v>
                </c:pt>
                <c:pt idx="989">
                  <c:v>43</c:v>
                </c:pt>
                <c:pt idx="990">
                  <c:v>15</c:v>
                </c:pt>
                <c:pt idx="991">
                  <c:v>13</c:v>
                </c:pt>
                <c:pt idx="992">
                  <c:v>1</c:v>
                </c:pt>
                <c:pt idx="993">
                  <c:v>10</c:v>
                </c:pt>
                <c:pt idx="994">
                  <c:v>77</c:v>
                </c:pt>
                <c:pt idx="995">
                  <c:v>20</c:v>
                </c:pt>
                <c:pt idx="996">
                  <c:v>17</c:v>
                </c:pt>
                <c:pt idx="997">
                  <c:v>38</c:v>
                </c:pt>
                <c:pt idx="998">
                  <c:v>4</c:v>
                </c:pt>
                <c:pt idx="999">
                  <c:v>34</c:v>
                </c:pt>
                <c:pt idx="1000">
                  <c:v>31</c:v>
                </c:pt>
                <c:pt idx="1001">
                  <c:v>12</c:v>
                </c:pt>
                <c:pt idx="1002">
                  <c:v>14</c:v>
                </c:pt>
                <c:pt idx="1003">
                  <c:v>0</c:v>
                </c:pt>
                <c:pt idx="1004">
                  <c:v>12</c:v>
                </c:pt>
                <c:pt idx="1005">
                  <c:v>20</c:v>
                </c:pt>
                <c:pt idx="1006">
                  <c:v>33</c:v>
                </c:pt>
                <c:pt idx="1007">
                  <c:v>46</c:v>
                </c:pt>
                <c:pt idx="1008">
                  <c:v>27</c:v>
                </c:pt>
                <c:pt idx="1009">
                  <c:v>9</c:v>
                </c:pt>
                <c:pt idx="1010">
                  <c:v>15</c:v>
                </c:pt>
                <c:pt idx="1011">
                  <c:v>12</c:v>
                </c:pt>
                <c:pt idx="1012">
                  <c:v>61</c:v>
                </c:pt>
                <c:pt idx="1013">
                  <c:v>20</c:v>
                </c:pt>
                <c:pt idx="1014">
                  <c:v>20</c:v>
                </c:pt>
                <c:pt idx="1015">
                  <c:v>15</c:v>
                </c:pt>
                <c:pt idx="1016">
                  <c:v>49</c:v>
                </c:pt>
                <c:pt idx="1017">
                  <c:v>76</c:v>
                </c:pt>
                <c:pt idx="1018">
                  <c:v>14</c:v>
                </c:pt>
                <c:pt idx="1019">
                  <c:v>63</c:v>
                </c:pt>
                <c:pt idx="1020">
                  <c:v>43</c:v>
                </c:pt>
                <c:pt idx="1021">
                  <c:v>28</c:v>
                </c:pt>
                <c:pt idx="1022">
                  <c:v>26</c:v>
                </c:pt>
                <c:pt idx="1023">
                  <c:v>20</c:v>
                </c:pt>
                <c:pt idx="1024">
                  <c:v>11</c:v>
                </c:pt>
                <c:pt idx="1025">
                  <c:v>4</c:v>
                </c:pt>
                <c:pt idx="1026">
                  <c:v>32</c:v>
                </c:pt>
                <c:pt idx="1027">
                  <c:v>65</c:v>
                </c:pt>
                <c:pt idx="1028">
                  <c:v>9</c:v>
                </c:pt>
                <c:pt idx="1029">
                  <c:v>7</c:v>
                </c:pt>
                <c:pt idx="1030">
                  <c:v>1</c:v>
                </c:pt>
                <c:pt idx="1031">
                  <c:v>30</c:v>
                </c:pt>
                <c:pt idx="1032">
                  <c:v>2</c:v>
                </c:pt>
                <c:pt idx="1033">
                  <c:v>86</c:v>
                </c:pt>
                <c:pt idx="1034">
                  <c:v>56</c:v>
                </c:pt>
                <c:pt idx="1035">
                  <c:v>23</c:v>
                </c:pt>
                <c:pt idx="1036">
                  <c:v>39</c:v>
                </c:pt>
                <c:pt idx="1037">
                  <c:v>59</c:v>
                </c:pt>
                <c:pt idx="1038">
                  <c:v>28</c:v>
                </c:pt>
                <c:pt idx="1039">
                  <c:v>14</c:v>
                </c:pt>
                <c:pt idx="1040">
                  <c:v>39</c:v>
                </c:pt>
                <c:pt idx="1041">
                  <c:v>6</c:v>
                </c:pt>
                <c:pt idx="1042">
                  <c:v>17</c:v>
                </c:pt>
                <c:pt idx="1043">
                  <c:v>33</c:v>
                </c:pt>
                <c:pt idx="1044">
                  <c:v>9</c:v>
                </c:pt>
                <c:pt idx="1045">
                  <c:v>32</c:v>
                </c:pt>
                <c:pt idx="1046">
                  <c:v>21</c:v>
                </c:pt>
                <c:pt idx="1047">
                  <c:v>35</c:v>
                </c:pt>
                <c:pt idx="1048">
                  <c:v>32</c:v>
                </c:pt>
                <c:pt idx="1049">
                  <c:v>1</c:v>
                </c:pt>
                <c:pt idx="1050">
                  <c:v>19</c:v>
                </c:pt>
                <c:pt idx="1051">
                  <c:v>5</c:v>
                </c:pt>
                <c:pt idx="1052">
                  <c:v>8</c:v>
                </c:pt>
                <c:pt idx="1053">
                  <c:v>84</c:v>
                </c:pt>
                <c:pt idx="1054">
                  <c:v>62</c:v>
                </c:pt>
                <c:pt idx="1055">
                  <c:v>31</c:v>
                </c:pt>
                <c:pt idx="1056">
                  <c:v>15</c:v>
                </c:pt>
                <c:pt idx="1057">
                  <c:v>23</c:v>
                </c:pt>
                <c:pt idx="1058">
                  <c:v>65</c:v>
                </c:pt>
                <c:pt idx="1059">
                  <c:v>16</c:v>
                </c:pt>
                <c:pt idx="1060">
                  <c:v>23</c:v>
                </c:pt>
                <c:pt idx="1061">
                  <c:v>30</c:v>
                </c:pt>
                <c:pt idx="1062">
                  <c:v>26</c:v>
                </c:pt>
                <c:pt idx="1063">
                  <c:v>20</c:v>
                </c:pt>
                <c:pt idx="1064">
                  <c:v>6</c:v>
                </c:pt>
                <c:pt idx="1065">
                  <c:v>21</c:v>
                </c:pt>
                <c:pt idx="1066">
                  <c:v>45</c:v>
                </c:pt>
                <c:pt idx="1067">
                  <c:v>15</c:v>
                </c:pt>
                <c:pt idx="1068">
                  <c:v>17</c:v>
                </c:pt>
                <c:pt idx="1069">
                  <c:v>61</c:v>
                </c:pt>
                <c:pt idx="1070">
                  <c:v>32</c:v>
                </c:pt>
                <c:pt idx="1071">
                  <c:v>31</c:v>
                </c:pt>
                <c:pt idx="1072">
                  <c:v>16</c:v>
                </c:pt>
                <c:pt idx="1073">
                  <c:v>22</c:v>
                </c:pt>
                <c:pt idx="1074">
                  <c:v>23</c:v>
                </c:pt>
                <c:pt idx="1075">
                  <c:v>38</c:v>
                </c:pt>
                <c:pt idx="1076">
                  <c:v>14</c:v>
                </c:pt>
                <c:pt idx="1077">
                  <c:v>8</c:v>
                </c:pt>
                <c:pt idx="1078">
                  <c:v>20</c:v>
                </c:pt>
                <c:pt idx="1079">
                  <c:v>8</c:v>
                </c:pt>
                <c:pt idx="1080">
                  <c:v>75</c:v>
                </c:pt>
                <c:pt idx="1081">
                  <c:v>39</c:v>
                </c:pt>
                <c:pt idx="1082">
                  <c:v>28</c:v>
                </c:pt>
                <c:pt idx="1083">
                  <c:v>10</c:v>
                </c:pt>
                <c:pt idx="1084">
                  <c:v>32</c:v>
                </c:pt>
                <c:pt idx="1085">
                  <c:v>5</c:v>
                </c:pt>
                <c:pt idx="1086">
                  <c:v>15</c:v>
                </c:pt>
                <c:pt idx="1087">
                  <c:v>13</c:v>
                </c:pt>
                <c:pt idx="1088">
                  <c:v>89</c:v>
                </c:pt>
                <c:pt idx="1089">
                  <c:v>67</c:v>
                </c:pt>
                <c:pt idx="1090">
                  <c:v>66</c:v>
                </c:pt>
                <c:pt idx="1091">
                  <c:v>50</c:v>
                </c:pt>
                <c:pt idx="1092">
                  <c:v>81</c:v>
                </c:pt>
                <c:pt idx="1093">
                  <c:v>60</c:v>
                </c:pt>
                <c:pt idx="1094">
                  <c:v>25</c:v>
                </c:pt>
                <c:pt idx="1095">
                  <c:v>13</c:v>
                </c:pt>
                <c:pt idx="1096">
                  <c:v>18</c:v>
                </c:pt>
                <c:pt idx="1097">
                  <c:v>15</c:v>
                </c:pt>
                <c:pt idx="1098">
                  <c:v>8</c:v>
                </c:pt>
                <c:pt idx="1099">
                  <c:v>12</c:v>
                </c:pt>
                <c:pt idx="1100">
                  <c:v>58</c:v>
                </c:pt>
                <c:pt idx="1101">
                  <c:v>39</c:v>
                </c:pt>
                <c:pt idx="1102">
                  <c:v>37</c:v>
                </c:pt>
                <c:pt idx="1103">
                  <c:v>28</c:v>
                </c:pt>
                <c:pt idx="1104">
                  <c:v>51</c:v>
                </c:pt>
                <c:pt idx="1105">
                  <c:v>1</c:v>
                </c:pt>
                <c:pt idx="1106">
                  <c:v>74</c:v>
                </c:pt>
                <c:pt idx="1107">
                  <c:v>8</c:v>
                </c:pt>
                <c:pt idx="1108">
                  <c:v>46</c:v>
                </c:pt>
                <c:pt idx="1109">
                  <c:v>10</c:v>
                </c:pt>
                <c:pt idx="1110">
                  <c:v>32</c:v>
                </c:pt>
                <c:pt idx="1111">
                  <c:v>45</c:v>
                </c:pt>
                <c:pt idx="1112">
                  <c:v>2</c:v>
                </c:pt>
                <c:pt idx="1113">
                  <c:v>39</c:v>
                </c:pt>
                <c:pt idx="1114">
                  <c:v>35</c:v>
                </c:pt>
                <c:pt idx="1115">
                  <c:v>4</c:v>
                </c:pt>
                <c:pt idx="1116">
                  <c:v>22</c:v>
                </c:pt>
                <c:pt idx="1117">
                  <c:v>31</c:v>
                </c:pt>
                <c:pt idx="1118">
                  <c:v>58</c:v>
                </c:pt>
                <c:pt idx="1119">
                  <c:v>14</c:v>
                </c:pt>
                <c:pt idx="1120">
                  <c:v>3</c:v>
                </c:pt>
                <c:pt idx="1121">
                  <c:v>10</c:v>
                </c:pt>
                <c:pt idx="1122">
                  <c:v>18</c:v>
                </c:pt>
                <c:pt idx="1123">
                  <c:v>6</c:v>
                </c:pt>
                <c:pt idx="1124">
                  <c:v>55</c:v>
                </c:pt>
                <c:pt idx="1125">
                  <c:v>7</c:v>
                </c:pt>
                <c:pt idx="1126">
                  <c:v>23</c:v>
                </c:pt>
                <c:pt idx="1127">
                  <c:v>31</c:v>
                </c:pt>
                <c:pt idx="1128">
                  <c:v>53</c:v>
                </c:pt>
                <c:pt idx="1129">
                  <c:v>48</c:v>
                </c:pt>
                <c:pt idx="1130">
                  <c:v>13</c:v>
                </c:pt>
                <c:pt idx="1131">
                  <c:v>15</c:v>
                </c:pt>
                <c:pt idx="1132">
                  <c:v>11</c:v>
                </c:pt>
                <c:pt idx="1133">
                  <c:v>27</c:v>
                </c:pt>
                <c:pt idx="1134">
                  <c:v>19</c:v>
                </c:pt>
                <c:pt idx="1135">
                  <c:v>58</c:v>
                </c:pt>
                <c:pt idx="1136">
                  <c:v>64</c:v>
                </c:pt>
                <c:pt idx="1137">
                  <c:v>19</c:v>
                </c:pt>
                <c:pt idx="1138">
                  <c:v>8</c:v>
                </c:pt>
                <c:pt idx="1139">
                  <c:v>5</c:v>
                </c:pt>
                <c:pt idx="1140">
                  <c:v>42</c:v>
                </c:pt>
                <c:pt idx="1141">
                  <c:v>39</c:v>
                </c:pt>
                <c:pt idx="1142">
                  <c:v>23</c:v>
                </c:pt>
                <c:pt idx="1143">
                  <c:v>5</c:v>
                </c:pt>
                <c:pt idx="1144">
                  <c:v>12</c:v>
                </c:pt>
                <c:pt idx="1145">
                  <c:v>16</c:v>
                </c:pt>
                <c:pt idx="1146">
                  <c:v>44</c:v>
                </c:pt>
                <c:pt idx="1147">
                  <c:v>39</c:v>
                </c:pt>
                <c:pt idx="1148">
                  <c:v>43</c:v>
                </c:pt>
                <c:pt idx="1149">
                  <c:v>65</c:v>
                </c:pt>
                <c:pt idx="1150">
                  <c:v>14</c:v>
                </c:pt>
                <c:pt idx="1151">
                  <c:v>29</c:v>
                </c:pt>
                <c:pt idx="1152">
                  <c:v>11</c:v>
                </c:pt>
                <c:pt idx="1153">
                  <c:v>51</c:v>
                </c:pt>
                <c:pt idx="1154">
                  <c:v>8</c:v>
                </c:pt>
                <c:pt idx="1155">
                  <c:v>11</c:v>
                </c:pt>
                <c:pt idx="1156">
                  <c:v>32</c:v>
                </c:pt>
                <c:pt idx="1157">
                  <c:v>34</c:v>
                </c:pt>
                <c:pt idx="1158">
                  <c:v>11</c:v>
                </c:pt>
                <c:pt idx="1159">
                  <c:v>12</c:v>
                </c:pt>
                <c:pt idx="1160">
                  <c:v>18</c:v>
                </c:pt>
                <c:pt idx="1161">
                  <c:v>60</c:v>
                </c:pt>
                <c:pt idx="1162">
                  <c:v>27</c:v>
                </c:pt>
                <c:pt idx="1163">
                  <c:v>47</c:v>
                </c:pt>
                <c:pt idx="1164">
                  <c:v>3</c:v>
                </c:pt>
                <c:pt idx="1165">
                  <c:v>34</c:v>
                </c:pt>
                <c:pt idx="1166">
                  <c:v>5</c:v>
                </c:pt>
                <c:pt idx="1167">
                  <c:v>7</c:v>
                </c:pt>
                <c:pt idx="1168">
                  <c:v>18</c:v>
                </c:pt>
                <c:pt idx="1169">
                  <c:v>39</c:v>
                </c:pt>
                <c:pt idx="1170">
                  <c:v>8</c:v>
                </c:pt>
                <c:pt idx="1171">
                  <c:v>50</c:v>
                </c:pt>
                <c:pt idx="1172">
                  <c:v>2</c:v>
                </c:pt>
                <c:pt idx="1173">
                  <c:v>51</c:v>
                </c:pt>
                <c:pt idx="1174">
                  <c:v>54</c:v>
                </c:pt>
                <c:pt idx="1175">
                  <c:v>51</c:v>
                </c:pt>
                <c:pt idx="1176">
                  <c:v>5</c:v>
                </c:pt>
                <c:pt idx="1177">
                  <c:v>45</c:v>
                </c:pt>
                <c:pt idx="1178">
                  <c:v>51</c:v>
                </c:pt>
                <c:pt idx="1179">
                  <c:v>4</c:v>
                </c:pt>
                <c:pt idx="1180">
                  <c:v>14</c:v>
                </c:pt>
                <c:pt idx="1181">
                  <c:v>68</c:v>
                </c:pt>
                <c:pt idx="1182">
                  <c:v>49</c:v>
                </c:pt>
                <c:pt idx="1183">
                  <c:v>58</c:v>
                </c:pt>
                <c:pt idx="1184">
                  <c:v>41</c:v>
                </c:pt>
                <c:pt idx="1185">
                  <c:v>13</c:v>
                </c:pt>
                <c:pt idx="1186">
                  <c:v>53</c:v>
                </c:pt>
                <c:pt idx="1187">
                  <c:v>55</c:v>
                </c:pt>
                <c:pt idx="1188">
                  <c:v>13</c:v>
                </c:pt>
                <c:pt idx="1189">
                  <c:v>0</c:v>
                </c:pt>
                <c:pt idx="1190">
                  <c:v>3</c:v>
                </c:pt>
                <c:pt idx="1191">
                  <c:v>16</c:v>
                </c:pt>
                <c:pt idx="1192">
                  <c:v>12</c:v>
                </c:pt>
                <c:pt idx="1193">
                  <c:v>2</c:v>
                </c:pt>
                <c:pt idx="1194">
                  <c:v>19</c:v>
                </c:pt>
                <c:pt idx="1195">
                  <c:v>53</c:v>
                </c:pt>
                <c:pt idx="1196">
                  <c:v>20</c:v>
                </c:pt>
                <c:pt idx="1197">
                  <c:v>17</c:v>
                </c:pt>
                <c:pt idx="1198">
                  <c:v>31</c:v>
                </c:pt>
                <c:pt idx="1199">
                  <c:v>8</c:v>
                </c:pt>
                <c:pt idx="1200">
                  <c:v>23</c:v>
                </c:pt>
                <c:pt idx="1201">
                  <c:v>7</c:v>
                </c:pt>
                <c:pt idx="1202">
                  <c:v>20</c:v>
                </c:pt>
                <c:pt idx="1203">
                  <c:v>32</c:v>
                </c:pt>
                <c:pt idx="1204">
                  <c:v>18</c:v>
                </c:pt>
                <c:pt idx="1205">
                  <c:v>19</c:v>
                </c:pt>
                <c:pt idx="1206">
                  <c:v>73</c:v>
                </c:pt>
                <c:pt idx="1207">
                  <c:v>30</c:v>
                </c:pt>
                <c:pt idx="1208">
                  <c:v>2</c:v>
                </c:pt>
                <c:pt idx="1209">
                  <c:v>9</c:v>
                </c:pt>
                <c:pt idx="1210">
                  <c:v>7</c:v>
                </c:pt>
                <c:pt idx="1211">
                  <c:v>29</c:v>
                </c:pt>
                <c:pt idx="1212">
                  <c:v>53</c:v>
                </c:pt>
                <c:pt idx="1213">
                  <c:v>8</c:v>
                </c:pt>
                <c:pt idx="1214">
                  <c:v>0</c:v>
                </c:pt>
                <c:pt idx="1215">
                  <c:v>13</c:v>
                </c:pt>
                <c:pt idx="1216">
                  <c:v>40</c:v>
                </c:pt>
                <c:pt idx="1217">
                  <c:v>3</c:v>
                </c:pt>
                <c:pt idx="1218">
                  <c:v>5</c:v>
                </c:pt>
                <c:pt idx="1219">
                  <c:v>77</c:v>
                </c:pt>
                <c:pt idx="1220">
                  <c:v>26</c:v>
                </c:pt>
                <c:pt idx="1221">
                  <c:v>12</c:v>
                </c:pt>
                <c:pt idx="1222">
                  <c:v>7</c:v>
                </c:pt>
                <c:pt idx="1223">
                  <c:v>16</c:v>
                </c:pt>
                <c:pt idx="1224">
                  <c:v>19</c:v>
                </c:pt>
                <c:pt idx="1225">
                  <c:v>1</c:v>
                </c:pt>
                <c:pt idx="1226">
                  <c:v>44</c:v>
                </c:pt>
                <c:pt idx="1227">
                  <c:v>13</c:v>
                </c:pt>
                <c:pt idx="1228">
                  <c:v>41</c:v>
                </c:pt>
                <c:pt idx="1229">
                  <c:v>24</c:v>
                </c:pt>
                <c:pt idx="1230">
                  <c:v>11</c:v>
                </c:pt>
                <c:pt idx="1231">
                  <c:v>9</c:v>
                </c:pt>
                <c:pt idx="1232">
                  <c:v>47</c:v>
                </c:pt>
                <c:pt idx="1233">
                  <c:v>19</c:v>
                </c:pt>
                <c:pt idx="1234">
                  <c:v>44</c:v>
                </c:pt>
                <c:pt idx="1235">
                  <c:v>5</c:v>
                </c:pt>
                <c:pt idx="1236">
                  <c:v>11</c:v>
                </c:pt>
                <c:pt idx="1237">
                  <c:v>10</c:v>
                </c:pt>
                <c:pt idx="1238">
                  <c:v>48</c:v>
                </c:pt>
                <c:pt idx="1239">
                  <c:v>12</c:v>
                </c:pt>
                <c:pt idx="1240">
                  <c:v>5</c:v>
                </c:pt>
                <c:pt idx="1241">
                  <c:v>17</c:v>
                </c:pt>
                <c:pt idx="1242">
                  <c:v>19</c:v>
                </c:pt>
                <c:pt idx="1243">
                  <c:v>81</c:v>
                </c:pt>
                <c:pt idx="1244">
                  <c:v>1</c:v>
                </c:pt>
                <c:pt idx="1245">
                  <c:v>8</c:v>
                </c:pt>
                <c:pt idx="1246">
                  <c:v>51</c:v>
                </c:pt>
                <c:pt idx="1247">
                  <c:v>19</c:v>
                </c:pt>
                <c:pt idx="1248">
                  <c:v>5</c:v>
                </c:pt>
                <c:pt idx="1249">
                  <c:v>24</c:v>
                </c:pt>
                <c:pt idx="1250">
                  <c:v>24</c:v>
                </c:pt>
                <c:pt idx="1251">
                  <c:v>42</c:v>
                </c:pt>
                <c:pt idx="1252">
                  <c:v>50</c:v>
                </c:pt>
                <c:pt idx="1253">
                  <c:v>7</c:v>
                </c:pt>
                <c:pt idx="1254">
                  <c:v>64</c:v>
                </c:pt>
                <c:pt idx="1255">
                  <c:v>68</c:v>
                </c:pt>
                <c:pt idx="1256">
                  <c:v>65</c:v>
                </c:pt>
                <c:pt idx="1257">
                  <c:v>11</c:v>
                </c:pt>
                <c:pt idx="1258">
                  <c:v>20</c:v>
                </c:pt>
                <c:pt idx="1259">
                  <c:v>62</c:v>
                </c:pt>
                <c:pt idx="1260">
                  <c:v>56</c:v>
                </c:pt>
                <c:pt idx="1261">
                  <c:v>16</c:v>
                </c:pt>
                <c:pt idx="1262">
                  <c:v>44</c:v>
                </c:pt>
                <c:pt idx="1263">
                  <c:v>12</c:v>
                </c:pt>
                <c:pt idx="1264">
                  <c:v>25</c:v>
                </c:pt>
                <c:pt idx="1265">
                  <c:v>31</c:v>
                </c:pt>
                <c:pt idx="1266">
                  <c:v>51</c:v>
                </c:pt>
                <c:pt idx="1267">
                  <c:v>7</c:v>
                </c:pt>
                <c:pt idx="1268">
                  <c:v>23</c:v>
                </c:pt>
                <c:pt idx="1269">
                  <c:v>26</c:v>
                </c:pt>
                <c:pt idx="1270">
                  <c:v>18</c:v>
                </c:pt>
                <c:pt idx="1271">
                  <c:v>47</c:v>
                </c:pt>
                <c:pt idx="1272">
                  <c:v>26</c:v>
                </c:pt>
                <c:pt idx="1273">
                  <c:v>48</c:v>
                </c:pt>
                <c:pt idx="1274">
                  <c:v>10</c:v>
                </c:pt>
                <c:pt idx="1275">
                  <c:v>21</c:v>
                </c:pt>
                <c:pt idx="1276">
                  <c:v>53</c:v>
                </c:pt>
                <c:pt idx="1277">
                  <c:v>40</c:v>
                </c:pt>
                <c:pt idx="1278">
                  <c:v>37</c:v>
                </c:pt>
                <c:pt idx="1279">
                  <c:v>17</c:v>
                </c:pt>
                <c:pt idx="1280">
                  <c:v>8</c:v>
                </c:pt>
                <c:pt idx="1281">
                  <c:v>46</c:v>
                </c:pt>
                <c:pt idx="1282">
                  <c:v>33</c:v>
                </c:pt>
                <c:pt idx="1283">
                  <c:v>7</c:v>
                </c:pt>
                <c:pt idx="1284">
                  <c:v>18</c:v>
                </c:pt>
                <c:pt idx="1285">
                  <c:v>22</c:v>
                </c:pt>
                <c:pt idx="1286">
                  <c:v>0</c:v>
                </c:pt>
                <c:pt idx="1287">
                  <c:v>1</c:v>
                </c:pt>
                <c:pt idx="1288">
                  <c:v>10</c:v>
                </c:pt>
                <c:pt idx="1289">
                  <c:v>2</c:v>
                </c:pt>
                <c:pt idx="1290">
                  <c:v>17</c:v>
                </c:pt>
                <c:pt idx="1291">
                  <c:v>33</c:v>
                </c:pt>
                <c:pt idx="1292">
                  <c:v>19</c:v>
                </c:pt>
                <c:pt idx="1293">
                  <c:v>34</c:v>
                </c:pt>
                <c:pt idx="1294">
                  <c:v>9</c:v>
                </c:pt>
                <c:pt idx="1295">
                  <c:v>21</c:v>
                </c:pt>
                <c:pt idx="1296">
                  <c:v>6</c:v>
                </c:pt>
                <c:pt idx="1297">
                  <c:v>22</c:v>
                </c:pt>
                <c:pt idx="1298">
                  <c:v>8</c:v>
                </c:pt>
                <c:pt idx="1299">
                  <c:v>31</c:v>
                </c:pt>
                <c:pt idx="1300">
                  <c:v>19</c:v>
                </c:pt>
                <c:pt idx="1301">
                  <c:v>46</c:v>
                </c:pt>
                <c:pt idx="1302">
                  <c:v>71</c:v>
                </c:pt>
                <c:pt idx="1303">
                  <c:v>34</c:v>
                </c:pt>
                <c:pt idx="1304">
                  <c:v>78</c:v>
                </c:pt>
                <c:pt idx="1305">
                  <c:v>45</c:v>
                </c:pt>
                <c:pt idx="1306">
                  <c:v>9</c:v>
                </c:pt>
                <c:pt idx="1307">
                  <c:v>16</c:v>
                </c:pt>
                <c:pt idx="1308">
                  <c:v>16</c:v>
                </c:pt>
                <c:pt idx="1309">
                  <c:v>22</c:v>
                </c:pt>
                <c:pt idx="1310">
                  <c:v>56</c:v>
                </c:pt>
                <c:pt idx="1311">
                  <c:v>47</c:v>
                </c:pt>
                <c:pt idx="1312">
                  <c:v>58</c:v>
                </c:pt>
                <c:pt idx="1313">
                  <c:v>19</c:v>
                </c:pt>
                <c:pt idx="1314">
                  <c:v>28</c:v>
                </c:pt>
                <c:pt idx="1315">
                  <c:v>45</c:v>
                </c:pt>
                <c:pt idx="1316">
                  <c:v>39</c:v>
                </c:pt>
                <c:pt idx="1317">
                  <c:v>39</c:v>
                </c:pt>
                <c:pt idx="1318">
                  <c:v>14</c:v>
                </c:pt>
                <c:pt idx="1319">
                  <c:v>17</c:v>
                </c:pt>
                <c:pt idx="1320">
                  <c:v>10</c:v>
                </c:pt>
                <c:pt idx="1321">
                  <c:v>22</c:v>
                </c:pt>
                <c:pt idx="1322">
                  <c:v>36</c:v>
                </c:pt>
                <c:pt idx="1323">
                  <c:v>15</c:v>
                </c:pt>
                <c:pt idx="1324">
                  <c:v>83</c:v>
                </c:pt>
                <c:pt idx="1325">
                  <c:v>8</c:v>
                </c:pt>
                <c:pt idx="1326">
                  <c:v>52</c:v>
                </c:pt>
                <c:pt idx="1327">
                  <c:v>40</c:v>
                </c:pt>
                <c:pt idx="1328">
                  <c:v>40</c:v>
                </c:pt>
                <c:pt idx="1329">
                  <c:v>51</c:v>
                </c:pt>
                <c:pt idx="1330">
                  <c:v>13</c:v>
                </c:pt>
                <c:pt idx="1331">
                  <c:v>15</c:v>
                </c:pt>
                <c:pt idx="1332">
                  <c:v>31</c:v>
                </c:pt>
                <c:pt idx="1333">
                  <c:v>13</c:v>
                </c:pt>
                <c:pt idx="1334">
                  <c:v>2</c:v>
                </c:pt>
                <c:pt idx="1335">
                  <c:v>39</c:v>
                </c:pt>
                <c:pt idx="1336">
                  <c:v>63</c:v>
                </c:pt>
                <c:pt idx="1337">
                  <c:v>32</c:v>
                </c:pt>
                <c:pt idx="1338">
                  <c:v>27</c:v>
                </c:pt>
                <c:pt idx="1339">
                  <c:v>16</c:v>
                </c:pt>
                <c:pt idx="1340">
                  <c:v>20</c:v>
                </c:pt>
                <c:pt idx="1341">
                  <c:v>5</c:v>
                </c:pt>
                <c:pt idx="1342">
                  <c:v>14</c:v>
                </c:pt>
                <c:pt idx="1343">
                  <c:v>54</c:v>
                </c:pt>
                <c:pt idx="1344">
                  <c:v>42</c:v>
                </c:pt>
                <c:pt idx="1345">
                  <c:v>36</c:v>
                </c:pt>
                <c:pt idx="1346">
                  <c:v>0</c:v>
                </c:pt>
                <c:pt idx="1347">
                  <c:v>34</c:v>
                </c:pt>
                <c:pt idx="1348">
                  <c:v>22</c:v>
                </c:pt>
                <c:pt idx="1349">
                  <c:v>32</c:v>
                </c:pt>
                <c:pt idx="1350">
                  <c:v>21</c:v>
                </c:pt>
                <c:pt idx="1351">
                  <c:v>63</c:v>
                </c:pt>
                <c:pt idx="1352">
                  <c:v>1</c:v>
                </c:pt>
                <c:pt idx="1353">
                  <c:v>30</c:v>
                </c:pt>
                <c:pt idx="1354">
                  <c:v>21</c:v>
                </c:pt>
                <c:pt idx="1355">
                  <c:v>0</c:v>
                </c:pt>
                <c:pt idx="1356">
                  <c:v>77</c:v>
                </c:pt>
                <c:pt idx="1357">
                  <c:v>55</c:v>
                </c:pt>
                <c:pt idx="1358">
                  <c:v>48</c:v>
                </c:pt>
                <c:pt idx="1359">
                  <c:v>26</c:v>
                </c:pt>
                <c:pt idx="1360">
                  <c:v>14</c:v>
                </c:pt>
                <c:pt idx="1361">
                  <c:v>18</c:v>
                </c:pt>
                <c:pt idx="1362">
                  <c:v>38</c:v>
                </c:pt>
                <c:pt idx="1363">
                  <c:v>26</c:v>
                </c:pt>
                <c:pt idx="1364">
                  <c:v>58</c:v>
                </c:pt>
                <c:pt idx="1365">
                  <c:v>56</c:v>
                </c:pt>
                <c:pt idx="1366">
                  <c:v>33</c:v>
                </c:pt>
                <c:pt idx="1367">
                  <c:v>40</c:v>
                </c:pt>
                <c:pt idx="1368">
                  <c:v>4</c:v>
                </c:pt>
                <c:pt idx="1369">
                  <c:v>54</c:v>
                </c:pt>
                <c:pt idx="1370">
                  <c:v>22</c:v>
                </c:pt>
                <c:pt idx="1371">
                  <c:v>21</c:v>
                </c:pt>
                <c:pt idx="1372">
                  <c:v>2</c:v>
                </c:pt>
                <c:pt idx="1373">
                  <c:v>14</c:v>
                </c:pt>
                <c:pt idx="1374">
                  <c:v>51</c:v>
                </c:pt>
                <c:pt idx="1375">
                  <c:v>21</c:v>
                </c:pt>
                <c:pt idx="1376">
                  <c:v>44</c:v>
                </c:pt>
                <c:pt idx="1377">
                  <c:v>11</c:v>
                </c:pt>
                <c:pt idx="1378">
                  <c:v>27</c:v>
                </c:pt>
                <c:pt idx="1379">
                  <c:v>0</c:v>
                </c:pt>
                <c:pt idx="1380">
                  <c:v>45</c:v>
                </c:pt>
                <c:pt idx="1381">
                  <c:v>6</c:v>
                </c:pt>
                <c:pt idx="1382">
                  <c:v>17</c:v>
                </c:pt>
                <c:pt idx="1383">
                  <c:v>41</c:v>
                </c:pt>
                <c:pt idx="1384">
                  <c:v>75</c:v>
                </c:pt>
                <c:pt idx="1385">
                  <c:v>3</c:v>
                </c:pt>
                <c:pt idx="1386">
                  <c:v>21</c:v>
                </c:pt>
                <c:pt idx="1387">
                  <c:v>20</c:v>
                </c:pt>
                <c:pt idx="1388">
                  <c:v>81</c:v>
                </c:pt>
                <c:pt idx="1389">
                  <c:v>61</c:v>
                </c:pt>
                <c:pt idx="1390">
                  <c:v>7</c:v>
                </c:pt>
                <c:pt idx="1391">
                  <c:v>1</c:v>
                </c:pt>
                <c:pt idx="1392">
                  <c:v>0</c:v>
                </c:pt>
                <c:pt idx="1393">
                  <c:v>7</c:v>
                </c:pt>
                <c:pt idx="1394">
                  <c:v>22</c:v>
                </c:pt>
                <c:pt idx="1395">
                  <c:v>12</c:v>
                </c:pt>
                <c:pt idx="1396">
                  <c:v>21</c:v>
                </c:pt>
                <c:pt idx="1397">
                  <c:v>44</c:v>
                </c:pt>
                <c:pt idx="1398">
                  <c:v>45</c:v>
                </c:pt>
                <c:pt idx="1399">
                  <c:v>50</c:v>
                </c:pt>
                <c:pt idx="1400">
                  <c:v>0</c:v>
                </c:pt>
                <c:pt idx="1401">
                  <c:v>3</c:v>
                </c:pt>
                <c:pt idx="1402">
                  <c:v>14</c:v>
                </c:pt>
                <c:pt idx="1403">
                  <c:v>46</c:v>
                </c:pt>
                <c:pt idx="1404">
                  <c:v>11</c:v>
                </c:pt>
                <c:pt idx="1405">
                  <c:v>57</c:v>
                </c:pt>
                <c:pt idx="1406">
                  <c:v>7</c:v>
                </c:pt>
                <c:pt idx="1407">
                  <c:v>0</c:v>
                </c:pt>
                <c:pt idx="1408">
                  <c:v>37</c:v>
                </c:pt>
                <c:pt idx="1409">
                  <c:v>6</c:v>
                </c:pt>
                <c:pt idx="1410">
                  <c:v>28</c:v>
                </c:pt>
                <c:pt idx="1411">
                  <c:v>22</c:v>
                </c:pt>
                <c:pt idx="1412">
                  <c:v>23</c:v>
                </c:pt>
                <c:pt idx="1413">
                  <c:v>18</c:v>
                </c:pt>
                <c:pt idx="1414">
                  <c:v>33</c:v>
                </c:pt>
                <c:pt idx="1415">
                  <c:v>11</c:v>
                </c:pt>
                <c:pt idx="1416">
                  <c:v>4</c:v>
                </c:pt>
                <c:pt idx="1417">
                  <c:v>74</c:v>
                </c:pt>
                <c:pt idx="1418">
                  <c:v>20</c:v>
                </c:pt>
                <c:pt idx="1419">
                  <c:v>22</c:v>
                </c:pt>
                <c:pt idx="1420">
                  <c:v>51</c:v>
                </c:pt>
                <c:pt idx="1421">
                  <c:v>7</c:v>
                </c:pt>
                <c:pt idx="1422">
                  <c:v>13</c:v>
                </c:pt>
                <c:pt idx="1423">
                  <c:v>37</c:v>
                </c:pt>
                <c:pt idx="1424">
                  <c:v>24</c:v>
                </c:pt>
                <c:pt idx="1425">
                  <c:v>5</c:v>
                </c:pt>
                <c:pt idx="1426">
                  <c:v>39</c:v>
                </c:pt>
                <c:pt idx="1427">
                  <c:v>14</c:v>
                </c:pt>
                <c:pt idx="1428">
                  <c:v>14</c:v>
                </c:pt>
                <c:pt idx="1429">
                  <c:v>90</c:v>
                </c:pt>
                <c:pt idx="1430">
                  <c:v>36</c:v>
                </c:pt>
                <c:pt idx="1431">
                  <c:v>44</c:v>
                </c:pt>
                <c:pt idx="1432">
                  <c:v>7</c:v>
                </c:pt>
                <c:pt idx="1433">
                  <c:v>37</c:v>
                </c:pt>
                <c:pt idx="1434">
                  <c:v>33</c:v>
                </c:pt>
                <c:pt idx="1435">
                  <c:v>0</c:v>
                </c:pt>
                <c:pt idx="1436">
                  <c:v>1</c:v>
                </c:pt>
                <c:pt idx="1437">
                  <c:v>26</c:v>
                </c:pt>
                <c:pt idx="1438">
                  <c:v>82</c:v>
                </c:pt>
                <c:pt idx="1439">
                  <c:v>45</c:v>
                </c:pt>
                <c:pt idx="1440">
                  <c:v>14</c:v>
                </c:pt>
                <c:pt idx="1441">
                  <c:v>22</c:v>
                </c:pt>
                <c:pt idx="1442">
                  <c:v>18</c:v>
                </c:pt>
                <c:pt idx="1443">
                  <c:v>75</c:v>
                </c:pt>
                <c:pt idx="1444">
                  <c:v>10</c:v>
                </c:pt>
                <c:pt idx="1445">
                  <c:v>19</c:v>
                </c:pt>
                <c:pt idx="1446">
                  <c:v>4</c:v>
                </c:pt>
                <c:pt idx="1447">
                  <c:v>74</c:v>
                </c:pt>
                <c:pt idx="1448">
                  <c:v>34</c:v>
                </c:pt>
                <c:pt idx="1449">
                  <c:v>58</c:v>
                </c:pt>
                <c:pt idx="1450">
                  <c:v>14</c:v>
                </c:pt>
                <c:pt idx="1451">
                  <c:v>17</c:v>
                </c:pt>
                <c:pt idx="1452">
                  <c:v>17</c:v>
                </c:pt>
                <c:pt idx="1453">
                  <c:v>23</c:v>
                </c:pt>
                <c:pt idx="1454">
                  <c:v>0</c:v>
                </c:pt>
                <c:pt idx="1455">
                  <c:v>29</c:v>
                </c:pt>
                <c:pt idx="1456">
                  <c:v>11</c:v>
                </c:pt>
                <c:pt idx="1457">
                  <c:v>13</c:v>
                </c:pt>
                <c:pt idx="1458">
                  <c:v>17</c:v>
                </c:pt>
                <c:pt idx="1459">
                  <c:v>51</c:v>
                </c:pt>
                <c:pt idx="1460">
                  <c:v>9</c:v>
                </c:pt>
                <c:pt idx="1461">
                  <c:v>39</c:v>
                </c:pt>
                <c:pt idx="1462">
                  <c:v>44</c:v>
                </c:pt>
                <c:pt idx="1463">
                  <c:v>22</c:v>
                </c:pt>
                <c:pt idx="1464">
                  <c:v>55</c:v>
                </c:pt>
                <c:pt idx="1465">
                  <c:v>35</c:v>
                </c:pt>
                <c:pt idx="1466">
                  <c:v>21</c:v>
                </c:pt>
                <c:pt idx="1467">
                  <c:v>6</c:v>
                </c:pt>
                <c:pt idx="1468">
                  <c:v>81</c:v>
                </c:pt>
                <c:pt idx="1469">
                  <c:v>25</c:v>
                </c:pt>
                <c:pt idx="1470">
                  <c:v>40</c:v>
                </c:pt>
                <c:pt idx="1471">
                  <c:v>10</c:v>
                </c:pt>
                <c:pt idx="1472">
                  <c:v>13</c:v>
                </c:pt>
                <c:pt idx="1473">
                  <c:v>21</c:v>
                </c:pt>
                <c:pt idx="1474">
                  <c:v>16</c:v>
                </c:pt>
                <c:pt idx="1475">
                  <c:v>15</c:v>
                </c:pt>
                <c:pt idx="1476">
                  <c:v>5</c:v>
                </c:pt>
                <c:pt idx="1477">
                  <c:v>28</c:v>
                </c:pt>
                <c:pt idx="1478">
                  <c:v>1</c:v>
                </c:pt>
                <c:pt idx="1479">
                  <c:v>20</c:v>
                </c:pt>
                <c:pt idx="1480">
                  <c:v>23</c:v>
                </c:pt>
                <c:pt idx="1481">
                  <c:v>3</c:v>
                </c:pt>
                <c:pt idx="1482">
                  <c:v>41</c:v>
                </c:pt>
                <c:pt idx="1483">
                  <c:v>25</c:v>
                </c:pt>
                <c:pt idx="1484">
                  <c:v>54</c:v>
                </c:pt>
                <c:pt idx="1485">
                  <c:v>8</c:v>
                </c:pt>
                <c:pt idx="1486">
                  <c:v>38</c:v>
                </c:pt>
                <c:pt idx="1487">
                  <c:v>62</c:v>
                </c:pt>
                <c:pt idx="1488">
                  <c:v>1</c:v>
                </c:pt>
                <c:pt idx="1489">
                  <c:v>13</c:v>
                </c:pt>
                <c:pt idx="1490">
                  <c:v>14</c:v>
                </c:pt>
                <c:pt idx="1491">
                  <c:v>43</c:v>
                </c:pt>
                <c:pt idx="1492">
                  <c:v>31</c:v>
                </c:pt>
                <c:pt idx="1493">
                  <c:v>28</c:v>
                </c:pt>
                <c:pt idx="1494">
                  <c:v>5</c:v>
                </c:pt>
                <c:pt idx="1495">
                  <c:v>34</c:v>
                </c:pt>
                <c:pt idx="1496">
                  <c:v>14</c:v>
                </c:pt>
                <c:pt idx="1497">
                  <c:v>32</c:v>
                </c:pt>
                <c:pt idx="1498">
                  <c:v>24</c:v>
                </c:pt>
                <c:pt idx="1499">
                  <c:v>25</c:v>
                </c:pt>
                <c:pt idx="1500">
                  <c:v>2</c:v>
                </c:pt>
                <c:pt idx="1501">
                  <c:v>9</c:v>
                </c:pt>
                <c:pt idx="1502">
                  <c:v>55</c:v>
                </c:pt>
                <c:pt idx="1503">
                  <c:v>24</c:v>
                </c:pt>
                <c:pt idx="1504">
                  <c:v>47</c:v>
                </c:pt>
                <c:pt idx="1505">
                  <c:v>22</c:v>
                </c:pt>
                <c:pt idx="1506">
                  <c:v>30</c:v>
                </c:pt>
                <c:pt idx="1507">
                  <c:v>18</c:v>
                </c:pt>
                <c:pt idx="1508">
                  <c:v>38</c:v>
                </c:pt>
                <c:pt idx="1509">
                  <c:v>64</c:v>
                </c:pt>
                <c:pt idx="1510">
                  <c:v>13</c:v>
                </c:pt>
                <c:pt idx="1511">
                  <c:v>4</c:v>
                </c:pt>
                <c:pt idx="1512">
                  <c:v>0</c:v>
                </c:pt>
                <c:pt idx="1513">
                  <c:v>2</c:v>
                </c:pt>
                <c:pt idx="1514">
                  <c:v>7</c:v>
                </c:pt>
                <c:pt idx="1515">
                  <c:v>42</c:v>
                </c:pt>
                <c:pt idx="1516">
                  <c:v>9</c:v>
                </c:pt>
                <c:pt idx="1517">
                  <c:v>0</c:v>
                </c:pt>
                <c:pt idx="1518">
                  <c:v>2</c:v>
                </c:pt>
                <c:pt idx="1519">
                  <c:v>16</c:v>
                </c:pt>
                <c:pt idx="1520">
                  <c:v>3</c:v>
                </c:pt>
                <c:pt idx="1521">
                  <c:v>21</c:v>
                </c:pt>
                <c:pt idx="1522">
                  <c:v>15</c:v>
                </c:pt>
                <c:pt idx="1523">
                  <c:v>25</c:v>
                </c:pt>
                <c:pt idx="1524">
                  <c:v>6</c:v>
                </c:pt>
                <c:pt idx="1525">
                  <c:v>34</c:v>
                </c:pt>
                <c:pt idx="1526">
                  <c:v>33</c:v>
                </c:pt>
                <c:pt idx="1527">
                  <c:v>56</c:v>
                </c:pt>
                <c:pt idx="1528">
                  <c:v>27</c:v>
                </c:pt>
                <c:pt idx="1529">
                  <c:v>18</c:v>
                </c:pt>
                <c:pt idx="1530">
                  <c:v>0</c:v>
                </c:pt>
                <c:pt idx="1531">
                  <c:v>26</c:v>
                </c:pt>
                <c:pt idx="1532">
                  <c:v>0</c:v>
                </c:pt>
                <c:pt idx="1533">
                  <c:v>33</c:v>
                </c:pt>
                <c:pt idx="1534">
                  <c:v>54</c:v>
                </c:pt>
                <c:pt idx="1535">
                  <c:v>27</c:v>
                </c:pt>
                <c:pt idx="1536">
                  <c:v>17</c:v>
                </c:pt>
                <c:pt idx="1537">
                  <c:v>13</c:v>
                </c:pt>
                <c:pt idx="1538">
                  <c:v>11</c:v>
                </c:pt>
                <c:pt idx="1539">
                  <c:v>12</c:v>
                </c:pt>
                <c:pt idx="1540">
                  <c:v>47</c:v>
                </c:pt>
                <c:pt idx="1541">
                  <c:v>7</c:v>
                </c:pt>
                <c:pt idx="1542">
                  <c:v>44</c:v>
                </c:pt>
                <c:pt idx="1543">
                  <c:v>23</c:v>
                </c:pt>
                <c:pt idx="1544">
                  <c:v>53</c:v>
                </c:pt>
                <c:pt idx="1545">
                  <c:v>20</c:v>
                </c:pt>
                <c:pt idx="1546">
                  <c:v>44</c:v>
                </c:pt>
                <c:pt idx="1547">
                  <c:v>7</c:v>
                </c:pt>
                <c:pt idx="1548">
                  <c:v>57</c:v>
                </c:pt>
                <c:pt idx="1549">
                  <c:v>0</c:v>
                </c:pt>
                <c:pt idx="1550">
                  <c:v>33</c:v>
                </c:pt>
                <c:pt idx="1551">
                  <c:v>12</c:v>
                </c:pt>
                <c:pt idx="1552">
                  <c:v>49</c:v>
                </c:pt>
                <c:pt idx="1553">
                  <c:v>4</c:v>
                </c:pt>
                <c:pt idx="1554">
                  <c:v>23</c:v>
                </c:pt>
                <c:pt idx="1555">
                  <c:v>32</c:v>
                </c:pt>
                <c:pt idx="1556">
                  <c:v>32</c:v>
                </c:pt>
                <c:pt idx="1557">
                  <c:v>1</c:v>
                </c:pt>
                <c:pt idx="1558">
                  <c:v>30</c:v>
                </c:pt>
                <c:pt idx="1559">
                  <c:v>9</c:v>
                </c:pt>
                <c:pt idx="1560">
                  <c:v>11</c:v>
                </c:pt>
                <c:pt idx="1561">
                  <c:v>5</c:v>
                </c:pt>
                <c:pt idx="1562">
                  <c:v>13</c:v>
                </c:pt>
                <c:pt idx="1563">
                  <c:v>2</c:v>
                </c:pt>
                <c:pt idx="1564">
                  <c:v>45</c:v>
                </c:pt>
                <c:pt idx="1565">
                  <c:v>29</c:v>
                </c:pt>
                <c:pt idx="1566">
                  <c:v>19</c:v>
                </c:pt>
                <c:pt idx="1567">
                  <c:v>84</c:v>
                </c:pt>
                <c:pt idx="1568">
                  <c:v>30</c:v>
                </c:pt>
                <c:pt idx="1569">
                  <c:v>19</c:v>
                </c:pt>
                <c:pt idx="1570">
                  <c:v>24</c:v>
                </c:pt>
                <c:pt idx="1571">
                  <c:v>13</c:v>
                </c:pt>
                <c:pt idx="1572">
                  <c:v>62</c:v>
                </c:pt>
                <c:pt idx="1573">
                  <c:v>55</c:v>
                </c:pt>
                <c:pt idx="1574">
                  <c:v>28</c:v>
                </c:pt>
                <c:pt idx="1575">
                  <c:v>14</c:v>
                </c:pt>
                <c:pt idx="1576">
                  <c:v>62</c:v>
                </c:pt>
                <c:pt idx="1577">
                  <c:v>69</c:v>
                </c:pt>
                <c:pt idx="1578">
                  <c:v>10</c:v>
                </c:pt>
                <c:pt idx="1579">
                  <c:v>19</c:v>
                </c:pt>
                <c:pt idx="1580">
                  <c:v>34</c:v>
                </c:pt>
                <c:pt idx="1581">
                  <c:v>39</c:v>
                </c:pt>
                <c:pt idx="1582">
                  <c:v>21</c:v>
                </c:pt>
                <c:pt idx="1583">
                  <c:v>7</c:v>
                </c:pt>
                <c:pt idx="1584">
                  <c:v>52</c:v>
                </c:pt>
                <c:pt idx="1585">
                  <c:v>37</c:v>
                </c:pt>
                <c:pt idx="1586">
                  <c:v>11</c:v>
                </c:pt>
                <c:pt idx="1587">
                  <c:v>21</c:v>
                </c:pt>
                <c:pt idx="1588">
                  <c:v>5</c:v>
                </c:pt>
                <c:pt idx="1589">
                  <c:v>34</c:v>
                </c:pt>
                <c:pt idx="1590">
                  <c:v>18</c:v>
                </c:pt>
                <c:pt idx="1591">
                  <c:v>44</c:v>
                </c:pt>
                <c:pt idx="1592">
                  <c:v>76</c:v>
                </c:pt>
                <c:pt idx="1593">
                  <c:v>7</c:v>
                </c:pt>
                <c:pt idx="1594">
                  <c:v>1</c:v>
                </c:pt>
                <c:pt idx="1595">
                  <c:v>61</c:v>
                </c:pt>
                <c:pt idx="1596">
                  <c:v>6</c:v>
                </c:pt>
                <c:pt idx="1597">
                  <c:v>22</c:v>
                </c:pt>
                <c:pt idx="1598">
                  <c:v>11</c:v>
                </c:pt>
                <c:pt idx="1599">
                  <c:v>50</c:v>
                </c:pt>
                <c:pt idx="1600">
                  <c:v>53</c:v>
                </c:pt>
                <c:pt idx="1601">
                  <c:v>28</c:v>
                </c:pt>
                <c:pt idx="1602">
                  <c:v>14</c:v>
                </c:pt>
                <c:pt idx="1603">
                  <c:v>2</c:v>
                </c:pt>
                <c:pt idx="1604">
                  <c:v>37</c:v>
                </c:pt>
                <c:pt idx="1605">
                  <c:v>11</c:v>
                </c:pt>
                <c:pt idx="1606">
                  <c:v>21</c:v>
                </c:pt>
                <c:pt idx="1607">
                  <c:v>43</c:v>
                </c:pt>
                <c:pt idx="1608">
                  <c:v>47</c:v>
                </c:pt>
                <c:pt idx="1609">
                  <c:v>4</c:v>
                </c:pt>
                <c:pt idx="1610">
                  <c:v>15</c:v>
                </c:pt>
                <c:pt idx="1611">
                  <c:v>48</c:v>
                </c:pt>
                <c:pt idx="1612">
                  <c:v>32</c:v>
                </c:pt>
                <c:pt idx="1613">
                  <c:v>25</c:v>
                </c:pt>
                <c:pt idx="1614">
                  <c:v>14</c:v>
                </c:pt>
                <c:pt idx="1615">
                  <c:v>43</c:v>
                </c:pt>
                <c:pt idx="1616">
                  <c:v>7</c:v>
                </c:pt>
                <c:pt idx="1617">
                  <c:v>10</c:v>
                </c:pt>
                <c:pt idx="1618">
                  <c:v>30</c:v>
                </c:pt>
                <c:pt idx="1619">
                  <c:v>19</c:v>
                </c:pt>
                <c:pt idx="1620">
                  <c:v>18</c:v>
                </c:pt>
                <c:pt idx="1621">
                  <c:v>22</c:v>
                </c:pt>
                <c:pt idx="1622">
                  <c:v>38</c:v>
                </c:pt>
                <c:pt idx="1623">
                  <c:v>42</c:v>
                </c:pt>
                <c:pt idx="1624">
                  <c:v>43</c:v>
                </c:pt>
                <c:pt idx="1625">
                  <c:v>42</c:v>
                </c:pt>
                <c:pt idx="1626">
                  <c:v>5</c:v>
                </c:pt>
                <c:pt idx="1627">
                  <c:v>42</c:v>
                </c:pt>
                <c:pt idx="1628">
                  <c:v>10</c:v>
                </c:pt>
                <c:pt idx="1629">
                  <c:v>24</c:v>
                </c:pt>
                <c:pt idx="1630">
                  <c:v>7</c:v>
                </c:pt>
                <c:pt idx="1631">
                  <c:v>19</c:v>
                </c:pt>
                <c:pt idx="1632">
                  <c:v>28</c:v>
                </c:pt>
                <c:pt idx="1633">
                  <c:v>70</c:v>
                </c:pt>
                <c:pt idx="1634">
                  <c:v>76</c:v>
                </c:pt>
                <c:pt idx="1635">
                  <c:v>68</c:v>
                </c:pt>
                <c:pt idx="1636">
                  <c:v>40</c:v>
                </c:pt>
                <c:pt idx="1637">
                  <c:v>10</c:v>
                </c:pt>
                <c:pt idx="1638">
                  <c:v>86</c:v>
                </c:pt>
                <c:pt idx="1639">
                  <c:v>31</c:v>
                </c:pt>
                <c:pt idx="1640">
                  <c:v>54</c:v>
                </c:pt>
                <c:pt idx="1641">
                  <c:v>29</c:v>
                </c:pt>
                <c:pt idx="1642">
                  <c:v>15</c:v>
                </c:pt>
                <c:pt idx="1643">
                  <c:v>55</c:v>
                </c:pt>
                <c:pt idx="1644">
                  <c:v>20</c:v>
                </c:pt>
                <c:pt idx="1645">
                  <c:v>5</c:v>
                </c:pt>
                <c:pt idx="1646">
                  <c:v>24</c:v>
                </c:pt>
                <c:pt idx="1647">
                  <c:v>20</c:v>
                </c:pt>
                <c:pt idx="1648">
                  <c:v>14</c:v>
                </c:pt>
                <c:pt idx="1649">
                  <c:v>15</c:v>
                </c:pt>
                <c:pt idx="1650">
                  <c:v>85</c:v>
                </c:pt>
                <c:pt idx="1651">
                  <c:v>90</c:v>
                </c:pt>
                <c:pt idx="1652">
                  <c:v>14</c:v>
                </c:pt>
                <c:pt idx="1653">
                  <c:v>2</c:v>
                </c:pt>
                <c:pt idx="1654">
                  <c:v>58</c:v>
                </c:pt>
                <c:pt idx="1655">
                  <c:v>15</c:v>
                </c:pt>
                <c:pt idx="1656">
                  <c:v>52</c:v>
                </c:pt>
                <c:pt idx="1657">
                  <c:v>29</c:v>
                </c:pt>
                <c:pt idx="1658">
                  <c:v>3</c:v>
                </c:pt>
                <c:pt idx="1659">
                  <c:v>30</c:v>
                </c:pt>
                <c:pt idx="1660">
                  <c:v>35</c:v>
                </c:pt>
                <c:pt idx="1661">
                  <c:v>5</c:v>
                </c:pt>
                <c:pt idx="1662">
                  <c:v>5</c:v>
                </c:pt>
                <c:pt idx="1663">
                  <c:v>60</c:v>
                </c:pt>
                <c:pt idx="1664">
                  <c:v>8</c:v>
                </c:pt>
                <c:pt idx="1665">
                  <c:v>4</c:v>
                </c:pt>
                <c:pt idx="1666">
                  <c:v>62</c:v>
                </c:pt>
                <c:pt idx="1667">
                  <c:v>8</c:v>
                </c:pt>
                <c:pt idx="1668">
                  <c:v>22</c:v>
                </c:pt>
                <c:pt idx="1669">
                  <c:v>37</c:v>
                </c:pt>
                <c:pt idx="1670">
                  <c:v>4</c:v>
                </c:pt>
                <c:pt idx="1671">
                  <c:v>3</c:v>
                </c:pt>
                <c:pt idx="1672">
                  <c:v>1</c:v>
                </c:pt>
                <c:pt idx="1673">
                  <c:v>33</c:v>
                </c:pt>
                <c:pt idx="1674">
                  <c:v>35</c:v>
                </c:pt>
                <c:pt idx="1675">
                  <c:v>16</c:v>
                </c:pt>
                <c:pt idx="1676">
                  <c:v>8</c:v>
                </c:pt>
                <c:pt idx="1677">
                  <c:v>29</c:v>
                </c:pt>
                <c:pt idx="1678">
                  <c:v>41</c:v>
                </c:pt>
                <c:pt idx="1679">
                  <c:v>31</c:v>
                </c:pt>
                <c:pt idx="1680">
                  <c:v>12</c:v>
                </c:pt>
                <c:pt idx="1681">
                  <c:v>34</c:v>
                </c:pt>
                <c:pt idx="1682">
                  <c:v>27</c:v>
                </c:pt>
                <c:pt idx="1683">
                  <c:v>18</c:v>
                </c:pt>
                <c:pt idx="1684">
                  <c:v>27</c:v>
                </c:pt>
                <c:pt idx="1685">
                  <c:v>2</c:v>
                </c:pt>
                <c:pt idx="1686">
                  <c:v>18</c:v>
                </c:pt>
                <c:pt idx="1687">
                  <c:v>28</c:v>
                </c:pt>
                <c:pt idx="1688">
                  <c:v>17</c:v>
                </c:pt>
                <c:pt idx="1689">
                  <c:v>10</c:v>
                </c:pt>
                <c:pt idx="1690">
                  <c:v>1</c:v>
                </c:pt>
                <c:pt idx="1691">
                  <c:v>2</c:v>
                </c:pt>
                <c:pt idx="1692">
                  <c:v>17</c:v>
                </c:pt>
                <c:pt idx="1693">
                  <c:v>69</c:v>
                </c:pt>
                <c:pt idx="1694">
                  <c:v>36</c:v>
                </c:pt>
                <c:pt idx="1695">
                  <c:v>49</c:v>
                </c:pt>
                <c:pt idx="1696">
                  <c:v>42</c:v>
                </c:pt>
                <c:pt idx="1697">
                  <c:v>39</c:v>
                </c:pt>
                <c:pt idx="1698">
                  <c:v>32</c:v>
                </c:pt>
                <c:pt idx="1699">
                  <c:v>6</c:v>
                </c:pt>
                <c:pt idx="1700">
                  <c:v>44</c:v>
                </c:pt>
                <c:pt idx="1701">
                  <c:v>15</c:v>
                </c:pt>
                <c:pt idx="1702">
                  <c:v>9</c:v>
                </c:pt>
                <c:pt idx="1703">
                  <c:v>60</c:v>
                </c:pt>
                <c:pt idx="1704">
                  <c:v>21</c:v>
                </c:pt>
                <c:pt idx="1705">
                  <c:v>41</c:v>
                </c:pt>
                <c:pt idx="1706">
                  <c:v>38</c:v>
                </c:pt>
                <c:pt idx="1707">
                  <c:v>36</c:v>
                </c:pt>
                <c:pt idx="1708">
                  <c:v>22</c:v>
                </c:pt>
                <c:pt idx="1709">
                  <c:v>55</c:v>
                </c:pt>
                <c:pt idx="1710">
                  <c:v>25</c:v>
                </c:pt>
                <c:pt idx="1711">
                  <c:v>5</c:v>
                </c:pt>
                <c:pt idx="1712">
                  <c:v>33</c:v>
                </c:pt>
                <c:pt idx="1713">
                  <c:v>13</c:v>
                </c:pt>
                <c:pt idx="1714">
                  <c:v>67</c:v>
                </c:pt>
                <c:pt idx="1715">
                  <c:v>3</c:v>
                </c:pt>
                <c:pt idx="1716">
                  <c:v>55</c:v>
                </c:pt>
                <c:pt idx="1717">
                  <c:v>12</c:v>
                </c:pt>
                <c:pt idx="1718">
                  <c:v>34</c:v>
                </c:pt>
                <c:pt idx="1719">
                  <c:v>5</c:v>
                </c:pt>
                <c:pt idx="1720">
                  <c:v>1</c:v>
                </c:pt>
                <c:pt idx="1721">
                  <c:v>11</c:v>
                </c:pt>
                <c:pt idx="1722">
                  <c:v>41</c:v>
                </c:pt>
                <c:pt idx="1723">
                  <c:v>54</c:v>
                </c:pt>
                <c:pt idx="1724">
                  <c:v>77</c:v>
                </c:pt>
                <c:pt idx="1725">
                  <c:v>42</c:v>
                </c:pt>
                <c:pt idx="1726">
                  <c:v>58</c:v>
                </c:pt>
                <c:pt idx="1727">
                  <c:v>39</c:v>
                </c:pt>
                <c:pt idx="1728">
                  <c:v>46</c:v>
                </c:pt>
                <c:pt idx="1729">
                  <c:v>11</c:v>
                </c:pt>
                <c:pt idx="1730">
                  <c:v>23</c:v>
                </c:pt>
                <c:pt idx="1731">
                  <c:v>14</c:v>
                </c:pt>
                <c:pt idx="1732">
                  <c:v>14</c:v>
                </c:pt>
                <c:pt idx="1733">
                  <c:v>5</c:v>
                </c:pt>
                <c:pt idx="1734">
                  <c:v>33</c:v>
                </c:pt>
                <c:pt idx="1735">
                  <c:v>19</c:v>
                </c:pt>
                <c:pt idx="1736">
                  <c:v>23</c:v>
                </c:pt>
                <c:pt idx="1737">
                  <c:v>24</c:v>
                </c:pt>
                <c:pt idx="1738">
                  <c:v>19</c:v>
                </c:pt>
                <c:pt idx="1739">
                  <c:v>37</c:v>
                </c:pt>
                <c:pt idx="1740">
                  <c:v>60</c:v>
                </c:pt>
                <c:pt idx="1741">
                  <c:v>14</c:v>
                </c:pt>
                <c:pt idx="1742">
                  <c:v>15</c:v>
                </c:pt>
                <c:pt idx="1743">
                  <c:v>38</c:v>
                </c:pt>
                <c:pt idx="1744">
                  <c:v>11</c:v>
                </c:pt>
                <c:pt idx="1745">
                  <c:v>58</c:v>
                </c:pt>
                <c:pt idx="1746">
                  <c:v>28</c:v>
                </c:pt>
                <c:pt idx="1747">
                  <c:v>16</c:v>
                </c:pt>
                <c:pt idx="1748">
                  <c:v>0</c:v>
                </c:pt>
                <c:pt idx="1749">
                  <c:v>19</c:v>
                </c:pt>
                <c:pt idx="1750">
                  <c:v>28</c:v>
                </c:pt>
                <c:pt idx="1751">
                  <c:v>10</c:v>
                </c:pt>
                <c:pt idx="1752">
                  <c:v>39</c:v>
                </c:pt>
                <c:pt idx="1753">
                  <c:v>21</c:v>
                </c:pt>
                <c:pt idx="1754">
                  <c:v>41</c:v>
                </c:pt>
                <c:pt idx="1755">
                  <c:v>3</c:v>
                </c:pt>
                <c:pt idx="1756">
                  <c:v>64</c:v>
                </c:pt>
                <c:pt idx="1757">
                  <c:v>12</c:v>
                </c:pt>
                <c:pt idx="1758">
                  <c:v>9</c:v>
                </c:pt>
                <c:pt idx="1759">
                  <c:v>0</c:v>
                </c:pt>
                <c:pt idx="1760">
                  <c:v>81</c:v>
                </c:pt>
                <c:pt idx="1761">
                  <c:v>53</c:v>
                </c:pt>
                <c:pt idx="1762">
                  <c:v>1</c:v>
                </c:pt>
                <c:pt idx="1763">
                  <c:v>16</c:v>
                </c:pt>
                <c:pt idx="1764">
                  <c:v>9</c:v>
                </c:pt>
                <c:pt idx="1765">
                  <c:v>2</c:v>
                </c:pt>
                <c:pt idx="1766">
                  <c:v>83</c:v>
                </c:pt>
                <c:pt idx="1767">
                  <c:v>18</c:v>
                </c:pt>
                <c:pt idx="1768">
                  <c:v>16</c:v>
                </c:pt>
                <c:pt idx="1769">
                  <c:v>29</c:v>
                </c:pt>
                <c:pt idx="1770">
                  <c:v>24</c:v>
                </c:pt>
                <c:pt idx="1771">
                  <c:v>19</c:v>
                </c:pt>
                <c:pt idx="1772">
                  <c:v>75</c:v>
                </c:pt>
                <c:pt idx="1773">
                  <c:v>1</c:v>
                </c:pt>
                <c:pt idx="1774">
                  <c:v>54</c:v>
                </c:pt>
                <c:pt idx="1775">
                  <c:v>8</c:v>
                </c:pt>
                <c:pt idx="1776">
                  <c:v>24</c:v>
                </c:pt>
                <c:pt idx="1777">
                  <c:v>38</c:v>
                </c:pt>
                <c:pt idx="1778">
                  <c:v>52</c:v>
                </c:pt>
                <c:pt idx="1779">
                  <c:v>58</c:v>
                </c:pt>
                <c:pt idx="1780">
                  <c:v>30</c:v>
                </c:pt>
                <c:pt idx="1781">
                  <c:v>19</c:v>
                </c:pt>
                <c:pt idx="1782">
                  <c:v>17</c:v>
                </c:pt>
                <c:pt idx="1783">
                  <c:v>12</c:v>
                </c:pt>
                <c:pt idx="1784">
                  <c:v>31</c:v>
                </c:pt>
                <c:pt idx="1785">
                  <c:v>23</c:v>
                </c:pt>
                <c:pt idx="1786">
                  <c:v>32</c:v>
                </c:pt>
                <c:pt idx="1787">
                  <c:v>61</c:v>
                </c:pt>
                <c:pt idx="1788">
                  <c:v>21</c:v>
                </c:pt>
                <c:pt idx="1789">
                  <c:v>47</c:v>
                </c:pt>
                <c:pt idx="1790">
                  <c:v>53</c:v>
                </c:pt>
                <c:pt idx="1791">
                  <c:v>18</c:v>
                </c:pt>
                <c:pt idx="1792">
                  <c:v>53</c:v>
                </c:pt>
                <c:pt idx="1793">
                  <c:v>11</c:v>
                </c:pt>
                <c:pt idx="1794">
                  <c:v>58</c:v>
                </c:pt>
                <c:pt idx="1795">
                  <c:v>33</c:v>
                </c:pt>
                <c:pt idx="1796">
                  <c:v>10</c:v>
                </c:pt>
                <c:pt idx="1797">
                  <c:v>14</c:v>
                </c:pt>
                <c:pt idx="1798">
                  <c:v>24</c:v>
                </c:pt>
                <c:pt idx="1799">
                  <c:v>21</c:v>
                </c:pt>
                <c:pt idx="1800">
                  <c:v>4</c:v>
                </c:pt>
                <c:pt idx="1801">
                  <c:v>8</c:v>
                </c:pt>
                <c:pt idx="1802">
                  <c:v>6</c:v>
                </c:pt>
                <c:pt idx="1803">
                  <c:v>76</c:v>
                </c:pt>
                <c:pt idx="1804">
                  <c:v>62</c:v>
                </c:pt>
                <c:pt idx="1805">
                  <c:v>11</c:v>
                </c:pt>
                <c:pt idx="1806">
                  <c:v>27</c:v>
                </c:pt>
                <c:pt idx="1807">
                  <c:v>36</c:v>
                </c:pt>
                <c:pt idx="1808">
                  <c:v>30</c:v>
                </c:pt>
                <c:pt idx="1809">
                  <c:v>48</c:v>
                </c:pt>
                <c:pt idx="1810">
                  <c:v>32</c:v>
                </c:pt>
                <c:pt idx="1811">
                  <c:v>17</c:v>
                </c:pt>
                <c:pt idx="1812">
                  <c:v>7</c:v>
                </c:pt>
                <c:pt idx="1813">
                  <c:v>10</c:v>
                </c:pt>
                <c:pt idx="1814">
                  <c:v>17</c:v>
                </c:pt>
                <c:pt idx="1815">
                  <c:v>57</c:v>
                </c:pt>
                <c:pt idx="1816">
                  <c:v>6</c:v>
                </c:pt>
                <c:pt idx="1817">
                  <c:v>42</c:v>
                </c:pt>
                <c:pt idx="1818">
                  <c:v>12</c:v>
                </c:pt>
                <c:pt idx="1819">
                  <c:v>11</c:v>
                </c:pt>
                <c:pt idx="1820">
                  <c:v>8</c:v>
                </c:pt>
                <c:pt idx="1821">
                  <c:v>55</c:v>
                </c:pt>
                <c:pt idx="1822">
                  <c:v>72</c:v>
                </c:pt>
                <c:pt idx="1823">
                  <c:v>22</c:v>
                </c:pt>
                <c:pt idx="1824">
                  <c:v>14</c:v>
                </c:pt>
                <c:pt idx="1825">
                  <c:v>47</c:v>
                </c:pt>
                <c:pt idx="1826">
                  <c:v>32</c:v>
                </c:pt>
                <c:pt idx="1827">
                  <c:v>23</c:v>
                </c:pt>
                <c:pt idx="1828">
                  <c:v>78</c:v>
                </c:pt>
                <c:pt idx="1829">
                  <c:v>6</c:v>
                </c:pt>
                <c:pt idx="1830">
                  <c:v>10</c:v>
                </c:pt>
                <c:pt idx="1831">
                  <c:v>17</c:v>
                </c:pt>
                <c:pt idx="1832">
                  <c:v>5</c:v>
                </c:pt>
                <c:pt idx="1833">
                  <c:v>11</c:v>
                </c:pt>
                <c:pt idx="1834">
                  <c:v>30</c:v>
                </c:pt>
                <c:pt idx="1835">
                  <c:v>41</c:v>
                </c:pt>
                <c:pt idx="1836">
                  <c:v>17</c:v>
                </c:pt>
                <c:pt idx="1837">
                  <c:v>50</c:v>
                </c:pt>
                <c:pt idx="1838">
                  <c:v>48</c:v>
                </c:pt>
                <c:pt idx="1839">
                  <c:v>21</c:v>
                </c:pt>
                <c:pt idx="1840">
                  <c:v>52</c:v>
                </c:pt>
                <c:pt idx="1841">
                  <c:v>55</c:v>
                </c:pt>
                <c:pt idx="1842">
                  <c:v>61</c:v>
                </c:pt>
                <c:pt idx="1843">
                  <c:v>24</c:v>
                </c:pt>
                <c:pt idx="1844">
                  <c:v>25</c:v>
                </c:pt>
                <c:pt idx="1845">
                  <c:v>7</c:v>
                </c:pt>
                <c:pt idx="1846">
                  <c:v>35</c:v>
                </c:pt>
                <c:pt idx="1847">
                  <c:v>4</c:v>
                </c:pt>
                <c:pt idx="1848">
                  <c:v>27</c:v>
                </c:pt>
                <c:pt idx="1849">
                  <c:v>46</c:v>
                </c:pt>
                <c:pt idx="1850">
                  <c:v>61</c:v>
                </c:pt>
                <c:pt idx="1851">
                  <c:v>3</c:v>
                </c:pt>
                <c:pt idx="1852">
                  <c:v>5</c:v>
                </c:pt>
                <c:pt idx="1853">
                  <c:v>20</c:v>
                </c:pt>
                <c:pt idx="1854">
                  <c:v>20</c:v>
                </c:pt>
                <c:pt idx="1855">
                  <c:v>19</c:v>
                </c:pt>
                <c:pt idx="1856">
                  <c:v>34</c:v>
                </c:pt>
                <c:pt idx="1857">
                  <c:v>7</c:v>
                </c:pt>
                <c:pt idx="1858">
                  <c:v>54</c:v>
                </c:pt>
                <c:pt idx="1859">
                  <c:v>5</c:v>
                </c:pt>
                <c:pt idx="1860">
                  <c:v>9</c:v>
                </c:pt>
                <c:pt idx="1861">
                  <c:v>25</c:v>
                </c:pt>
                <c:pt idx="1862">
                  <c:v>40</c:v>
                </c:pt>
                <c:pt idx="1863">
                  <c:v>38</c:v>
                </c:pt>
                <c:pt idx="1864">
                  <c:v>10</c:v>
                </c:pt>
                <c:pt idx="1865">
                  <c:v>32</c:v>
                </c:pt>
                <c:pt idx="1866">
                  <c:v>42</c:v>
                </c:pt>
                <c:pt idx="1867">
                  <c:v>62</c:v>
                </c:pt>
                <c:pt idx="1868">
                  <c:v>42</c:v>
                </c:pt>
                <c:pt idx="1869">
                  <c:v>16</c:v>
                </c:pt>
                <c:pt idx="1870">
                  <c:v>26</c:v>
                </c:pt>
                <c:pt idx="1871">
                  <c:v>2</c:v>
                </c:pt>
                <c:pt idx="1872">
                  <c:v>16</c:v>
                </c:pt>
                <c:pt idx="1873">
                  <c:v>12</c:v>
                </c:pt>
                <c:pt idx="1874">
                  <c:v>37</c:v>
                </c:pt>
                <c:pt idx="1875">
                  <c:v>1</c:v>
                </c:pt>
                <c:pt idx="1876">
                  <c:v>29</c:v>
                </c:pt>
                <c:pt idx="1877">
                  <c:v>3</c:v>
                </c:pt>
                <c:pt idx="1878">
                  <c:v>10</c:v>
                </c:pt>
                <c:pt idx="1879">
                  <c:v>4</c:v>
                </c:pt>
                <c:pt idx="1880">
                  <c:v>61</c:v>
                </c:pt>
                <c:pt idx="1881">
                  <c:v>1</c:v>
                </c:pt>
                <c:pt idx="1882">
                  <c:v>77</c:v>
                </c:pt>
                <c:pt idx="1883">
                  <c:v>2</c:v>
                </c:pt>
                <c:pt idx="1884">
                  <c:v>12</c:v>
                </c:pt>
                <c:pt idx="1885">
                  <c:v>54</c:v>
                </c:pt>
                <c:pt idx="1886">
                  <c:v>13</c:v>
                </c:pt>
                <c:pt idx="1887">
                  <c:v>3</c:v>
                </c:pt>
                <c:pt idx="1888">
                  <c:v>86</c:v>
                </c:pt>
                <c:pt idx="1889">
                  <c:v>6</c:v>
                </c:pt>
                <c:pt idx="1890">
                  <c:v>64</c:v>
                </c:pt>
                <c:pt idx="1891">
                  <c:v>38</c:v>
                </c:pt>
                <c:pt idx="1892">
                  <c:v>57</c:v>
                </c:pt>
                <c:pt idx="1893">
                  <c:v>89</c:v>
                </c:pt>
                <c:pt idx="1894">
                  <c:v>70</c:v>
                </c:pt>
                <c:pt idx="1895">
                  <c:v>31</c:v>
                </c:pt>
                <c:pt idx="1896">
                  <c:v>58</c:v>
                </c:pt>
                <c:pt idx="1897">
                  <c:v>19</c:v>
                </c:pt>
                <c:pt idx="1898">
                  <c:v>1</c:v>
                </c:pt>
                <c:pt idx="1899">
                  <c:v>16</c:v>
                </c:pt>
                <c:pt idx="1900">
                  <c:v>14</c:v>
                </c:pt>
                <c:pt idx="1901">
                  <c:v>18</c:v>
                </c:pt>
                <c:pt idx="1902">
                  <c:v>23</c:v>
                </c:pt>
                <c:pt idx="1903">
                  <c:v>79</c:v>
                </c:pt>
                <c:pt idx="1904">
                  <c:v>11</c:v>
                </c:pt>
                <c:pt idx="1905">
                  <c:v>46</c:v>
                </c:pt>
                <c:pt idx="1906">
                  <c:v>62</c:v>
                </c:pt>
                <c:pt idx="1907">
                  <c:v>32</c:v>
                </c:pt>
                <c:pt idx="1908">
                  <c:v>8</c:v>
                </c:pt>
                <c:pt idx="1909">
                  <c:v>34</c:v>
                </c:pt>
                <c:pt idx="1910">
                  <c:v>6</c:v>
                </c:pt>
                <c:pt idx="1911">
                  <c:v>11</c:v>
                </c:pt>
                <c:pt idx="1912">
                  <c:v>40</c:v>
                </c:pt>
                <c:pt idx="1913">
                  <c:v>36</c:v>
                </c:pt>
                <c:pt idx="1914">
                  <c:v>0</c:v>
                </c:pt>
                <c:pt idx="1915">
                  <c:v>9</c:v>
                </c:pt>
                <c:pt idx="1916">
                  <c:v>1</c:v>
                </c:pt>
                <c:pt idx="1917">
                  <c:v>21</c:v>
                </c:pt>
                <c:pt idx="1918">
                  <c:v>15</c:v>
                </c:pt>
                <c:pt idx="1919">
                  <c:v>8</c:v>
                </c:pt>
                <c:pt idx="1920">
                  <c:v>1</c:v>
                </c:pt>
                <c:pt idx="1921">
                  <c:v>18</c:v>
                </c:pt>
                <c:pt idx="1922">
                  <c:v>30</c:v>
                </c:pt>
                <c:pt idx="1923">
                  <c:v>76</c:v>
                </c:pt>
                <c:pt idx="1924">
                  <c:v>11</c:v>
                </c:pt>
                <c:pt idx="1925">
                  <c:v>19</c:v>
                </c:pt>
                <c:pt idx="1926">
                  <c:v>33</c:v>
                </c:pt>
                <c:pt idx="1927">
                  <c:v>63</c:v>
                </c:pt>
                <c:pt idx="1928">
                  <c:v>73</c:v>
                </c:pt>
                <c:pt idx="1929">
                  <c:v>12</c:v>
                </c:pt>
                <c:pt idx="1930">
                  <c:v>14</c:v>
                </c:pt>
                <c:pt idx="1931">
                  <c:v>8</c:v>
                </c:pt>
                <c:pt idx="1932">
                  <c:v>11</c:v>
                </c:pt>
                <c:pt idx="1933">
                  <c:v>6</c:v>
                </c:pt>
                <c:pt idx="1934">
                  <c:v>24</c:v>
                </c:pt>
                <c:pt idx="1935">
                  <c:v>29</c:v>
                </c:pt>
                <c:pt idx="1936">
                  <c:v>33</c:v>
                </c:pt>
                <c:pt idx="1937">
                  <c:v>22</c:v>
                </c:pt>
                <c:pt idx="1938">
                  <c:v>12</c:v>
                </c:pt>
                <c:pt idx="1939">
                  <c:v>9</c:v>
                </c:pt>
                <c:pt idx="1940">
                  <c:v>47</c:v>
                </c:pt>
                <c:pt idx="1941">
                  <c:v>9</c:v>
                </c:pt>
                <c:pt idx="1942">
                  <c:v>54</c:v>
                </c:pt>
                <c:pt idx="1943">
                  <c:v>15</c:v>
                </c:pt>
                <c:pt idx="1944">
                  <c:v>7</c:v>
                </c:pt>
                <c:pt idx="1945">
                  <c:v>6</c:v>
                </c:pt>
                <c:pt idx="1946">
                  <c:v>45</c:v>
                </c:pt>
                <c:pt idx="1947">
                  <c:v>29</c:v>
                </c:pt>
                <c:pt idx="1948">
                  <c:v>11</c:v>
                </c:pt>
                <c:pt idx="1949">
                  <c:v>18</c:v>
                </c:pt>
                <c:pt idx="1950">
                  <c:v>4</c:v>
                </c:pt>
                <c:pt idx="1951">
                  <c:v>18</c:v>
                </c:pt>
                <c:pt idx="1952">
                  <c:v>21</c:v>
                </c:pt>
                <c:pt idx="1953">
                  <c:v>11</c:v>
                </c:pt>
                <c:pt idx="1954">
                  <c:v>7</c:v>
                </c:pt>
                <c:pt idx="1955">
                  <c:v>33</c:v>
                </c:pt>
                <c:pt idx="1956">
                  <c:v>6</c:v>
                </c:pt>
                <c:pt idx="1957">
                  <c:v>63</c:v>
                </c:pt>
                <c:pt idx="1958">
                  <c:v>32</c:v>
                </c:pt>
                <c:pt idx="1959">
                  <c:v>20</c:v>
                </c:pt>
                <c:pt idx="1960">
                  <c:v>8</c:v>
                </c:pt>
                <c:pt idx="1961">
                  <c:v>0</c:v>
                </c:pt>
                <c:pt idx="1962">
                  <c:v>64</c:v>
                </c:pt>
                <c:pt idx="1963">
                  <c:v>51</c:v>
                </c:pt>
                <c:pt idx="1964">
                  <c:v>21</c:v>
                </c:pt>
                <c:pt idx="1965">
                  <c:v>29</c:v>
                </c:pt>
                <c:pt idx="1966">
                  <c:v>1</c:v>
                </c:pt>
                <c:pt idx="1967">
                  <c:v>20</c:v>
                </c:pt>
                <c:pt idx="1968">
                  <c:v>73</c:v>
                </c:pt>
                <c:pt idx="1969">
                  <c:v>15</c:v>
                </c:pt>
                <c:pt idx="1970">
                  <c:v>39</c:v>
                </c:pt>
                <c:pt idx="1971">
                  <c:v>11</c:v>
                </c:pt>
                <c:pt idx="1972">
                  <c:v>13</c:v>
                </c:pt>
                <c:pt idx="1973">
                  <c:v>0</c:v>
                </c:pt>
                <c:pt idx="1974">
                  <c:v>9</c:v>
                </c:pt>
                <c:pt idx="1975">
                  <c:v>6</c:v>
                </c:pt>
                <c:pt idx="1976">
                  <c:v>14</c:v>
                </c:pt>
                <c:pt idx="1977">
                  <c:v>22</c:v>
                </c:pt>
                <c:pt idx="1978">
                  <c:v>30</c:v>
                </c:pt>
                <c:pt idx="1979">
                  <c:v>20</c:v>
                </c:pt>
                <c:pt idx="1980">
                  <c:v>17</c:v>
                </c:pt>
                <c:pt idx="1981">
                  <c:v>15</c:v>
                </c:pt>
                <c:pt idx="1982">
                  <c:v>35</c:v>
                </c:pt>
                <c:pt idx="1983">
                  <c:v>17</c:v>
                </c:pt>
                <c:pt idx="1984">
                  <c:v>72</c:v>
                </c:pt>
                <c:pt idx="1985">
                  <c:v>87</c:v>
                </c:pt>
                <c:pt idx="1986">
                  <c:v>2</c:v>
                </c:pt>
                <c:pt idx="1987">
                  <c:v>17</c:v>
                </c:pt>
                <c:pt idx="1988">
                  <c:v>20</c:v>
                </c:pt>
                <c:pt idx="1989">
                  <c:v>87</c:v>
                </c:pt>
                <c:pt idx="1990">
                  <c:v>23</c:v>
                </c:pt>
                <c:pt idx="1991">
                  <c:v>7</c:v>
                </c:pt>
                <c:pt idx="1992">
                  <c:v>4</c:v>
                </c:pt>
                <c:pt idx="1993">
                  <c:v>45</c:v>
                </c:pt>
                <c:pt idx="1994">
                  <c:v>19</c:v>
                </c:pt>
                <c:pt idx="1995">
                  <c:v>18</c:v>
                </c:pt>
                <c:pt idx="1996">
                  <c:v>3</c:v>
                </c:pt>
                <c:pt idx="1997">
                  <c:v>18</c:v>
                </c:pt>
                <c:pt idx="1998">
                  <c:v>4</c:v>
                </c:pt>
                <c:pt idx="1999">
                  <c:v>4</c:v>
                </c:pt>
                <c:pt idx="2000">
                  <c:v>37</c:v>
                </c:pt>
                <c:pt idx="2001">
                  <c:v>37</c:v>
                </c:pt>
                <c:pt idx="2002">
                  <c:v>17</c:v>
                </c:pt>
                <c:pt idx="2003">
                  <c:v>11</c:v>
                </c:pt>
                <c:pt idx="2004">
                  <c:v>27</c:v>
                </c:pt>
                <c:pt idx="2005">
                  <c:v>33</c:v>
                </c:pt>
                <c:pt idx="2006">
                  <c:v>4</c:v>
                </c:pt>
                <c:pt idx="2007">
                  <c:v>50</c:v>
                </c:pt>
                <c:pt idx="2008">
                  <c:v>38</c:v>
                </c:pt>
                <c:pt idx="2009">
                  <c:v>41</c:v>
                </c:pt>
                <c:pt idx="2010">
                  <c:v>7</c:v>
                </c:pt>
                <c:pt idx="2011">
                  <c:v>19</c:v>
                </c:pt>
                <c:pt idx="2012">
                  <c:v>42</c:v>
                </c:pt>
                <c:pt idx="2013">
                  <c:v>2</c:v>
                </c:pt>
                <c:pt idx="2014">
                  <c:v>57</c:v>
                </c:pt>
                <c:pt idx="2015">
                  <c:v>56</c:v>
                </c:pt>
                <c:pt idx="2016">
                  <c:v>48</c:v>
                </c:pt>
                <c:pt idx="2017">
                  <c:v>11</c:v>
                </c:pt>
                <c:pt idx="2018">
                  <c:v>54</c:v>
                </c:pt>
                <c:pt idx="2019">
                  <c:v>7</c:v>
                </c:pt>
                <c:pt idx="2020">
                  <c:v>16</c:v>
                </c:pt>
                <c:pt idx="2021">
                  <c:v>59</c:v>
                </c:pt>
                <c:pt idx="2022">
                  <c:v>16</c:v>
                </c:pt>
                <c:pt idx="2023">
                  <c:v>5</c:v>
                </c:pt>
                <c:pt idx="2024">
                  <c:v>39</c:v>
                </c:pt>
                <c:pt idx="2025">
                  <c:v>8</c:v>
                </c:pt>
                <c:pt idx="2026">
                  <c:v>16</c:v>
                </c:pt>
                <c:pt idx="2027">
                  <c:v>1</c:v>
                </c:pt>
                <c:pt idx="2028">
                  <c:v>0</c:v>
                </c:pt>
                <c:pt idx="2029">
                  <c:v>38</c:v>
                </c:pt>
                <c:pt idx="2030">
                  <c:v>27</c:v>
                </c:pt>
                <c:pt idx="2031">
                  <c:v>66</c:v>
                </c:pt>
                <c:pt idx="2032">
                  <c:v>14</c:v>
                </c:pt>
                <c:pt idx="2033">
                  <c:v>67</c:v>
                </c:pt>
                <c:pt idx="2034">
                  <c:v>14</c:v>
                </c:pt>
                <c:pt idx="2035">
                  <c:v>23</c:v>
                </c:pt>
                <c:pt idx="2036">
                  <c:v>49</c:v>
                </c:pt>
                <c:pt idx="2037">
                  <c:v>0</c:v>
                </c:pt>
                <c:pt idx="2038">
                  <c:v>0</c:v>
                </c:pt>
                <c:pt idx="2039">
                  <c:v>5</c:v>
                </c:pt>
                <c:pt idx="2040">
                  <c:v>1</c:v>
                </c:pt>
                <c:pt idx="2041">
                  <c:v>10</c:v>
                </c:pt>
                <c:pt idx="2042">
                  <c:v>84</c:v>
                </c:pt>
                <c:pt idx="2043">
                  <c:v>52</c:v>
                </c:pt>
                <c:pt idx="2044">
                  <c:v>9</c:v>
                </c:pt>
                <c:pt idx="2045">
                  <c:v>70</c:v>
                </c:pt>
                <c:pt idx="2046">
                  <c:v>17</c:v>
                </c:pt>
                <c:pt idx="2047">
                  <c:v>63</c:v>
                </c:pt>
                <c:pt idx="2048">
                  <c:v>85</c:v>
                </c:pt>
                <c:pt idx="2049">
                  <c:v>16</c:v>
                </c:pt>
                <c:pt idx="2050">
                  <c:v>22</c:v>
                </c:pt>
                <c:pt idx="2051">
                  <c:v>9</c:v>
                </c:pt>
                <c:pt idx="2052">
                  <c:v>35</c:v>
                </c:pt>
                <c:pt idx="2053">
                  <c:v>2</c:v>
                </c:pt>
                <c:pt idx="2054">
                  <c:v>21</c:v>
                </c:pt>
                <c:pt idx="2055">
                  <c:v>54</c:v>
                </c:pt>
                <c:pt idx="2056">
                  <c:v>24</c:v>
                </c:pt>
                <c:pt idx="2057">
                  <c:v>55</c:v>
                </c:pt>
                <c:pt idx="2058">
                  <c:v>10</c:v>
                </c:pt>
                <c:pt idx="2059">
                  <c:v>0</c:v>
                </c:pt>
                <c:pt idx="2060">
                  <c:v>10</c:v>
                </c:pt>
                <c:pt idx="2061">
                  <c:v>29</c:v>
                </c:pt>
                <c:pt idx="2062">
                  <c:v>23</c:v>
                </c:pt>
                <c:pt idx="2063">
                  <c:v>5</c:v>
                </c:pt>
                <c:pt idx="2064">
                  <c:v>15</c:v>
                </c:pt>
                <c:pt idx="2065">
                  <c:v>18</c:v>
                </c:pt>
                <c:pt idx="2066">
                  <c:v>14</c:v>
                </c:pt>
                <c:pt idx="2067">
                  <c:v>41</c:v>
                </c:pt>
                <c:pt idx="2068">
                  <c:v>9</c:v>
                </c:pt>
                <c:pt idx="2069">
                  <c:v>26</c:v>
                </c:pt>
                <c:pt idx="2070">
                  <c:v>52</c:v>
                </c:pt>
                <c:pt idx="2071">
                  <c:v>36</c:v>
                </c:pt>
                <c:pt idx="2072">
                  <c:v>0</c:v>
                </c:pt>
                <c:pt idx="2073">
                  <c:v>40</c:v>
                </c:pt>
                <c:pt idx="2074">
                  <c:v>10</c:v>
                </c:pt>
                <c:pt idx="2075">
                  <c:v>61</c:v>
                </c:pt>
                <c:pt idx="2076">
                  <c:v>5</c:v>
                </c:pt>
                <c:pt idx="2077">
                  <c:v>2</c:v>
                </c:pt>
                <c:pt idx="2078">
                  <c:v>13</c:v>
                </c:pt>
                <c:pt idx="2079">
                  <c:v>1</c:v>
                </c:pt>
                <c:pt idx="2080">
                  <c:v>65</c:v>
                </c:pt>
                <c:pt idx="2081">
                  <c:v>6</c:v>
                </c:pt>
                <c:pt idx="2082">
                  <c:v>7</c:v>
                </c:pt>
                <c:pt idx="2083">
                  <c:v>40</c:v>
                </c:pt>
                <c:pt idx="2084">
                  <c:v>0</c:v>
                </c:pt>
                <c:pt idx="2085">
                  <c:v>48</c:v>
                </c:pt>
                <c:pt idx="2086">
                  <c:v>36</c:v>
                </c:pt>
                <c:pt idx="2087">
                  <c:v>21</c:v>
                </c:pt>
                <c:pt idx="2088">
                  <c:v>37</c:v>
                </c:pt>
                <c:pt idx="2089">
                  <c:v>22</c:v>
                </c:pt>
                <c:pt idx="2090">
                  <c:v>7</c:v>
                </c:pt>
                <c:pt idx="2091">
                  <c:v>36</c:v>
                </c:pt>
                <c:pt idx="2092">
                  <c:v>21</c:v>
                </c:pt>
                <c:pt idx="2093">
                  <c:v>64</c:v>
                </c:pt>
                <c:pt idx="2094">
                  <c:v>50</c:v>
                </c:pt>
                <c:pt idx="2095">
                  <c:v>26</c:v>
                </c:pt>
                <c:pt idx="2096">
                  <c:v>12</c:v>
                </c:pt>
                <c:pt idx="2097">
                  <c:v>5</c:v>
                </c:pt>
                <c:pt idx="2098">
                  <c:v>14</c:v>
                </c:pt>
                <c:pt idx="2099">
                  <c:v>7</c:v>
                </c:pt>
                <c:pt idx="2100">
                  <c:v>7</c:v>
                </c:pt>
                <c:pt idx="2101">
                  <c:v>50</c:v>
                </c:pt>
                <c:pt idx="2102">
                  <c:v>41</c:v>
                </c:pt>
                <c:pt idx="2103">
                  <c:v>27</c:v>
                </c:pt>
                <c:pt idx="2104">
                  <c:v>39</c:v>
                </c:pt>
                <c:pt idx="2105">
                  <c:v>11</c:v>
                </c:pt>
                <c:pt idx="2106">
                  <c:v>22</c:v>
                </c:pt>
                <c:pt idx="2107">
                  <c:v>27</c:v>
                </c:pt>
                <c:pt idx="2108">
                  <c:v>15</c:v>
                </c:pt>
                <c:pt idx="2109">
                  <c:v>57</c:v>
                </c:pt>
                <c:pt idx="2110">
                  <c:v>29</c:v>
                </c:pt>
                <c:pt idx="2111">
                  <c:v>79</c:v>
                </c:pt>
                <c:pt idx="2112">
                  <c:v>16</c:v>
                </c:pt>
                <c:pt idx="2113">
                  <c:v>12</c:v>
                </c:pt>
                <c:pt idx="2114">
                  <c:v>7</c:v>
                </c:pt>
                <c:pt idx="2115">
                  <c:v>11</c:v>
                </c:pt>
                <c:pt idx="2116">
                  <c:v>30</c:v>
                </c:pt>
                <c:pt idx="2117">
                  <c:v>57</c:v>
                </c:pt>
                <c:pt idx="2118">
                  <c:v>4</c:v>
                </c:pt>
                <c:pt idx="2119">
                  <c:v>17</c:v>
                </c:pt>
                <c:pt idx="2120">
                  <c:v>16</c:v>
                </c:pt>
                <c:pt idx="2121">
                  <c:v>21</c:v>
                </c:pt>
                <c:pt idx="2122">
                  <c:v>11</c:v>
                </c:pt>
                <c:pt idx="2123">
                  <c:v>23</c:v>
                </c:pt>
                <c:pt idx="2124">
                  <c:v>6</c:v>
                </c:pt>
                <c:pt idx="2125">
                  <c:v>37</c:v>
                </c:pt>
                <c:pt idx="2126">
                  <c:v>0</c:v>
                </c:pt>
                <c:pt idx="2127">
                  <c:v>77</c:v>
                </c:pt>
                <c:pt idx="2128">
                  <c:v>12</c:v>
                </c:pt>
                <c:pt idx="2129">
                  <c:v>29</c:v>
                </c:pt>
                <c:pt idx="2130">
                  <c:v>51</c:v>
                </c:pt>
                <c:pt idx="2131">
                  <c:v>41</c:v>
                </c:pt>
                <c:pt idx="2132">
                  <c:v>10</c:v>
                </c:pt>
                <c:pt idx="2133">
                  <c:v>24</c:v>
                </c:pt>
                <c:pt idx="2134">
                  <c:v>11</c:v>
                </c:pt>
                <c:pt idx="2135">
                  <c:v>39</c:v>
                </c:pt>
                <c:pt idx="2136">
                  <c:v>27</c:v>
                </c:pt>
                <c:pt idx="2137">
                  <c:v>60</c:v>
                </c:pt>
                <c:pt idx="2138">
                  <c:v>44</c:v>
                </c:pt>
                <c:pt idx="2139">
                  <c:v>39</c:v>
                </c:pt>
                <c:pt idx="2140">
                  <c:v>36</c:v>
                </c:pt>
                <c:pt idx="2141">
                  <c:v>18</c:v>
                </c:pt>
                <c:pt idx="2142">
                  <c:v>16</c:v>
                </c:pt>
                <c:pt idx="2143">
                  <c:v>8</c:v>
                </c:pt>
                <c:pt idx="2144">
                  <c:v>1</c:v>
                </c:pt>
                <c:pt idx="2145">
                  <c:v>43</c:v>
                </c:pt>
                <c:pt idx="2146">
                  <c:v>3</c:v>
                </c:pt>
                <c:pt idx="2147">
                  <c:v>1</c:v>
                </c:pt>
                <c:pt idx="2148">
                  <c:v>31</c:v>
                </c:pt>
                <c:pt idx="2149">
                  <c:v>41</c:v>
                </c:pt>
                <c:pt idx="2150">
                  <c:v>12</c:v>
                </c:pt>
                <c:pt idx="2151">
                  <c:v>24</c:v>
                </c:pt>
                <c:pt idx="2152">
                  <c:v>24</c:v>
                </c:pt>
                <c:pt idx="2153">
                  <c:v>21</c:v>
                </c:pt>
                <c:pt idx="2154">
                  <c:v>0</c:v>
                </c:pt>
                <c:pt idx="2155">
                  <c:v>3</c:v>
                </c:pt>
                <c:pt idx="2156">
                  <c:v>33</c:v>
                </c:pt>
                <c:pt idx="2157">
                  <c:v>56</c:v>
                </c:pt>
                <c:pt idx="2158">
                  <c:v>14</c:v>
                </c:pt>
                <c:pt idx="2159">
                  <c:v>17</c:v>
                </c:pt>
                <c:pt idx="2160">
                  <c:v>62</c:v>
                </c:pt>
                <c:pt idx="2161">
                  <c:v>2</c:v>
                </c:pt>
                <c:pt idx="2162">
                  <c:v>9</c:v>
                </c:pt>
                <c:pt idx="2163">
                  <c:v>56</c:v>
                </c:pt>
                <c:pt idx="2164">
                  <c:v>41</c:v>
                </c:pt>
                <c:pt idx="2165">
                  <c:v>53</c:v>
                </c:pt>
                <c:pt idx="2166">
                  <c:v>4</c:v>
                </c:pt>
                <c:pt idx="2167">
                  <c:v>11</c:v>
                </c:pt>
                <c:pt idx="2168">
                  <c:v>26</c:v>
                </c:pt>
                <c:pt idx="2169">
                  <c:v>36</c:v>
                </c:pt>
                <c:pt idx="2170">
                  <c:v>4</c:v>
                </c:pt>
                <c:pt idx="2171">
                  <c:v>2</c:v>
                </c:pt>
                <c:pt idx="2172">
                  <c:v>20</c:v>
                </c:pt>
                <c:pt idx="2173">
                  <c:v>40</c:v>
                </c:pt>
                <c:pt idx="2174">
                  <c:v>17</c:v>
                </c:pt>
                <c:pt idx="2175">
                  <c:v>9</c:v>
                </c:pt>
                <c:pt idx="2176">
                  <c:v>25</c:v>
                </c:pt>
                <c:pt idx="2177">
                  <c:v>45</c:v>
                </c:pt>
                <c:pt idx="2178">
                  <c:v>11</c:v>
                </c:pt>
                <c:pt idx="2179">
                  <c:v>22</c:v>
                </c:pt>
                <c:pt idx="2180">
                  <c:v>8</c:v>
                </c:pt>
                <c:pt idx="2181">
                  <c:v>16</c:v>
                </c:pt>
                <c:pt idx="2182">
                  <c:v>16</c:v>
                </c:pt>
                <c:pt idx="2183">
                  <c:v>6</c:v>
                </c:pt>
                <c:pt idx="2184">
                  <c:v>64</c:v>
                </c:pt>
                <c:pt idx="2185">
                  <c:v>19</c:v>
                </c:pt>
                <c:pt idx="2186">
                  <c:v>11</c:v>
                </c:pt>
                <c:pt idx="2187">
                  <c:v>62</c:v>
                </c:pt>
                <c:pt idx="2188">
                  <c:v>46</c:v>
                </c:pt>
                <c:pt idx="2189">
                  <c:v>50</c:v>
                </c:pt>
                <c:pt idx="2190">
                  <c:v>79</c:v>
                </c:pt>
                <c:pt idx="2191">
                  <c:v>52</c:v>
                </c:pt>
                <c:pt idx="2192">
                  <c:v>27</c:v>
                </c:pt>
                <c:pt idx="2193">
                  <c:v>16</c:v>
                </c:pt>
                <c:pt idx="2194">
                  <c:v>63</c:v>
                </c:pt>
                <c:pt idx="2195">
                  <c:v>33</c:v>
                </c:pt>
                <c:pt idx="2196">
                  <c:v>29</c:v>
                </c:pt>
                <c:pt idx="2197">
                  <c:v>3</c:v>
                </c:pt>
                <c:pt idx="2198">
                  <c:v>19</c:v>
                </c:pt>
                <c:pt idx="2199">
                  <c:v>16</c:v>
                </c:pt>
                <c:pt idx="2200">
                  <c:v>8</c:v>
                </c:pt>
                <c:pt idx="2201">
                  <c:v>84</c:v>
                </c:pt>
                <c:pt idx="2202">
                  <c:v>37</c:v>
                </c:pt>
                <c:pt idx="2203">
                  <c:v>14</c:v>
                </c:pt>
                <c:pt idx="2204">
                  <c:v>35</c:v>
                </c:pt>
                <c:pt idx="2205">
                  <c:v>24</c:v>
                </c:pt>
                <c:pt idx="2206">
                  <c:v>29</c:v>
                </c:pt>
                <c:pt idx="2207">
                  <c:v>62</c:v>
                </c:pt>
                <c:pt idx="2208">
                  <c:v>15</c:v>
                </c:pt>
                <c:pt idx="2209">
                  <c:v>60</c:v>
                </c:pt>
                <c:pt idx="2210">
                  <c:v>52</c:v>
                </c:pt>
                <c:pt idx="2211">
                  <c:v>12</c:v>
                </c:pt>
                <c:pt idx="2212">
                  <c:v>20</c:v>
                </c:pt>
                <c:pt idx="2213">
                  <c:v>45</c:v>
                </c:pt>
                <c:pt idx="2214">
                  <c:v>4</c:v>
                </c:pt>
                <c:pt idx="2215">
                  <c:v>63</c:v>
                </c:pt>
                <c:pt idx="2216">
                  <c:v>41</c:v>
                </c:pt>
                <c:pt idx="2217">
                  <c:v>5</c:v>
                </c:pt>
                <c:pt idx="2218">
                  <c:v>36</c:v>
                </c:pt>
                <c:pt idx="2219">
                  <c:v>14</c:v>
                </c:pt>
                <c:pt idx="2220">
                  <c:v>16</c:v>
                </c:pt>
                <c:pt idx="2221">
                  <c:v>17</c:v>
                </c:pt>
                <c:pt idx="2222">
                  <c:v>71</c:v>
                </c:pt>
                <c:pt idx="2223">
                  <c:v>8</c:v>
                </c:pt>
                <c:pt idx="2224">
                  <c:v>3</c:v>
                </c:pt>
                <c:pt idx="2225">
                  <c:v>19</c:v>
                </c:pt>
                <c:pt idx="2226">
                  <c:v>9</c:v>
                </c:pt>
                <c:pt idx="2227">
                  <c:v>6</c:v>
                </c:pt>
                <c:pt idx="2228">
                  <c:v>16</c:v>
                </c:pt>
                <c:pt idx="2229">
                  <c:v>1</c:v>
                </c:pt>
                <c:pt idx="2230">
                  <c:v>0</c:v>
                </c:pt>
                <c:pt idx="2231">
                  <c:v>10</c:v>
                </c:pt>
                <c:pt idx="2232">
                  <c:v>52</c:v>
                </c:pt>
                <c:pt idx="2233">
                  <c:v>1</c:v>
                </c:pt>
                <c:pt idx="2234">
                  <c:v>31</c:v>
                </c:pt>
                <c:pt idx="2235">
                  <c:v>12</c:v>
                </c:pt>
                <c:pt idx="2236">
                  <c:v>47</c:v>
                </c:pt>
                <c:pt idx="2237">
                  <c:v>59</c:v>
                </c:pt>
                <c:pt idx="2238">
                  <c:v>5</c:v>
                </c:pt>
                <c:pt idx="2239">
                  <c:v>59</c:v>
                </c:pt>
                <c:pt idx="2240">
                  <c:v>16</c:v>
                </c:pt>
                <c:pt idx="2241">
                  <c:v>86</c:v>
                </c:pt>
                <c:pt idx="2242">
                  <c:v>21</c:v>
                </c:pt>
                <c:pt idx="2243">
                  <c:v>8</c:v>
                </c:pt>
                <c:pt idx="2244">
                  <c:v>46</c:v>
                </c:pt>
                <c:pt idx="2245">
                  <c:v>25</c:v>
                </c:pt>
                <c:pt idx="2246">
                  <c:v>9</c:v>
                </c:pt>
                <c:pt idx="2247">
                  <c:v>35</c:v>
                </c:pt>
                <c:pt idx="2248">
                  <c:v>9</c:v>
                </c:pt>
                <c:pt idx="2249">
                  <c:v>18</c:v>
                </c:pt>
                <c:pt idx="2250">
                  <c:v>82</c:v>
                </c:pt>
                <c:pt idx="2251">
                  <c:v>41</c:v>
                </c:pt>
                <c:pt idx="2252">
                  <c:v>37</c:v>
                </c:pt>
                <c:pt idx="2253">
                  <c:v>1</c:v>
                </c:pt>
                <c:pt idx="2254">
                  <c:v>38</c:v>
                </c:pt>
                <c:pt idx="2255">
                  <c:v>40</c:v>
                </c:pt>
                <c:pt idx="2256">
                  <c:v>18</c:v>
                </c:pt>
                <c:pt idx="2257">
                  <c:v>8</c:v>
                </c:pt>
                <c:pt idx="2258">
                  <c:v>20</c:v>
                </c:pt>
                <c:pt idx="2259">
                  <c:v>10</c:v>
                </c:pt>
                <c:pt idx="2260">
                  <c:v>7</c:v>
                </c:pt>
                <c:pt idx="2261">
                  <c:v>59</c:v>
                </c:pt>
                <c:pt idx="2262">
                  <c:v>2</c:v>
                </c:pt>
                <c:pt idx="2263">
                  <c:v>7</c:v>
                </c:pt>
                <c:pt idx="2264">
                  <c:v>58</c:v>
                </c:pt>
                <c:pt idx="2265">
                  <c:v>21</c:v>
                </c:pt>
                <c:pt idx="2266">
                  <c:v>38</c:v>
                </c:pt>
                <c:pt idx="2267">
                  <c:v>7</c:v>
                </c:pt>
                <c:pt idx="2268">
                  <c:v>43</c:v>
                </c:pt>
                <c:pt idx="2269">
                  <c:v>2</c:v>
                </c:pt>
                <c:pt idx="2270">
                  <c:v>12</c:v>
                </c:pt>
                <c:pt idx="2271">
                  <c:v>9</c:v>
                </c:pt>
                <c:pt idx="2272">
                  <c:v>18</c:v>
                </c:pt>
                <c:pt idx="2273">
                  <c:v>14</c:v>
                </c:pt>
                <c:pt idx="2274">
                  <c:v>3</c:v>
                </c:pt>
                <c:pt idx="2275">
                  <c:v>1</c:v>
                </c:pt>
                <c:pt idx="2276">
                  <c:v>2</c:v>
                </c:pt>
                <c:pt idx="2277">
                  <c:v>14</c:v>
                </c:pt>
                <c:pt idx="2278">
                  <c:v>43</c:v>
                </c:pt>
                <c:pt idx="2279">
                  <c:v>41</c:v>
                </c:pt>
                <c:pt idx="2280">
                  <c:v>44</c:v>
                </c:pt>
                <c:pt idx="2281">
                  <c:v>80</c:v>
                </c:pt>
                <c:pt idx="2282">
                  <c:v>5</c:v>
                </c:pt>
                <c:pt idx="2283">
                  <c:v>23</c:v>
                </c:pt>
                <c:pt idx="2284">
                  <c:v>22</c:v>
                </c:pt>
                <c:pt idx="2285">
                  <c:v>24</c:v>
                </c:pt>
                <c:pt idx="2286">
                  <c:v>12</c:v>
                </c:pt>
                <c:pt idx="2287">
                  <c:v>4</c:v>
                </c:pt>
                <c:pt idx="2288">
                  <c:v>11</c:v>
                </c:pt>
                <c:pt idx="2289">
                  <c:v>8</c:v>
                </c:pt>
                <c:pt idx="2290">
                  <c:v>47</c:v>
                </c:pt>
                <c:pt idx="2291">
                  <c:v>16</c:v>
                </c:pt>
                <c:pt idx="2292">
                  <c:v>5</c:v>
                </c:pt>
                <c:pt idx="2293">
                  <c:v>25</c:v>
                </c:pt>
                <c:pt idx="2294">
                  <c:v>21</c:v>
                </c:pt>
                <c:pt idx="2295">
                  <c:v>36</c:v>
                </c:pt>
                <c:pt idx="2296">
                  <c:v>83</c:v>
                </c:pt>
                <c:pt idx="2297">
                  <c:v>16</c:v>
                </c:pt>
                <c:pt idx="2298">
                  <c:v>4</c:v>
                </c:pt>
                <c:pt idx="2299">
                  <c:v>11</c:v>
                </c:pt>
                <c:pt idx="2300">
                  <c:v>11</c:v>
                </c:pt>
                <c:pt idx="2301">
                  <c:v>65</c:v>
                </c:pt>
                <c:pt idx="2302">
                  <c:v>5</c:v>
                </c:pt>
                <c:pt idx="2303">
                  <c:v>31</c:v>
                </c:pt>
                <c:pt idx="2304">
                  <c:v>24</c:v>
                </c:pt>
                <c:pt idx="2305">
                  <c:v>15</c:v>
                </c:pt>
                <c:pt idx="2306">
                  <c:v>8</c:v>
                </c:pt>
                <c:pt idx="2307">
                  <c:v>37</c:v>
                </c:pt>
                <c:pt idx="2308">
                  <c:v>42</c:v>
                </c:pt>
                <c:pt idx="2309">
                  <c:v>12</c:v>
                </c:pt>
                <c:pt idx="2310">
                  <c:v>51</c:v>
                </c:pt>
                <c:pt idx="2311">
                  <c:v>17</c:v>
                </c:pt>
                <c:pt idx="2312">
                  <c:v>25</c:v>
                </c:pt>
                <c:pt idx="2313">
                  <c:v>82</c:v>
                </c:pt>
                <c:pt idx="2314">
                  <c:v>3</c:v>
                </c:pt>
                <c:pt idx="2315">
                  <c:v>1</c:v>
                </c:pt>
                <c:pt idx="2316">
                  <c:v>20</c:v>
                </c:pt>
                <c:pt idx="2317">
                  <c:v>3</c:v>
                </c:pt>
                <c:pt idx="2318">
                  <c:v>28</c:v>
                </c:pt>
                <c:pt idx="2319">
                  <c:v>0</c:v>
                </c:pt>
                <c:pt idx="2320">
                  <c:v>24</c:v>
                </c:pt>
                <c:pt idx="2321">
                  <c:v>0</c:v>
                </c:pt>
                <c:pt idx="2322">
                  <c:v>18</c:v>
                </c:pt>
                <c:pt idx="2323">
                  <c:v>30</c:v>
                </c:pt>
                <c:pt idx="2324">
                  <c:v>45</c:v>
                </c:pt>
                <c:pt idx="2325">
                  <c:v>1</c:v>
                </c:pt>
                <c:pt idx="2326">
                  <c:v>20</c:v>
                </c:pt>
                <c:pt idx="2327">
                  <c:v>13</c:v>
                </c:pt>
                <c:pt idx="2328">
                  <c:v>10</c:v>
                </c:pt>
                <c:pt idx="2329">
                  <c:v>2</c:v>
                </c:pt>
                <c:pt idx="2330">
                  <c:v>7</c:v>
                </c:pt>
                <c:pt idx="2331">
                  <c:v>42</c:v>
                </c:pt>
                <c:pt idx="2332">
                  <c:v>11</c:v>
                </c:pt>
                <c:pt idx="2333">
                  <c:v>2</c:v>
                </c:pt>
                <c:pt idx="2334">
                  <c:v>6</c:v>
                </c:pt>
                <c:pt idx="2335">
                  <c:v>18</c:v>
                </c:pt>
                <c:pt idx="2336">
                  <c:v>26</c:v>
                </c:pt>
                <c:pt idx="2337">
                  <c:v>18</c:v>
                </c:pt>
                <c:pt idx="2338">
                  <c:v>13</c:v>
                </c:pt>
                <c:pt idx="2339">
                  <c:v>11</c:v>
                </c:pt>
                <c:pt idx="2340">
                  <c:v>10</c:v>
                </c:pt>
                <c:pt idx="2341">
                  <c:v>9</c:v>
                </c:pt>
                <c:pt idx="2342">
                  <c:v>64</c:v>
                </c:pt>
                <c:pt idx="2343">
                  <c:v>6</c:v>
                </c:pt>
                <c:pt idx="2344">
                  <c:v>34</c:v>
                </c:pt>
                <c:pt idx="2345">
                  <c:v>33</c:v>
                </c:pt>
                <c:pt idx="2346">
                  <c:v>39</c:v>
                </c:pt>
                <c:pt idx="2347">
                  <c:v>3</c:v>
                </c:pt>
                <c:pt idx="2348">
                  <c:v>19</c:v>
                </c:pt>
                <c:pt idx="2349">
                  <c:v>12</c:v>
                </c:pt>
                <c:pt idx="2350">
                  <c:v>2</c:v>
                </c:pt>
                <c:pt idx="2351">
                  <c:v>4</c:v>
                </c:pt>
                <c:pt idx="2352">
                  <c:v>2</c:v>
                </c:pt>
                <c:pt idx="2353">
                  <c:v>13</c:v>
                </c:pt>
                <c:pt idx="2354">
                  <c:v>39</c:v>
                </c:pt>
                <c:pt idx="2355">
                  <c:v>7</c:v>
                </c:pt>
                <c:pt idx="2356">
                  <c:v>10</c:v>
                </c:pt>
                <c:pt idx="2357">
                  <c:v>25</c:v>
                </c:pt>
                <c:pt idx="2358">
                  <c:v>24</c:v>
                </c:pt>
                <c:pt idx="2359">
                  <c:v>24</c:v>
                </c:pt>
                <c:pt idx="2360">
                  <c:v>10</c:v>
                </c:pt>
                <c:pt idx="2361">
                  <c:v>5</c:v>
                </c:pt>
                <c:pt idx="2362">
                  <c:v>0</c:v>
                </c:pt>
                <c:pt idx="2363">
                  <c:v>2</c:v>
                </c:pt>
                <c:pt idx="2364">
                  <c:v>77</c:v>
                </c:pt>
                <c:pt idx="2365">
                  <c:v>15</c:v>
                </c:pt>
                <c:pt idx="2366">
                  <c:v>43</c:v>
                </c:pt>
                <c:pt idx="2367">
                  <c:v>19</c:v>
                </c:pt>
                <c:pt idx="2368">
                  <c:v>19</c:v>
                </c:pt>
                <c:pt idx="2369">
                  <c:v>27</c:v>
                </c:pt>
                <c:pt idx="2370">
                  <c:v>7</c:v>
                </c:pt>
                <c:pt idx="2371">
                  <c:v>22</c:v>
                </c:pt>
                <c:pt idx="2372">
                  <c:v>17</c:v>
                </c:pt>
                <c:pt idx="2373">
                  <c:v>76</c:v>
                </c:pt>
                <c:pt idx="2374">
                  <c:v>7</c:v>
                </c:pt>
                <c:pt idx="2375">
                  <c:v>0</c:v>
                </c:pt>
                <c:pt idx="2376">
                  <c:v>31</c:v>
                </c:pt>
                <c:pt idx="2377">
                  <c:v>33</c:v>
                </c:pt>
                <c:pt idx="2378">
                  <c:v>9</c:v>
                </c:pt>
                <c:pt idx="2379">
                  <c:v>11</c:v>
                </c:pt>
                <c:pt idx="2380">
                  <c:v>13</c:v>
                </c:pt>
                <c:pt idx="2381">
                  <c:v>60</c:v>
                </c:pt>
                <c:pt idx="2382">
                  <c:v>25</c:v>
                </c:pt>
                <c:pt idx="2383">
                  <c:v>16</c:v>
                </c:pt>
                <c:pt idx="2384">
                  <c:v>43</c:v>
                </c:pt>
                <c:pt idx="2385">
                  <c:v>13</c:v>
                </c:pt>
                <c:pt idx="2386">
                  <c:v>21</c:v>
                </c:pt>
                <c:pt idx="2387">
                  <c:v>24</c:v>
                </c:pt>
                <c:pt idx="2388">
                  <c:v>56</c:v>
                </c:pt>
                <c:pt idx="2389">
                  <c:v>7</c:v>
                </c:pt>
                <c:pt idx="2390">
                  <c:v>2</c:v>
                </c:pt>
                <c:pt idx="2391">
                  <c:v>4</c:v>
                </c:pt>
                <c:pt idx="2392">
                  <c:v>36</c:v>
                </c:pt>
                <c:pt idx="2393">
                  <c:v>30</c:v>
                </c:pt>
                <c:pt idx="2394">
                  <c:v>29</c:v>
                </c:pt>
                <c:pt idx="2395">
                  <c:v>24</c:v>
                </c:pt>
                <c:pt idx="2396">
                  <c:v>22</c:v>
                </c:pt>
                <c:pt idx="2397">
                  <c:v>48</c:v>
                </c:pt>
                <c:pt idx="2398">
                  <c:v>35</c:v>
                </c:pt>
                <c:pt idx="2399">
                  <c:v>16</c:v>
                </c:pt>
                <c:pt idx="2400">
                  <c:v>41</c:v>
                </c:pt>
                <c:pt idx="2401">
                  <c:v>25</c:v>
                </c:pt>
                <c:pt idx="2402">
                  <c:v>33</c:v>
                </c:pt>
                <c:pt idx="2403">
                  <c:v>63</c:v>
                </c:pt>
                <c:pt idx="2404">
                  <c:v>13</c:v>
                </c:pt>
                <c:pt idx="2405">
                  <c:v>9</c:v>
                </c:pt>
                <c:pt idx="2406">
                  <c:v>42</c:v>
                </c:pt>
                <c:pt idx="2407">
                  <c:v>42</c:v>
                </c:pt>
                <c:pt idx="2408">
                  <c:v>7</c:v>
                </c:pt>
                <c:pt idx="2409">
                  <c:v>51</c:v>
                </c:pt>
                <c:pt idx="2410">
                  <c:v>61</c:v>
                </c:pt>
                <c:pt idx="2411">
                  <c:v>83</c:v>
                </c:pt>
                <c:pt idx="2412">
                  <c:v>22</c:v>
                </c:pt>
                <c:pt idx="2413">
                  <c:v>22</c:v>
                </c:pt>
                <c:pt idx="2414">
                  <c:v>37</c:v>
                </c:pt>
                <c:pt idx="2415">
                  <c:v>17</c:v>
                </c:pt>
                <c:pt idx="2416">
                  <c:v>56</c:v>
                </c:pt>
                <c:pt idx="2417">
                  <c:v>41</c:v>
                </c:pt>
                <c:pt idx="2418">
                  <c:v>0</c:v>
                </c:pt>
                <c:pt idx="2419">
                  <c:v>9</c:v>
                </c:pt>
                <c:pt idx="2420">
                  <c:v>18</c:v>
                </c:pt>
                <c:pt idx="2421">
                  <c:v>27</c:v>
                </c:pt>
                <c:pt idx="2422">
                  <c:v>19</c:v>
                </c:pt>
                <c:pt idx="2423">
                  <c:v>87</c:v>
                </c:pt>
                <c:pt idx="2424">
                  <c:v>19</c:v>
                </c:pt>
                <c:pt idx="2425">
                  <c:v>0</c:v>
                </c:pt>
                <c:pt idx="2426">
                  <c:v>7</c:v>
                </c:pt>
                <c:pt idx="2427">
                  <c:v>8</c:v>
                </c:pt>
                <c:pt idx="2428">
                  <c:v>8</c:v>
                </c:pt>
                <c:pt idx="2429">
                  <c:v>42</c:v>
                </c:pt>
                <c:pt idx="2430">
                  <c:v>21</c:v>
                </c:pt>
                <c:pt idx="2431">
                  <c:v>26</c:v>
                </c:pt>
                <c:pt idx="2432">
                  <c:v>23</c:v>
                </c:pt>
                <c:pt idx="2433">
                  <c:v>13</c:v>
                </c:pt>
                <c:pt idx="2434">
                  <c:v>80</c:v>
                </c:pt>
                <c:pt idx="2435">
                  <c:v>52</c:v>
                </c:pt>
                <c:pt idx="2436">
                  <c:v>49</c:v>
                </c:pt>
                <c:pt idx="2437">
                  <c:v>30</c:v>
                </c:pt>
                <c:pt idx="2438">
                  <c:v>38</c:v>
                </c:pt>
                <c:pt idx="2439">
                  <c:v>54</c:v>
                </c:pt>
                <c:pt idx="2440">
                  <c:v>10</c:v>
                </c:pt>
                <c:pt idx="2441">
                  <c:v>4</c:v>
                </c:pt>
                <c:pt idx="2442">
                  <c:v>33</c:v>
                </c:pt>
                <c:pt idx="2443">
                  <c:v>11</c:v>
                </c:pt>
                <c:pt idx="2444">
                  <c:v>55</c:v>
                </c:pt>
                <c:pt idx="2445">
                  <c:v>42</c:v>
                </c:pt>
                <c:pt idx="2446">
                  <c:v>16</c:v>
                </c:pt>
                <c:pt idx="2447">
                  <c:v>16</c:v>
                </c:pt>
                <c:pt idx="2448">
                  <c:v>18</c:v>
                </c:pt>
                <c:pt idx="2449">
                  <c:v>19</c:v>
                </c:pt>
                <c:pt idx="2450">
                  <c:v>32</c:v>
                </c:pt>
                <c:pt idx="2451">
                  <c:v>19</c:v>
                </c:pt>
                <c:pt idx="2452">
                  <c:v>6</c:v>
                </c:pt>
                <c:pt idx="2453">
                  <c:v>20</c:v>
                </c:pt>
                <c:pt idx="2454">
                  <c:v>21</c:v>
                </c:pt>
                <c:pt idx="2455">
                  <c:v>14</c:v>
                </c:pt>
                <c:pt idx="2456">
                  <c:v>10</c:v>
                </c:pt>
                <c:pt idx="2457">
                  <c:v>14</c:v>
                </c:pt>
                <c:pt idx="2458">
                  <c:v>31</c:v>
                </c:pt>
                <c:pt idx="2459">
                  <c:v>11</c:v>
                </c:pt>
                <c:pt idx="2460">
                  <c:v>29</c:v>
                </c:pt>
                <c:pt idx="2461">
                  <c:v>27</c:v>
                </c:pt>
                <c:pt idx="2462">
                  <c:v>31</c:v>
                </c:pt>
                <c:pt idx="2463">
                  <c:v>15</c:v>
                </c:pt>
                <c:pt idx="2464">
                  <c:v>34</c:v>
                </c:pt>
                <c:pt idx="2465">
                  <c:v>24</c:v>
                </c:pt>
                <c:pt idx="2466">
                  <c:v>43</c:v>
                </c:pt>
                <c:pt idx="2467">
                  <c:v>28</c:v>
                </c:pt>
                <c:pt idx="2468">
                  <c:v>1</c:v>
                </c:pt>
                <c:pt idx="2469">
                  <c:v>22</c:v>
                </c:pt>
                <c:pt idx="2470">
                  <c:v>5</c:v>
                </c:pt>
                <c:pt idx="2471">
                  <c:v>8</c:v>
                </c:pt>
                <c:pt idx="2472">
                  <c:v>7</c:v>
                </c:pt>
                <c:pt idx="2473">
                  <c:v>59</c:v>
                </c:pt>
                <c:pt idx="2474">
                  <c:v>51</c:v>
                </c:pt>
                <c:pt idx="2475">
                  <c:v>37</c:v>
                </c:pt>
                <c:pt idx="2476">
                  <c:v>12</c:v>
                </c:pt>
                <c:pt idx="2477">
                  <c:v>6</c:v>
                </c:pt>
                <c:pt idx="2478">
                  <c:v>28</c:v>
                </c:pt>
                <c:pt idx="2479">
                  <c:v>35</c:v>
                </c:pt>
                <c:pt idx="2480">
                  <c:v>27</c:v>
                </c:pt>
                <c:pt idx="2481">
                  <c:v>21</c:v>
                </c:pt>
                <c:pt idx="2482">
                  <c:v>21</c:v>
                </c:pt>
                <c:pt idx="2483">
                  <c:v>35</c:v>
                </c:pt>
                <c:pt idx="2484">
                  <c:v>24</c:v>
                </c:pt>
                <c:pt idx="2485">
                  <c:v>55</c:v>
                </c:pt>
                <c:pt idx="2486">
                  <c:v>60</c:v>
                </c:pt>
                <c:pt idx="2487">
                  <c:v>32</c:v>
                </c:pt>
                <c:pt idx="2488">
                  <c:v>48</c:v>
                </c:pt>
                <c:pt idx="2489">
                  <c:v>42</c:v>
                </c:pt>
                <c:pt idx="2490">
                  <c:v>41</c:v>
                </c:pt>
                <c:pt idx="2491">
                  <c:v>4</c:v>
                </c:pt>
                <c:pt idx="2492">
                  <c:v>32</c:v>
                </c:pt>
                <c:pt idx="2493">
                  <c:v>21</c:v>
                </c:pt>
                <c:pt idx="2494">
                  <c:v>50</c:v>
                </c:pt>
                <c:pt idx="2495">
                  <c:v>18</c:v>
                </c:pt>
                <c:pt idx="2496">
                  <c:v>15</c:v>
                </c:pt>
                <c:pt idx="2497">
                  <c:v>19</c:v>
                </c:pt>
                <c:pt idx="2498">
                  <c:v>12</c:v>
                </c:pt>
                <c:pt idx="249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D-456B-9F32-03A903910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20544"/>
        <c:axId val="102915744"/>
      </c:scatterChart>
      <c:valAx>
        <c:axId val="10292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2915744"/>
        <c:crosses val="autoZero"/>
        <c:crossBetween val="midCat"/>
      </c:valAx>
      <c:valAx>
        <c:axId val="1029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292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632460</xdr:colOff>
      <xdr:row>2477</xdr:row>
      <xdr:rowOff>144780</xdr:rowOff>
    </xdr:from>
    <xdr:to>
      <xdr:col>18</xdr:col>
      <xdr:colOff>342900</xdr:colOff>
      <xdr:row>2496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36229-C5A1-5934-11D4-205715214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B621-F873-4604-801F-DE07BD20A694}">
  <dimension ref="B1:AG2501"/>
  <sheetViews>
    <sheetView topLeftCell="N1" zoomScaleNormal="100" workbookViewId="0">
      <pane ySplit="1" topLeftCell="A2" activePane="bottomLeft" state="frozen"/>
      <selection pane="bottomLeft" activeCell="R9" sqref="R9"/>
    </sheetView>
  </sheetViews>
  <sheetFormatPr defaultColWidth="8.6640625" defaultRowHeight="14.25" x14ac:dyDescent="0.45"/>
  <cols>
    <col min="2" max="2" width="7" customWidth="1"/>
    <col min="3" max="3" width="16" customWidth="1"/>
    <col min="4" max="4" width="12" customWidth="1"/>
    <col min="5" max="5" width="14" customWidth="1"/>
    <col min="6" max="6" width="13.46484375" customWidth="1"/>
    <col min="7" max="7" width="14.9296875" customWidth="1"/>
    <col min="8" max="8" width="13" customWidth="1"/>
    <col min="9" max="9" width="8" customWidth="1"/>
    <col min="10" max="10" width="10" customWidth="1"/>
    <col min="11" max="11" width="10.1328125" customWidth="1"/>
    <col min="12" max="12" width="15.33203125" customWidth="1"/>
    <col min="13" max="13" width="13" customWidth="1"/>
    <col min="14" max="14" width="15.33203125" customWidth="1"/>
    <col min="15" max="15" width="10" customWidth="1"/>
    <col min="16" max="16" width="10.1328125" customWidth="1"/>
    <col min="18" max="18" width="14.33203125" customWidth="1"/>
  </cols>
  <sheetData>
    <row r="1" spans="2:33" ht="26.25" x14ac:dyDescent="0.4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R1" s="1" t="s">
        <v>47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</row>
    <row r="2" spans="2:33" x14ac:dyDescent="0.45">
      <c r="B2" s="4">
        <v>1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>
        <v>43</v>
      </c>
      <c r="J2" s="5">
        <v>83.4</v>
      </c>
      <c r="K2" s="6">
        <v>1.79</v>
      </c>
      <c r="L2" s="4">
        <v>5</v>
      </c>
      <c r="M2" s="4">
        <v>118</v>
      </c>
      <c r="N2" s="4">
        <v>78</v>
      </c>
      <c r="O2" s="4" t="s">
        <v>21</v>
      </c>
      <c r="P2" s="7" t="s">
        <v>19</v>
      </c>
      <c r="R2" t="s">
        <v>23</v>
      </c>
      <c r="S2" cm="1">
        <f t="array" ref="S2:AG1180">_xlfn._xlws.FILTER($B$2:$P$2501,$D$2:$D$2501=R2,"None")</f>
        <v>2</v>
      </c>
      <c r="T2" t="str">
        <v>Zambezia</v>
      </c>
      <c r="U2" t="str">
        <v>Masculino</v>
      </c>
      <c r="V2" t="str">
        <v>Casado(a)</v>
      </c>
      <c r="W2" t="str">
        <v>Primaria</v>
      </c>
      <c r="X2" t="str">
        <v>Nao</v>
      </c>
      <c r="Y2" t="str">
        <v>Diarreia</v>
      </c>
      <c r="Z2">
        <v>4</v>
      </c>
      <c r="AA2">
        <v>10.3</v>
      </c>
      <c r="AB2">
        <v>1.05</v>
      </c>
      <c r="AC2">
        <v>2</v>
      </c>
      <c r="AD2">
        <v>110</v>
      </c>
      <c r="AE2">
        <v>92</v>
      </c>
      <c r="AF2" t="str">
        <v>Rural</v>
      </c>
      <c r="AG2" t="str">
        <v>Nao</v>
      </c>
    </row>
    <row r="3" spans="2:33" x14ac:dyDescent="0.45">
      <c r="B3" s="4">
        <v>2</v>
      </c>
      <c r="C3" s="4" t="s">
        <v>22</v>
      </c>
      <c r="D3" s="4" t="s">
        <v>23</v>
      </c>
      <c r="E3" s="4" t="s">
        <v>17</v>
      </c>
      <c r="F3" s="4" t="s">
        <v>24</v>
      </c>
      <c r="G3" s="4" t="s">
        <v>19</v>
      </c>
      <c r="H3" s="4" t="s">
        <v>25</v>
      </c>
      <c r="I3" s="4">
        <v>4</v>
      </c>
      <c r="J3" s="5">
        <v>10.3</v>
      </c>
      <c r="K3" s="6">
        <v>1.05</v>
      </c>
      <c r="L3" s="4">
        <v>2</v>
      </c>
      <c r="M3" s="4">
        <v>110</v>
      </c>
      <c r="N3" s="4">
        <v>92</v>
      </c>
      <c r="O3" s="4" t="s">
        <v>26</v>
      </c>
      <c r="P3" s="7" t="s">
        <v>19</v>
      </c>
      <c r="S3">
        <v>3</v>
      </c>
      <c r="T3" t="str">
        <v>Nampula</v>
      </c>
      <c r="U3" t="str">
        <v>Masculino</v>
      </c>
      <c r="V3" t="str">
        <v>Casado(a)</v>
      </c>
      <c r="W3" t="str">
        <v>Primaria</v>
      </c>
      <c r="X3" t="str">
        <v>Nao</v>
      </c>
      <c r="Y3" t="str">
        <v>Diarreia</v>
      </c>
      <c r="Z3">
        <v>13</v>
      </c>
      <c r="AA3">
        <v>49.4</v>
      </c>
      <c r="AB3">
        <v>1.56</v>
      </c>
      <c r="AC3">
        <v>2</v>
      </c>
      <c r="AD3">
        <v>109</v>
      </c>
      <c r="AE3">
        <v>87</v>
      </c>
      <c r="AF3" t="str">
        <v>Urbana</v>
      </c>
      <c r="AG3" t="str">
        <v>Nao</v>
      </c>
    </row>
    <row r="4" spans="2:33" x14ac:dyDescent="0.45">
      <c r="B4" s="4">
        <v>3</v>
      </c>
      <c r="C4" s="4" t="s">
        <v>27</v>
      </c>
      <c r="D4" s="4" t="s">
        <v>23</v>
      </c>
      <c r="E4" s="4" t="s">
        <v>17</v>
      </c>
      <c r="F4" s="4" t="s">
        <v>24</v>
      </c>
      <c r="G4" s="4" t="s">
        <v>19</v>
      </c>
      <c r="H4" s="4" t="s">
        <v>25</v>
      </c>
      <c r="I4" s="4">
        <v>13</v>
      </c>
      <c r="J4" s="5">
        <v>49.4</v>
      </c>
      <c r="K4" s="6">
        <v>1.56</v>
      </c>
      <c r="L4" s="4">
        <v>2</v>
      </c>
      <c r="M4" s="4">
        <v>109</v>
      </c>
      <c r="N4" s="4">
        <v>87</v>
      </c>
      <c r="O4" s="4" t="s">
        <v>21</v>
      </c>
      <c r="P4" s="7" t="s">
        <v>19</v>
      </c>
      <c r="S4">
        <v>6</v>
      </c>
      <c r="T4" t="str">
        <v>Zambezia</v>
      </c>
      <c r="U4" t="str">
        <v>Masculino</v>
      </c>
      <c r="V4" t="str">
        <v>Casado(a)</v>
      </c>
      <c r="W4" t="str">
        <v>Primaria</v>
      </c>
      <c r="X4" t="str">
        <v>Nao</v>
      </c>
      <c r="Y4" t="str">
        <v>Nenhuma</v>
      </c>
      <c r="Z4">
        <v>4</v>
      </c>
      <c r="AA4">
        <v>16.600000000000001</v>
      </c>
      <c r="AB4">
        <v>0.67</v>
      </c>
      <c r="AC4">
        <v>9</v>
      </c>
      <c r="AD4">
        <v>121</v>
      </c>
      <c r="AE4">
        <v>83</v>
      </c>
      <c r="AF4" t="str">
        <v>Rural</v>
      </c>
      <c r="AG4" t="str">
        <v>Sim</v>
      </c>
    </row>
    <row r="5" spans="2:33" x14ac:dyDescent="0.45">
      <c r="B5" s="4">
        <v>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28</v>
      </c>
      <c r="I5" s="4">
        <v>22</v>
      </c>
      <c r="J5" s="5">
        <v>73.8</v>
      </c>
      <c r="K5" s="6">
        <v>1.82</v>
      </c>
      <c r="L5" s="4">
        <v>5</v>
      </c>
      <c r="M5" s="4">
        <v>117</v>
      </c>
      <c r="N5" s="4">
        <v>104</v>
      </c>
      <c r="O5" s="4" t="s">
        <v>26</v>
      </c>
      <c r="P5" s="7" t="s">
        <v>19</v>
      </c>
      <c r="S5">
        <v>13</v>
      </c>
      <c r="T5" t="str">
        <v>Nampula</v>
      </c>
      <c r="U5" t="str">
        <v>Masculino</v>
      </c>
      <c r="V5" t="str">
        <v>Casado(a)</v>
      </c>
      <c r="W5" t="str">
        <v>Secundaria</v>
      </c>
      <c r="X5" t="str">
        <v>Nao</v>
      </c>
      <c r="Y5" t="str">
        <v>Hipertensao</v>
      </c>
      <c r="Z5">
        <v>17</v>
      </c>
      <c r="AA5">
        <v>48.5</v>
      </c>
      <c r="AB5">
        <v>1.7</v>
      </c>
      <c r="AC5">
        <v>2</v>
      </c>
      <c r="AD5">
        <v>126</v>
      </c>
      <c r="AE5">
        <v>82</v>
      </c>
      <c r="AF5" t="str">
        <v>Urbana</v>
      </c>
      <c r="AG5" t="str">
        <v>Sim</v>
      </c>
    </row>
    <row r="6" spans="2:33" x14ac:dyDescent="0.45">
      <c r="B6" s="4">
        <v>5</v>
      </c>
      <c r="C6" s="4" t="s">
        <v>29</v>
      </c>
      <c r="D6" s="4" t="s">
        <v>16</v>
      </c>
      <c r="E6" s="4" t="s">
        <v>17</v>
      </c>
      <c r="F6" s="4" t="s">
        <v>24</v>
      </c>
      <c r="G6" s="4" t="s">
        <v>19</v>
      </c>
      <c r="H6" s="4" t="s">
        <v>28</v>
      </c>
      <c r="I6" s="4">
        <v>11</v>
      </c>
      <c r="J6" s="5">
        <v>36.6</v>
      </c>
      <c r="K6" s="6">
        <v>1.24</v>
      </c>
      <c r="L6" s="4">
        <v>10</v>
      </c>
      <c r="M6" s="4">
        <v>107</v>
      </c>
      <c r="N6" s="4">
        <v>90</v>
      </c>
      <c r="O6" s="4" t="s">
        <v>21</v>
      </c>
      <c r="P6" s="7" t="s">
        <v>19</v>
      </c>
      <c r="S6">
        <v>15</v>
      </c>
      <c r="T6" t="str">
        <v>Manica</v>
      </c>
      <c r="U6" t="str">
        <v>Masculino</v>
      </c>
      <c r="V6" t="str">
        <v>Casado(a)</v>
      </c>
      <c r="W6" t="str">
        <v>Secundaria</v>
      </c>
      <c r="X6" t="str">
        <v>Sim</v>
      </c>
      <c r="Y6" t="str">
        <v>Malaria</v>
      </c>
      <c r="Z6">
        <v>56</v>
      </c>
      <c r="AA6">
        <v>71.900000000000006</v>
      </c>
      <c r="AB6">
        <v>1.72</v>
      </c>
      <c r="AC6">
        <v>1</v>
      </c>
      <c r="AD6">
        <v>125</v>
      </c>
      <c r="AE6">
        <v>89</v>
      </c>
      <c r="AF6" t="str">
        <v>Rural</v>
      </c>
      <c r="AG6" t="str">
        <v>Nao</v>
      </c>
    </row>
    <row r="7" spans="2:33" x14ac:dyDescent="0.45">
      <c r="B7" s="4">
        <v>6</v>
      </c>
      <c r="C7" s="4" t="s">
        <v>22</v>
      </c>
      <c r="D7" s="4" t="s">
        <v>23</v>
      </c>
      <c r="E7" s="4" t="s">
        <v>17</v>
      </c>
      <c r="F7" s="4" t="s">
        <v>24</v>
      </c>
      <c r="G7" s="4" t="s">
        <v>19</v>
      </c>
      <c r="H7" s="4" t="s">
        <v>28</v>
      </c>
      <c r="I7" s="4">
        <v>4</v>
      </c>
      <c r="J7" s="5">
        <v>16.600000000000001</v>
      </c>
      <c r="K7" s="6">
        <v>0.67</v>
      </c>
      <c r="L7" s="4">
        <v>9</v>
      </c>
      <c r="M7" s="4">
        <v>121</v>
      </c>
      <c r="N7" s="4">
        <v>83</v>
      </c>
      <c r="O7" s="4" t="s">
        <v>26</v>
      </c>
      <c r="P7" s="7" t="s">
        <v>30</v>
      </c>
      <c r="S7">
        <v>16</v>
      </c>
      <c r="T7" t="str">
        <v>Zambezia</v>
      </c>
      <c r="U7" t="str">
        <v>Masculino</v>
      </c>
      <c r="V7" t="str">
        <v>Solteiro(a)</v>
      </c>
      <c r="W7" t="str">
        <v>Primaria</v>
      </c>
      <c r="X7" t="str">
        <v>Nao</v>
      </c>
      <c r="Y7" t="str">
        <v>Malaria</v>
      </c>
      <c r="Z7">
        <v>70</v>
      </c>
      <c r="AA7">
        <v>62.8</v>
      </c>
      <c r="AB7">
        <v>1.51</v>
      </c>
      <c r="AC7">
        <v>5</v>
      </c>
      <c r="AD7">
        <v>131</v>
      </c>
      <c r="AE7">
        <v>81</v>
      </c>
      <c r="AF7" t="str">
        <v>Rural</v>
      </c>
      <c r="AG7" t="str">
        <v>Sim</v>
      </c>
    </row>
    <row r="8" spans="2:33" x14ac:dyDescent="0.45">
      <c r="B8" s="4">
        <v>7</v>
      </c>
      <c r="C8" s="4" t="s">
        <v>31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32</v>
      </c>
      <c r="I8" s="4">
        <v>4</v>
      </c>
      <c r="J8" s="5">
        <v>7.2</v>
      </c>
      <c r="K8" s="6">
        <v>1.01</v>
      </c>
      <c r="L8" s="4">
        <v>4</v>
      </c>
      <c r="M8" s="4">
        <v>111</v>
      </c>
      <c r="N8" s="4">
        <v>151</v>
      </c>
      <c r="O8" s="4" t="s">
        <v>26</v>
      </c>
      <c r="P8" s="7" t="s">
        <v>19</v>
      </c>
      <c r="S8">
        <v>17</v>
      </c>
      <c r="T8" t="str">
        <v>Zambezia</v>
      </c>
      <c r="U8" t="str">
        <v>Masculino</v>
      </c>
      <c r="V8" t="str">
        <v>Viuvo(a)</v>
      </c>
      <c r="W8" t="str">
        <v>Nenhuma</v>
      </c>
      <c r="X8" t="str">
        <v>Nao</v>
      </c>
      <c r="Y8" t="str">
        <v>Malaria</v>
      </c>
      <c r="Z8">
        <v>53</v>
      </c>
      <c r="AA8">
        <v>49.8</v>
      </c>
      <c r="AB8">
        <v>1.49</v>
      </c>
      <c r="AC8">
        <v>0</v>
      </c>
      <c r="AD8">
        <v>109</v>
      </c>
      <c r="AE8">
        <v>94</v>
      </c>
      <c r="AF8" t="str">
        <v>Urbana</v>
      </c>
      <c r="AG8" t="str">
        <v>Nao</v>
      </c>
    </row>
    <row r="9" spans="2:33" x14ac:dyDescent="0.45">
      <c r="B9" s="4">
        <v>8</v>
      </c>
      <c r="C9" s="4" t="s">
        <v>33</v>
      </c>
      <c r="D9" s="4" t="s">
        <v>16</v>
      </c>
      <c r="E9" s="4" t="s">
        <v>17</v>
      </c>
      <c r="F9" s="4" t="s">
        <v>24</v>
      </c>
      <c r="G9" s="4" t="s">
        <v>19</v>
      </c>
      <c r="H9" s="4" t="s">
        <v>34</v>
      </c>
      <c r="I9" s="4">
        <v>11</v>
      </c>
      <c r="J9" s="5">
        <v>36.299999999999997</v>
      </c>
      <c r="K9" s="6">
        <v>1.1100000000000001</v>
      </c>
      <c r="L9" s="4">
        <v>0</v>
      </c>
      <c r="M9" s="4">
        <v>105</v>
      </c>
      <c r="N9" s="4">
        <v>89</v>
      </c>
      <c r="O9" s="4" t="s">
        <v>21</v>
      </c>
      <c r="P9" s="7" t="s">
        <v>19</v>
      </c>
      <c r="S9">
        <v>21</v>
      </c>
      <c r="T9" t="str">
        <v>Manica</v>
      </c>
      <c r="U9" t="str">
        <v>Masculino</v>
      </c>
      <c r="V9" t="str">
        <v>Casado(a)</v>
      </c>
      <c r="W9" t="str">
        <v>Secundaria</v>
      </c>
      <c r="X9" t="str">
        <v>Sim</v>
      </c>
      <c r="Y9" t="str">
        <v>Malaria</v>
      </c>
      <c r="Z9">
        <v>42</v>
      </c>
      <c r="AA9">
        <v>57.7</v>
      </c>
      <c r="AB9">
        <v>1.65</v>
      </c>
      <c r="AC9">
        <v>1</v>
      </c>
      <c r="AD9">
        <v>103</v>
      </c>
      <c r="AE9">
        <v>80</v>
      </c>
      <c r="AF9" t="str">
        <v>Rural</v>
      </c>
      <c r="AG9" t="str">
        <v>Nao</v>
      </c>
    </row>
    <row r="10" spans="2:33" x14ac:dyDescent="0.45">
      <c r="B10" s="4">
        <v>9</v>
      </c>
      <c r="C10" s="4" t="s">
        <v>27</v>
      </c>
      <c r="D10" s="4" t="s">
        <v>16</v>
      </c>
      <c r="E10" s="4" t="s">
        <v>35</v>
      </c>
      <c r="F10" s="4" t="s">
        <v>28</v>
      </c>
      <c r="G10" s="4" t="s">
        <v>30</v>
      </c>
      <c r="H10" s="4" t="s">
        <v>36</v>
      </c>
      <c r="I10" s="4">
        <v>36</v>
      </c>
      <c r="J10" s="5">
        <v>74.2</v>
      </c>
      <c r="K10" s="6">
        <v>1.61</v>
      </c>
      <c r="L10" s="4">
        <v>5</v>
      </c>
      <c r="M10" s="4">
        <v>153</v>
      </c>
      <c r="N10" s="4">
        <v>75</v>
      </c>
      <c r="O10" s="4" t="s">
        <v>21</v>
      </c>
      <c r="P10" s="7" t="s">
        <v>30</v>
      </c>
      <c r="S10">
        <v>22</v>
      </c>
      <c r="T10" t="str">
        <v>Tete</v>
      </c>
      <c r="U10" t="str">
        <v>Masculino</v>
      </c>
      <c r="V10" t="str">
        <v>Solteiro(a)</v>
      </c>
      <c r="W10" t="str">
        <v>Superior</v>
      </c>
      <c r="X10" t="str">
        <v>Nao</v>
      </c>
      <c r="Y10" t="str">
        <v>Nenhuma</v>
      </c>
      <c r="Z10">
        <v>41</v>
      </c>
      <c r="AA10">
        <v>71</v>
      </c>
      <c r="AB10">
        <v>1.62</v>
      </c>
      <c r="AC10">
        <v>5</v>
      </c>
      <c r="AD10">
        <v>104</v>
      </c>
      <c r="AE10">
        <v>99</v>
      </c>
      <c r="AF10" t="str">
        <v>Rural</v>
      </c>
      <c r="AG10" t="str">
        <v>Nao</v>
      </c>
    </row>
    <row r="11" spans="2:33" x14ac:dyDescent="0.45">
      <c r="B11" s="4">
        <v>10</v>
      </c>
      <c r="C11" s="4" t="s">
        <v>31</v>
      </c>
      <c r="D11" s="4" t="s">
        <v>16</v>
      </c>
      <c r="E11" s="4" t="s">
        <v>37</v>
      </c>
      <c r="F11" s="4" t="s">
        <v>18</v>
      </c>
      <c r="G11" s="4" t="s">
        <v>19</v>
      </c>
      <c r="H11" s="4" t="s">
        <v>20</v>
      </c>
      <c r="I11" s="4">
        <v>63</v>
      </c>
      <c r="J11" s="5">
        <v>85.4</v>
      </c>
      <c r="K11" s="6">
        <v>1.65</v>
      </c>
      <c r="L11" s="4">
        <v>3</v>
      </c>
      <c r="M11" s="4">
        <v>114</v>
      </c>
      <c r="N11" s="4">
        <v>70</v>
      </c>
      <c r="O11" s="4" t="s">
        <v>26</v>
      </c>
      <c r="P11" s="7" t="s">
        <v>19</v>
      </c>
      <c r="S11">
        <v>23</v>
      </c>
      <c r="T11" t="str">
        <v>Zambezia</v>
      </c>
      <c r="U11" t="str">
        <v>Masculino</v>
      </c>
      <c r="V11" t="str">
        <v>Solteiro(a)</v>
      </c>
      <c r="W11" t="str">
        <v>Primaria</v>
      </c>
      <c r="X11" t="str">
        <v>Nao</v>
      </c>
      <c r="Y11" t="str">
        <v>Malaria</v>
      </c>
      <c r="Z11">
        <v>56</v>
      </c>
      <c r="AA11">
        <v>86.5</v>
      </c>
      <c r="AB11">
        <v>1.58</v>
      </c>
      <c r="AC11">
        <v>2</v>
      </c>
      <c r="AD11">
        <v>112</v>
      </c>
      <c r="AE11">
        <v>83</v>
      </c>
      <c r="AF11" t="str">
        <v>Rural</v>
      </c>
      <c r="AG11" t="str">
        <v>Nao</v>
      </c>
    </row>
    <row r="12" spans="2:33" x14ac:dyDescent="0.45">
      <c r="B12" s="4">
        <v>11</v>
      </c>
      <c r="C12" s="4" t="s">
        <v>15</v>
      </c>
      <c r="D12" s="4" t="s">
        <v>16</v>
      </c>
      <c r="E12" s="4" t="s">
        <v>35</v>
      </c>
      <c r="F12" s="4" t="s">
        <v>24</v>
      </c>
      <c r="G12" s="4" t="s">
        <v>30</v>
      </c>
      <c r="H12" s="4" t="s">
        <v>38</v>
      </c>
      <c r="I12" s="4">
        <v>20</v>
      </c>
      <c r="J12" s="5">
        <v>90.7</v>
      </c>
      <c r="K12" s="6">
        <v>1.67</v>
      </c>
      <c r="L12" s="4">
        <v>3</v>
      </c>
      <c r="M12" s="4">
        <v>108</v>
      </c>
      <c r="N12" s="4">
        <v>92</v>
      </c>
      <c r="O12" s="4" t="s">
        <v>21</v>
      </c>
      <c r="P12" s="7" t="s">
        <v>19</v>
      </c>
      <c r="S12">
        <v>29</v>
      </c>
      <c r="T12" t="str">
        <v>Cabo Delgado</v>
      </c>
      <c r="U12" t="str">
        <v>Masculino</v>
      </c>
      <c r="V12" t="str">
        <v>Casado(a)</v>
      </c>
      <c r="W12" t="str">
        <v>Secundaria</v>
      </c>
      <c r="X12" t="str">
        <v>Nao</v>
      </c>
      <c r="Y12" t="str">
        <v>Diabetes</v>
      </c>
      <c r="Z12">
        <v>12</v>
      </c>
      <c r="AA12">
        <v>59</v>
      </c>
      <c r="AB12">
        <v>1.69</v>
      </c>
      <c r="AC12">
        <v>1</v>
      </c>
      <c r="AD12">
        <v>110</v>
      </c>
      <c r="AE12">
        <v>138</v>
      </c>
      <c r="AF12" t="str">
        <v>Rural</v>
      </c>
      <c r="AG12" t="str">
        <v>Nao</v>
      </c>
    </row>
    <row r="13" spans="2:33" x14ac:dyDescent="0.45">
      <c r="B13" s="4">
        <v>12</v>
      </c>
      <c r="C13" s="4" t="s">
        <v>31</v>
      </c>
      <c r="D13" s="4" t="s">
        <v>16</v>
      </c>
      <c r="E13" s="4" t="s">
        <v>35</v>
      </c>
      <c r="F13" s="4" t="s">
        <v>18</v>
      </c>
      <c r="G13" s="4" t="s">
        <v>19</v>
      </c>
      <c r="H13" s="4" t="s">
        <v>20</v>
      </c>
      <c r="I13" s="4">
        <v>15</v>
      </c>
      <c r="J13" s="5">
        <v>39.200000000000003</v>
      </c>
      <c r="K13" s="6">
        <v>1.73</v>
      </c>
      <c r="L13" s="4">
        <v>3</v>
      </c>
      <c r="M13" s="4">
        <v>115</v>
      </c>
      <c r="N13" s="4">
        <v>86</v>
      </c>
      <c r="O13" s="4" t="s">
        <v>26</v>
      </c>
      <c r="P13" s="7" t="s">
        <v>19</v>
      </c>
      <c r="S13">
        <v>30</v>
      </c>
      <c r="T13" t="str">
        <v>Zambezia</v>
      </c>
      <c r="U13" t="str">
        <v>Masculino</v>
      </c>
      <c r="V13" t="str">
        <v>Divorciado(a)</v>
      </c>
      <c r="W13" t="str">
        <v>Secundaria</v>
      </c>
      <c r="X13" t="str">
        <v>Sim</v>
      </c>
      <c r="Y13" t="str">
        <v>HIV/SIDA</v>
      </c>
      <c r="Z13">
        <v>20</v>
      </c>
      <c r="AA13">
        <v>86.6</v>
      </c>
      <c r="AB13">
        <v>1.63</v>
      </c>
      <c r="AC13">
        <v>3</v>
      </c>
      <c r="AD13">
        <v>101</v>
      </c>
      <c r="AE13">
        <v>85</v>
      </c>
      <c r="AF13" t="str">
        <v>Rural</v>
      </c>
      <c r="AG13" t="str">
        <v>Nao</v>
      </c>
    </row>
    <row r="14" spans="2:33" x14ac:dyDescent="0.45">
      <c r="B14" s="4">
        <v>13</v>
      </c>
      <c r="C14" s="4" t="s">
        <v>27</v>
      </c>
      <c r="D14" s="4" t="s">
        <v>23</v>
      </c>
      <c r="E14" s="4" t="s">
        <v>17</v>
      </c>
      <c r="F14" s="4" t="s">
        <v>18</v>
      </c>
      <c r="G14" s="4" t="s">
        <v>19</v>
      </c>
      <c r="H14" s="4" t="s">
        <v>36</v>
      </c>
      <c r="I14" s="4">
        <v>17</v>
      </c>
      <c r="J14" s="5">
        <v>48.5</v>
      </c>
      <c r="K14" s="6">
        <v>1.7</v>
      </c>
      <c r="L14" s="4">
        <v>2</v>
      </c>
      <c r="M14" s="4">
        <v>126</v>
      </c>
      <c r="N14" s="4">
        <v>82</v>
      </c>
      <c r="O14" s="4" t="s">
        <v>21</v>
      </c>
      <c r="P14" s="7" t="s">
        <v>30</v>
      </c>
      <c r="S14">
        <v>32</v>
      </c>
      <c r="T14" t="str">
        <v>Manica</v>
      </c>
      <c r="U14" t="str">
        <v>Masculino</v>
      </c>
      <c r="V14" t="str">
        <v>Solteiro(a)</v>
      </c>
      <c r="W14" t="str">
        <v>Secundaria</v>
      </c>
      <c r="X14" t="str">
        <v>Nao</v>
      </c>
      <c r="Y14" t="str">
        <v>HIV/SIDA</v>
      </c>
      <c r="Z14">
        <v>62</v>
      </c>
      <c r="AA14">
        <v>77.400000000000006</v>
      </c>
      <c r="AB14">
        <v>1.66</v>
      </c>
      <c r="AC14">
        <v>0</v>
      </c>
      <c r="AD14">
        <v>119</v>
      </c>
      <c r="AE14">
        <v>76</v>
      </c>
      <c r="AF14" t="str">
        <v>Rural</v>
      </c>
      <c r="AG14" t="str">
        <v>Nao</v>
      </c>
    </row>
    <row r="15" spans="2:33" x14ac:dyDescent="0.45">
      <c r="B15" s="4">
        <v>14</v>
      </c>
      <c r="C15" s="4" t="s">
        <v>39</v>
      </c>
      <c r="D15" s="4" t="s">
        <v>16</v>
      </c>
      <c r="E15" s="4" t="s">
        <v>17</v>
      </c>
      <c r="F15" s="4" t="s">
        <v>24</v>
      </c>
      <c r="G15" s="4" t="s">
        <v>19</v>
      </c>
      <c r="H15" s="4" t="s">
        <v>34</v>
      </c>
      <c r="I15" s="4">
        <v>12</v>
      </c>
      <c r="J15" s="5">
        <v>40.6</v>
      </c>
      <c r="K15" s="6">
        <v>1.53</v>
      </c>
      <c r="L15" s="4">
        <v>1</v>
      </c>
      <c r="M15" s="4">
        <v>94</v>
      </c>
      <c r="N15" s="4">
        <v>73</v>
      </c>
      <c r="O15" s="4" t="s">
        <v>26</v>
      </c>
      <c r="P15" s="7" t="s">
        <v>19</v>
      </c>
      <c r="S15">
        <v>34</v>
      </c>
      <c r="T15" t="str">
        <v>Maputo Cidade</v>
      </c>
      <c r="U15" t="str">
        <v>Masculino</v>
      </c>
      <c r="V15" t="str">
        <v>Casado(a)</v>
      </c>
      <c r="W15" t="str">
        <v>Primaria</v>
      </c>
      <c r="X15" t="str">
        <v>Nao</v>
      </c>
      <c r="Y15" t="str">
        <v>Malaria</v>
      </c>
      <c r="Z15">
        <v>15</v>
      </c>
      <c r="AA15">
        <v>64.3</v>
      </c>
      <c r="AB15">
        <v>1.5</v>
      </c>
      <c r="AC15">
        <v>8</v>
      </c>
      <c r="AD15">
        <v>100</v>
      </c>
      <c r="AE15">
        <v>94</v>
      </c>
      <c r="AF15" t="str">
        <v>Rural</v>
      </c>
      <c r="AG15" t="str">
        <v>Nao</v>
      </c>
    </row>
    <row r="16" spans="2:33" x14ac:dyDescent="0.45">
      <c r="B16" s="4">
        <v>15</v>
      </c>
      <c r="C16" s="4" t="s">
        <v>40</v>
      </c>
      <c r="D16" s="4" t="s">
        <v>23</v>
      </c>
      <c r="E16" s="4" t="s">
        <v>17</v>
      </c>
      <c r="F16" s="4" t="s">
        <v>18</v>
      </c>
      <c r="G16" s="4" t="s">
        <v>30</v>
      </c>
      <c r="H16" s="4" t="s">
        <v>20</v>
      </c>
      <c r="I16" s="4">
        <v>56</v>
      </c>
      <c r="J16" s="5">
        <v>71.900000000000006</v>
      </c>
      <c r="K16" s="6">
        <v>1.72</v>
      </c>
      <c r="L16" s="4">
        <v>1</v>
      </c>
      <c r="M16" s="4">
        <v>125</v>
      </c>
      <c r="N16" s="4">
        <v>89</v>
      </c>
      <c r="O16" s="4" t="s">
        <v>26</v>
      </c>
      <c r="P16" s="7" t="s">
        <v>19</v>
      </c>
      <c r="S16">
        <v>35</v>
      </c>
      <c r="T16" t="str">
        <v>Nampula</v>
      </c>
      <c r="U16" t="str">
        <v>Masculino</v>
      </c>
      <c r="V16" t="str">
        <v>Casado(a)</v>
      </c>
      <c r="W16" t="str">
        <v>Primaria</v>
      </c>
      <c r="X16" t="str">
        <v>Sim</v>
      </c>
      <c r="Y16" t="str">
        <v>Malaria</v>
      </c>
      <c r="Z16">
        <v>46</v>
      </c>
      <c r="AA16">
        <v>94.4</v>
      </c>
      <c r="AB16">
        <v>1.79</v>
      </c>
      <c r="AC16">
        <v>10</v>
      </c>
      <c r="AD16">
        <v>134</v>
      </c>
      <c r="AE16">
        <v>82</v>
      </c>
      <c r="AF16" t="str">
        <v>Rural</v>
      </c>
      <c r="AG16" t="str">
        <v>Sim</v>
      </c>
    </row>
    <row r="17" spans="2:33" x14ac:dyDescent="0.45">
      <c r="B17" s="4">
        <v>16</v>
      </c>
      <c r="C17" s="4" t="s">
        <v>22</v>
      </c>
      <c r="D17" s="4" t="s">
        <v>23</v>
      </c>
      <c r="E17" s="4" t="s">
        <v>35</v>
      </c>
      <c r="F17" s="4" t="s">
        <v>24</v>
      </c>
      <c r="G17" s="4" t="s">
        <v>19</v>
      </c>
      <c r="H17" s="4" t="s">
        <v>20</v>
      </c>
      <c r="I17" s="4">
        <v>70</v>
      </c>
      <c r="J17" s="5">
        <v>62.8</v>
      </c>
      <c r="K17" s="6">
        <v>1.51</v>
      </c>
      <c r="L17" s="4">
        <v>5</v>
      </c>
      <c r="M17" s="4">
        <v>131</v>
      </c>
      <c r="N17" s="4">
        <v>81</v>
      </c>
      <c r="O17" s="4" t="s">
        <v>26</v>
      </c>
      <c r="P17" s="7" t="s">
        <v>30</v>
      </c>
      <c r="S17">
        <v>38</v>
      </c>
      <c r="T17" t="str">
        <v>Zambezia</v>
      </c>
      <c r="U17" t="str">
        <v>Masculino</v>
      </c>
      <c r="V17" t="str">
        <v>Solteiro(a)</v>
      </c>
      <c r="W17" t="str">
        <v>Primaria</v>
      </c>
      <c r="X17" t="str">
        <v>Nao</v>
      </c>
      <c r="Y17" t="str">
        <v>Pneumonia</v>
      </c>
      <c r="Z17">
        <v>81</v>
      </c>
      <c r="AA17">
        <v>50.3</v>
      </c>
      <c r="AB17">
        <v>1.64</v>
      </c>
      <c r="AC17">
        <v>3</v>
      </c>
      <c r="AD17">
        <v>120</v>
      </c>
      <c r="AE17">
        <v>86</v>
      </c>
      <c r="AF17" t="str">
        <v>Rural</v>
      </c>
      <c r="AG17" t="str">
        <v>Nao</v>
      </c>
    </row>
    <row r="18" spans="2:33" x14ac:dyDescent="0.45">
      <c r="B18" s="4">
        <v>17</v>
      </c>
      <c r="C18" s="4" t="s">
        <v>22</v>
      </c>
      <c r="D18" s="4" t="s">
        <v>23</v>
      </c>
      <c r="E18" s="4" t="s">
        <v>37</v>
      </c>
      <c r="F18" s="4" t="s">
        <v>28</v>
      </c>
      <c r="G18" s="4" t="s">
        <v>19</v>
      </c>
      <c r="H18" s="4" t="s">
        <v>20</v>
      </c>
      <c r="I18" s="4">
        <v>53</v>
      </c>
      <c r="J18" s="5">
        <v>49.8</v>
      </c>
      <c r="K18" s="6">
        <v>1.49</v>
      </c>
      <c r="L18" s="4">
        <v>0</v>
      </c>
      <c r="M18" s="4">
        <v>109</v>
      </c>
      <c r="N18" s="4">
        <v>94</v>
      </c>
      <c r="O18" s="4" t="s">
        <v>21</v>
      </c>
      <c r="P18" s="7" t="s">
        <v>19</v>
      </c>
      <c r="S18">
        <v>41</v>
      </c>
      <c r="T18" t="str">
        <v>Maputo Provincia</v>
      </c>
      <c r="U18" t="str">
        <v>Masculino</v>
      </c>
      <c r="V18" t="str">
        <v>Casado(a)</v>
      </c>
      <c r="W18" t="str">
        <v>Secundaria</v>
      </c>
      <c r="X18" t="str">
        <v>Nao</v>
      </c>
      <c r="Y18" t="str">
        <v>Diabetes</v>
      </c>
      <c r="Z18">
        <v>45</v>
      </c>
      <c r="AA18">
        <v>89.4</v>
      </c>
      <c r="AB18">
        <v>1.7</v>
      </c>
      <c r="AC18">
        <v>0</v>
      </c>
      <c r="AD18">
        <v>126</v>
      </c>
      <c r="AE18">
        <v>149</v>
      </c>
      <c r="AF18" t="str">
        <v>Rural</v>
      </c>
      <c r="AG18" t="str">
        <v>Sim</v>
      </c>
    </row>
    <row r="19" spans="2:33" x14ac:dyDescent="0.45">
      <c r="B19" s="4">
        <v>18</v>
      </c>
      <c r="C19" s="4" t="s">
        <v>22</v>
      </c>
      <c r="D19" s="4" t="s">
        <v>16</v>
      </c>
      <c r="E19" s="4" t="s">
        <v>35</v>
      </c>
      <c r="F19" s="4" t="s">
        <v>18</v>
      </c>
      <c r="G19" s="4" t="s">
        <v>19</v>
      </c>
      <c r="H19" s="4" t="s">
        <v>25</v>
      </c>
      <c r="I19" s="4">
        <v>55</v>
      </c>
      <c r="J19" s="5">
        <v>66.3</v>
      </c>
      <c r="K19" s="6">
        <v>1.73</v>
      </c>
      <c r="L19" s="4">
        <v>4</v>
      </c>
      <c r="M19" s="4">
        <v>109</v>
      </c>
      <c r="N19" s="4">
        <v>83</v>
      </c>
      <c r="O19" s="4" t="s">
        <v>26</v>
      </c>
      <c r="P19" s="7" t="s">
        <v>19</v>
      </c>
      <c r="S19">
        <v>43</v>
      </c>
      <c r="T19" t="str">
        <v>Gaza</v>
      </c>
      <c r="U19" t="str">
        <v>Masculino</v>
      </c>
      <c r="V19" t="str">
        <v>Viuvo(a)</v>
      </c>
      <c r="W19" t="str">
        <v>Primaria</v>
      </c>
      <c r="X19" t="str">
        <v>Nao</v>
      </c>
      <c r="Y19" t="str">
        <v>Nenhuma</v>
      </c>
      <c r="Z19">
        <v>20</v>
      </c>
      <c r="AA19">
        <v>76.5</v>
      </c>
      <c r="AB19">
        <v>1.89</v>
      </c>
      <c r="AC19">
        <v>2</v>
      </c>
      <c r="AD19">
        <v>120</v>
      </c>
      <c r="AE19">
        <v>91</v>
      </c>
      <c r="AF19" t="str">
        <v>Urbana</v>
      </c>
      <c r="AG19" t="str">
        <v>Nao</v>
      </c>
    </row>
    <row r="20" spans="2:33" x14ac:dyDescent="0.45">
      <c r="B20" s="4">
        <v>19</v>
      </c>
      <c r="C20" s="4" t="s">
        <v>29</v>
      </c>
      <c r="D20" s="4" t="s">
        <v>16</v>
      </c>
      <c r="E20" s="4" t="s">
        <v>35</v>
      </c>
      <c r="F20" s="4" t="s">
        <v>24</v>
      </c>
      <c r="G20" s="4" t="s">
        <v>19</v>
      </c>
      <c r="H20" s="4" t="s">
        <v>20</v>
      </c>
      <c r="I20" s="4">
        <v>54</v>
      </c>
      <c r="J20" s="5">
        <v>92.9</v>
      </c>
      <c r="K20" s="6">
        <v>1.6</v>
      </c>
      <c r="L20" s="4">
        <v>5</v>
      </c>
      <c r="M20" s="4">
        <v>109</v>
      </c>
      <c r="N20" s="4">
        <v>97</v>
      </c>
      <c r="O20" s="4" t="s">
        <v>26</v>
      </c>
      <c r="P20" s="7" t="s">
        <v>19</v>
      </c>
      <c r="S20">
        <v>47</v>
      </c>
      <c r="T20" t="str">
        <v>Inhambane</v>
      </c>
      <c r="U20" t="str">
        <v>Masculino</v>
      </c>
      <c r="V20" t="str">
        <v>Solteiro(a)</v>
      </c>
      <c r="W20" t="str">
        <v>Primaria</v>
      </c>
      <c r="X20" t="str">
        <v>Nao</v>
      </c>
      <c r="Y20" t="str">
        <v>Malaria</v>
      </c>
      <c r="Z20">
        <v>59</v>
      </c>
      <c r="AA20">
        <v>52.7</v>
      </c>
      <c r="AB20">
        <v>1.71</v>
      </c>
      <c r="AC20">
        <v>2</v>
      </c>
      <c r="AD20">
        <v>108</v>
      </c>
      <c r="AE20">
        <v>84</v>
      </c>
      <c r="AF20" t="str">
        <v>Rural</v>
      </c>
      <c r="AG20" t="str">
        <v>Nao</v>
      </c>
    </row>
    <row r="21" spans="2:33" x14ac:dyDescent="0.45">
      <c r="B21" s="4">
        <v>20</v>
      </c>
      <c r="C21" s="4" t="s">
        <v>41</v>
      </c>
      <c r="D21" s="4" t="s">
        <v>16</v>
      </c>
      <c r="E21" s="4" t="s">
        <v>17</v>
      </c>
      <c r="F21" s="4" t="s">
        <v>24</v>
      </c>
      <c r="G21" s="4" t="s">
        <v>19</v>
      </c>
      <c r="H21" s="4" t="s">
        <v>38</v>
      </c>
      <c r="I21" s="4">
        <v>28</v>
      </c>
      <c r="J21" s="5">
        <v>74.8</v>
      </c>
      <c r="K21" s="6">
        <v>1.7</v>
      </c>
      <c r="L21" s="4">
        <v>9</v>
      </c>
      <c r="M21" s="4">
        <v>112</v>
      </c>
      <c r="N21" s="4">
        <v>74</v>
      </c>
      <c r="O21" s="4" t="s">
        <v>26</v>
      </c>
      <c r="P21" s="7" t="s">
        <v>30</v>
      </c>
      <c r="S21">
        <v>50</v>
      </c>
      <c r="T21" t="str">
        <v>Nampula</v>
      </c>
      <c r="U21" t="str">
        <v>Masculino</v>
      </c>
      <c r="V21" t="str">
        <v>Divorciado(a)</v>
      </c>
      <c r="W21" t="str">
        <v>Primaria</v>
      </c>
      <c r="X21" t="str">
        <v>Nao</v>
      </c>
      <c r="Y21" t="str">
        <v>Nenhuma</v>
      </c>
      <c r="Z21">
        <v>23</v>
      </c>
      <c r="AA21">
        <v>73.099999999999994</v>
      </c>
      <c r="AB21">
        <v>1.7</v>
      </c>
      <c r="AC21">
        <v>5</v>
      </c>
      <c r="AD21">
        <v>118</v>
      </c>
      <c r="AE21">
        <v>86</v>
      </c>
      <c r="AF21" t="str">
        <v>Rural</v>
      </c>
      <c r="AG21" t="str">
        <v>Sim</v>
      </c>
    </row>
    <row r="22" spans="2:33" x14ac:dyDescent="0.45">
      <c r="B22" s="4">
        <v>21</v>
      </c>
      <c r="C22" s="4" t="s">
        <v>40</v>
      </c>
      <c r="D22" s="4" t="s">
        <v>23</v>
      </c>
      <c r="E22" s="4" t="s">
        <v>17</v>
      </c>
      <c r="F22" s="4" t="s">
        <v>18</v>
      </c>
      <c r="G22" s="4" t="s">
        <v>30</v>
      </c>
      <c r="H22" s="4" t="s">
        <v>20</v>
      </c>
      <c r="I22" s="4">
        <v>42</v>
      </c>
      <c r="J22" s="5">
        <v>57.7</v>
      </c>
      <c r="K22" s="6">
        <v>1.65</v>
      </c>
      <c r="L22" s="4">
        <v>1</v>
      </c>
      <c r="M22" s="4">
        <v>103</v>
      </c>
      <c r="N22" s="4">
        <v>80</v>
      </c>
      <c r="O22" s="4" t="s">
        <v>26</v>
      </c>
      <c r="P22" s="7" t="s">
        <v>19</v>
      </c>
      <c r="S22">
        <v>59</v>
      </c>
      <c r="T22" t="str">
        <v>Manica</v>
      </c>
      <c r="U22" t="str">
        <v>Masculino</v>
      </c>
      <c r="V22" t="str">
        <v>Solteiro(a)</v>
      </c>
      <c r="W22" t="str">
        <v>Primaria</v>
      </c>
      <c r="X22" t="str">
        <v>Nao</v>
      </c>
      <c r="Y22" t="str">
        <v>Nenhuma</v>
      </c>
      <c r="Z22">
        <v>22</v>
      </c>
      <c r="AA22">
        <v>57.5</v>
      </c>
      <c r="AB22">
        <v>1.83</v>
      </c>
      <c r="AC22">
        <v>5</v>
      </c>
      <c r="AD22">
        <v>107</v>
      </c>
      <c r="AE22">
        <v>80</v>
      </c>
      <c r="AF22" t="str">
        <v>Rural</v>
      </c>
      <c r="AG22" t="str">
        <v>Nao</v>
      </c>
    </row>
    <row r="23" spans="2:33" x14ac:dyDescent="0.45">
      <c r="B23" s="4">
        <v>22</v>
      </c>
      <c r="C23" s="4" t="s">
        <v>29</v>
      </c>
      <c r="D23" s="4" t="s">
        <v>23</v>
      </c>
      <c r="E23" s="4" t="s">
        <v>35</v>
      </c>
      <c r="F23" s="4" t="s">
        <v>42</v>
      </c>
      <c r="G23" s="4" t="s">
        <v>19</v>
      </c>
      <c r="H23" s="4" t="s">
        <v>28</v>
      </c>
      <c r="I23" s="4">
        <v>41</v>
      </c>
      <c r="J23" s="5">
        <v>71</v>
      </c>
      <c r="K23" s="6">
        <v>1.62</v>
      </c>
      <c r="L23" s="4">
        <v>5</v>
      </c>
      <c r="M23" s="4">
        <v>104</v>
      </c>
      <c r="N23" s="4">
        <v>99</v>
      </c>
      <c r="O23" s="4" t="s">
        <v>26</v>
      </c>
      <c r="P23" s="7" t="s">
        <v>19</v>
      </c>
      <c r="S23">
        <v>60</v>
      </c>
      <c r="T23" t="str">
        <v>Sofala</v>
      </c>
      <c r="U23" t="str">
        <v>Masculino</v>
      </c>
      <c r="V23" t="str">
        <v>Casado(a)</v>
      </c>
      <c r="W23" t="str">
        <v>Nenhuma</v>
      </c>
      <c r="X23" t="str">
        <v>Nao</v>
      </c>
      <c r="Y23" t="str">
        <v>Diarreia</v>
      </c>
      <c r="Z23">
        <v>37</v>
      </c>
      <c r="AA23">
        <v>61.3</v>
      </c>
      <c r="AB23">
        <v>1.77</v>
      </c>
      <c r="AC23">
        <v>5</v>
      </c>
      <c r="AD23">
        <v>111</v>
      </c>
      <c r="AE23">
        <v>82</v>
      </c>
      <c r="AF23" t="str">
        <v>Urbana</v>
      </c>
      <c r="AG23" t="str">
        <v>Sim</v>
      </c>
    </row>
    <row r="24" spans="2:33" x14ac:dyDescent="0.45">
      <c r="B24" s="4">
        <v>23</v>
      </c>
      <c r="C24" s="4" t="s">
        <v>22</v>
      </c>
      <c r="D24" s="4" t="s">
        <v>23</v>
      </c>
      <c r="E24" s="4" t="s">
        <v>35</v>
      </c>
      <c r="F24" s="4" t="s">
        <v>24</v>
      </c>
      <c r="G24" s="4" t="s">
        <v>19</v>
      </c>
      <c r="H24" s="4" t="s">
        <v>20</v>
      </c>
      <c r="I24" s="4">
        <v>56</v>
      </c>
      <c r="J24" s="5">
        <v>86.5</v>
      </c>
      <c r="K24" s="6">
        <v>1.58</v>
      </c>
      <c r="L24" s="4">
        <v>2</v>
      </c>
      <c r="M24" s="4">
        <v>112</v>
      </c>
      <c r="N24" s="4">
        <v>83</v>
      </c>
      <c r="O24" s="4" t="s">
        <v>26</v>
      </c>
      <c r="P24" s="7" t="s">
        <v>19</v>
      </c>
      <c r="S24">
        <v>61</v>
      </c>
      <c r="T24" t="str">
        <v>Tete</v>
      </c>
      <c r="U24" t="str">
        <v>Masculino</v>
      </c>
      <c r="V24" t="str">
        <v>Casado(a)</v>
      </c>
      <c r="W24" t="str">
        <v>Secundaria</v>
      </c>
      <c r="X24" t="str">
        <v>Nao</v>
      </c>
      <c r="Y24" t="str">
        <v>Tuberculose</v>
      </c>
      <c r="Z24">
        <v>59</v>
      </c>
      <c r="AA24">
        <v>46.9</v>
      </c>
      <c r="AB24">
        <v>1.69</v>
      </c>
      <c r="AC24">
        <v>4</v>
      </c>
      <c r="AD24">
        <v>117</v>
      </c>
      <c r="AE24">
        <v>85</v>
      </c>
      <c r="AF24" t="str">
        <v>Rural</v>
      </c>
      <c r="AG24" t="str">
        <v>Sim</v>
      </c>
    </row>
    <row r="25" spans="2:33" x14ac:dyDescent="0.45">
      <c r="B25" s="4">
        <v>24</v>
      </c>
      <c r="C25" s="4" t="s">
        <v>22</v>
      </c>
      <c r="D25" s="4" t="s">
        <v>16</v>
      </c>
      <c r="E25" s="4" t="s">
        <v>17</v>
      </c>
      <c r="F25" s="4" t="s">
        <v>18</v>
      </c>
      <c r="G25" s="4" t="s">
        <v>19</v>
      </c>
      <c r="H25" s="4" t="s">
        <v>20</v>
      </c>
      <c r="I25" s="4">
        <v>14</v>
      </c>
      <c r="J25" s="5">
        <v>63.8</v>
      </c>
      <c r="K25" s="6">
        <v>1.56</v>
      </c>
      <c r="L25" s="4">
        <v>3</v>
      </c>
      <c r="M25" s="4">
        <v>108</v>
      </c>
      <c r="N25" s="4">
        <v>76</v>
      </c>
      <c r="O25" s="4" t="s">
        <v>26</v>
      </c>
      <c r="P25" s="7" t="s">
        <v>30</v>
      </c>
      <c r="S25">
        <v>62</v>
      </c>
      <c r="T25" t="str">
        <v>Zambezia</v>
      </c>
      <c r="U25" t="str">
        <v>Masculino</v>
      </c>
      <c r="V25" t="str">
        <v>Solteiro(a)</v>
      </c>
      <c r="W25" t="str">
        <v>Primaria</v>
      </c>
      <c r="X25" t="str">
        <v>Sim</v>
      </c>
      <c r="Y25" t="str">
        <v>HIV/SIDA</v>
      </c>
      <c r="Z25">
        <v>35</v>
      </c>
      <c r="AA25">
        <v>56.3</v>
      </c>
      <c r="AB25">
        <v>1.83</v>
      </c>
      <c r="AC25">
        <v>4</v>
      </c>
      <c r="AD25">
        <v>123</v>
      </c>
      <c r="AE25">
        <v>101</v>
      </c>
      <c r="AF25" t="str">
        <v>Urbana</v>
      </c>
      <c r="AG25" t="str">
        <v>Nao</v>
      </c>
    </row>
    <row r="26" spans="2:33" x14ac:dyDescent="0.45">
      <c r="B26" s="4">
        <v>25</v>
      </c>
      <c r="C26" s="4" t="s">
        <v>39</v>
      </c>
      <c r="D26" s="4" t="s">
        <v>16</v>
      </c>
      <c r="E26" s="4" t="s">
        <v>35</v>
      </c>
      <c r="F26" s="4" t="s">
        <v>18</v>
      </c>
      <c r="G26" s="4" t="s">
        <v>19</v>
      </c>
      <c r="H26" s="4" t="s">
        <v>28</v>
      </c>
      <c r="I26" s="4">
        <v>63</v>
      </c>
      <c r="J26" s="5">
        <v>64.7</v>
      </c>
      <c r="K26" s="6">
        <v>1.5</v>
      </c>
      <c r="L26" s="4">
        <v>3</v>
      </c>
      <c r="M26" s="4">
        <v>133</v>
      </c>
      <c r="N26" s="4">
        <v>98</v>
      </c>
      <c r="O26" s="4" t="s">
        <v>21</v>
      </c>
      <c r="P26" s="7" t="s">
        <v>19</v>
      </c>
      <c r="S26">
        <v>65</v>
      </c>
      <c r="T26" t="str">
        <v>Niassa</v>
      </c>
      <c r="U26" t="str">
        <v>Masculino</v>
      </c>
      <c r="V26" t="str">
        <v>Solteiro(a)</v>
      </c>
      <c r="W26" t="str">
        <v>Primaria</v>
      </c>
      <c r="X26" t="str">
        <v>Nao</v>
      </c>
      <c r="Y26" t="str">
        <v>Hipertensao</v>
      </c>
      <c r="Z26">
        <v>3</v>
      </c>
      <c r="AA26">
        <v>7.2</v>
      </c>
      <c r="AB26">
        <v>1</v>
      </c>
      <c r="AC26">
        <v>0</v>
      </c>
      <c r="AD26">
        <v>116</v>
      </c>
      <c r="AE26">
        <v>92</v>
      </c>
      <c r="AF26" t="str">
        <v>Urbana</v>
      </c>
      <c r="AG26" t="str">
        <v>Nao</v>
      </c>
    </row>
    <row r="27" spans="2:33" x14ac:dyDescent="0.45">
      <c r="B27" s="4">
        <v>26</v>
      </c>
      <c r="C27" s="4" t="s">
        <v>22</v>
      </c>
      <c r="D27" s="4" t="s">
        <v>16</v>
      </c>
      <c r="E27" s="4" t="s">
        <v>35</v>
      </c>
      <c r="F27" s="4" t="s">
        <v>28</v>
      </c>
      <c r="G27" s="4" t="s">
        <v>19</v>
      </c>
      <c r="H27" s="4" t="s">
        <v>36</v>
      </c>
      <c r="I27" s="4">
        <v>31</v>
      </c>
      <c r="J27" s="5">
        <v>72.099999999999994</v>
      </c>
      <c r="K27" s="6">
        <v>1.6</v>
      </c>
      <c r="L27" s="4">
        <v>2</v>
      </c>
      <c r="M27" s="4">
        <v>149</v>
      </c>
      <c r="N27" s="4">
        <v>70</v>
      </c>
      <c r="O27" s="4" t="s">
        <v>21</v>
      </c>
      <c r="P27" s="7" t="s">
        <v>30</v>
      </c>
      <c r="S27">
        <v>66</v>
      </c>
      <c r="T27" t="str">
        <v>Maputo Provincia</v>
      </c>
      <c r="U27" t="str">
        <v>Masculino</v>
      </c>
      <c r="V27" t="str">
        <v>Casado(a)</v>
      </c>
      <c r="W27" t="str">
        <v>Secundaria</v>
      </c>
      <c r="X27" t="str">
        <v>Nao</v>
      </c>
      <c r="Y27" t="str">
        <v>Diabetes</v>
      </c>
      <c r="Z27">
        <v>5</v>
      </c>
      <c r="AA27">
        <v>37</v>
      </c>
      <c r="AB27">
        <v>1.23</v>
      </c>
      <c r="AC27">
        <v>7</v>
      </c>
      <c r="AD27">
        <v>114</v>
      </c>
      <c r="AE27">
        <v>178</v>
      </c>
      <c r="AF27" t="str">
        <v>Rural</v>
      </c>
      <c r="AG27" t="str">
        <v>Nao</v>
      </c>
    </row>
    <row r="28" spans="2:33" x14ac:dyDescent="0.45">
      <c r="B28" s="4">
        <v>27</v>
      </c>
      <c r="C28" s="4" t="s">
        <v>22</v>
      </c>
      <c r="D28" s="4" t="s">
        <v>16</v>
      </c>
      <c r="E28" s="4" t="s">
        <v>17</v>
      </c>
      <c r="F28" s="4" t="s">
        <v>18</v>
      </c>
      <c r="G28" s="4" t="s">
        <v>19</v>
      </c>
      <c r="H28" s="4" t="s">
        <v>28</v>
      </c>
      <c r="I28" s="4">
        <v>8</v>
      </c>
      <c r="J28" s="5">
        <v>20.9</v>
      </c>
      <c r="K28" s="6">
        <v>1.18</v>
      </c>
      <c r="L28" s="4">
        <v>0</v>
      </c>
      <c r="M28" s="4">
        <v>103</v>
      </c>
      <c r="N28" s="4">
        <v>95</v>
      </c>
      <c r="O28" s="4" t="s">
        <v>26</v>
      </c>
      <c r="P28" s="7" t="s">
        <v>30</v>
      </c>
      <c r="S28">
        <v>67</v>
      </c>
      <c r="T28" t="str">
        <v>Nampula</v>
      </c>
      <c r="U28" t="str">
        <v>Masculino</v>
      </c>
      <c r="V28" t="str">
        <v>Solteiro(a)</v>
      </c>
      <c r="W28" t="str">
        <v>Primaria</v>
      </c>
      <c r="X28" t="str">
        <v>Nao</v>
      </c>
      <c r="Y28" t="str">
        <v>Malaria</v>
      </c>
      <c r="Z28">
        <v>20</v>
      </c>
      <c r="AA28">
        <v>65.400000000000006</v>
      </c>
      <c r="AB28">
        <v>1.9</v>
      </c>
      <c r="AC28">
        <v>2</v>
      </c>
      <c r="AD28">
        <v>98</v>
      </c>
      <c r="AE28">
        <v>95</v>
      </c>
      <c r="AF28" t="str">
        <v>Rural</v>
      </c>
      <c r="AG28" t="str">
        <v>Nao</v>
      </c>
    </row>
    <row r="29" spans="2:33" x14ac:dyDescent="0.45">
      <c r="B29" s="4">
        <v>28</v>
      </c>
      <c r="C29" s="4" t="s">
        <v>27</v>
      </c>
      <c r="D29" s="4" t="s">
        <v>16</v>
      </c>
      <c r="E29" s="4" t="s">
        <v>35</v>
      </c>
      <c r="F29" s="4" t="s">
        <v>24</v>
      </c>
      <c r="G29" s="4" t="s">
        <v>19</v>
      </c>
      <c r="H29" s="4" t="s">
        <v>36</v>
      </c>
      <c r="I29" s="4">
        <v>5</v>
      </c>
      <c r="J29" s="5">
        <v>32.5</v>
      </c>
      <c r="K29" s="6">
        <v>1.4</v>
      </c>
      <c r="L29" s="4">
        <v>2</v>
      </c>
      <c r="M29" s="4">
        <v>128</v>
      </c>
      <c r="N29" s="4">
        <v>82</v>
      </c>
      <c r="O29" s="4" t="s">
        <v>26</v>
      </c>
      <c r="P29" s="7" t="s">
        <v>19</v>
      </c>
      <c r="S29">
        <v>68</v>
      </c>
      <c r="T29" t="str">
        <v>Tete</v>
      </c>
      <c r="U29" t="str">
        <v>Masculino</v>
      </c>
      <c r="V29" t="str">
        <v>Solteiro(a)</v>
      </c>
      <c r="W29" t="str">
        <v>Nenhuma</v>
      </c>
      <c r="X29" t="str">
        <v>Nao</v>
      </c>
      <c r="Y29" t="str">
        <v>Hipertensao</v>
      </c>
      <c r="Z29">
        <v>12</v>
      </c>
      <c r="AA29">
        <v>44.1</v>
      </c>
      <c r="AB29">
        <v>1.48</v>
      </c>
      <c r="AC29">
        <v>8</v>
      </c>
      <c r="AD29">
        <v>119</v>
      </c>
      <c r="AE29">
        <v>73</v>
      </c>
      <c r="AF29" t="str">
        <v>Rural</v>
      </c>
      <c r="AG29" t="str">
        <v>Nao</v>
      </c>
    </row>
    <row r="30" spans="2:33" x14ac:dyDescent="0.45">
      <c r="B30" s="4">
        <v>29</v>
      </c>
      <c r="C30" s="4" t="s">
        <v>43</v>
      </c>
      <c r="D30" s="4" t="s">
        <v>23</v>
      </c>
      <c r="E30" s="4" t="s">
        <v>17</v>
      </c>
      <c r="F30" s="4" t="s">
        <v>18</v>
      </c>
      <c r="G30" s="4" t="s">
        <v>19</v>
      </c>
      <c r="H30" s="4" t="s">
        <v>32</v>
      </c>
      <c r="I30" s="4">
        <v>12</v>
      </c>
      <c r="J30" s="5">
        <v>59</v>
      </c>
      <c r="K30" s="6">
        <v>1.69</v>
      </c>
      <c r="L30" s="4">
        <v>1</v>
      </c>
      <c r="M30" s="4">
        <v>110</v>
      </c>
      <c r="N30" s="4">
        <v>138</v>
      </c>
      <c r="O30" s="4" t="s">
        <v>26</v>
      </c>
      <c r="P30" s="7" t="s">
        <v>19</v>
      </c>
      <c r="S30">
        <v>69</v>
      </c>
      <c r="T30" t="str">
        <v>Nampula</v>
      </c>
      <c r="U30" t="str">
        <v>Masculino</v>
      </c>
      <c r="V30" t="str">
        <v>Casado(a)</v>
      </c>
      <c r="W30" t="str">
        <v>Secundaria</v>
      </c>
      <c r="X30" t="str">
        <v>Nao</v>
      </c>
      <c r="Y30" t="str">
        <v>Malaria</v>
      </c>
      <c r="Z30">
        <v>23</v>
      </c>
      <c r="AA30">
        <v>75.5</v>
      </c>
      <c r="AB30">
        <v>1.49</v>
      </c>
      <c r="AC30">
        <v>3</v>
      </c>
      <c r="AD30">
        <v>104</v>
      </c>
      <c r="AE30">
        <v>96</v>
      </c>
      <c r="AF30" t="str">
        <v>Rural</v>
      </c>
      <c r="AG30" t="str">
        <v>Nao</v>
      </c>
    </row>
    <row r="31" spans="2:33" x14ac:dyDescent="0.45">
      <c r="B31" s="4">
        <v>30</v>
      </c>
      <c r="C31" s="4" t="s">
        <v>22</v>
      </c>
      <c r="D31" s="4" t="s">
        <v>23</v>
      </c>
      <c r="E31" s="4" t="s">
        <v>44</v>
      </c>
      <c r="F31" s="4" t="s">
        <v>18</v>
      </c>
      <c r="G31" s="4" t="s">
        <v>30</v>
      </c>
      <c r="H31" s="4" t="s">
        <v>34</v>
      </c>
      <c r="I31" s="4">
        <v>20</v>
      </c>
      <c r="J31" s="5">
        <v>86.6</v>
      </c>
      <c r="K31" s="6">
        <v>1.63</v>
      </c>
      <c r="L31" s="4">
        <v>3</v>
      </c>
      <c r="M31" s="4">
        <v>101</v>
      </c>
      <c r="N31" s="4">
        <v>85</v>
      </c>
      <c r="O31" s="4" t="s">
        <v>26</v>
      </c>
      <c r="P31" s="7" t="s">
        <v>19</v>
      </c>
      <c r="S31">
        <v>70</v>
      </c>
      <c r="T31" t="str">
        <v>Cabo Delgado</v>
      </c>
      <c r="U31" t="str">
        <v>Masculino</v>
      </c>
      <c r="V31" t="str">
        <v>Viuvo(a)</v>
      </c>
      <c r="W31" t="str">
        <v>Secundaria</v>
      </c>
      <c r="X31" t="str">
        <v>Nao</v>
      </c>
      <c r="Y31" t="str">
        <v>Tuberculose</v>
      </c>
      <c r="Z31">
        <v>74</v>
      </c>
      <c r="AA31">
        <v>45.1</v>
      </c>
      <c r="AB31">
        <v>1.73</v>
      </c>
      <c r="AC31">
        <v>1</v>
      </c>
      <c r="AD31">
        <v>135</v>
      </c>
      <c r="AE31">
        <v>95</v>
      </c>
      <c r="AF31" t="str">
        <v>Rural</v>
      </c>
      <c r="AG31" t="str">
        <v>Sim</v>
      </c>
    </row>
    <row r="32" spans="2:33" x14ac:dyDescent="0.45">
      <c r="B32" s="4">
        <v>31</v>
      </c>
      <c r="C32" s="4" t="s">
        <v>22</v>
      </c>
      <c r="D32" s="4" t="s">
        <v>16</v>
      </c>
      <c r="E32" s="4" t="s">
        <v>17</v>
      </c>
      <c r="F32" s="4" t="s">
        <v>24</v>
      </c>
      <c r="G32" s="4" t="s">
        <v>19</v>
      </c>
      <c r="H32" s="4" t="s">
        <v>34</v>
      </c>
      <c r="I32" s="4">
        <v>8</v>
      </c>
      <c r="J32" s="5">
        <v>37.4</v>
      </c>
      <c r="K32" s="6">
        <v>1.1399999999999999</v>
      </c>
      <c r="L32" s="4">
        <v>3</v>
      </c>
      <c r="M32" s="4">
        <v>95</v>
      </c>
      <c r="N32" s="4">
        <v>80</v>
      </c>
      <c r="O32" s="4" t="s">
        <v>21</v>
      </c>
      <c r="P32" s="7" t="s">
        <v>19</v>
      </c>
      <c r="S32">
        <v>71</v>
      </c>
      <c r="T32" t="str">
        <v>Niassa</v>
      </c>
      <c r="U32" t="str">
        <v>Masculino</v>
      </c>
      <c r="V32" t="str">
        <v>Solteiro(a)</v>
      </c>
      <c r="W32" t="str">
        <v>Secundaria</v>
      </c>
      <c r="X32" t="str">
        <v>Nao</v>
      </c>
      <c r="Y32" t="str">
        <v>Hipertensao</v>
      </c>
      <c r="Z32">
        <v>78</v>
      </c>
      <c r="AA32">
        <v>61.2</v>
      </c>
      <c r="AB32">
        <v>1.67</v>
      </c>
      <c r="AC32">
        <v>2</v>
      </c>
      <c r="AD32">
        <v>132</v>
      </c>
      <c r="AE32">
        <v>96</v>
      </c>
      <c r="AF32" t="str">
        <v>Rural</v>
      </c>
      <c r="AG32" t="str">
        <v>Nao</v>
      </c>
    </row>
    <row r="33" spans="2:33" x14ac:dyDescent="0.45">
      <c r="B33" s="4">
        <v>32</v>
      </c>
      <c r="C33" s="4" t="s">
        <v>40</v>
      </c>
      <c r="D33" s="4" t="s">
        <v>23</v>
      </c>
      <c r="E33" s="4" t="s">
        <v>35</v>
      </c>
      <c r="F33" s="4" t="s">
        <v>18</v>
      </c>
      <c r="G33" s="4" t="s">
        <v>19</v>
      </c>
      <c r="H33" s="4" t="s">
        <v>34</v>
      </c>
      <c r="I33" s="4">
        <v>62</v>
      </c>
      <c r="J33" s="5">
        <v>77.400000000000006</v>
      </c>
      <c r="K33" s="6">
        <v>1.66</v>
      </c>
      <c r="L33" s="4">
        <v>0</v>
      </c>
      <c r="M33" s="4">
        <v>119</v>
      </c>
      <c r="N33" s="4">
        <v>76</v>
      </c>
      <c r="O33" s="4" t="s">
        <v>26</v>
      </c>
      <c r="P33" s="7" t="s">
        <v>19</v>
      </c>
      <c r="S33">
        <v>73</v>
      </c>
      <c r="T33" t="str">
        <v>Nampula</v>
      </c>
      <c r="U33" t="str">
        <v>Masculino</v>
      </c>
      <c r="V33" t="str">
        <v>Solteiro(a)</v>
      </c>
      <c r="W33" t="str">
        <v>Nenhuma</v>
      </c>
      <c r="X33" t="str">
        <v>Nao</v>
      </c>
      <c r="Y33" t="str">
        <v>Diarreia</v>
      </c>
      <c r="Z33">
        <v>82</v>
      </c>
      <c r="AA33">
        <v>71.8</v>
      </c>
      <c r="AB33">
        <v>1.76</v>
      </c>
      <c r="AC33">
        <v>4</v>
      </c>
      <c r="AD33">
        <v>116</v>
      </c>
      <c r="AE33">
        <v>74</v>
      </c>
      <c r="AF33" t="str">
        <v>Urbana</v>
      </c>
      <c r="AG33" t="str">
        <v>Nao</v>
      </c>
    </row>
    <row r="34" spans="2:33" x14ac:dyDescent="0.45">
      <c r="B34" s="4">
        <v>33</v>
      </c>
      <c r="C34" s="4" t="s">
        <v>39</v>
      </c>
      <c r="D34" s="4" t="s">
        <v>16</v>
      </c>
      <c r="E34" s="4" t="s">
        <v>35</v>
      </c>
      <c r="F34" s="4" t="s">
        <v>24</v>
      </c>
      <c r="G34" s="4" t="s">
        <v>19</v>
      </c>
      <c r="H34" s="4" t="s">
        <v>28</v>
      </c>
      <c r="I34" s="4">
        <v>60</v>
      </c>
      <c r="J34" s="5">
        <v>56</v>
      </c>
      <c r="K34" s="6">
        <v>1.5</v>
      </c>
      <c r="L34" s="4">
        <v>1</v>
      </c>
      <c r="M34" s="4">
        <v>129</v>
      </c>
      <c r="N34" s="4">
        <v>79</v>
      </c>
      <c r="O34" s="4" t="s">
        <v>26</v>
      </c>
      <c r="P34" s="7" t="s">
        <v>19</v>
      </c>
      <c r="S34">
        <v>74</v>
      </c>
      <c r="T34" t="str">
        <v>Cabo Delgado</v>
      </c>
      <c r="U34" t="str">
        <v>Masculino</v>
      </c>
      <c r="V34" t="str">
        <v>Casado(a)</v>
      </c>
      <c r="W34" t="str">
        <v>Nenhuma</v>
      </c>
      <c r="X34" t="str">
        <v>Nao</v>
      </c>
      <c r="Y34" t="str">
        <v>Nenhuma</v>
      </c>
      <c r="Z34">
        <v>57</v>
      </c>
      <c r="AA34">
        <v>86.7</v>
      </c>
      <c r="AB34">
        <v>1.67</v>
      </c>
      <c r="AC34">
        <v>5</v>
      </c>
      <c r="AD34">
        <v>135</v>
      </c>
      <c r="AE34">
        <v>84</v>
      </c>
      <c r="AF34" t="str">
        <v>Urbana</v>
      </c>
      <c r="AG34" t="str">
        <v>Sim</v>
      </c>
    </row>
    <row r="35" spans="2:33" x14ac:dyDescent="0.45">
      <c r="B35" s="4">
        <v>34</v>
      </c>
      <c r="C35" s="4" t="s">
        <v>45</v>
      </c>
      <c r="D35" s="4" t="s">
        <v>23</v>
      </c>
      <c r="E35" s="4" t="s">
        <v>17</v>
      </c>
      <c r="F35" s="4" t="s">
        <v>24</v>
      </c>
      <c r="G35" s="4" t="s">
        <v>19</v>
      </c>
      <c r="H35" s="4" t="s">
        <v>20</v>
      </c>
      <c r="I35" s="4">
        <v>15</v>
      </c>
      <c r="J35" s="5">
        <v>64.3</v>
      </c>
      <c r="K35" s="6">
        <v>1.5</v>
      </c>
      <c r="L35" s="4">
        <v>8</v>
      </c>
      <c r="M35" s="4">
        <v>100</v>
      </c>
      <c r="N35" s="4">
        <v>94</v>
      </c>
      <c r="O35" s="4" t="s">
        <v>26</v>
      </c>
      <c r="P35" s="7" t="s">
        <v>19</v>
      </c>
      <c r="S35">
        <v>77</v>
      </c>
      <c r="T35" t="str">
        <v>Sofala</v>
      </c>
      <c r="U35" t="str">
        <v>Masculino</v>
      </c>
      <c r="V35" t="str">
        <v>Viuvo(a)</v>
      </c>
      <c r="W35" t="str">
        <v>Secundaria</v>
      </c>
      <c r="X35" t="str">
        <v>Sim</v>
      </c>
      <c r="Y35" t="str">
        <v>Hipertensao</v>
      </c>
      <c r="Z35">
        <v>31</v>
      </c>
      <c r="AA35">
        <v>72</v>
      </c>
      <c r="AB35">
        <v>1.52</v>
      </c>
      <c r="AC35">
        <v>1</v>
      </c>
      <c r="AD35">
        <v>141</v>
      </c>
      <c r="AE35">
        <v>82</v>
      </c>
      <c r="AF35" t="str">
        <v>Urbana</v>
      </c>
      <c r="AG35" t="str">
        <v>Sim</v>
      </c>
    </row>
    <row r="36" spans="2:33" x14ac:dyDescent="0.45">
      <c r="B36" s="4">
        <v>35</v>
      </c>
      <c r="C36" s="4" t="s">
        <v>27</v>
      </c>
      <c r="D36" s="4" t="s">
        <v>23</v>
      </c>
      <c r="E36" s="4" t="s">
        <v>17</v>
      </c>
      <c r="F36" s="4" t="s">
        <v>24</v>
      </c>
      <c r="G36" s="4" t="s">
        <v>30</v>
      </c>
      <c r="H36" s="4" t="s">
        <v>20</v>
      </c>
      <c r="I36" s="4">
        <v>46</v>
      </c>
      <c r="J36" s="5">
        <v>94.4</v>
      </c>
      <c r="K36" s="6">
        <v>1.79</v>
      </c>
      <c r="L36" s="4">
        <v>10</v>
      </c>
      <c r="M36" s="4">
        <v>134</v>
      </c>
      <c r="N36" s="4">
        <v>82</v>
      </c>
      <c r="O36" s="4" t="s">
        <v>26</v>
      </c>
      <c r="P36" s="7" t="s">
        <v>30</v>
      </c>
      <c r="S36">
        <v>78</v>
      </c>
      <c r="T36" t="str">
        <v>Nampula</v>
      </c>
      <c r="U36" t="str">
        <v>Masculino</v>
      </c>
      <c r="V36" t="str">
        <v>Solteiro(a)</v>
      </c>
      <c r="W36" t="str">
        <v>Primaria</v>
      </c>
      <c r="X36" t="str">
        <v>Nao</v>
      </c>
      <c r="Y36" t="str">
        <v>Tuberculose</v>
      </c>
      <c r="Z36">
        <v>18</v>
      </c>
      <c r="AA36">
        <v>63</v>
      </c>
      <c r="AB36">
        <v>1.55</v>
      </c>
      <c r="AC36">
        <v>0</v>
      </c>
      <c r="AD36">
        <v>115</v>
      </c>
      <c r="AE36">
        <v>105</v>
      </c>
      <c r="AF36" t="str">
        <v>Rural</v>
      </c>
      <c r="AG36" t="str">
        <v>Sim</v>
      </c>
    </row>
    <row r="37" spans="2:33" x14ac:dyDescent="0.45">
      <c r="B37" s="4">
        <v>36</v>
      </c>
      <c r="C37" s="4" t="s">
        <v>41</v>
      </c>
      <c r="D37" s="4" t="s">
        <v>16</v>
      </c>
      <c r="E37" s="4" t="s">
        <v>35</v>
      </c>
      <c r="F37" s="4" t="s">
        <v>18</v>
      </c>
      <c r="G37" s="4" t="s">
        <v>19</v>
      </c>
      <c r="H37" s="4" t="s">
        <v>20</v>
      </c>
      <c r="I37" s="4">
        <v>12</v>
      </c>
      <c r="J37" s="5">
        <v>50.6</v>
      </c>
      <c r="K37" s="6">
        <v>1.7</v>
      </c>
      <c r="L37" s="4">
        <v>2</v>
      </c>
      <c r="M37" s="4">
        <v>106</v>
      </c>
      <c r="N37" s="4">
        <v>96</v>
      </c>
      <c r="O37" s="4" t="s">
        <v>26</v>
      </c>
      <c r="P37" s="7" t="s">
        <v>19</v>
      </c>
      <c r="S37">
        <v>80</v>
      </c>
      <c r="T37" t="str">
        <v>Gaza</v>
      </c>
      <c r="U37" t="str">
        <v>Masculino</v>
      </c>
      <c r="V37" t="str">
        <v>Viuvo(a)</v>
      </c>
      <c r="W37" t="str">
        <v>Secundaria</v>
      </c>
      <c r="X37" t="str">
        <v>Sim</v>
      </c>
      <c r="Y37" t="str">
        <v>HIV/SIDA</v>
      </c>
      <c r="Z37">
        <v>87</v>
      </c>
      <c r="AA37">
        <v>48.4</v>
      </c>
      <c r="AB37">
        <v>1.5</v>
      </c>
      <c r="AC37">
        <v>5</v>
      </c>
      <c r="AD37">
        <v>118</v>
      </c>
      <c r="AE37">
        <v>77</v>
      </c>
      <c r="AF37" t="str">
        <v>Urbana</v>
      </c>
      <c r="AG37" t="str">
        <v>Nao</v>
      </c>
    </row>
    <row r="38" spans="2:33" x14ac:dyDescent="0.45">
      <c r="B38" s="4">
        <v>37</v>
      </c>
      <c r="C38" s="4" t="s">
        <v>41</v>
      </c>
      <c r="D38" s="4" t="s">
        <v>16</v>
      </c>
      <c r="E38" s="4" t="s">
        <v>17</v>
      </c>
      <c r="F38" s="4" t="s">
        <v>18</v>
      </c>
      <c r="G38" s="4" t="s">
        <v>19</v>
      </c>
      <c r="H38" s="4" t="s">
        <v>25</v>
      </c>
      <c r="I38" s="4">
        <v>19</v>
      </c>
      <c r="J38" s="5">
        <v>87.7</v>
      </c>
      <c r="K38" s="6">
        <v>1.74</v>
      </c>
      <c r="L38" s="4">
        <v>9</v>
      </c>
      <c r="M38" s="4">
        <v>111</v>
      </c>
      <c r="N38" s="4">
        <v>87</v>
      </c>
      <c r="O38" s="4" t="s">
        <v>26</v>
      </c>
      <c r="P38" s="7" t="s">
        <v>19</v>
      </c>
      <c r="S38">
        <v>84</v>
      </c>
      <c r="T38" t="str">
        <v>Zambezia</v>
      </c>
      <c r="U38" t="str">
        <v>Masculino</v>
      </c>
      <c r="V38" t="str">
        <v>Solteiro(a)</v>
      </c>
      <c r="W38" t="str">
        <v>Superior</v>
      </c>
      <c r="X38" t="str">
        <v>Nao</v>
      </c>
      <c r="Y38" t="str">
        <v>Malaria</v>
      </c>
      <c r="Z38">
        <v>17</v>
      </c>
      <c r="AA38">
        <v>55.4</v>
      </c>
      <c r="AB38">
        <v>1.69</v>
      </c>
      <c r="AC38">
        <v>5</v>
      </c>
      <c r="AD38">
        <v>113</v>
      </c>
      <c r="AE38">
        <v>81</v>
      </c>
      <c r="AF38" t="str">
        <v>Urbana</v>
      </c>
      <c r="AG38" t="str">
        <v>Nao</v>
      </c>
    </row>
    <row r="39" spans="2:33" x14ac:dyDescent="0.45">
      <c r="B39" s="4">
        <v>38</v>
      </c>
      <c r="C39" s="4" t="s">
        <v>22</v>
      </c>
      <c r="D39" s="4" t="s">
        <v>23</v>
      </c>
      <c r="E39" s="4" t="s">
        <v>35</v>
      </c>
      <c r="F39" s="4" t="s">
        <v>24</v>
      </c>
      <c r="G39" s="4" t="s">
        <v>19</v>
      </c>
      <c r="H39" s="4" t="s">
        <v>38</v>
      </c>
      <c r="I39" s="4">
        <v>81</v>
      </c>
      <c r="J39" s="5">
        <v>50.3</v>
      </c>
      <c r="K39" s="6">
        <v>1.64</v>
      </c>
      <c r="L39" s="4">
        <v>3</v>
      </c>
      <c r="M39" s="4">
        <v>120</v>
      </c>
      <c r="N39" s="4">
        <v>86</v>
      </c>
      <c r="O39" s="4" t="s">
        <v>26</v>
      </c>
      <c r="P39" s="7" t="s">
        <v>19</v>
      </c>
      <c r="S39">
        <v>85</v>
      </c>
      <c r="T39" t="str">
        <v>Sofala</v>
      </c>
      <c r="U39" t="str">
        <v>Masculino</v>
      </c>
      <c r="V39" t="str">
        <v>Casado(a)</v>
      </c>
      <c r="W39" t="str">
        <v>Primaria</v>
      </c>
      <c r="X39" t="str">
        <v>Nao</v>
      </c>
      <c r="Y39" t="str">
        <v>Malaria</v>
      </c>
      <c r="Z39">
        <v>18</v>
      </c>
      <c r="AA39">
        <v>73.599999999999994</v>
      </c>
      <c r="AB39">
        <v>1.79</v>
      </c>
      <c r="AC39">
        <v>4</v>
      </c>
      <c r="AD39">
        <v>108</v>
      </c>
      <c r="AE39">
        <v>97</v>
      </c>
      <c r="AF39" t="str">
        <v>Rural</v>
      </c>
      <c r="AG39" t="str">
        <v>Nao</v>
      </c>
    </row>
    <row r="40" spans="2:33" x14ac:dyDescent="0.45">
      <c r="B40" s="4">
        <v>39</v>
      </c>
      <c r="C40" s="4" t="s">
        <v>31</v>
      </c>
      <c r="D40" s="4" t="s">
        <v>16</v>
      </c>
      <c r="E40" s="4" t="s">
        <v>17</v>
      </c>
      <c r="F40" s="4" t="s">
        <v>24</v>
      </c>
      <c r="G40" s="4" t="s">
        <v>19</v>
      </c>
      <c r="H40" s="4" t="s">
        <v>34</v>
      </c>
      <c r="I40" s="4">
        <v>23</v>
      </c>
      <c r="J40" s="5">
        <v>63.2</v>
      </c>
      <c r="K40" s="6">
        <v>1.84</v>
      </c>
      <c r="L40" s="4">
        <v>4</v>
      </c>
      <c r="M40" s="4">
        <v>110</v>
      </c>
      <c r="N40" s="4">
        <v>95</v>
      </c>
      <c r="O40" s="4" t="s">
        <v>26</v>
      </c>
      <c r="P40" s="7" t="s">
        <v>19</v>
      </c>
      <c r="S40">
        <v>86</v>
      </c>
      <c r="T40" t="str">
        <v>Niassa</v>
      </c>
      <c r="U40" t="str">
        <v>Masculino</v>
      </c>
      <c r="V40" t="str">
        <v>Divorciado(a)</v>
      </c>
      <c r="W40" t="str">
        <v>Secundaria</v>
      </c>
      <c r="X40" t="str">
        <v>Nao</v>
      </c>
      <c r="Y40" t="str">
        <v>Hipertensao</v>
      </c>
      <c r="Z40">
        <v>30</v>
      </c>
      <c r="AA40">
        <v>81.099999999999994</v>
      </c>
      <c r="AB40">
        <v>1.55</v>
      </c>
      <c r="AC40">
        <v>1</v>
      </c>
      <c r="AD40">
        <v>135</v>
      </c>
      <c r="AE40">
        <v>72</v>
      </c>
      <c r="AF40" t="str">
        <v>Rural</v>
      </c>
      <c r="AG40" t="str">
        <v>Sim</v>
      </c>
    </row>
    <row r="41" spans="2:33" x14ac:dyDescent="0.45">
      <c r="B41" s="4">
        <v>40</v>
      </c>
      <c r="C41" s="4" t="s">
        <v>31</v>
      </c>
      <c r="D41" s="4" t="s">
        <v>16</v>
      </c>
      <c r="E41" s="4" t="s">
        <v>17</v>
      </c>
      <c r="F41" s="4" t="s">
        <v>28</v>
      </c>
      <c r="G41" s="4" t="s">
        <v>19</v>
      </c>
      <c r="H41" s="4" t="s">
        <v>28</v>
      </c>
      <c r="I41" s="4">
        <v>26</v>
      </c>
      <c r="J41" s="5">
        <v>86</v>
      </c>
      <c r="K41" s="6">
        <v>1.61</v>
      </c>
      <c r="L41" s="4">
        <v>1</v>
      </c>
      <c r="M41" s="4">
        <v>122</v>
      </c>
      <c r="N41" s="4">
        <v>94</v>
      </c>
      <c r="O41" s="4" t="s">
        <v>21</v>
      </c>
      <c r="P41" s="7" t="s">
        <v>19</v>
      </c>
      <c r="S41">
        <v>90</v>
      </c>
      <c r="T41" t="str">
        <v>Zambezia</v>
      </c>
      <c r="U41" t="str">
        <v>Masculino</v>
      </c>
      <c r="V41" t="str">
        <v>Casado(a)</v>
      </c>
      <c r="W41" t="str">
        <v>Nenhuma</v>
      </c>
      <c r="X41" t="str">
        <v>Sim</v>
      </c>
      <c r="Y41" t="str">
        <v>Nenhuma</v>
      </c>
      <c r="Z41">
        <v>2</v>
      </c>
      <c r="AA41">
        <v>15.2</v>
      </c>
      <c r="AB41">
        <v>0.82</v>
      </c>
      <c r="AC41">
        <v>3</v>
      </c>
      <c r="AD41">
        <v>102</v>
      </c>
      <c r="AE41">
        <v>77</v>
      </c>
      <c r="AF41" t="str">
        <v>Rural</v>
      </c>
      <c r="AG41" t="str">
        <v>Sim</v>
      </c>
    </row>
    <row r="42" spans="2:33" x14ac:dyDescent="0.45">
      <c r="B42" s="4">
        <v>41</v>
      </c>
      <c r="C42" s="4" t="s">
        <v>15</v>
      </c>
      <c r="D42" s="4" t="s">
        <v>23</v>
      </c>
      <c r="E42" s="4" t="s">
        <v>17</v>
      </c>
      <c r="F42" s="4" t="s">
        <v>18</v>
      </c>
      <c r="G42" s="4" t="s">
        <v>19</v>
      </c>
      <c r="H42" s="4" t="s">
        <v>32</v>
      </c>
      <c r="I42" s="4">
        <v>45</v>
      </c>
      <c r="J42" s="5">
        <v>89.4</v>
      </c>
      <c r="K42" s="6">
        <v>1.7</v>
      </c>
      <c r="L42" s="4">
        <v>0</v>
      </c>
      <c r="M42" s="4">
        <v>126</v>
      </c>
      <c r="N42" s="4">
        <v>149</v>
      </c>
      <c r="O42" s="4" t="s">
        <v>26</v>
      </c>
      <c r="P42" s="7" t="s">
        <v>30</v>
      </c>
      <c r="S42">
        <v>91</v>
      </c>
      <c r="T42" t="str">
        <v>Nampula</v>
      </c>
      <c r="U42" t="str">
        <v>Masculino</v>
      </c>
      <c r="V42" t="str">
        <v>Solteiro(a)</v>
      </c>
      <c r="W42" t="str">
        <v>Primaria</v>
      </c>
      <c r="X42" t="str">
        <v>Sim</v>
      </c>
      <c r="Y42" t="str">
        <v>Malaria</v>
      </c>
      <c r="Z42">
        <v>23</v>
      </c>
      <c r="AA42">
        <v>79.7</v>
      </c>
      <c r="AB42">
        <v>1.77</v>
      </c>
      <c r="AC42">
        <v>0</v>
      </c>
      <c r="AD42">
        <v>107</v>
      </c>
      <c r="AE42">
        <v>95</v>
      </c>
      <c r="AF42" t="str">
        <v>Urbana</v>
      </c>
      <c r="AG42" t="str">
        <v>Nao</v>
      </c>
    </row>
    <row r="43" spans="2:33" x14ac:dyDescent="0.45">
      <c r="B43" s="4">
        <v>42</v>
      </c>
      <c r="C43" s="4" t="s">
        <v>29</v>
      </c>
      <c r="D43" s="4" t="s">
        <v>16</v>
      </c>
      <c r="E43" s="4" t="s">
        <v>35</v>
      </c>
      <c r="F43" s="4" t="s">
        <v>24</v>
      </c>
      <c r="G43" s="4" t="s">
        <v>19</v>
      </c>
      <c r="H43" s="4" t="s">
        <v>25</v>
      </c>
      <c r="I43" s="4">
        <v>0</v>
      </c>
      <c r="J43" s="5">
        <v>15.8</v>
      </c>
      <c r="K43" s="6">
        <v>0.69</v>
      </c>
      <c r="L43" s="4">
        <v>2</v>
      </c>
      <c r="M43" s="4">
        <v>101</v>
      </c>
      <c r="N43" s="4">
        <v>99</v>
      </c>
      <c r="O43" s="4" t="s">
        <v>26</v>
      </c>
      <c r="P43" s="7" t="s">
        <v>19</v>
      </c>
      <c r="S43">
        <v>93</v>
      </c>
      <c r="T43" t="str">
        <v>Manica</v>
      </c>
      <c r="U43" t="str">
        <v>Masculino</v>
      </c>
      <c r="V43" t="str">
        <v>Casado(a)</v>
      </c>
      <c r="W43" t="str">
        <v>Nenhuma</v>
      </c>
      <c r="X43" t="str">
        <v>Nao</v>
      </c>
      <c r="Y43" t="str">
        <v>Malaria</v>
      </c>
      <c r="Z43">
        <v>47</v>
      </c>
      <c r="AA43">
        <v>67</v>
      </c>
      <c r="AB43">
        <v>1.54</v>
      </c>
      <c r="AC43">
        <v>3</v>
      </c>
      <c r="AD43">
        <v>106</v>
      </c>
      <c r="AE43">
        <v>75</v>
      </c>
      <c r="AF43" t="str">
        <v>Rural</v>
      </c>
      <c r="AG43" t="str">
        <v>Nao</v>
      </c>
    </row>
    <row r="44" spans="2:33" x14ac:dyDescent="0.45">
      <c r="B44" s="4">
        <v>43</v>
      </c>
      <c r="C44" s="4" t="s">
        <v>31</v>
      </c>
      <c r="D44" s="4" t="s">
        <v>23</v>
      </c>
      <c r="E44" s="4" t="s">
        <v>37</v>
      </c>
      <c r="F44" s="4" t="s">
        <v>24</v>
      </c>
      <c r="G44" s="4" t="s">
        <v>19</v>
      </c>
      <c r="H44" s="4" t="s">
        <v>28</v>
      </c>
      <c r="I44" s="4">
        <v>20</v>
      </c>
      <c r="J44" s="5">
        <v>76.5</v>
      </c>
      <c r="K44" s="6">
        <v>1.89</v>
      </c>
      <c r="L44" s="4">
        <v>2</v>
      </c>
      <c r="M44" s="4">
        <v>120</v>
      </c>
      <c r="N44" s="4">
        <v>91</v>
      </c>
      <c r="O44" s="4" t="s">
        <v>21</v>
      </c>
      <c r="P44" s="7" t="s">
        <v>19</v>
      </c>
      <c r="S44">
        <v>96</v>
      </c>
      <c r="T44" t="str">
        <v>Sofala</v>
      </c>
      <c r="U44" t="str">
        <v>Masculino</v>
      </c>
      <c r="V44" t="str">
        <v>Divorciado(a)</v>
      </c>
      <c r="W44" t="str">
        <v>Nenhuma</v>
      </c>
      <c r="X44" t="str">
        <v>Nao</v>
      </c>
      <c r="Y44" t="str">
        <v>Nenhuma</v>
      </c>
      <c r="Z44">
        <v>7</v>
      </c>
      <c r="AA44">
        <v>20.9</v>
      </c>
      <c r="AB44">
        <v>1.39</v>
      </c>
      <c r="AC44">
        <v>7</v>
      </c>
      <c r="AD44">
        <v>100</v>
      </c>
      <c r="AE44">
        <v>86</v>
      </c>
      <c r="AF44" t="str">
        <v>Urbana</v>
      </c>
      <c r="AG44" t="str">
        <v>Nao</v>
      </c>
    </row>
    <row r="45" spans="2:33" x14ac:dyDescent="0.45">
      <c r="B45" s="4">
        <v>44</v>
      </c>
      <c r="C45" s="4" t="s">
        <v>15</v>
      </c>
      <c r="D45" s="4" t="s">
        <v>16</v>
      </c>
      <c r="E45" s="4" t="s">
        <v>17</v>
      </c>
      <c r="F45" s="4" t="s">
        <v>28</v>
      </c>
      <c r="G45" s="4" t="s">
        <v>19</v>
      </c>
      <c r="H45" s="4" t="s">
        <v>38</v>
      </c>
      <c r="I45" s="4">
        <v>2</v>
      </c>
      <c r="J45" s="5">
        <v>16.8</v>
      </c>
      <c r="K45" s="6">
        <v>0.8</v>
      </c>
      <c r="L45" s="4">
        <v>9</v>
      </c>
      <c r="M45" s="4">
        <v>101</v>
      </c>
      <c r="N45" s="4">
        <v>89</v>
      </c>
      <c r="O45" s="4" t="s">
        <v>21</v>
      </c>
      <c r="P45" s="7" t="s">
        <v>19</v>
      </c>
      <c r="S45">
        <v>98</v>
      </c>
      <c r="T45" t="str">
        <v>Gaza</v>
      </c>
      <c r="U45" t="str">
        <v>Masculino</v>
      </c>
      <c r="V45" t="str">
        <v>Casado(a)</v>
      </c>
      <c r="W45" t="str">
        <v>Secundaria</v>
      </c>
      <c r="X45" t="str">
        <v>Nao</v>
      </c>
      <c r="Y45" t="str">
        <v>Malaria</v>
      </c>
      <c r="Z45">
        <v>29</v>
      </c>
      <c r="AA45">
        <v>76.599999999999994</v>
      </c>
      <c r="AB45">
        <v>1.61</v>
      </c>
      <c r="AC45">
        <v>0</v>
      </c>
      <c r="AD45">
        <v>106</v>
      </c>
      <c r="AE45">
        <v>84</v>
      </c>
      <c r="AF45" t="str">
        <v>Rural</v>
      </c>
      <c r="AG45" t="str">
        <v>Nao</v>
      </c>
    </row>
    <row r="46" spans="2:33" x14ac:dyDescent="0.45">
      <c r="B46" s="4">
        <v>45</v>
      </c>
      <c r="C46" s="4" t="s">
        <v>15</v>
      </c>
      <c r="D46" s="4" t="s">
        <v>16</v>
      </c>
      <c r="E46" s="4" t="s">
        <v>17</v>
      </c>
      <c r="F46" s="4" t="s">
        <v>24</v>
      </c>
      <c r="G46" s="4" t="s">
        <v>19</v>
      </c>
      <c r="H46" s="4" t="s">
        <v>46</v>
      </c>
      <c r="I46" s="4">
        <v>19</v>
      </c>
      <c r="J46" s="5">
        <v>51.9</v>
      </c>
      <c r="K46" s="6">
        <v>1.69</v>
      </c>
      <c r="L46" s="4">
        <v>5</v>
      </c>
      <c r="M46" s="4">
        <v>110</v>
      </c>
      <c r="N46" s="4">
        <v>104</v>
      </c>
      <c r="O46" s="4" t="s">
        <v>26</v>
      </c>
      <c r="P46" s="7" t="s">
        <v>19</v>
      </c>
      <c r="S46">
        <v>100</v>
      </c>
      <c r="T46" t="str">
        <v>Maputo Provincia</v>
      </c>
      <c r="U46" t="str">
        <v>Masculino</v>
      </c>
      <c r="V46" t="str">
        <v>Divorciado(a)</v>
      </c>
      <c r="W46" t="str">
        <v>Nenhuma</v>
      </c>
      <c r="X46" t="str">
        <v>Nao</v>
      </c>
      <c r="Y46" t="str">
        <v>Malaria</v>
      </c>
      <c r="Z46">
        <v>2</v>
      </c>
      <c r="AA46">
        <v>14.9</v>
      </c>
      <c r="AB46">
        <v>0.76</v>
      </c>
      <c r="AC46">
        <v>4</v>
      </c>
      <c r="AD46">
        <v>95</v>
      </c>
      <c r="AE46">
        <v>93</v>
      </c>
      <c r="AF46" t="str">
        <v>Urbana</v>
      </c>
      <c r="AG46" t="str">
        <v>Nao</v>
      </c>
    </row>
    <row r="47" spans="2:33" x14ac:dyDescent="0.45">
      <c r="B47" s="4">
        <v>46</v>
      </c>
      <c r="C47" s="4" t="s">
        <v>40</v>
      </c>
      <c r="D47" s="4" t="s">
        <v>16</v>
      </c>
      <c r="E47" s="4" t="s">
        <v>17</v>
      </c>
      <c r="F47" s="4" t="s">
        <v>42</v>
      </c>
      <c r="G47" s="4" t="s">
        <v>19</v>
      </c>
      <c r="H47" s="4" t="s">
        <v>34</v>
      </c>
      <c r="I47" s="4">
        <v>39</v>
      </c>
      <c r="J47" s="5">
        <v>84.8</v>
      </c>
      <c r="K47" s="6">
        <v>1.71</v>
      </c>
      <c r="L47" s="4">
        <v>6</v>
      </c>
      <c r="M47" s="4">
        <v>125</v>
      </c>
      <c r="N47" s="4">
        <v>98</v>
      </c>
      <c r="O47" s="4" t="s">
        <v>26</v>
      </c>
      <c r="P47" s="7" t="s">
        <v>19</v>
      </c>
      <c r="S47">
        <v>102</v>
      </c>
      <c r="T47" t="str">
        <v>Maputo Cidade</v>
      </c>
      <c r="U47" t="str">
        <v>Masculino</v>
      </c>
      <c r="V47" t="str">
        <v>Solteiro(a)</v>
      </c>
      <c r="W47" t="str">
        <v>Primaria</v>
      </c>
      <c r="X47" t="str">
        <v>Nao</v>
      </c>
      <c r="Y47" t="str">
        <v>Hipertensao</v>
      </c>
      <c r="Z47">
        <v>4</v>
      </c>
      <c r="AA47">
        <v>15.3</v>
      </c>
      <c r="AB47">
        <v>0.82</v>
      </c>
      <c r="AC47">
        <v>6</v>
      </c>
      <c r="AD47">
        <v>128</v>
      </c>
      <c r="AE47">
        <v>77</v>
      </c>
      <c r="AF47" t="str">
        <v>Rural</v>
      </c>
      <c r="AG47" t="str">
        <v>Nao</v>
      </c>
    </row>
    <row r="48" spans="2:33" x14ac:dyDescent="0.45">
      <c r="B48" s="4">
        <v>47</v>
      </c>
      <c r="C48" s="4" t="s">
        <v>39</v>
      </c>
      <c r="D48" s="4" t="s">
        <v>23</v>
      </c>
      <c r="E48" s="4" t="s">
        <v>35</v>
      </c>
      <c r="F48" s="4" t="s">
        <v>24</v>
      </c>
      <c r="G48" s="4" t="s">
        <v>19</v>
      </c>
      <c r="H48" s="4" t="s">
        <v>20</v>
      </c>
      <c r="I48" s="4">
        <v>59</v>
      </c>
      <c r="J48" s="5">
        <v>52.7</v>
      </c>
      <c r="K48" s="6">
        <v>1.71</v>
      </c>
      <c r="L48" s="4">
        <v>2</v>
      </c>
      <c r="M48" s="4">
        <v>108</v>
      </c>
      <c r="N48" s="4">
        <v>84</v>
      </c>
      <c r="O48" s="4" t="s">
        <v>26</v>
      </c>
      <c r="P48" s="7" t="s">
        <v>19</v>
      </c>
      <c r="S48">
        <v>103</v>
      </c>
      <c r="T48" t="str">
        <v>Niassa</v>
      </c>
      <c r="U48" t="str">
        <v>Masculino</v>
      </c>
      <c r="V48" t="str">
        <v>Solteiro(a)</v>
      </c>
      <c r="W48" t="str">
        <v>Secundaria</v>
      </c>
      <c r="X48" t="str">
        <v>Nao</v>
      </c>
      <c r="Y48" t="str">
        <v>Diabetes</v>
      </c>
      <c r="Z48">
        <v>27</v>
      </c>
      <c r="AA48">
        <v>83.2</v>
      </c>
      <c r="AB48">
        <v>1.87</v>
      </c>
      <c r="AC48">
        <v>0</v>
      </c>
      <c r="AD48">
        <v>114</v>
      </c>
      <c r="AE48">
        <v>161</v>
      </c>
      <c r="AF48" t="str">
        <v>Rural</v>
      </c>
      <c r="AG48" t="str">
        <v>Nao</v>
      </c>
    </row>
    <row r="49" spans="2:33" x14ac:dyDescent="0.45">
      <c r="B49" s="4">
        <v>48</v>
      </c>
      <c r="C49" s="4" t="s">
        <v>31</v>
      </c>
      <c r="D49" s="4" t="s">
        <v>16</v>
      </c>
      <c r="E49" s="4" t="s">
        <v>35</v>
      </c>
      <c r="F49" s="4" t="s">
        <v>28</v>
      </c>
      <c r="G49" s="4" t="s">
        <v>19</v>
      </c>
      <c r="H49" s="4" t="s">
        <v>38</v>
      </c>
      <c r="I49" s="4">
        <v>35</v>
      </c>
      <c r="J49" s="5">
        <v>68.5</v>
      </c>
      <c r="K49" s="6">
        <v>1.61</v>
      </c>
      <c r="L49" s="4">
        <v>2</v>
      </c>
      <c r="M49" s="4">
        <v>123</v>
      </c>
      <c r="N49" s="4">
        <v>94</v>
      </c>
      <c r="O49" s="4" t="s">
        <v>26</v>
      </c>
      <c r="P49" s="7" t="s">
        <v>19</v>
      </c>
      <c r="S49">
        <v>104</v>
      </c>
      <c r="T49" t="str">
        <v>Inhambane</v>
      </c>
      <c r="U49" t="str">
        <v>Masculino</v>
      </c>
      <c r="V49" t="str">
        <v>Solteiro(a)</v>
      </c>
      <c r="W49" t="str">
        <v>Primaria</v>
      </c>
      <c r="X49" t="str">
        <v>Nao</v>
      </c>
      <c r="Y49" t="str">
        <v>Malaria</v>
      </c>
      <c r="Z49">
        <v>42</v>
      </c>
      <c r="AA49">
        <v>57.7</v>
      </c>
      <c r="AB49">
        <v>1.52</v>
      </c>
      <c r="AC49">
        <v>1</v>
      </c>
      <c r="AD49">
        <v>109</v>
      </c>
      <c r="AE49">
        <v>92</v>
      </c>
      <c r="AF49" t="str">
        <v>Rural</v>
      </c>
      <c r="AG49" t="str">
        <v>Sim</v>
      </c>
    </row>
    <row r="50" spans="2:33" x14ac:dyDescent="0.45">
      <c r="B50" s="4">
        <v>49</v>
      </c>
      <c r="C50" s="4" t="s">
        <v>40</v>
      </c>
      <c r="D50" s="4" t="s">
        <v>16</v>
      </c>
      <c r="E50" s="4" t="s">
        <v>17</v>
      </c>
      <c r="F50" s="4" t="s">
        <v>24</v>
      </c>
      <c r="G50" s="4" t="s">
        <v>19</v>
      </c>
      <c r="H50" s="4" t="s">
        <v>36</v>
      </c>
      <c r="I50" s="4">
        <v>43</v>
      </c>
      <c r="J50" s="5">
        <v>71.5</v>
      </c>
      <c r="K50" s="6">
        <v>1.64</v>
      </c>
      <c r="L50" s="4">
        <v>3</v>
      </c>
      <c r="M50" s="4">
        <v>131</v>
      </c>
      <c r="N50" s="4">
        <v>89</v>
      </c>
      <c r="O50" s="4" t="s">
        <v>26</v>
      </c>
      <c r="P50" s="7" t="s">
        <v>19</v>
      </c>
      <c r="S50">
        <v>105</v>
      </c>
      <c r="T50" t="str">
        <v>Maputo Cidade</v>
      </c>
      <c r="U50" t="str">
        <v>Masculino</v>
      </c>
      <c r="V50" t="str">
        <v>Solteiro(a)</v>
      </c>
      <c r="W50" t="str">
        <v>Nenhuma</v>
      </c>
      <c r="X50" t="str">
        <v>Nao</v>
      </c>
      <c r="Y50" t="str">
        <v>Malaria</v>
      </c>
      <c r="Z50">
        <v>4</v>
      </c>
      <c r="AA50">
        <v>13.8</v>
      </c>
      <c r="AB50">
        <v>0.66</v>
      </c>
      <c r="AC50">
        <v>6</v>
      </c>
      <c r="AD50">
        <v>111</v>
      </c>
      <c r="AE50">
        <v>105</v>
      </c>
      <c r="AF50" t="str">
        <v>Rural</v>
      </c>
      <c r="AG50" t="str">
        <v>Nao</v>
      </c>
    </row>
    <row r="51" spans="2:33" x14ac:dyDescent="0.45">
      <c r="B51" s="4">
        <v>50</v>
      </c>
      <c r="C51" s="4" t="s">
        <v>27</v>
      </c>
      <c r="D51" s="4" t="s">
        <v>23</v>
      </c>
      <c r="E51" s="4" t="s">
        <v>44</v>
      </c>
      <c r="F51" s="4" t="s">
        <v>24</v>
      </c>
      <c r="G51" s="4" t="s">
        <v>19</v>
      </c>
      <c r="H51" s="4" t="s">
        <v>28</v>
      </c>
      <c r="I51" s="4">
        <v>23</v>
      </c>
      <c r="J51" s="5">
        <v>73.099999999999994</v>
      </c>
      <c r="K51" s="6">
        <v>1.7</v>
      </c>
      <c r="L51" s="4">
        <v>5</v>
      </c>
      <c r="M51" s="4">
        <v>118</v>
      </c>
      <c r="N51" s="4">
        <v>86</v>
      </c>
      <c r="O51" s="4" t="s">
        <v>26</v>
      </c>
      <c r="P51" s="7" t="s">
        <v>30</v>
      </c>
      <c r="S51">
        <v>109</v>
      </c>
      <c r="T51" t="str">
        <v>Manica</v>
      </c>
      <c r="U51" t="str">
        <v>Masculino</v>
      </c>
      <c r="V51" t="str">
        <v>Viuvo(a)</v>
      </c>
      <c r="W51" t="str">
        <v>Secundaria</v>
      </c>
      <c r="X51" t="str">
        <v>Sim</v>
      </c>
      <c r="Y51" t="str">
        <v>Diarreia</v>
      </c>
      <c r="Z51">
        <v>5</v>
      </c>
      <c r="AA51">
        <v>25.9</v>
      </c>
      <c r="AB51">
        <v>1.1599999999999999</v>
      </c>
      <c r="AC51">
        <v>8</v>
      </c>
      <c r="AD51">
        <v>92</v>
      </c>
      <c r="AE51">
        <v>84</v>
      </c>
      <c r="AF51" t="str">
        <v>Urbana</v>
      </c>
      <c r="AG51" t="str">
        <v>Nao</v>
      </c>
    </row>
    <row r="52" spans="2:33" x14ac:dyDescent="0.45">
      <c r="B52" s="4">
        <v>51</v>
      </c>
      <c r="C52" s="4" t="s">
        <v>27</v>
      </c>
      <c r="D52" s="4" t="s">
        <v>16</v>
      </c>
      <c r="E52" s="4" t="s">
        <v>17</v>
      </c>
      <c r="F52" s="4" t="s">
        <v>24</v>
      </c>
      <c r="G52" s="4" t="s">
        <v>30</v>
      </c>
      <c r="H52" s="4" t="s">
        <v>34</v>
      </c>
      <c r="I52" s="4">
        <v>30</v>
      </c>
      <c r="J52" s="5">
        <v>49.2</v>
      </c>
      <c r="K52" s="6">
        <v>1.86</v>
      </c>
      <c r="L52" s="4">
        <v>1</v>
      </c>
      <c r="M52" s="4">
        <v>122</v>
      </c>
      <c r="N52" s="4">
        <v>78</v>
      </c>
      <c r="O52" s="4" t="s">
        <v>26</v>
      </c>
      <c r="P52" s="7" t="s">
        <v>19</v>
      </c>
      <c r="S52">
        <v>110</v>
      </c>
      <c r="T52" t="str">
        <v>Sofala</v>
      </c>
      <c r="U52" t="str">
        <v>Masculino</v>
      </c>
      <c r="V52" t="str">
        <v>Solteiro(a)</v>
      </c>
      <c r="W52" t="str">
        <v>Primaria</v>
      </c>
      <c r="X52" t="str">
        <v>Nao</v>
      </c>
      <c r="Y52" t="str">
        <v>Pneumonia</v>
      </c>
      <c r="Z52">
        <v>8</v>
      </c>
      <c r="AA52">
        <v>18.2</v>
      </c>
      <c r="AB52">
        <v>1.24</v>
      </c>
      <c r="AC52">
        <v>5</v>
      </c>
      <c r="AD52">
        <v>107</v>
      </c>
      <c r="AE52">
        <v>80</v>
      </c>
      <c r="AF52" t="str">
        <v>Rural</v>
      </c>
      <c r="AG52" t="str">
        <v>Nao</v>
      </c>
    </row>
    <row r="53" spans="2:33" x14ac:dyDescent="0.45">
      <c r="B53" s="4">
        <v>52</v>
      </c>
      <c r="C53" s="4" t="s">
        <v>27</v>
      </c>
      <c r="D53" s="4" t="s">
        <v>16</v>
      </c>
      <c r="E53" s="4" t="s">
        <v>17</v>
      </c>
      <c r="F53" s="4" t="s">
        <v>18</v>
      </c>
      <c r="G53" s="4" t="s">
        <v>19</v>
      </c>
      <c r="H53" s="4" t="s">
        <v>20</v>
      </c>
      <c r="I53" s="4">
        <v>87</v>
      </c>
      <c r="J53" s="5">
        <v>76.5</v>
      </c>
      <c r="K53" s="6">
        <v>1.88</v>
      </c>
      <c r="L53" s="4">
        <v>0</v>
      </c>
      <c r="M53" s="4">
        <v>139</v>
      </c>
      <c r="N53" s="4">
        <v>100</v>
      </c>
      <c r="O53" s="4" t="s">
        <v>26</v>
      </c>
      <c r="P53" s="7" t="s">
        <v>19</v>
      </c>
      <c r="S53">
        <v>113</v>
      </c>
      <c r="T53" t="str">
        <v>Cabo Delgado</v>
      </c>
      <c r="U53" t="str">
        <v>Masculino</v>
      </c>
      <c r="V53" t="str">
        <v>Solteiro(a)</v>
      </c>
      <c r="W53" t="str">
        <v>Secundaria</v>
      </c>
      <c r="X53" t="str">
        <v>Sim</v>
      </c>
      <c r="Y53" t="str">
        <v>Diarreia</v>
      </c>
      <c r="Z53">
        <v>12</v>
      </c>
      <c r="AA53">
        <v>51.5</v>
      </c>
      <c r="AB53">
        <v>1.63</v>
      </c>
      <c r="AC53">
        <v>4</v>
      </c>
      <c r="AD53">
        <v>94</v>
      </c>
      <c r="AE53">
        <v>96</v>
      </c>
      <c r="AF53" t="str">
        <v>Rural</v>
      </c>
      <c r="AG53" t="str">
        <v>Nao</v>
      </c>
    </row>
    <row r="54" spans="2:33" x14ac:dyDescent="0.45">
      <c r="B54" s="4">
        <v>53</v>
      </c>
      <c r="C54" s="4" t="s">
        <v>31</v>
      </c>
      <c r="D54" s="4" t="s">
        <v>16</v>
      </c>
      <c r="E54" s="4" t="s">
        <v>17</v>
      </c>
      <c r="F54" s="4" t="s">
        <v>24</v>
      </c>
      <c r="G54" s="4" t="s">
        <v>30</v>
      </c>
      <c r="H54" s="4" t="s">
        <v>20</v>
      </c>
      <c r="I54" s="4">
        <v>10</v>
      </c>
      <c r="J54" s="5">
        <v>19.399999999999999</v>
      </c>
      <c r="K54" s="6">
        <v>1.42</v>
      </c>
      <c r="L54" s="4">
        <v>4</v>
      </c>
      <c r="M54" s="4">
        <v>113</v>
      </c>
      <c r="N54" s="4">
        <v>88</v>
      </c>
      <c r="O54" s="4" t="s">
        <v>21</v>
      </c>
      <c r="P54" s="7" t="s">
        <v>30</v>
      </c>
      <c r="S54">
        <v>114</v>
      </c>
      <c r="T54" t="str">
        <v>Nampula</v>
      </c>
      <c r="U54" t="str">
        <v>Masculino</v>
      </c>
      <c r="V54" t="str">
        <v>Solteiro(a)</v>
      </c>
      <c r="W54" t="str">
        <v>Primaria</v>
      </c>
      <c r="X54" t="str">
        <v>Nao</v>
      </c>
      <c r="Y54" t="str">
        <v>Diarreia</v>
      </c>
      <c r="Z54">
        <v>69</v>
      </c>
      <c r="AA54">
        <v>60.6</v>
      </c>
      <c r="AB54">
        <v>1.7</v>
      </c>
      <c r="AC54">
        <v>10</v>
      </c>
      <c r="AD54">
        <v>124</v>
      </c>
      <c r="AE54">
        <v>72</v>
      </c>
      <c r="AF54" t="str">
        <v>Rural</v>
      </c>
      <c r="AG54" t="str">
        <v>Nao</v>
      </c>
    </row>
    <row r="55" spans="2:33" x14ac:dyDescent="0.45">
      <c r="B55" s="4">
        <v>54</v>
      </c>
      <c r="C55" s="4" t="s">
        <v>29</v>
      </c>
      <c r="D55" s="4" t="s">
        <v>16</v>
      </c>
      <c r="E55" s="4" t="s">
        <v>35</v>
      </c>
      <c r="F55" s="4" t="s">
        <v>24</v>
      </c>
      <c r="G55" s="4" t="s">
        <v>19</v>
      </c>
      <c r="H55" s="4" t="s">
        <v>32</v>
      </c>
      <c r="I55" s="4">
        <v>6</v>
      </c>
      <c r="J55" s="5">
        <v>30.5</v>
      </c>
      <c r="K55" s="6">
        <v>1.23</v>
      </c>
      <c r="L55" s="4">
        <v>1</v>
      </c>
      <c r="M55" s="4">
        <v>96</v>
      </c>
      <c r="N55" s="4">
        <v>155</v>
      </c>
      <c r="O55" s="4" t="s">
        <v>26</v>
      </c>
      <c r="P55" s="7" t="s">
        <v>19</v>
      </c>
      <c r="S55">
        <v>117</v>
      </c>
      <c r="T55" t="str">
        <v>Cabo Delgado</v>
      </c>
      <c r="U55" t="str">
        <v>Masculino</v>
      </c>
      <c r="V55" t="str">
        <v>Divorciado(a)</v>
      </c>
      <c r="W55" t="str">
        <v>Primaria</v>
      </c>
      <c r="X55" t="str">
        <v>Sim</v>
      </c>
      <c r="Y55" t="str">
        <v>Malaria</v>
      </c>
      <c r="Z55">
        <v>37</v>
      </c>
      <c r="AA55">
        <v>52.9</v>
      </c>
      <c r="AB55">
        <v>1.88</v>
      </c>
      <c r="AC55">
        <v>6</v>
      </c>
      <c r="AD55">
        <v>113</v>
      </c>
      <c r="AE55">
        <v>73</v>
      </c>
      <c r="AF55" t="str">
        <v>Rural</v>
      </c>
      <c r="AG55" t="str">
        <v>Nao</v>
      </c>
    </row>
    <row r="56" spans="2:33" x14ac:dyDescent="0.45">
      <c r="B56" s="4">
        <v>55</v>
      </c>
      <c r="C56" s="4" t="s">
        <v>41</v>
      </c>
      <c r="D56" s="4" t="s">
        <v>16</v>
      </c>
      <c r="E56" s="4" t="s">
        <v>17</v>
      </c>
      <c r="F56" s="4" t="s">
        <v>24</v>
      </c>
      <c r="G56" s="4" t="s">
        <v>19</v>
      </c>
      <c r="H56" s="4" t="s">
        <v>20</v>
      </c>
      <c r="I56" s="4">
        <v>83</v>
      </c>
      <c r="J56" s="5">
        <v>86.1</v>
      </c>
      <c r="K56" s="6">
        <v>1.81</v>
      </c>
      <c r="L56" s="4">
        <v>3</v>
      </c>
      <c r="M56" s="4">
        <v>132</v>
      </c>
      <c r="N56" s="4">
        <v>94</v>
      </c>
      <c r="O56" s="4" t="s">
        <v>21</v>
      </c>
      <c r="P56" s="7" t="s">
        <v>19</v>
      </c>
      <c r="S56">
        <v>120</v>
      </c>
      <c r="T56" t="str">
        <v>Maputo Cidade</v>
      </c>
      <c r="U56" t="str">
        <v>Masculino</v>
      </c>
      <c r="V56" t="str">
        <v>Viuvo(a)</v>
      </c>
      <c r="W56" t="str">
        <v>Primaria</v>
      </c>
      <c r="X56" t="str">
        <v>Nao</v>
      </c>
      <c r="Y56" t="str">
        <v>Nenhuma</v>
      </c>
      <c r="Z56">
        <v>23</v>
      </c>
      <c r="AA56">
        <v>90.9</v>
      </c>
      <c r="AB56">
        <v>1.79</v>
      </c>
      <c r="AC56">
        <v>0</v>
      </c>
      <c r="AD56">
        <v>121</v>
      </c>
      <c r="AE56">
        <v>81</v>
      </c>
      <c r="AF56" t="str">
        <v>Urbana</v>
      </c>
      <c r="AG56" t="str">
        <v>Sim</v>
      </c>
    </row>
    <row r="57" spans="2:33" x14ac:dyDescent="0.45">
      <c r="B57" s="4">
        <v>56</v>
      </c>
      <c r="C57" s="4" t="s">
        <v>41</v>
      </c>
      <c r="D57" s="4" t="s">
        <v>16</v>
      </c>
      <c r="E57" s="4" t="s">
        <v>35</v>
      </c>
      <c r="F57" s="4" t="s">
        <v>28</v>
      </c>
      <c r="G57" s="4" t="s">
        <v>19</v>
      </c>
      <c r="H57" s="4" t="s">
        <v>28</v>
      </c>
      <c r="I57" s="4">
        <v>24</v>
      </c>
      <c r="J57" s="5">
        <v>49.2</v>
      </c>
      <c r="K57" s="6">
        <v>1.88</v>
      </c>
      <c r="L57" s="4">
        <v>4</v>
      </c>
      <c r="M57" s="4">
        <v>98</v>
      </c>
      <c r="N57" s="4">
        <v>79</v>
      </c>
      <c r="O57" s="4" t="s">
        <v>21</v>
      </c>
      <c r="P57" s="7" t="s">
        <v>19</v>
      </c>
      <c r="S57">
        <v>122</v>
      </c>
      <c r="T57" t="str">
        <v>Maputo Cidade</v>
      </c>
      <c r="U57" t="str">
        <v>Masculino</v>
      </c>
      <c r="V57" t="str">
        <v>Casado(a)</v>
      </c>
      <c r="W57" t="str">
        <v>Secundaria</v>
      </c>
      <c r="X57" t="str">
        <v>Nao</v>
      </c>
      <c r="Y57" t="str">
        <v>Malaria</v>
      </c>
      <c r="Z57">
        <v>1</v>
      </c>
      <c r="AA57">
        <v>16</v>
      </c>
      <c r="AB57">
        <v>1.03</v>
      </c>
      <c r="AC57">
        <v>4</v>
      </c>
      <c r="AD57">
        <v>114</v>
      </c>
      <c r="AE57">
        <v>103</v>
      </c>
      <c r="AF57" t="str">
        <v>Rural</v>
      </c>
      <c r="AG57" t="str">
        <v>Nao</v>
      </c>
    </row>
    <row r="58" spans="2:33" x14ac:dyDescent="0.45">
      <c r="B58" s="4">
        <v>57</v>
      </c>
      <c r="C58" s="4" t="s">
        <v>15</v>
      </c>
      <c r="D58" s="4" t="s">
        <v>16</v>
      </c>
      <c r="E58" s="4" t="s">
        <v>37</v>
      </c>
      <c r="F58" s="4" t="s">
        <v>24</v>
      </c>
      <c r="G58" s="4" t="s">
        <v>19</v>
      </c>
      <c r="H58" s="4" t="s">
        <v>28</v>
      </c>
      <c r="I58" s="4">
        <v>25</v>
      </c>
      <c r="J58" s="5">
        <v>81.8</v>
      </c>
      <c r="K58" s="6">
        <v>1.62</v>
      </c>
      <c r="L58" s="4">
        <v>4</v>
      </c>
      <c r="M58" s="4">
        <v>112</v>
      </c>
      <c r="N58" s="4">
        <v>78</v>
      </c>
      <c r="O58" s="4" t="s">
        <v>26</v>
      </c>
      <c r="P58" s="7" t="s">
        <v>19</v>
      </c>
      <c r="S58">
        <v>123</v>
      </c>
      <c r="T58" t="str">
        <v>Sofala</v>
      </c>
      <c r="U58" t="str">
        <v>Masculino</v>
      </c>
      <c r="V58" t="str">
        <v>Solteiro(a)</v>
      </c>
      <c r="W58" t="str">
        <v>Primaria</v>
      </c>
      <c r="X58" t="str">
        <v>Nao</v>
      </c>
      <c r="Y58" t="str">
        <v>Pneumonia</v>
      </c>
      <c r="Z58">
        <v>29</v>
      </c>
      <c r="AA58">
        <v>53.6</v>
      </c>
      <c r="AB58">
        <v>1.5</v>
      </c>
      <c r="AC58">
        <v>2</v>
      </c>
      <c r="AD58">
        <v>120</v>
      </c>
      <c r="AE58">
        <v>71</v>
      </c>
      <c r="AF58" t="str">
        <v>Rural</v>
      </c>
      <c r="AG58" t="str">
        <v>Nao</v>
      </c>
    </row>
    <row r="59" spans="2:33" x14ac:dyDescent="0.45">
      <c r="B59" s="4">
        <v>58</v>
      </c>
      <c r="C59" s="4" t="s">
        <v>29</v>
      </c>
      <c r="D59" s="4" t="s">
        <v>16</v>
      </c>
      <c r="E59" s="4" t="s">
        <v>17</v>
      </c>
      <c r="F59" s="4" t="s">
        <v>24</v>
      </c>
      <c r="G59" s="4" t="s">
        <v>19</v>
      </c>
      <c r="H59" s="4" t="s">
        <v>20</v>
      </c>
      <c r="I59" s="4">
        <v>34</v>
      </c>
      <c r="J59" s="5">
        <v>46</v>
      </c>
      <c r="K59" s="6">
        <v>1.87</v>
      </c>
      <c r="L59" s="4">
        <v>3</v>
      </c>
      <c r="M59" s="4">
        <v>130</v>
      </c>
      <c r="N59" s="4">
        <v>92</v>
      </c>
      <c r="O59" s="4" t="s">
        <v>26</v>
      </c>
      <c r="P59" s="7" t="s">
        <v>30</v>
      </c>
      <c r="S59">
        <v>125</v>
      </c>
      <c r="T59" t="str">
        <v>Zambezia</v>
      </c>
      <c r="U59" t="str">
        <v>Masculino</v>
      </c>
      <c r="V59" t="str">
        <v>Solteiro(a)</v>
      </c>
      <c r="W59" t="str">
        <v>Primaria</v>
      </c>
      <c r="X59" t="str">
        <v>Nao</v>
      </c>
      <c r="Y59" t="str">
        <v>HIV/SIDA</v>
      </c>
      <c r="Z59">
        <v>20</v>
      </c>
      <c r="AA59">
        <v>58.4</v>
      </c>
      <c r="AB59">
        <v>1.6</v>
      </c>
      <c r="AC59">
        <v>2</v>
      </c>
      <c r="AD59">
        <v>119</v>
      </c>
      <c r="AE59">
        <v>88</v>
      </c>
      <c r="AF59" t="str">
        <v>Rural</v>
      </c>
      <c r="AG59" t="str">
        <v>Nao</v>
      </c>
    </row>
    <row r="60" spans="2:33" x14ac:dyDescent="0.45">
      <c r="B60" s="4">
        <v>59</v>
      </c>
      <c r="C60" s="4" t="s">
        <v>40</v>
      </c>
      <c r="D60" s="4" t="s">
        <v>23</v>
      </c>
      <c r="E60" s="4" t="s">
        <v>35</v>
      </c>
      <c r="F60" s="4" t="s">
        <v>24</v>
      </c>
      <c r="G60" s="4" t="s">
        <v>19</v>
      </c>
      <c r="H60" s="4" t="s">
        <v>28</v>
      </c>
      <c r="I60" s="4">
        <v>22</v>
      </c>
      <c r="J60" s="5">
        <v>57.5</v>
      </c>
      <c r="K60" s="6">
        <v>1.83</v>
      </c>
      <c r="L60" s="4">
        <v>5</v>
      </c>
      <c r="M60" s="4">
        <v>107</v>
      </c>
      <c r="N60" s="4">
        <v>80</v>
      </c>
      <c r="O60" s="4" t="s">
        <v>26</v>
      </c>
      <c r="P60" s="7" t="s">
        <v>19</v>
      </c>
      <c r="S60">
        <v>126</v>
      </c>
      <c r="T60" t="str">
        <v>Sofala</v>
      </c>
      <c r="U60" t="str">
        <v>Masculino</v>
      </c>
      <c r="V60" t="str">
        <v>Casado(a)</v>
      </c>
      <c r="W60" t="str">
        <v>Nenhuma</v>
      </c>
      <c r="X60" t="str">
        <v>Nao</v>
      </c>
      <c r="Y60" t="str">
        <v>Tuberculose</v>
      </c>
      <c r="Z60">
        <v>49</v>
      </c>
      <c r="AA60">
        <v>58.6</v>
      </c>
      <c r="AB60">
        <v>1.56</v>
      </c>
      <c r="AC60">
        <v>10</v>
      </c>
      <c r="AD60">
        <v>116</v>
      </c>
      <c r="AE60">
        <v>105</v>
      </c>
      <c r="AF60" t="str">
        <v>Urbana</v>
      </c>
      <c r="AG60" t="str">
        <v>Nao</v>
      </c>
    </row>
    <row r="61" spans="2:33" x14ac:dyDescent="0.45">
      <c r="B61" s="4">
        <v>60</v>
      </c>
      <c r="C61" s="4" t="s">
        <v>41</v>
      </c>
      <c r="D61" s="4" t="s">
        <v>23</v>
      </c>
      <c r="E61" s="4" t="s">
        <v>17</v>
      </c>
      <c r="F61" s="4" t="s">
        <v>28</v>
      </c>
      <c r="G61" s="4" t="s">
        <v>19</v>
      </c>
      <c r="H61" s="4" t="s">
        <v>25</v>
      </c>
      <c r="I61" s="4">
        <v>37</v>
      </c>
      <c r="J61" s="5">
        <v>61.3</v>
      </c>
      <c r="K61" s="6">
        <v>1.77</v>
      </c>
      <c r="L61" s="4">
        <v>5</v>
      </c>
      <c r="M61" s="4">
        <v>111</v>
      </c>
      <c r="N61" s="4">
        <v>82</v>
      </c>
      <c r="O61" s="4" t="s">
        <v>21</v>
      </c>
      <c r="P61" s="7" t="s">
        <v>30</v>
      </c>
      <c r="S61">
        <v>127</v>
      </c>
      <c r="T61" t="str">
        <v>Nampula</v>
      </c>
      <c r="U61" t="str">
        <v>Masculino</v>
      </c>
      <c r="V61" t="str">
        <v>Solteiro(a)</v>
      </c>
      <c r="W61" t="str">
        <v>Nenhuma</v>
      </c>
      <c r="X61" t="str">
        <v>Nao</v>
      </c>
      <c r="Y61" t="str">
        <v>Malaria</v>
      </c>
      <c r="Z61">
        <v>25</v>
      </c>
      <c r="AA61">
        <v>52.9</v>
      </c>
      <c r="AB61">
        <v>1.77</v>
      </c>
      <c r="AC61">
        <v>4</v>
      </c>
      <c r="AD61">
        <v>114</v>
      </c>
      <c r="AE61">
        <v>89</v>
      </c>
      <c r="AF61" t="str">
        <v>Urbana</v>
      </c>
      <c r="AG61" t="str">
        <v>Nao</v>
      </c>
    </row>
    <row r="62" spans="2:33" x14ac:dyDescent="0.45">
      <c r="B62" s="4">
        <v>61</v>
      </c>
      <c r="C62" s="4" t="s">
        <v>29</v>
      </c>
      <c r="D62" s="4" t="s">
        <v>23</v>
      </c>
      <c r="E62" s="4" t="s">
        <v>17</v>
      </c>
      <c r="F62" s="4" t="s">
        <v>18</v>
      </c>
      <c r="G62" s="4" t="s">
        <v>19</v>
      </c>
      <c r="H62" s="4" t="s">
        <v>46</v>
      </c>
      <c r="I62" s="4">
        <v>59</v>
      </c>
      <c r="J62" s="5">
        <v>46.9</v>
      </c>
      <c r="K62" s="6">
        <v>1.69</v>
      </c>
      <c r="L62" s="4">
        <v>4</v>
      </c>
      <c r="M62" s="4">
        <v>117</v>
      </c>
      <c r="N62" s="4">
        <v>85</v>
      </c>
      <c r="O62" s="4" t="s">
        <v>26</v>
      </c>
      <c r="P62" s="7" t="s">
        <v>30</v>
      </c>
      <c r="S62">
        <v>128</v>
      </c>
      <c r="T62" t="str">
        <v>Maputo Provincia</v>
      </c>
      <c r="U62" t="str">
        <v>Masculino</v>
      </c>
      <c r="V62" t="str">
        <v>Solteiro(a)</v>
      </c>
      <c r="W62" t="str">
        <v>Nenhuma</v>
      </c>
      <c r="X62" t="str">
        <v>Nao</v>
      </c>
      <c r="Y62" t="str">
        <v>Nenhuma</v>
      </c>
      <c r="Z62">
        <v>0</v>
      </c>
      <c r="AA62">
        <v>11.3</v>
      </c>
      <c r="AB62">
        <v>0.81</v>
      </c>
      <c r="AC62">
        <v>1</v>
      </c>
      <c r="AD62">
        <v>112</v>
      </c>
      <c r="AE62">
        <v>89</v>
      </c>
      <c r="AF62" t="str">
        <v>Rural</v>
      </c>
      <c r="AG62" t="str">
        <v>Nao</v>
      </c>
    </row>
    <row r="63" spans="2:33" x14ac:dyDescent="0.45">
      <c r="B63" s="4">
        <v>62</v>
      </c>
      <c r="C63" s="4" t="s">
        <v>22</v>
      </c>
      <c r="D63" s="4" t="s">
        <v>23</v>
      </c>
      <c r="E63" s="4" t="s">
        <v>35</v>
      </c>
      <c r="F63" s="4" t="s">
        <v>24</v>
      </c>
      <c r="G63" s="4" t="s">
        <v>30</v>
      </c>
      <c r="H63" s="4" t="s">
        <v>34</v>
      </c>
      <c r="I63" s="4">
        <v>35</v>
      </c>
      <c r="J63" s="5">
        <v>56.3</v>
      </c>
      <c r="K63" s="6">
        <v>1.83</v>
      </c>
      <c r="L63" s="4">
        <v>4</v>
      </c>
      <c r="M63" s="4">
        <v>123</v>
      </c>
      <c r="N63" s="4">
        <v>101</v>
      </c>
      <c r="O63" s="4" t="s">
        <v>21</v>
      </c>
      <c r="P63" s="7" t="s">
        <v>19</v>
      </c>
      <c r="S63">
        <v>130</v>
      </c>
      <c r="T63" t="str">
        <v>Zambezia</v>
      </c>
      <c r="U63" t="str">
        <v>Masculino</v>
      </c>
      <c r="V63" t="str">
        <v>Viuvo(a)</v>
      </c>
      <c r="W63" t="str">
        <v>Nenhuma</v>
      </c>
      <c r="X63" t="str">
        <v>Nao</v>
      </c>
      <c r="Y63" t="str">
        <v>Nenhuma</v>
      </c>
      <c r="Z63">
        <v>53</v>
      </c>
      <c r="AA63">
        <v>50.5</v>
      </c>
      <c r="AB63">
        <v>1.89</v>
      </c>
      <c r="AC63">
        <v>0</v>
      </c>
      <c r="AD63">
        <v>117</v>
      </c>
      <c r="AE63">
        <v>97</v>
      </c>
      <c r="AF63" t="str">
        <v>Urbana</v>
      </c>
      <c r="AG63" t="str">
        <v>Nao</v>
      </c>
    </row>
    <row r="64" spans="2:33" x14ac:dyDescent="0.45">
      <c r="B64" s="4">
        <v>63</v>
      </c>
      <c r="C64" s="4" t="s">
        <v>33</v>
      </c>
      <c r="D64" s="4" t="s">
        <v>16</v>
      </c>
      <c r="E64" s="4" t="s">
        <v>17</v>
      </c>
      <c r="F64" s="4" t="s">
        <v>18</v>
      </c>
      <c r="G64" s="4" t="s">
        <v>19</v>
      </c>
      <c r="H64" s="4" t="s">
        <v>46</v>
      </c>
      <c r="I64" s="4">
        <v>41</v>
      </c>
      <c r="J64" s="5">
        <v>66.5</v>
      </c>
      <c r="K64" s="6">
        <v>1.66</v>
      </c>
      <c r="L64" s="4">
        <v>4</v>
      </c>
      <c r="M64" s="4">
        <v>125</v>
      </c>
      <c r="N64" s="4">
        <v>100</v>
      </c>
      <c r="O64" s="4" t="s">
        <v>26</v>
      </c>
      <c r="P64" s="7" t="s">
        <v>19</v>
      </c>
      <c r="S64">
        <v>133</v>
      </c>
      <c r="T64" t="str">
        <v>Zambezia</v>
      </c>
      <c r="U64" t="str">
        <v>Masculino</v>
      </c>
      <c r="V64" t="str">
        <v>Casado(a)</v>
      </c>
      <c r="W64" t="str">
        <v>Primaria</v>
      </c>
      <c r="X64" t="str">
        <v>Nao</v>
      </c>
      <c r="Y64" t="str">
        <v>Nenhuma</v>
      </c>
      <c r="Z64">
        <v>5</v>
      </c>
      <c r="AA64">
        <v>25.4</v>
      </c>
      <c r="AB64">
        <v>1.05</v>
      </c>
      <c r="AC64">
        <v>9</v>
      </c>
      <c r="AD64">
        <v>99</v>
      </c>
      <c r="AE64">
        <v>89</v>
      </c>
      <c r="AF64" t="str">
        <v>Rural</v>
      </c>
      <c r="AG64" t="str">
        <v>Nao</v>
      </c>
    </row>
    <row r="65" spans="2:33" x14ac:dyDescent="0.45">
      <c r="B65" s="4">
        <v>64</v>
      </c>
      <c r="C65" s="4" t="s">
        <v>27</v>
      </c>
      <c r="D65" s="4" t="s">
        <v>16</v>
      </c>
      <c r="E65" s="4" t="s">
        <v>35</v>
      </c>
      <c r="F65" s="4" t="s">
        <v>18</v>
      </c>
      <c r="G65" s="4" t="s">
        <v>19</v>
      </c>
      <c r="H65" s="4" t="s">
        <v>20</v>
      </c>
      <c r="I65" s="4">
        <v>9</v>
      </c>
      <c r="J65" s="5">
        <v>21.1</v>
      </c>
      <c r="K65" s="6">
        <v>1.45</v>
      </c>
      <c r="L65" s="4">
        <v>3</v>
      </c>
      <c r="M65" s="4">
        <v>102</v>
      </c>
      <c r="N65" s="4">
        <v>89</v>
      </c>
      <c r="O65" s="4" t="s">
        <v>26</v>
      </c>
      <c r="P65" s="7" t="s">
        <v>19</v>
      </c>
      <c r="S65">
        <v>135</v>
      </c>
      <c r="T65" t="str">
        <v>Cabo Delgado</v>
      </c>
      <c r="U65" t="str">
        <v>Masculino</v>
      </c>
      <c r="V65" t="str">
        <v>Casado(a)</v>
      </c>
      <c r="W65" t="str">
        <v>Primaria</v>
      </c>
      <c r="X65" t="str">
        <v>Nao</v>
      </c>
      <c r="Y65" t="str">
        <v>Malaria</v>
      </c>
      <c r="Z65">
        <v>3</v>
      </c>
      <c r="AA65">
        <v>7</v>
      </c>
      <c r="AB65">
        <v>0.63</v>
      </c>
      <c r="AC65">
        <v>1</v>
      </c>
      <c r="AD65">
        <v>98</v>
      </c>
      <c r="AE65">
        <v>97</v>
      </c>
      <c r="AF65" t="str">
        <v>Rural</v>
      </c>
      <c r="AG65" t="str">
        <v>Sim</v>
      </c>
    </row>
    <row r="66" spans="2:33" x14ac:dyDescent="0.45">
      <c r="B66" s="4">
        <v>65</v>
      </c>
      <c r="C66" s="4" t="s">
        <v>33</v>
      </c>
      <c r="D66" s="4" t="s">
        <v>23</v>
      </c>
      <c r="E66" s="4" t="s">
        <v>35</v>
      </c>
      <c r="F66" s="4" t="s">
        <v>24</v>
      </c>
      <c r="G66" s="4" t="s">
        <v>19</v>
      </c>
      <c r="H66" s="4" t="s">
        <v>36</v>
      </c>
      <c r="I66" s="4">
        <v>3</v>
      </c>
      <c r="J66" s="5">
        <v>7.2</v>
      </c>
      <c r="K66" s="6">
        <v>1</v>
      </c>
      <c r="L66" s="4">
        <v>0</v>
      </c>
      <c r="M66" s="4">
        <v>116</v>
      </c>
      <c r="N66" s="4">
        <v>92</v>
      </c>
      <c r="O66" s="4" t="s">
        <v>21</v>
      </c>
      <c r="P66" s="7" t="s">
        <v>19</v>
      </c>
      <c r="S66">
        <v>136</v>
      </c>
      <c r="T66" t="str">
        <v>Manica</v>
      </c>
      <c r="U66" t="str">
        <v>Masculino</v>
      </c>
      <c r="V66" t="str">
        <v>Casado(a)</v>
      </c>
      <c r="W66" t="str">
        <v>Primaria</v>
      </c>
      <c r="X66" t="str">
        <v>Nao</v>
      </c>
      <c r="Y66" t="str">
        <v>Hipertensao</v>
      </c>
      <c r="Z66">
        <v>4</v>
      </c>
      <c r="AA66">
        <v>6.4</v>
      </c>
      <c r="AB66">
        <v>0.86</v>
      </c>
      <c r="AC66">
        <v>9</v>
      </c>
      <c r="AD66">
        <v>134</v>
      </c>
      <c r="AE66">
        <v>90</v>
      </c>
      <c r="AF66" t="str">
        <v>Rural</v>
      </c>
      <c r="AG66" t="str">
        <v>Nao</v>
      </c>
    </row>
    <row r="67" spans="2:33" x14ac:dyDescent="0.45">
      <c r="B67" s="4">
        <v>66</v>
      </c>
      <c r="C67" s="4" t="s">
        <v>15</v>
      </c>
      <c r="D67" s="4" t="s">
        <v>23</v>
      </c>
      <c r="E67" s="4" t="s">
        <v>17</v>
      </c>
      <c r="F67" s="4" t="s">
        <v>18</v>
      </c>
      <c r="G67" s="4" t="s">
        <v>19</v>
      </c>
      <c r="H67" s="4" t="s">
        <v>32</v>
      </c>
      <c r="I67" s="4">
        <v>5</v>
      </c>
      <c r="J67" s="5">
        <v>37</v>
      </c>
      <c r="K67" s="6">
        <v>1.23</v>
      </c>
      <c r="L67" s="4">
        <v>7</v>
      </c>
      <c r="M67" s="4">
        <v>114</v>
      </c>
      <c r="N67" s="4">
        <v>178</v>
      </c>
      <c r="O67" s="4" t="s">
        <v>26</v>
      </c>
      <c r="P67" s="7" t="s">
        <v>19</v>
      </c>
      <c r="S67">
        <v>137</v>
      </c>
      <c r="T67" t="str">
        <v>Cabo Delgado</v>
      </c>
      <c r="U67" t="str">
        <v>Masculino</v>
      </c>
      <c r="V67" t="str">
        <v>Casado(a)</v>
      </c>
      <c r="W67" t="str">
        <v>Primaria</v>
      </c>
      <c r="X67" t="str">
        <v>Nao</v>
      </c>
      <c r="Y67" t="str">
        <v>Malaria</v>
      </c>
      <c r="Z67">
        <v>55</v>
      </c>
      <c r="AA67">
        <v>58.7</v>
      </c>
      <c r="AB67">
        <v>1.89</v>
      </c>
      <c r="AC67">
        <v>2</v>
      </c>
      <c r="AD67">
        <v>109</v>
      </c>
      <c r="AE67">
        <v>81</v>
      </c>
      <c r="AF67" t="str">
        <v>Urbana</v>
      </c>
      <c r="AG67" t="str">
        <v>Nao</v>
      </c>
    </row>
    <row r="68" spans="2:33" x14ac:dyDescent="0.45">
      <c r="B68" s="4">
        <v>67</v>
      </c>
      <c r="C68" s="4" t="s">
        <v>27</v>
      </c>
      <c r="D68" s="4" t="s">
        <v>23</v>
      </c>
      <c r="E68" s="4" t="s">
        <v>35</v>
      </c>
      <c r="F68" s="4" t="s">
        <v>24</v>
      </c>
      <c r="G68" s="4" t="s">
        <v>19</v>
      </c>
      <c r="H68" s="4" t="s">
        <v>20</v>
      </c>
      <c r="I68" s="4">
        <v>20</v>
      </c>
      <c r="J68" s="5">
        <v>65.400000000000006</v>
      </c>
      <c r="K68" s="6">
        <v>1.9</v>
      </c>
      <c r="L68" s="4">
        <v>2</v>
      </c>
      <c r="M68" s="4">
        <v>98</v>
      </c>
      <c r="N68" s="4">
        <v>95</v>
      </c>
      <c r="O68" s="4" t="s">
        <v>26</v>
      </c>
      <c r="P68" s="7" t="s">
        <v>19</v>
      </c>
      <c r="S68">
        <v>140</v>
      </c>
      <c r="T68" t="str">
        <v>Tete</v>
      </c>
      <c r="U68" t="str">
        <v>Masculino</v>
      </c>
      <c r="V68" t="str">
        <v>Viuvo(a)</v>
      </c>
      <c r="W68" t="str">
        <v>Secundaria</v>
      </c>
      <c r="X68" t="str">
        <v>Nao</v>
      </c>
      <c r="Y68" t="str">
        <v>Nenhuma</v>
      </c>
      <c r="Z68">
        <v>9</v>
      </c>
      <c r="AA68">
        <v>36</v>
      </c>
      <c r="AB68">
        <v>1.37</v>
      </c>
      <c r="AC68">
        <v>1</v>
      </c>
      <c r="AD68">
        <v>113</v>
      </c>
      <c r="AE68">
        <v>94</v>
      </c>
      <c r="AF68" t="str">
        <v>Rural</v>
      </c>
      <c r="AG68" t="str">
        <v>Sim</v>
      </c>
    </row>
    <row r="69" spans="2:33" x14ac:dyDescent="0.45">
      <c r="B69" s="4">
        <v>68</v>
      </c>
      <c r="C69" s="4" t="s">
        <v>29</v>
      </c>
      <c r="D69" s="4" t="s">
        <v>23</v>
      </c>
      <c r="E69" s="4" t="s">
        <v>35</v>
      </c>
      <c r="F69" s="4" t="s">
        <v>28</v>
      </c>
      <c r="G69" s="4" t="s">
        <v>19</v>
      </c>
      <c r="H69" s="4" t="s">
        <v>36</v>
      </c>
      <c r="I69" s="4">
        <v>12</v>
      </c>
      <c r="J69" s="5">
        <v>44.1</v>
      </c>
      <c r="K69" s="6">
        <v>1.48</v>
      </c>
      <c r="L69" s="4">
        <v>8</v>
      </c>
      <c r="M69" s="4">
        <v>119</v>
      </c>
      <c r="N69" s="4">
        <v>73</v>
      </c>
      <c r="O69" s="4" t="s">
        <v>26</v>
      </c>
      <c r="P69" s="7" t="s">
        <v>19</v>
      </c>
      <c r="S69">
        <v>144</v>
      </c>
      <c r="T69" t="str">
        <v>Tete</v>
      </c>
      <c r="U69" t="str">
        <v>Masculino</v>
      </c>
      <c r="V69" t="str">
        <v>Viuvo(a)</v>
      </c>
      <c r="W69" t="str">
        <v>Secundaria</v>
      </c>
      <c r="X69" t="str">
        <v>Nao</v>
      </c>
      <c r="Y69" t="str">
        <v>HIV/SIDA</v>
      </c>
      <c r="Z69">
        <v>55</v>
      </c>
      <c r="AA69">
        <v>53.5</v>
      </c>
      <c r="AB69">
        <v>1.56</v>
      </c>
      <c r="AC69">
        <v>6</v>
      </c>
      <c r="AD69">
        <v>120</v>
      </c>
      <c r="AE69">
        <v>88</v>
      </c>
      <c r="AF69" t="str">
        <v>Rural</v>
      </c>
      <c r="AG69" t="str">
        <v>Nao</v>
      </c>
    </row>
    <row r="70" spans="2:33" x14ac:dyDescent="0.45">
      <c r="B70" s="4">
        <v>69</v>
      </c>
      <c r="C70" s="4" t="s">
        <v>27</v>
      </c>
      <c r="D70" s="4" t="s">
        <v>23</v>
      </c>
      <c r="E70" s="4" t="s">
        <v>17</v>
      </c>
      <c r="F70" s="4" t="s">
        <v>18</v>
      </c>
      <c r="G70" s="4" t="s">
        <v>19</v>
      </c>
      <c r="H70" s="4" t="s">
        <v>20</v>
      </c>
      <c r="I70" s="4">
        <v>23</v>
      </c>
      <c r="J70" s="5">
        <v>75.5</v>
      </c>
      <c r="K70" s="6">
        <v>1.49</v>
      </c>
      <c r="L70" s="4">
        <v>3</v>
      </c>
      <c r="M70" s="4">
        <v>104</v>
      </c>
      <c r="N70" s="4">
        <v>96</v>
      </c>
      <c r="O70" s="4" t="s">
        <v>26</v>
      </c>
      <c r="P70" s="7" t="s">
        <v>19</v>
      </c>
      <c r="S70">
        <v>148</v>
      </c>
      <c r="T70" t="str">
        <v>Gaza</v>
      </c>
      <c r="U70" t="str">
        <v>Masculino</v>
      </c>
      <c r="V70" t="str">
        <v>Casado(a)</v>
      </c>
      <c r="W70" t="str">
        <v>Secundaria</v>
      </c>
      <c r="X70" t="str">
        <v>Nao</v>
      </c>
      <c r="Y70" t="str">
        <v>Malaria</v>
      </c>
      <c r="Z70">
        <v>21</v>
      </c>
      <c r="AA70">
        <v>71.099999999999994</v>
      </c>
      <c r="AB70">
        <v>1.61</v>
      </c>
      <c r="AC70">
        <v>2</v>
      </c>
      <c r="AD70">
        <v>104</v>
      </c>
      <c r="AE70">
        <v>96</v>
      </c>
      <c r="AF70" t="str">
        <v>Rural</v>
      </c>
      <c r="AG70" t="str">
        <v>Nao</v>
      </c>
    </row>
    <row r="71" spans="2:33" x14ac:dyDescent="0.45">
      <c r="B71" s="4">
        <v>70</v>
      </c>
      <c r="C71" s="4" t="s">
        <v>43</v>
      </c>
      <c r="D71" s="4" t="s">
        <v>23</v>
      </c>
      <c r="E71" s="4" t="s">
        <v>37</v>
      </c>
      <c r="F71" s="4" t="s">
        <v>18</v>
      </c>
      <c r="G71" s="4" t="s">
        <v>19</v>
      </c>
      <c r="H71" s="4" t="s">
        <v>46</v>
      </c>
      <c r="I71" s="4">
        <v>74</v>
      </c>
      <c r="J71" s="5">
        <v>45.1</v>
      </c>
      <c r="K71" s="6">
        <v>1.73</v>
      </c>
      <c r="L71" s="4">
        <v>1</v>
      </c>
      <c r="M71" s="4">
        <v>135</v>
      </c>
      <c r="N71" s="4">
        <v>95</v>
      </c>
      <c r="O71" s="4" t="s">
        <v>26</v>
      </c>
      <c r="P71" s="7" t="s">
        <v>30</v>
      </c>
      <c r="S71">
        <v>151</v>
      </c>
      <c r="T71" t="str">
        <v>Zambezia</v>
      </c>
      <c r="U71" t="str">
        <v>Masculino</v>
      </c>
      <c r="V71" t="str">
        <v>Solteiro(a)</v>
      </c>
      <c r="W71" t="str">
        <v>Nenhuma</v>
      </c>
      <c r="X71" t="str">
        <v>Nao</v>
      </c>
      <c r="Y71" t="str">
        <v>Malaria</v>
      </c>
      <c r="Z71">
        <v>10</v>
      </c>
      <c r="AA71">
        <v>37</v>
      </c>
      <c r="AB71">
        <v>1.1200000000000001</v>
      </c>
      <c r="AC71">
        <v>1</v>
      </c>
      <c r="AD71">
        <v>101</v>
      </c>
      <c r="AE71">
        <v>101</v>
      </c>
      <c r="AF71" t="str">
        <v>Rural</v>
      </c>
      <c r="AG71" t="str">
        <v>Nao</v>
      </c>
    </row>
    <row r="72" spans="2:33" x14ac:dyDescent="0.45">
      <c r="B72" s="4">
        <v>71</v>
      </c>
      <c r="C72" s="4" t="s">
        <v>33</v>
      </c>
      <c r="D72" s="4" t="s">
        <v>23</v>
      </c>
      <c r="E72" s="4" t="s">
        <v>35</v>
      </c>
      <c r="F72" s="4" t="s">
        <v>18</v>
      </c>
      <c r="G72" s="4" t="s">
        <v>19</v>
      </c>
      <c r="H72" s="4" t="s">
        <v>36</v>
      </c>
      <c r="I72" s="4">
        <v>78</v>
      </c>
      <c r="J72" s="5">
        <v>61.2</v>
      </c>
      <c r="K72" s="6">
        <v>1.67</v>
      </c>
      <c r="L72" s="4">
        <v>2</v>
      </c>
      <c r="M72" s="4">
        <v>132</v>
      </c>
      <c r="N72" s="4">
        <v>96</v>
      </c>
      <c r="O72" s="4" t="s">
        <v>26</v>
      </c>
      <c r="P72" s="7" t="s">
        <v>19</v>
      </c>
      <c r="S72">
        <v>154</v>
      </c>
      <c r="T72" t="str">
        <v>Sofala</v>
      </c>
      <c r="U72" t="str">
        <v>Masculino</v>
      </c>
      <c r="V72" t="str">
        <v>Casado(a)</v>
      </c>
      <c r="W72" t="str">
        <v>Secundaria</v>
      </c>
      <c r="X72" t="str">
        <v>Nao</v>
      </c>
      <c r="Y72" t="str">
        <v>HIV/SIDA</v>
      </c>
      <c r="Z72">
        <v>22</v>
      </c>
      <c r="AA72">
        <v>66.599999999999994</v>
      </c>
      <c r="AB72">
        <v>1.58</v>
      </c>
      <c r="AC72">
        <v>3</v>
      </c>
      <c r="AD72">
        <v>116</v>
      </c>
      <c r="AE72">
        <v>74</v>
      </c>
      <c r="AF72" t="str">
        <v>Rural</v>
      </c>
      <c r="AG72" t="str">
        <v>Nao</v>
      </c>
    </row>
    <row r="73" spans="2:33" x14ac:dyDescent="0.45">
      <c r="B73" s="4">
        <v>72</v>
      </c>
      <c r="C73" s="4" t="s">
        <v>27</v>
      </c>
      <c r="D73" s="4" t="s">
        <v>16</v>
      </c>
      <c r="E73" s="4" t="s">
        <v>35</v>
      </c>
      <c r="F73" s="4" t="s">
        <v>24</v>
      </c>
      <c r="G73" s="4" t="s">
        <v>19</v>
      </c>
      <c r="H73" s="4" t="s">
        <v>20</v>
      </c>
      <c r="I73" s="4">
        <v>23</v>
      </c>
      <c r="J73" s="5">
        <v>61.5</v>
      </c>
      <c r="K73" s="6">
        <v>1.53</v>
      </c>
      <c r="L73" s="4">
        <v>1</v>
      </c>
      <c r="M73" s="4">
        <v>104</v>
      </c>
      <c r="N73" s="4">
        <v>100</v>
      </c>
      <c r="O73" s="4" t="s">
        <v>21</v>
      </c>
      <c r="P73" s="7" t="s">
        <v>19</v>
      </c>
      <c r="S73">
        <v>157</v>
      </c>
      <c r="T73" t="str">
        <v>Nampula</v>
      </c>
      <c r="U73" t="str">
        <v>Masculino</v>
      </c>
      <c r="V73" t="str">
        <v>Solteiro(a)</v>
      </c>
      <c r="W73" t="str">
        <v>Primaria</v>
      </c>
      <c r="X73" t="str">
        <v>Nao</v>
      </c>
      <c r="Y73" t="str">
        <v>Nenhuma</v>
      </c>
      <c r="Z73">
        <v>1</v>
      </c>
      <c r="AA73">
        <v>6.6</v>
      </c>
      <c r="AB73">
        <v>0.68</v>
      </c>
      <c r="AC73">
        <v>2</v>
      </c>
      <c r="AD73">
        <v>107</v>
      </c>
      <c r="AE73">
        <v>102</v>
      </c>
      <c r="AF73" t="str">
        <v>Urbana</v>
      </c>
      <c r="AG73" t="str">
        <v>Nao</v>
      </c>
    </row>
    <row r="74" spans="2:33" x14ac:dyDescent="0.45">
      <c r="B74" s="4">
        <v>73</v>
      </c>
      <c r="C74" s="4" t="s">
        <v>27</v>
      </c>
      <c r="D74" s="4" t="s">
        <v>23</v>
      </c>
      <c r="E74" s="4" t="s">
        <v>35</v>
      </c>
      <c r="F74" s="4" t="s">
        <v>28</v>
      </c>
      <c r="G74" s="4" t="s">
        <v>19</v>
      </c>
      <c r="H74" s="4" t="s">
        <v>25</v>
      </c>
      <c r="I74" s="4">
        <v>82</v>
      </c>
      <c r="J74" s="5">
        <v>71.8</v>
      </c>
      <c r="K74" s="6">
        <v>1.76</v>
      </c>
      <c r="L74" s="4">
        <v>4</v>
      </c>
      <c r="M74" s="4">
        <v>116</v>
      </c>
      <c r="N74" s="4">
        <v>74</v>
      </c>
      <c r="O74" s="4" t="s">
        <v>21</v>
      </c>
      <c r="P74" s="7" t="s">
        <v>19</v>
      </c>
      <c r="S74">
        <v>158</v>
      </c>
      <c r="T74" t="str">
        <v>Sofala</v>
      </c>
      <c r="U74" t="str">
        <v>Masculino</v>
      </c>
      <c r="V74" t="str">
        <v>Solteiro(a)</v>
      </c>
      <c r="W74" t="str">
        <v>Nenhuma</v>
      </c>
      <c r="X74" t="str">
        <v>Nao</v>
      </c>
      <c r="Y74" t="str">
        <v>Diabetes</v>
      </c>
      <c r="Z74">
        <v>34</v>
      </c>
      <c r="AA74">
        <v>55</v>
      </c>
      <c r="AB74">
        <v>1.88</v>
      </c>
      <c r="AC74">
        <v>5</v>
      </c>
      <c r="AD74">
        <v>125</v>
      </c>
      <c r="AE74">
        <v>149</v>
      </c>
      <c r="AF74" t="str">
        <v>Rural</v>
      </c>
      <c r="AG74" t="str">
        <v>Sim</v>
      </c>
    </row>
    <row r="75" spans="2:33" x14ac:dyDescent="0.45">
      <c r="B75" s="4">
        <v>74</v>
      </c>
      <c r="C75" s="4" t="s">
        <v>43</v>
      </c>
      <c r="D75" s="4" t="s">
        <v>23</v>
      </c>
      <c r="E75" s="4" t="s">
        <v>17</v>
      </c>
      <c r="F75" s="4" t="s">
        <v>28</v>
      </c>
      <c r="G75" s="4" t="s">
        <v>19</v>
      </c>
      <c r="H75" s="4" t="s">
        <v>28</v>
      </c>
      <c r="I75" s="4">
        <v>57</v>
      </c>
      <c r="J75" s="5">
        <v>86.7</v>
      </c>
      <c r="K75" s="6">
        <v>1.67</v>
      </c>
      <c r="L75" s="4">
        <v>5</v>
      </c>
      <c r="M75" s="4">
        <v>135</v>
      </c>
      <c r="N75" s="4">
        <v>84</v>
      </c>
      <c r="O75" s="4" t="s">
        <v>21</v>
      </c>
      <c r="P75" s="7" t="s">
        <v>30</v>
      </c>
      <c r="S75">
        <v>159</v>
      </c>
      <c r="T75" t="str">
        <v>Maputo Cidade</v>
      </c>
      <c r="U75" t="str">
        <v>Masculino</v>
      </c>
      <c r="V75" t="str">
        <v>Casado(a)</v>
      </c>
      <c r="W75" t="str">
        <v>Primaria</v>
      </c>
      <c r="X75" t="str">
        <v>Nao</v>
      </c>
      <c r="Y75" t="str">
        <v>Tuberculose</v>
      </c>
      <c r="Z75">
        <v>78</v>
      </c>
      <c r="AA75">
        <v>82.6</v>
      </c>
      <c r="AB75">
        <v>1.66</v>
      </c>
      <c r="AC75">
        <v>1</v>
      </c>
      <c r="AD75">
        <v>127</v>
      </c>
      <c r="AE75">
        <v>103</v>
      </c>
      <c r="AF75" t="str">
        <v>Urbana</v>
      </c>
      <c r="AG75" t="str">
        <v>Sim</v>
      </c>
    </row>
    <row r="76" spans="2:33" x14ac:dyDescent="0.45">
      <c r="B76" s="4">
        <v>75</v>
      </c>
      <c r="C76" s="4" t="s">
        <v>41</v>
      </c>
      <c r="D76" s="4" t="s">
        <v>16</v>
      </c>
      <c r="E76" s="4" t="s">
        <v>17</v>
      </c>
      <c r="F76" s="4" t="s">
        <v>24</v>
      </c>
      <c r="G76" s="4" t="s">
        <v>30</v>
      </c>
      <c r="H76" s="4" t="s">
        <v>34</v>
      </c>
      <c r="I76" s="4">
        <v>62</v>
      </c>
      <c r="J76" s="5">
        <v>47.4</v>
      </c>
      <c r="K76" s="6">
        <v>1.65</v>
      </c>
      <c r="L76" s="4">
        <v>2</v>
      </c>
      <c r="M76" s="4">
        <v>132</v>
      </c>
      <c r="N76" s="4">
        <v>85</v>
      </c>
      <c r="O76" s="4" t="s">
        <v>21</v>
      </c>
      <c r="P76" s="7" t="s">
        <v>30</v>
      </c>
      <c r="S76">
        <v>166</v>
      </c>
      <c r="T76" t="str">
        <v>Nampula</v>
      </c>
      <c r="U76" t="str">
        <v>Masculino</v>
      </c>
      <c r="V76" t="str">
        <v>Casado(a)</v>
      </c>
      <c r="W76" t="str">
        <v>Primaria</v>
      </c>
      <c r="X76" t="str">
        <v>Nao</v>
      </c>
      <c r="Y76" t="str">
        <v>Hipertensao</v>
      </c>
      <c r="Z76">
        <v>53</v>
      </c>
      <c r="AA76">
        <v>53.2</v>
      </c>
      <c r="AB76">
        <v>1.53</v>
      </c>
      <c r="AC76">
        <v>4</v>
      </c>
      <c r="AD76">
        <v>151</v>
      </c>
      <c r="AE76">
        <v>104</v>
      </c>
      <c r="AF76" t="str">
        <v>Rural</v>
      </c>
      <c r="AG76" t="str">
        <v>Nao</v>
      </c>
    </row>
    <row r="77" spans="2:33" x14ac:dyDescent="0.45">
      <c r="B77" s="4">
        <v>76</v>
      </c>
      <c r="C77" s="4" t="s">
        <v>22</v>
      </c>
      <c r="D77" s="4" t="s">
        <v>16</v>
      </c>
      <c r="E77" s="4" t="s">
        <v>35</v>
      </c>
      <c r="F77" s="4" t="s">
        <v>18</v>
      </c>
      <c r="G77" s="4" t="s">
        <v>19</v>
      </c>
      <c r="H77" s="4" t="s">
        <v>32</v>
      </c>
      <c r="I77" s="4">
        <v>41</v>
      </c>
      <c r="J77" s="5">
        <v>53</v>
      </c>
      <c r="K77" s="6">
        <v>1.57</v>
      </c>
      <c r="L77" s="4">
        <v>5</v>
      </c>
      <c r="M77" s="4">
        <v>110</v>
      </c>
      <c r="N77" s="4">
        <v>151</v>
      </c>
      <c r="O77" s="4" t="s">
        <v>26</v>
      </c>
      <c r="P77" s="7" t="s">
        <v>19</v>
      </c>
      <c r="S77">
        <v>167</v>
      </c>
      <c r="T77" t="str">
        <v>Nampula</v>
      </c>
      <c r="U77" t="str">
        <v>Masculino</v>
      </c>
      <c r="V77" t="str">
        <v>Divorciado(a)</v>
      </c>
      <c r="W77" t="str">
        <v>Primaria</v>
      </c>
      <c r="X77" t="str">
        <v>Nao</v>
      </c>
      <c r="Y77" t="str">
        <v>HIV/SIDA</v>
      </c>
      <c r="Z77">
        <v>39</v>
      </c>
      <c r="AA77">
        <v>89.9</v>
      </c>
      <c r="AB77">
        <v>1.52</v>
      </c>
      <c r="AC77">
        <v>1</v>
      </c>
      <c r="AD77">
        <v>123</v>
      </c>
      <c r="AE77">
        <v>88</v>
      </c>
      <c r="AF77" t="str">
        <v>Rural</v>
      </c>
      <c r="AG77" t="str">
        <v>Sim</v>
      </c>
    </row>
    <row r="78" spans="2:33" x14ac:dyDescent="0.45">
      <c r="B78" s="4">
        <v>77</v>
      </c>
      <c r="C78" s="4" t="s">
        <v>41</v>
      </c>
      <c r="D78" s="4" t="s">
        <v>23</v>
      </c>
      <c r="E78" s="4" t="s">
        <v>37</v>
      </c>
      <c r="F78" s="4" t="s">
        <v>18</v>
      </c>
      <c r="G78" s="4" t="s">
        <v>30</v>
      </c>
      <c r="H78" s="4" t="s">
        <v>36</v>
      </c>
      <c r="I78" s="4">
        <v>31</v>
      </c>
      <c r="J78" s="5">
        <v>72</v>
      </c>
      <c r="K78" s="6">
        <v>1.52</v>
      </c>
      <c r="L78" s="4">
        <v>1</v>
      </c>
      <c r="M78" s="4">
        <v>141</v>
      </c>
      <c r="N78" s="4">
        <v>82</v>
      </c>
      <c r="O78" s="4" t="s">
        <v>21</v>
      </c>
      <c r="P78" s="7" t="s">
        <v>30</v>
      </c>
      <c r="S78">
        <v>170</v>
      </c>
      <c r="T78" t="str">
        <v>Maputo Provincia</v>
      </c>
      <c r="U78" t="str">
        <v>Masculino</v>
      </c>
      <c r="V78" t="str">
        <v>Solteiro(a)</v>
      </c>
      <c r="W78" t="str">
        <v>Superior</v>
      </c>
      <c r="X78" t="str">
        <v>Nao</v>
      </c>
      <c r="Y78" t="str">
        <v>Diabetes</v>
      </c>
      <c r="Z78">
        <v>80</v>
      </c>
      <c r="AA78">
        <v>51.3</v>
      </c>
      <c r="AB78">
        <v>1.69</v>
      </c>
      <c r="AC78">
        <v>1</v>
      </c>
      <c r="AD78">
        <v>134</v>
      </c>
      <c r="AE78">
        <v>157</v>
      </c>
      <c r="AF78" t="str">
        <v>Urbana</v>
      </c>
      <c r="AG78" t="str">
        <v>Nao</v>
      </c>
    </row>
    <row r="79" spans="2:33" x14ac:dyDescent="0.45">
      <c r="B79" s="4">
        <v>78</v>
      </c>
      <c r="C79" s="4" t="s">
        <v>27</v>
      </c>
      <c r="D79" s="4" t="s">
        <v>23</v>
      </c>
      <c r="E79" s="4" t="s">
        <v>35</v>
      </c>
      <c r="F79" s="4" t="s">
        <v>24</v>
      </c>
      <c r="G79" s="4" t="s">
        <v>19</v>
      </c>
      <c r="H79" s="4" t="s">
        <v>46</v>
      </c>
      <c r="I79" s="4">
        <v>18</v>
      </c>
      <c r="J79" s="5">
        <v>63</v>
      </c>
      <c r="K79" s="6">
        <v>1.55</v>
      </c>
      <c r="L79" s="4">
        <v>0</v>
      </c>
      <c r="M79" s="4">
        <v>115</v>
      </c>
      <c r="N79" s="4">
        <v>105</v>
      </c>
      <c r="O79" s="4" t="s">
        <v>26</v>
      </c>
      <c r="P79" s="7" t="s">
        <v>30</v>
      </c>
      <c r="S79">
        <v>172</v>
      </c>
      <c r="T79" t="str">
        <v>Gaza</v>
      </c>
      <c r="U79" t="str">
        <v>Masculino</v>
      </c>
      <c r="V79" t="str">
        <v>Casado(a)</v>
      </c>
      <c r="W79" t="str">
        <v>Nenhuma</v>
      </c>
      <c r="X79" t="str">
        <v>Sim</v>
      </c>
      <c r="Y79" t="str">
        <v>Nenhuma</v>
      </c>
      <c r="Z79">
        <v>66</v>
      </c>
      <c r="AA79">
        <v>66.400000000000006</v>
      </c>
      <c r="AB79">
        <v>1.64</v>
      </c>
      <c r="AC79">
        <v>1</v>
      </c>
      <c r="AD79">
        <v>110</v>
      </c>
      <c r="AE79">
        <v>81</v>
      </c>
      <c r="AF79" t="str">
        <v>Rural</v>
      </c>
      <c r="AG79" t="str">
        <v>Nao</v>
      </c>
    </row>
    <row r="80" spans="2:33" x14ac:dyDescent="0.45">
      <c r="B80" s="4">
        <v>79</v>
      </c>
      <c r="C80" s="4" t="s">
        <v>27</v>
      </c>
      <c r="D80" s="4" t="s">
        <v>16</v>
      </c>
      <c r="E80" s="4" t="s">
        <v>35</v>
      </c>
      <c r="F80" s="4" t="s">
        <v>24</v>
      </c>
      <c r="G80" s="4" t="s">
        <v>19</v>
      </c>
      <c r="H80" s="4" t="s">
        <v>20</v>
      </c>
      <c r="I80" s="4">
        <v>26</v>
      </c>
      <c r="J80" s="5">
        <v>67.7</v>
      </c>
      <c r="K80" s="6">
        <v>1.54</v>
      </c>
      <c r="L80" s="4">
        <v>7</v>
      </c>
      <c r="M80" s="4">
        <v>122</v>
      </c>
      <c r="N80" s="4">
        <v>95</v>
      </c>
      <c r="O80" s="4" t="s">
        <v>26</v>
      </c>
      <c r="P80" s="7" t="s">
        <v>19</v>
      </c>
      <c r="S80">
        <v>174</v>
      </c>
      <c r="T80" t="str">
        <v>Cabo Delgado</v>
      </c>
      <c r="U80" t="str">
        <v>Masculino</v>
      </c>
      <c r="V80" t="str">
        <v>Solteiro(a)</v>
      </c>
      <c r="W80" t="str">
        <v>Primaria</v>
      </c>
      <c r="X80" t="str">
        <v>Sim</v>
      </c>
      <c r="Y80" t="str">
        <v>Diarreia</v>
      </c>
      <c r="Z80">
        <v>11</v>
      </c>
      <c r="AA80">
        <v>33.200000000000003</v>
      </c>
      <c r="AB80">
        <v>1.41</v>
      </c>
      <c r="AC80">
        <v>0</v>
      </c>
      <c r="AD80">
        <v>98</v>
      </c>
      <c r="AE80">
        <v>102</v>
      </c>
      <c r="AF80" t="str">
        <v>Urbana</v>
      </c>
      <c r="AG80" t="str">
        <v>Nao</v>
      </c>
    </row>
    <row r="81" spans="2:33" x14ac:dyDescent="0.45">
      <c r="B81" s="4">
        <v>80</v>
      </c>
      <c r="C81" s="4" t="s">
        <v>31</v>
      </c>
      <c r="D81" s="4" t="s">
        <v>23</v>
      </c>
      <c r="E81" s="4" t="s">
        <v>37</v>
      </c>
      <c r="F81" s="4" t="s">
        <v>18</v>
      </c>
      <c r="G81" s="4" t="s">
        <v>30</v>
      </c>
      <c r="H81" s="4" t="s">
        <v>34</v>
      </c>
      <c r="I81" s="4">
        <v>87</v>
      </c>
      <c r="J81" s="5">
        <v>48.4</v>
      </c>
      <c r="K81" s="6">
        <v>1.5</v>
      </c>
      <c r="L81" s="4">
        <v>5</v>
      </c>
      <c r="M81" s="4">
        <v>118</v>
      </c>
      <c r="N81" s="4">
        <v>77</v>
      </c>
      <c r="O81" s="4" t="s">
        <v>21</v>
      </c>
      <c r="P81" s="7" t="s">
        <v>19</v>
      </c>
      <c r="S81">
        <v>178</v>
      </c>
      <c r="T81" t="str">
        <v>Maputo Provincia</v>
      </c>
      <c r="U81" t="str">
        <v>Masculino</v>
      </c>
      <c r="V81" t="str">
        <v>Solteiro(a)</v>
      </c>
      <c r="W81" t="str">
        <v>Primaria</v>
      </c>
      <c r="X81" t="str">
        <v>Nao</v>
      </c>
      <c r="Y81" t="str">
        <v>Hipertensao</v>
      </c>
      <c r="Z81">
        <v>11</v>
      </c>
      <c r="AA81">
        <v>21.7</v>
      </c>
      <c r="AB81">
        <v>1.21</v>
      </c>
      <c r="AC81">
        <v>6</v>
      </c>
      <c r="AD81">
        <v>131</v>
      </c>
      <c r="AE81">
        <v>100</v>
      </c>
      <c r="AF81" t="str">
        <v>Rural</v>
      </c>
      <c r="AG81" t="str">
        <v>Nao</v>
      </c>
    </row>
    <row r="82" spans="2:33" x14ac:dyDescent="0.45">
      <c r="B82" s="4">
        <v>81</v>
      </c>
      <c r="C82" s="4" t="s">
        <v>31</v>
      </c>
      <c r="D82" s="4" t="s">
        <v>16</v>
      </c>
      <c r="E82" s="4" t="s">
        <v>35</v>
      </c>
      <c r="F82" s="4" t="s">
        <v>24</v>
      </c>
      <c r="G82" s="4" t="s">
        <v>30</v>
      </c>
      <c r="H82" s="4" t="s">
        <v>28</v>
      </c>
      <c r="I82" s="4">
        <v>23</v>
      </c>
      <c r="J82" s="5">
        <v>72</v>
      </c>
      <c r="K82" s="6">
        <v>1.77</v>
      </c>
      <c r="L82" s="4">
        <v>4</v>
      </c>
      <c r="M82" s="4">
        <v>98</v>
      </c>
      <c r="N82" s="4">
        <v>99</v>
      </c>
      <c r="O82" s="4" t="s">
        <v>21</v>
      </c>
      <c r="P82" s="7" t="s">
        <v>19</v>
      </c>
      <c r="S82">
        <v>182</v>
      </c>
      <c r="T82" t="str">
        <v>Cabo Delgado</v>
      </c>
      <c r="U82" t="str">
        <v>Masculino</v>
      </c>
      <c r="V82" t="str">
        <v>Casado(a)</v>
      </c>
      <c r="W82" t="str">
        <v>Secundaria</v>
      </c>
      <c r="X82" t="str">
        <v>Sim</v>
      </c>
      <c r="Y82" t="str">
        <v>HIV/SIDA</v>
      </c>
      <c r="Z82">
        <v>4</v>
      </c>
      <c r="AA82">
        <v>6</v>
      </c>
      <c r="AB82">
        <v>0.72</v>
      </c>
      <c r="AC82">
        <v>1</v>
      </c>
      <c r="AD82">
        <v>92</v>
      </c>
      <c r="AE82">
        <v>86</v>
      </c>
      <c r="AF82" t="str">
        <v>Rural</v>
      </c>
      <c r="AG82" t="str">
        <v>Nao</v>
      </c>
    </row>
    <row r="83" spans="2:33" x14ac:dyDescent="0.45">
      <c r="B83" s="4">
        <v>82</v>
      </c>
      <c r="C83" s="4" t="s">
        <v>22</v>
      </c>
      <c r="D83" s="4" t="s">
        <v>16</v>
      </c>
      <c r="E83" s="4" t="s">
        <v>17</v>
      </c>
      <c r="F83" s="4" t="s">
        <v>18</v>
      </c>
      <c r="G83" s="4" t="s">
        <v>19</v>
      </c>
      <c r="H83" s="4" t="s">
        <v>25</v>
      </c>
      <c r="I83" s="4">
        <v>4</v>
      </c>
      <c r="J83" s="5">
        <v>15.6</v>
      </c>
      <c r="K83" s="6">
        <v>0.84</v>
      </c>
      <c r="L83" s="4">
        <v>3</v>
      </c>
      <c r="M83" s="4">
        <v>110</v>
      </c>
      <c r="N83" s="4">
        <v>92</v>
      </c>
      <c r="O83" s="4" t="s">
        <v>21</v>
      </c>
      <c r="P83" s="7" t="s">
        <v>19</v>
      </c>
      <c r="S83">
        <v>183</v>
      </c>
      <c r="T83" t="str">
        <v>Inhambane</v>
      </c>
      <c r="U83" t="str">
        <v>Masculino</v>
      </c>
      <c r="V83" t="str">
        <v>Solteiro(a)</v>
      </c>
      <c r="W83" t="str">
        <v>Primaria</v>
      </c>
      <c r="X83" t="str">
        <v>Nao</v>
      </c>
      <c r="Y83" t="str">
        <v>HIV/SIDA</v>
      </c>
      <c r="Z83">
        <v>2</v>
      </c>
      <c r="AA83">
        <v>6.7</v>
      </c>
      <c r="AB83">
        <v>0.94</v>
      </c>
      <c r="AC83">
        <v>1</v>
      </c>
      <c r="AD83">
        <v>93</v>
      </c>
      <c r="AE83">
        <v>89</v>
      </c>
      <c r="AF83" t="str">
        <v>Rural</v>
      </c>
      <c r="AG83" t="str">
        <v>Nao</v>
      </c>
    </row>
    <row r="84" spans="2:33" x14ac:dyDescent="0.45">
      <c r="B84" s="4">
        <v>83</v>
      </c>
      <c r="C84" s="4" t="s">
        <v>43</v>
      </c>
      <c r="D84" s="4" t="s">
        <v>16</v>
      </c>
      <c r="E84" s="4" t="s">
        <v>17</v>
      </c>
      <c r="F84" s="4" t="s">
        <v>42</v>
      </c>
      <c r="G84" s="4" t="s">
        <v>19</v>
      </c>
      <c r="H84" s="4" t="s">
        <v>36</v>
      </c>
      <c r="I84" s="4">
        <v>60</v>
      </c>
      <c r="J84" s="5">
        <v>77.3</v>
      </c>
      <c r="K84" s="6">
        <v>1.78</v>
      </c>
      <c r="L84" s="4">
        <v>2</v>
      </c>
      <c r="M84" s="4">
        <v>127</v>
      </c>
      <c r="N84" s="4">
        <v>85</v>
      </c>
      <c r="O84" s="4" t="s">
        <v>21</v>
      </c>
      <c r="P84" s="7" t="s">
        <v>19</v>
      </c>
      <c r="S84">
        <v>185</v>
      </c>
      <c r="T84" t="str">
        <v>Cabo Delgado</v>
      </c>
      <c r="U84" t="str">
        <v>Masculino</v>
      </c>
      <c r="V84" t="str">
        <v>Casado(a)</v>
      </c>
      <c r="W84" t="str">
        <v>Nenhuma</v>
      </c>
      <c r="X84" t="str">
        <v>Nao</v>
      </c>
      <c r="Y84" t="str">
        <v>Nenhuma</v>
      </c>
      <c r="Z84">
        <v>13</v>
      </c>
      <c r="AA84">
        <v>41.8</v>
      </c>
      <c r="AB84">
        <v>1.53</v>
      </c>
      <c r="AC84">
        <v>4</v>
      </c>
      <c r="AD84">
        <v>110</v>
      </c>
      <c r="AE84">
        <v>98</v>
      </c>
      <c r="AF84" t="str">
        <v>Rural</v>
      </c>
      <c r="AG84" t="str">
        <v>Nao</v>
      </c>
    </row>
    <row r="85" spans="2:33" x14ac:dyDescent="0.45">
      <c r="B85" s="4">
        <v>84</v>
      </c>
      <c r="C85" s="4" t="s">
        <v>22</v>
      </c>
      <c r="D85" s="4" t="s">
        <v>23</v>
      </c>
      <c r="E85" s="4" t="s">
        <v>35</v>
      </c>
      <c r="F85" s="4" t="s">
        <v>42</v>
      </c>
      <c r="G85" s="4" t="s">
        <v>19</v>
      </c>
      <c r="H85" s="4" t="s">
        <v>20</v>
      </c>
      <c r="I85" s="4">
        <v>17</v>
      </c>
      <c r="J85" s="5">
        <v>55.4</v>
      </c>
      <c r="K85" s="6">
        <v>1.69</v>
      </c>
      <c r="L85" s="4">
        <v>5</v>
      </c>
      <c r="M85" s="4">
        <v>113</v>
      </c>
      <c r="N85" s="4">
        <v>81</v>
      </c>
      <c r="O85" s="4" t="s">
        <v>21</v>
      </c>
      <c r="P85" s="7" t="s">
        <v>19</v>
      </c>
      <c r="S85">
        <v>187</v>
      </c>
      <c r="T85" t="str">
        <v>Niassa</v>
      </c>
      <c r="U85" t="str">
        <v>Masculino</v>
      </c>
      <c r="V85" t="str">
        <v>Casado(a)</v>
      </c>
      <c r="W85" t="str">
        <v>Secundaria</v>
      </c>
      <c r="X85" t="str">
        <v>Nao</v>
      </c>
      <c r="Y85" t="str">
        <v>Tuberculose</v>
      </c>
      <c r="Z85">
        <v>38</v>
      </c>
      <c r="AA85">
        <v>73.7</v>
      </c>
      <c r="AB85">
        <v>1.77</v>
      </c>
      <c r="AC85">
        <v>2</v>
      </c>
      <c r="AD85">
        <v>104</v>
      </c>
      <c r="AE85">
        <v>90</v>
      </c>
      <c r="AF85" t="str">
        <v>Rural</v>
      </c>
      <c r="AG85" t="str">
        <v>Nao</v>
      </c>
    </row>
    <row r="86" spans="2:33" x14ac:dyDescent="0.45">
      <c r="B86" s="4">
        <v>85</v>
      </c>
      <c r="C86" s="4" t="s">
        <v>41</v>
      </c>
      <c r="D86" s="4" t="s">
        <v>23</v>
      </c>
      <c r="E86" s="4" t="s">
        <v>17</v>
      </c>
      <c r="F86" s="4" t="s">
        <v>24</v>
      </c>
      <c r="G86" s="4" t="s">
        <v>19</v>
      </c>
      <c r="H86" s="4" t="s">
        <v>20</v>
      </c>
      <c r="I86" s="4">
        <v>18</v>
      </c>
      <c r="J86" s="5">
        <v>73.599999999999994</v>
      </c>
      <c r="K86" s="6">
        <v>1.79</v>
      </c>
      <c r="L86" s="4">
        <v>4</v>
      </c>
      <c r="M86" s="4">
        <v>108</v>
      </c>
      <c r="N86" s="4">
        <v>97</v>
      </c>
      <c r="O86" s="4" t="s">
        <v>26</v>
      </c>
      <c r="P86" s="7" t="s">
        <v>19</v>
      </c>
      <c r="S86">
        <v>188</v>
      </c>
      <c r="T86" t="str">
        <v>Manica</v>
      </c>
      <c r="U86" t="str">
        <v>Masculino</v>
      </c>
      <c r="V86" t="str">
        <v>Solteiro(a)</v>
      </c>
      <c r="W86" t="str">
        <v>Secundaria</v>
      </c>
      <c r="X86" t="str">
        <v>Nao</v>
      </c>
      <c r="Y86" t="str">
        <v>Diabetes</v>
      </c>
      <c r="Z86">
        <v>35</v>
      </c>
      <c r="AA86">
        <v>63.3</v>
      </c>
      <c r="AB86">
        <v>1.62</v>
      </c>
      <c r="AC86">
        <v>4</v>
      </c>
      <c r="AD86">
        <v>115</v>
      </c>
      <c r="AE86">
        <v>149</v>
      </c>
      <c r="AF86" t="str">
        <v>Rural</v>
      </c>
      <c r="AG86" t="str">
        <v>Nao</v>
      </c>
    </row>
    <row r="87" spans="2:33" x14ac:dyDescent="0.45">
      <c r="B87" s="4">
        <v>86</v>
      </c>
      <c r="C87" s="4" t="s">
        <v>33</v>
      </c>
      <c r="D87" s="4" t="s">
        <v>23</v>
      </c>
      <c r="E87" s="4" t="s">
        <v>44</v>
      </c>
      <c r="F87" s="4" t="s">
        <v>18</v>
      </c>
      <c r="G87" s="4" t="s">
        <v>19</v>
      </c>
      <c r="H87" s="4" t="s">
        <v>36</v>
      </c>
      <c r="I87" s="4">
        <v>30</v>
      </c>
      <c r="J87" s="5">
        <v>81.099999999999994</v>
      </c>
      <c r="K87" s="6">
        <v>1.55</v>
      </c>
      <c r="L87" s="4">
        <v>1</v>
      </c>
      <c r="M87" s="4">
        <v>135</v>
      </c>
      <c r="N87" s="4">
        <v>72</v>
      </c>
      <c r="O87" s="4" t="s">
        <v>26</v>
      </c>
      <c r="P87" s="7" t="s">
        <v>30</v>
      </c>
      <c r="S87">
        <v>192</v>
      </c>
      <c r="T87" t="str">
        <v>Zambezia</v>
      </c>
      <c r="U87" t="str">
        <v>Masculino</v>
      </c>
      <c r="V87" t="str">
        <v>Solteiro(a)</v>
      </c>
      <c r="W87" t="str">
        <v>Nenhuma</v>
      </c>
      <c r="X87" t="str">
        <v>Nao</v>
      </c>
      <c r="Y87" t="str">
        <v>Nenhuma</v>
      </c>
      <c r="Z87">
        <v>7</v>
      </c>
      <c r="AA87">
        <v>24.8</v>
      </c>
      <c r="AB87">
        <v>1.19</v>
      </c>
      <c r="AC87">
        <v>1</v>
      </c>
      <c r="AD87">
        <v>100</v>
      </c>
      <c r="AE87">
        <v>73</v>
      </c>
      <c r="AF87" t="str">
        <v>Urbana</v>
      </c>
      <c r="AG87" t="str">
        <v>Nao</v>
      </c>
    </row>
    <row r="88" spans="2:33" x14ac:dyDescent="0.45">
      <c r="B88" s="4">
        <v>87</v>
      </c>
      <c r="C88" s="4" t="s">
        <v>39</v>
      </c>
      <c r="D88" s="4" t="s">
        <v>16</v>
      </c>
      <c r="E88" s="4" t="s">
        <v>44</v>
      </c>
      <c r="F88" s="4" t="s">
        <v>24</v>
      </c>
      <c r="G88" s="4" t="s">
        <v>19</v>
      </c>
      <c r="H88" s="4" t="s">
        <v>20</v>
      </c>
      <c r="I88" s="4">
        <v>35</v>
      </c>
      <c r="J88" s="5">
        <v>64.400000000000006</v>
      </c>
      <c r="K88" s="6">
        <v>1.51</v>
      </c>
      <c r="L88" s="4">
        <v>3</v>
      </c>
      <c r="M88" s="4">
        <v>111</v>
      </c>
      <c r="N88" s="4">
        <v>81</v>
      </c>
      <c r="O88" s="4" t="s">
        <v>21</v>
      </c>
      <c r="P88" s="7" t="s">
        <v>19</v>
      </c>
      <c r="S88">
        <v>193</v>
      </c>
      <c r="T88" t="str">
        <v>Manica</v>
      </c>
      <c r="U88" t="str">
        <v>Masculino</v>
      </c>
      <c r="V88" t="str">
        <v>Casado(a)</v>
      </c>
      <c r="W88" t="str">
        <v>Primaria</v>
      </c>
      <c r="X88" t="str">
        <v>Nao</v>
      </c>
      <c r="Y88" t="str">
        <v>Diarreia</v>
      </c>
      <c r="Z88">
        <v>19</v>
      </c>
      <c r="AA88">
        <v>92.4</v>
      </c>
      <c r="AB88">
        <v>1.56</v>
      </c>
      <c r="AC88">
        <v>3</v>
      </c>
      <c r="AD88">
        <v>116</v>
      </c>
      <c r="AE88">
        <v>96</v>
      </c>
      <c r="AF88" t="str">
        <v>Rural</v>
      </c>
      <c r="AG88" t="str">
        <v>Nao</v>
      </c>
    </row>
    <row r="89" spans="2:33" x14ac:dyDescent="0.45">
      <c r="B89" s="4">
        <v>88</v>
      </c>
      <c r="C89" s="4" t="s">
        <v>15</v>
      </c>
      <c r="D89" s="4" t="s">
        <v>16</v>
      </c>
      <c r="E89" s="4" t="s">
        <v>35</v>
      </c>
      <c r="F89" s="4" t="s">
        <v>18</v>
      </c>
      <c r="G89" s="4" t="s">
        <v>19</v>
      </c>
      <c r="H89" s="4" t="s">
        <v>20</v>
      </c>
      <c r="I89" s="4">
        <v>55</v>
      </c>
      <c r="J89" s="5">
        <v>78.7</v>
      </c>
      <c r="K89" s="6">
        <v>1.59</v>
      </c>
      <c r="L89" s="4">
        <v>0</v>
      </c>
      <c r="M89" s="4">
        <v>114</v>
      </c>
      <c r="N89" s="4">
        <v>76</v>
      </c>
      <c r="O89" s="4" t="s">
        <v>26</v>
      </c>
      <c r="P89" s="7" t="s">
        <v>19</v>
      </c>
      <c r="S89">
        <v>196</v>
      </c>
      <c r="T89" t="str">
        <v>Tete</v>
      </c>
      <c r="U89" t="str">
        <v>Masculino</v>
      </c>
      <c r="V89" t="str">
        <v>Casado(a)</v>
      </c>
      <c r="W89" t="str">
        <v>Secundaria</v>
      </c>
      <c r="X89" t="str">
        <v>Nao</v>
      </c>
      <c r="Y89" t="str">
        <v>Pneumonia</v>
      </c>
      <c r="Z89">
        <v>35</v>
      </c>
      <c r="AA89">
        <v>74.2</v>
      </c>
      <c r="AB89">
        <v>1.73</v>
      </c>
      <c r="AC89">
        <v>3</v>
      </c>
      <c r="AD89">
        <v>116</v>
      </c>
      <c r="AE89">
        <v>102</v>
      </c>
      <c r="AF89" t="str">
        <v>Rural</v>
      </c>
      <c r="AG89" t="str">
        <v>Nao</v>
      </c>
    </row>
    <row r="90" spans="2:33" x14ac:dyDescent="0.45">
      <c r="B90" s="4">
        <v>89</v>
      </c>
      <c r="C90" s="4" t="s">
        <v>43</v>
      </c>
      <c r="D90" s="4" t="s">
        <v>16</v>
      </c>
      <c r="E90" s="4" t="s">
        <v>35</v>
      </c>
      <c r="F90" s="4" t="s">
        <v>42</v>
      </c>
      <c r="G90" s="4" t="s">
        <v>30</v>
      </c>
      <c r="H90" s="4" t="s">
        <v>28</v>
      </c>
      <c r="I90" s="4">
        <v>19</v>
      </c>
      <c r="J90" s="5">
        <v>54</v>
      </c>
      <c r="K90" s="6">
        <v>1.65</v>
      </c>
      <c r="L90" s="4">
        <v>9</v>
      </c>
      <c r="M90" s="4">
        <v>111</v>
      </c>
      <c r="N90" s="4">
        <v>84</v>
      </c>
      <c r="O90" s="4" t="s">
        <v>26</v>
      </c>
      <c r="P90" s="7" t="s">
        <v>19</v>
      </c>
      <c r="S90">
        <v>198</v>
      </c>
      <c r="T90" t="str">
        <v>Niassa</v>
      </c>
      <c r="U90" t="str">
        <v>Masculino</v>
      </c>
      <c r="V90" t="str">
        <v>Divorciado(a)</v>
      </c>
      <c r="W90" t="str">
        <v>Secundaria</v>
      </c>
      <c r="X90" t="str">
        <v>Nao</v>
      </c>
      <c r="Y90" t="str">
        <v>HIV/SIDA</v>
      </c>
      <c r="Z90">
        <v>44</v>
      </c>
      <c r="AA90">
        <v>87.2</v>
      </c>
      <c r="AB90">
        <v>1.72</v>
      </c>
      <c r="AC90">
        <v>2</v>
      </c>
      <c r="AD90">
        <v>117</v>
      </c>
      <c r="AE90">
        <v>82</v>
      </c>
      <c r="AF90" t="str">
        <v>Urbana</v>
      </c>
      <c r="AG90" t="str">
        <v>Nao</v>
      </c>
    </row>
    <row r="91" spans="2:33" x14ac:dyDescent="0.45">
      <c r="B91" s="4">
        <v>90</v>
      </c>
      <c r="C91" s="4" t="s">
        <v>22</v>
      </c>
      <c r="D91" s="4" t="s">
        <v>23</v>
      </c>
      <c r="E91" s="4" t="s">
        <v>17</v>
      </c>
      <c r="F91" s="4" t="s">
        <v>28</v>
      </c>
      <c r="G91" s="4" t="s">
        <v>30</v>
      </c>
      <c r="H91" s="4" t="s">
        <v>28</v>
      </c>
      <c r="I91" s="4">
        <v>2</v>
      </c>
      <c r="J91" s="5">
        <v>15.2</v>
      </c>
      <c r="K91" s="6">
        <v>0.82</v>
      </c>
      <c r="L91" s="4">
        <v>3</v>
      </c>
      <c r="M91" s="4">
        <v>102</v>
      </c>
      <c r="N91" s="4">
        <v>77</v>
      </c>
      <c r="O91" s="4" t="s">
        <v>26</v>
      </c>
      <c r="P91" s="7" t="s">
        <v>30</v>
      </c>
      <c r="S91">
        <v>201</v>
      </c>
      <c r="T91" t="str">
        <v>Zambezia</v>
      </c>
      <c r="U91" t="str">
        <v>Masculino</v>
      </c>
      <c r="V91" t="str">
        <v>Casado(a)</v>
      </c>
      <c r="W91" t="str">
        <v>Primaria</v>
      </c>
      <c r="X91" t="str">
        <v>Nao</v>
      </c>
      <c r="Y91" t="str">
        <v>Pneumonia</v>
      </c>
      <c r="Z91">
        <v>15</v>
      </c>
      <c r="AA91">
        <v>50.5</v>
      </c>
      <c r="AB91">
        <v>1.54</v>
      </c>
      <c r="AC91">
        <v>4</v>
      </c>
      <c r="AD91">
        <v>109</v>
      </c>
      <c r="AE91">
        <v>88</v>
      </c>
      <c r="AF91" t="str">
        <v>Urbana</v>
      </c>
      <c r="AG91" t="str">
        <v>Sim</v>
      </c>
    </row>
    <row r="92" spans="2:33" x14ac:dyDescent="0.45">
      <c r="B92" s="4">
        <v>91</v>
      </c>
      <c r="C92" s="4" t="s">
        <v>27</v>
      </c>
      <c r="D92" s="4" t="s">
        <v>23</v>
      </c>
      <c r="E92" s="4" t="s">
        <v>35</v>
      </c>
      <c r="F92" s="4" t="s">
        <v>24</v>
      </c>
      <c r="G92" s="4" t="s">
        <v>30</v>
      </c>
      <c r="H92" s="4" t="s">
        <v>20</v>
      </c>
      <c r="I92" s="4">
        <v>23</v>
      </c>
      <c r="J92" s="5">
        <v>79.7</v>
      </c>
      <c r="K92" s="6">
        <v>1.77</v>
      </c>
      <c r="L92" s="4">
        <v>0</v>
      </c>
      <c r="M92" s="4">
        <v>107</v>
      </c>
      <c r="N92" s="4">
        <v>95</v>
      </c>
      <c r="O92" s="4" t="s">
        <v>21</v>
      </c>
      <c r="P92" s="7" t="s">
        <v>19</v>
      </c>
      <c r="S92">
        <v>203</v>
      </c>
      <c r="T92" t="str">
        <v>Inhambane</v>
      </c>
      <c r="U92" t="str">
        <v>Masculino</v>
      </c>
      <c r="V92" t="str">
        <v>Casado(a)</v>
      </c>
      <c r="W92" t="str">
        <v>Secundaria</v>
      </c>
      <c r="X92" t="str">
        <v>Nao</v>
      </c>
      <c r="Y92" t="str">
        <v>Nenhuma</v>
      </c>
      <c r="Z92">
        <v>9</v>
      </c>
      <c r="AA92">
        <v>18.2</v>
      </c>
      <c r="AB92">
        <v>1.1599999999999999</v>
      </c>
      <c r="AC92">
        <v>0</v>
      </c>
      <c r="AD92">
        <v>100</v>
      </c>
      <c r="AE92">
        <v>80</v>
      </c>
      <c r="AF92" t="str">
        <v>Urbana</v>
      </c>
      <c r="AG92" t="str">
        <v>Sim</v>
      </c>
    </row>
    <row r="93" spans="2:33" x14ac:dyDescent="0.45">
      <c r="B93" s="4">
        <v>92</v>
      </c>
      <c r="C93" s="4" t="s">
        <v>27</v>
      </c>
      <c r="D93" s="4" t="s">
        <v>16</v>
      </c>
      <c r="E93" s="4" t="s">
        <v>35</v>
      </c>
      <c r="F93" s="4" t="s">
        <v>24</v>
      </c>
      <c r="G93" s="4" t="s">
        <v>30</v>
      </c>
      <c r="H93" s="4" t="s">
        <v>20</v>
      </c>
      <c r="I93" s="4">
        <v>15</v>
      </c>
      <c r="J93" s="5">
        <v>55</v>
      </c>
      <c r="K93" s="6">
        <v>1.54</v>
      </c>
      <c r="L93" s="4">
        <v>0</v>
      </c>
      <c r="M93" s="4">
        <v>99</v>
      </c>
      <c r="N93" s="4">
        <v>77</v>
      </c>
      <c r="O93" s="4" t="s">
        <v>21</v>
      </c>
      <c r="P93" s="7" t="s">
        <v>30</v>
      </c>
      <c r="S93">
        <v>210</v>
      </c>
      <c r="T93" t="str">
        <v>Gaza</v>
      </c>
      <c r="U93" t="str">
        <v>Masculino</v>
      </c>
      <c r="V93" t="str">
        <v>Solteiro(a)</v>
      </c>
      <c r="W93" t="str">
        <v>Primaria</v>
      </c>
      <c r="X93" t="str">
        <v>Nao</v>
      </c>
      <c r="Y93" t="str">
        <v>Diabetes</v>
      </c>
      <c r="Z93">
        <v>15</v>
      </c>
      <c r="AA93">
        <v>63.3</v>
      </c>
      <c r="AB93">
        <v>1.67</v>
      </c>
      <c r="AC93">
        <v>1</v>
      </c>
      <c r="AD93">
        <v>118</v>
      </c>
      <c r="AE93">
        <v>167</v>
      </c>
      <c r="AF93" t="str">
        <v>Urbana</v>
      </c>
      <c r="AG93" t="str">
        <v>Nao</v>
      </c>
    </row>
    <row r="94" spans="2:33" x14ac:dyDescent="0.45">
      <c r="B94" s="4">
        <v>93</v>
      </c>
      <c r="C94" s="4" t="s">
        <v>40</v>
      </c>
      <c r="D94" s="4" t="s">
        <v>23</v>
      </c>
      <c r="E94" s="4" t="s">
        <v>17</v>
      </c>
      <c r="F94" s="4" t="s">
        <v>28</v>
      </c>
      <c r="G94" s="4" t="s">
        <v>19</v>
      </c>
      <c r="H94" s="4" t="s">
        <v>20</v>
      </c>
      <c r="I94" s="4">
        <v>47</v>
      </c>
      <c r="J94" s="5">
        <v>67</v>
      </c>
      <c r="K94" s="6">
        <v>1.54</v>
      </c>
      <c r="L94" s="4">
        <v>3</v>
      </c>
      <c r="M94" s="4">
        <v>106</v>
      </c>
      <c r="N94" s="4">
        <v>75</v>
      </c>
      <c r="O94" s="4" t="s">
        <v>26</v>
      </c>
      <c r="P94" s="7" t="s">
        <v>19</v>
      </c>
      <c r="S94">
        <v>212</v>
      </c>
      <c r="T94" t="str">
        <v>Cabo Delgado</v>
      </c>
      <c r="U94" t="str">
        <v>Masculino</v>
      </c>
      <c r="V94" t="str">
        <v>Casado(a)</v>
      </c>
      <c r="W94" t="str">
        <v>Primaria</v>
      </c>
      <c r="X94" t="str">
        <v>Nao</v>
      </c>
      <c r="Y94" t="str">
        <v>Diarreia</v>
      </c>
      <c r="Z94">
        <v>50</v>
      </c>
      <c r="AA94">
        <v>52.3</v>
      </c>
      <c r="AB94">
        <v>1.51</v>
      </c>
      <c r="AC94">
        <v>1</v>
      </c>
      <c r="AD94">
        <v>126</v>
      </c>
      <c r="AE94">
        <v>97</v>
      </c>
      <c r="AF94" t="str">
        <v>Rural</v>
      </c>
      <c r="AG94" t="str">
        <v>Nao</v>
      </c>
    </row>
    <row r="95" spans="2:33" x14ac:dyDescent="0.45">
      <c r="B95" s="4">
        <v>94</v>
      </c>
      <c r="C95" s="4" t="s">
        <v>22</v>
      </c>
      <c r="D95" s="4" t="s">
        <v>16</v>
      </c>
      <c r="E95" s="4" t="s">
        <v>17</v>
      </c>
      <c r="F95" s="4" t="s">
        <v>18</v>
      </c>
      <c r="G95" s="4" t="s">
        <v>30</v>
      </c>
      <c r="H95" s="4" t="s">
        <v>36</v>
      </c>
      <c r="I95" s="4">
        <v>30</v>
      </c>
      <c r="J95" s="5">
        <v>48.4</v>
      </c>
      <c r="K95" s="6">
        <v>1.84</v>
      </c>
      <c r="L95" s="4">
        <v>6</v>
      </c>
      <c r="M95" s="4">
        <v>124</v>
      </c>
      <c r="N95" s="4">
        <v>99</v>
      </c>
      <c r="O95" s="4" t="s">
        <v>26</v>
      </c>
      <c r="P95" s="7" t="s">
        <v>19</v>
      </c>
      <c r="S95">
        <v>213</v>
      </c>
      <c r="T95" t="str">
        <v>Nampula</v>
      </c>
      <c r="U95" t="str">
        <v>Masculino</v>
      </c>
      <c r="V95" t="str">
        <v>Viuvo(a)</v>
      </c>
      <c r="W95" t="str">
        <v>Secundaria</v>
      </c>
      <c r="X95" t="str">
        <v>Nao</v>
      </c>
      <c r="Y95" t="str">
        <v>Diarreia</v>
      </c>
      <c r="Z95">
        <v>41</v>
      </c>
      <c r="AA95">
        <v>77.7</v>
      </c>
      <c r="AB95">
        <v>1.49</v>
      </c>
      <c r="AC95">
        <v>2</v>
      </c>
      <c r="AD95">
        <v>106</v>
      </c>
      <c r="AE95">
        <v>87</v>
      </c>
      <c r="AF95" t="str">
        <v>Rural</v>
      </c>
      <c r="AG95" t="str">
        <v>Nao</v>
      </c>
    </row>
    <row r="96" spans="2:33" x14ac:dyDescent="0.45">
      <c r="B96" s="4">
        <v>95</v>
      </c>
      <c r="C96" s="4" t="s">
        <v>33</v>
      </c>
      <c r="D96" s="4" t="s">
        <v>16</v>
      </c>
      <c r="E96" s="4" t="s">
        <v>35</v>
      </c>
      <c r="F96" s="4" t="s">
        <v>24</v>
      </c>
      <c r="G96" s="4" t="s">
        <v>30</v>
      </c>
      <c r="H96" s="4" t="s">
        <v>28</v>
      </c>
      <c r="I96" s="4">
        <v>44</v>
      </c>
      <c r="J96" s="5">
        <v>94.3</v>
      </c>
      <c r="K96" s="6">
        <v>1.86</v>
      </c>
      <c r="L96" s="4">
        <v>8</v>
      </c>
      <c r="M96" s="4">
        <v>120</v>
      </c>
      <c r="N96" s="4">
        <v>86</v>
      </c>
      <c r="O96" s="4" t="s">
        <v>21</v>
      </c>
      <c r="P96" s="7" t="s">
        <v>19</v>
      </c>
      <c r="S96">
        <v>221</v>
      </c>
      <c r="T96" t="str">
        <v>Gaza</v>
      </c>
      <c r="U96" t="str">
        <v>Masculino</v>
      </c>
      <c r="V96" t="str">
        <v>Viuvo(a)</v>
      </c>
      <c r="W96" t="str">
        <v>Primaria</v>
      </c>
      <c r="X96" t="str">
        <v>Nao</v>
      </c>
      <c r="Y96" t="str">
        <v>Malaria</v>
      </c>
      <c r="Z96">
        <v>1</v>
      </c>
      <c r="AA96">
        <v>15.4</v>
      </c>
      <c r="AB96">
        <v>0.73</v>
      </c>
      <c r="AC96">
        <v>2</v>
      </c>
      <c r="AD96">
        <v>111</v>
      </c>
      <c r="AE96">
        <v>77</v>
      </c>
      <c r="AF96" t="str">
        <v>Rural</v>
      </c>
      <c r="AG96" t="str">
        <v>Nao</v>
      </c>
    </row>
    <row r="97" spans="2:33" x14ac:dyDescent="0.45">
      <c r="B97" s="4">
        <v>96</v>
      </c>
      <c r="C97" s="4" t="s">
        <v>41</v>
      </c>
      <c r="D97" s="4" t="s">
        <v>23</v>
      </c>
      <c r="E97" s="4" t="s">
        <v>44</v>
      </c>
      <c r="F97" s="4" t="s">
        <v>28</v>
      </c>
      <c r="G97" s="4" t="s">
        <v>19</v>
      </c>
      <c r="H97" s="4" t="s">
        <v>28</v>
      </c>
      <c r="I97" s="4">
        <v>7</v>
      </c>
      <c r="J97" s="5">
        <v>20.9</v>
      </c>
      <c r="K97" s="6">
        <v>1.39</v>
      </c>
      <c r="L97" s="4">
        <v>7</v>
      </c>
      <c r="M97" s="4">
        <v>100</v>
      </c>
      <c r="N97" s="4">
        <v>86</v>
      </c>
      <c r="O97" s="4" t="s">
        <v>21</v>
      </c>
      <c r="P97" s="7" t="s">
        <v>19</v>
      </c>
      <c r="S97">
        <v>225</v>
      </c>
      <c r="T97" t="str">
        <v>Maputo Cidade</v>
      </c>
      <c r="U97" t="str">
        <v>Masculino</v>
      </c>
      <c r="V97" t="str">
        <v>Solteiro(a)</v>
      </c>
      <c r="W97" t="str">
        <v>Primaria</v>
      </c>
      <c r="X97" t="str">
        <v>Sim</v>
      </c>
      <c r="Y97" t="str">
        <v>HIV/SIDA</v>
      </c>
      <c r="Z97">
        <v>8</v>
      </c>
      <c r="AA97">
        <v>35.799999999999997</v>
      </c>
      <c r="AB97">
        <v>1.33</v>
      </c>
      <c r="AC97">
        <v>0</v>
      </c>
      <c r="AD97">
        <v>113</v>
      </c>
      <c r="AE97">
        <v>79</v>
      </c>
      <c r="AF97" t="str">
        <v>Urbana</v>
      </c>
      <c r="AG97" t="str">
        <v>Nao</v>
      </c>
    </row>
    <row r="98" spans="2:33" x14ac:dyDescent="0.45">
      <c r="B98" s="4">
        <v>97</v>
      </c>
      <c r="C98" s="4" t="s">
        <v>39</v>
      </c>
      <c r="D98" s="4" t="s">
        <v>16</v>
      </c>
      <c r="E98" s="4" t="s">
        <v>35</v>
      </c>
      <c r="F98" s="4" t="s">
        <v>28</v>
      </c>
      <c r="G98" s="4" t="s">
        <v>19</v>
      </c>
      <c r="H98" s="4" t="s">
        <v>28</v>
      </c>
      <c r="I98" s="4">
        <v>37</v>
      </c>
      <c r="J98" s="5">
        <v>82.5</v>
      </c>
      <c r="K98" s="6">
        <v>1.82</v>
      </c>
      <c r="L98" s="4">
        <v>2</v>
      </c>
      <c r="M98" s="4">
        <v>121</v>
      </c>
      <c r="N98" s="4">
        <v>88</v>
      </c>
      <c r="O98" s="4" t="s">
        <v>26</v>
      </c>
      <c r="P98" s="7" t="s">
        <v>19</v>
      </c>
      <c r="S98">
        <v>226</v>
      </c>
      <c r="T98" t="str">
        <v>Nampula</v>
      </c>
      <c r="U98" t="str">
        <v>Masculino</v>
      </c>
      <c r="V98" t="str">
        <v>Solteiro(a)</v>
      </c>
      <c r="W98" t="str">
        <v>Superior</v>
      </c>
      <c r="X98" t="str">
        <v>Sim</v>
      </c>
      <c r="Y98" t="str">
        <v>Nenhuma</v>
      </c>
      <c r="Z98">
        <v>8</v>
      </c>
      <c r="AA98">
        <v>25</v>
      </c>
      <c r="AB98">
        <v>1.25</v>
      </c>
      <c r="AC98">
        <v>1</v>
      </c>
      <c r="AD98">
        <v>106</v>
      </c>
      <c r="AE98">
        <v>85</v>
      </c>
      <c r="AF98" t="str">
        <v>Urbana</v>
      </c>
      <c r="AG98" t="str">
        <v>Sim</v>
      </c>
    </row>
    <row r="99" spans="2:33" x14ac:dyDescent="0.45">
      <c r="B99" s="4">
        <v>98</v>
      </c>
      <c r="C99" s="4" t="s">
        <v>31</v>
      </c>
      <c r="D99" s="4" t="s">
        <v>23</v>
      </c>
      <c r="E99" s="4" t="s">
        <v>17</v>
      </c>
      <c r="F99" s="4" t="s">
        <v>18</v>
      </c>
      <c r="G99" s="4" t="s">
        <v>19</v>
      </c>
      <c r="H99" s="4" t="s">
        <v>20</v>
      </c>
      <c r="I99" s="4">
        <v>29</v>
      </c>
      <c r="J99" s="5">
        <v>76.599999999999994</v>
      </c>
      <c r="K99" s="6">
        <v>1.61</v>
      </c>
      <c r="L99" s="4">
        <v>0</v>
      </c>
      <c r="M99" s="4">
        <v>106</v>
      </c>
      <c r="N99" s="4">
        <v>84</v>
      </c>
      <c r="O99" s="4" t="s">
        <v>26</v>
      </c>
      <c r="P99" s="7" t="s">
        <v>19</v>
      </c>
      <c r="S99">
        <v>227</v>
      </c>
      <c r="T99" t="str">
        <v>Sofala</v>
      </c>
      <c r="U99" t="str">
        <v>Masculino</v>
      </c>
      <c r="V99" t="str">
        <v>Viuvo(a)</v>
      </c>
      <c r="W99" t="str">
        <v>Secundaria</v>
      </c>
      <c r="X99" t="str">
        <v>Sim</v>
      </c>
      <c r="Y99" t="str">
        <v>Pneumonia</v>
      </c>
      <c r="Z99">
        <v>3</v>
      </c>
      <c r="AA99">
        <v>17.600000000000001</v>
      </c>
      <c r="AB99">
        <v>0.63</v>
      </c>
      <c r="AC99">
        <v>2</v>
      </c>
      <c r="AD99">
        <v>106</v>
      </c>
      <c r="AE99">
        <v>81</v>
      </c>
      <c r="AF99" t="str">
        <v>Urbana</v>
      </c>
      <c r="AG99" t="str">
        <v>Nao</v>
      </c>
    </row>
    <row r="100" spans="2:33" x14ac:dyDescent="0.45">
      <c r="B100" s="4">
        <v>99</v>
      </c>
      <c r="C100" s="4" t="s">
        <v>29</v>
      </c>
      <c r="D100" s="4" t="s">
        <v>16</v>
      </c>
      <c r="E100" s="4" t="s">
        <v>17</v>
      </c>
      <c r="F100" s="4" t="s">
        <v>28</v>
      </c>
      <c r="G100" s="4" t="s">
        <v>19</v>
      </c>
      <c r="H100" s="4" t="s">
        <v>28</v>
      </c>
      <c r="I100" s="4">
        <v>21</v>
      </c>
      <c r="J100" s="5">
        <v>51</v>
      </c>
      <c r="K100" s="6">
        <v>1.9</v>
      </c>
      <c r="L100" s="4">
        <v>10</v>
      </c>
      <c r="M100" s="4">
        <v>118</v>
      </c>
      <c r="N100" s="4">
        <v>70</v>
      </c>
      <c r="O100" s="4" t="s">
        <v>26</v>
      </c>
      <c r="P100" s="7" t="s">
        <v>30</v>
      </c>
      <c r="S100">
        <v>230</v>
      </c>
      <c r="T100" t="str">
        <v>Maputo Provincia</v>
      </c>
      <c r="U100" t="str">
        <v>Masculino</v>
      </c>
      <c r="V100" t="str">
        <v>Solteiro(a)</v>
      </c>
      <c r="W100" t="str">
        <v>Secundaria</v>
      </c>
      <c r="X100" t="str">
        <v>Nao</v>
      </c>
      <c r="Y100" t="str">
        <v>Diabetes</v>
      </c>
      <c r="Z100">
        <v>37</v>
      </c>
      <c r="AA100">
        <v>54.7</v>
      </c>
      <c r="AB100">
        <v>1.58</v>
      </c>
      <c r="AC100">
        <v>4</v>
      </c>
      <c r="AD100">
        <v>121</v>
      </c>
      <c r="AE100">
        <v>165</v>
      </c>
      <c r="AF100" t="str">
        <v>Rural</v>
      </c>
      <c r="AG100" t="str">
        <v>Nao</v>
      </c>
    </row>
    <row r="101" spans="2:33" x14ac:dyDescent="0.45">
      <c r="B101" s="4">
        <v>100</v>
      </c>
      <c r="C101" s="4" t="s">
        <v>15</v>
      </c>
      <c r="D101" s="4" t="s">
        <v>23</v>
      </c>
      <c r="E101" s="4" t="s">
        <v>44</v>
      </c>
      <c r="F101" s="4" t="s">
        <v>28</v>
      </c>
      <c r="G101" s="4" t="s">
        <v>19</v>
      </c>
      <c r="H101" s="4" t="s">
        <v>20</v>
      </c>
      <c r="I101" s="4">
        <v>2</v>
      </c>
      <c r="J101" s="5">
        <v>14.9</v>
      </c>
      <c r="K101" s="6">
        <v>0.76</v>
      </c>
      <c r="L101" s="4">
        <v>4</v>
      </c>
      <c r="M101" s="4">
        <v>95</v>
      </c>
      <c r="N101" s="4">
        <v>93</v>
      </c>
      <c r="O101" s="4" t="s">
        <v>21</v>
      </c>
      <c r="P101" s="7" t="s">
        <v>19</v>
      </c>
      <c r="S101">
        <v>231</v>
      </c>
      <c r="T101" t="str">
        <v>Cabo Delgado</v>
      </c>
      <c r="U101" t="str">
        <v>Masculino</v>
      </c>
      <c r="V101" t="str">
        <v>Solteiro(a)</v>
      </c>
      <c r="W101" t="str">
        <v>Primaria</v>
      </c>
      <c r="X101" t="str">
        <v>Nao</v>
      </c>
      <c r="Y101" t="str">
        <v>Malaria</v>
      </c>
      <c r="Z101">
        <v>27</v>
      </c>
      <c r="AA101">
        <v>46.2</v>
      </c>
      <c r="AB101">
        <v>1.61</v>
      </c>
      <c r="AC101">
        <v>6</v>
      </c>
      <c r="AD101">
        <v>131</v>
      </c>
      <c r="AE101">
        <v>104</v>
      </c>
      <c r="AF101" t="str">
        <v>Rural</v>
      </c>
      <c r="AG101" t="str">
        <v>Sim</v>
      </c>
    </row>
    <row r="102" spans="2:33" x14ac:dyDescent="0.45">
      <c r="B102" s="4">
        <v>101</v>
      </c>
      <c r="C102" s="4" t="s">
        <v>29</v>
      </c>
      <c r="D102" s="4" t="s">
        <v>16</v>
      </c>
      <c r="E102" s="4" t="s">
        <v>35</v>
      </c>
      <c r="F102" s="4" t="s">
        <v>24</v>
      </c>
      <c r="G102" s="4" t="s">
        <v>19</v>
      </c>
      <c r="H102" s="4" t="s">
        <v>25</v>
      </c>
      <c r="I102" s="4">
        <v>43</v>
      </c>
      <c r="J102" s="5">
        <v>49.7</v>
      </c>
      <c r="K102" s="6">
        <v>1.53</v>
      </c>
      <c r="L102" s="4">
        <v>3</v>
      </c>
      <c r="M102" s="4">
        <v>112</v>
      </c>
      <c r="N102" s="4">
        <v>72</v>
      </c>
      <c r="O102" s="4" t="s">
        <v>26</v>
      </c>
      <c r="P102" s="7" t="s">
        <v>19</v>
      </c>
      <c r="S102">
        <v>233</v>
      </c>
      <c r="T102" t="str">
        <v>Maputo Provincia</v>
      </c>
      <c r="U102" t="str">
        <v>Masculino</v>
      </c>
      <c r="V102" t="str">
        <v>Solteiro(a)</v>
      </c>
      <c r="W102" t="str">
        <v>Secundaria</v>
      </c>
      <c r="X102" t="str">
        <v>Sim</v>
      </c>
      <c r="Y102" t="str">
        <v>Diarreia</v>
      </c>
      <c r="Z102">
        <v>21</v>
      </c>
      <c r="AA102">
        <v>60.2</v>
      </c>
      <c r="AB102">
        <v>1.64</v>
      </c>
      <c r="AC102">
        <v>2</v>
      </c>
      <c r="AD102">
        <v>113</v>
      </c>
      <c r="AE102">
        <v>77</v>
      </c>
      <c r="AF102" t="str">
        <v>Urbana</v>
      </c>
      <c r="AG102" t="str">
        <v>Sim</v>
      </c>
    </row>
    <row r="103" spans="2:33" x14ac:dyDescent="0.45">
      <c r="B103" s="4">
        <v>102</v>
      </c>
      <c r="C103" s="4" t="s">
        <v>45</v>
      </c>
      <c r="D103" s="4" t="s">
        <v>23</v>
      </c>
      <c r="E103" s="4" t="s">
        <v>35</v>
      </c>
      <c r="F103" s="4" t="s">
        <v>24</v>
      </c>
      <c r="G103" s="4" t="s">
        <v>19</v>
      </c>
      <c r="H103" s="4" t="s">
        <v>36</v>
      </c>
      <c r="I103" s="4">
        <v>4</v>
      </c>
      <c r="J103" s="5">
        <v>15.3</v>
      </c>
      <c r="K103" s="6">
        <v>0.82</v>
      </c>
      <c r="L103" s="4">
        <v>6</v>
      </c>
      <c r="M103" s="4">
        <v>128</v>
      </c>
      <c r="N103" s="4">
        <v>77</v>
      </c>
      <c r="O103" s="4" t="s">
        <v>26</v>
      </c>
      <c r="P103" s="7" t="s">
        <v>19</v>
      </c>
      <c r="S103">
        <v>234</v>
      </c>
      <c r="T103" t="str">
        <v>Gaza</v>
      </c>
      <c r="U103" t="str">
        <v>Masculino</v>
      </c>
      <c r="V103" t="str">
        <v>Solteiro(a)</v>
      </c>
      <c r="W103" t="str">
        <v>Nenhuma</v>
      </c>
      <c r="X103" t="str">
        <v>Nao</v>
      </c>
      <c r="Y103" t="str">
        <v>Hipertensao</v>
      </c>
      <c r="Z103">
        <v>60</v>
      </c>
      <c r="AA103">
        <v>91.4</v>
      </c>
      <c r="AB103">
        <v>1.83</v>
      </c>
      <c r="AC103">
        <v>6</v>
      </c>
      <c r="AD103">
        <v>146</v>
      </c>
      <c r="AE103">
        <v>71</v>
      </c>
      <c r="AF103" t="str">
        <v>Urbana</v>
      </c>
      <c r="AG103" t="str">
        <v>Sim</v>
      </c>
    </row>
    <row r="104" spans="2:33" x14ac:dyDescent="0.45">
      <c r="B104" s="4">
        <v>103</v>
      </c>
      <c r="C104" s="4" t="s">
        <v>33</v>
      </c>
      <c r="D104" s="4" t="s">
        <v>23</v>
      </c>
      <c r="E104" s="4" t="s">
        <v>35</v>
      </c>
      <c r="F104" s="4" t="s">
        <v>18</v>
      </c>
      <c r="G104" s="4" t="s">
        <v>19</v>
      </c>
      <c r="H104" s="4" t="s">
        <v>32</v>
      </c>
      <c r="I104" s="4">
        <v>27</v>
      </c>
      <c r="J104" s="5">
        <v>83.2</v>
      </c>
      <c r="K104" s="6">
        <v>1.87</v>
      </c>
      <c r="L104" s="4">
        <v>0</v>
      </c>
      <c r="M104" s="4">
        <v>114</v>
      </c>
      <c r="N104" s="4">
        <v>161</v>
      </c>
      <c r="O104" s="4" t="s">
        <v>26</v>
      </c>
      <c r="P104" s="7" t="s">
        <v>19</v>
      </c>
      <c r="S104">
        <v>235</v>
      </c>
      <c r="T104" t="str">
        <v>Zambezia</v>
      </c>
      <c r="U104" t="str">
        <v>Masculino</v>
      </c>
      <c r="V104" t="str">
        <v>Viuvo(a)</v>
      </c>
      <c r="W104" t="str">
        <v>Nenhuma</v>
      </c>
      <c r="X104" t="str">
        <v>Sim</v>
      </c>
      <c r="Y104" t="str">
        <v>Malaria</v>
      </c>
      <c r="Z104">
        <v>57</v>
      </c>
      <c r="AA104">
        <v>82.3</v>
      </c>
      <c r="AB104">
        <v>1.81</v>
      </c>
      <c r="AC104">
        <v>5</v>
      </c>
      <c r="AD104">
        <v>120</v>
      </c>
      <c r="AE104">
        <v>85</v>
      </c>
      <c r="AF104" t="str">
        <v>Urbana</v>
      </c>
      <c r="AG104" t="str">
        <v>Nao</v>
      </c>
    </row>
    <row r="105" spans="2:33" x14ac:dyDescent="0.45">
      <c r="B105" s="4">
        <v>104</v>
      </c>
      <c r="C105" s="4" t="s">
        <v>39</v>
      </c>
      <c r="D105" s="4" t="s">
        <v>23</v>
      </c>
      <c r="E105" s="4" t="s">
        <v>35</v>
      </c>
      <c r="F105" s="4" t="s">
        <v>24</v>
      </c>
      <c r="G105" s="4" t="s">
        <v>19</v>
      </c>
      <c r="H105" s="4" t="s">
        <v>20</v>
      </c>
      <c r="I105" s="4">
        <v>42</v>
      </c>
      <c r="J105" s="5">
        <v>57.7</v>
      </c>
      <c r="K105" s="6">
        <v>1.52</v>
      </c>
      <c r="L105" s="4">
        <v>1</v>
      </c>
      <c r="M105" s="4">
        <v>109</v>
      </c>
      <c r="N105" s="4">
        <v>92</v>
      </c>
      <c r="O105" s="4" t="s">
        <v>26</v>
      </c>
      <c r="P105" s="7" t="s">
        <v>30</v>
      </c>
      <c r="S105">
        <v>236</v>
      </c>
      <c r="T105" t="str">
        <v>Sofala</v>
      </c>
      <c r="U105" t="str">
        <v>Masculino</v>
      </c>
      <c r="V105" t="str">
        <v>Casado(a)</v>
      </c>
      <c r="W105" t="str">
        <v>Secundaria</v>
      </c>
      <c r="X105" t="str">
        <v>Nao</v>
      </c>
      <c r="Y105" t="str">
        <v>Pneumonia</v>
      </c>
      <c r="Z105">
        <v>31</v>
      </c>
      <c r="AA105">
        <v>66.8</v>
      </c>
      <c r="AB105">
        <v>1.73</v>
      </c>
      <c r="AC105">
        <v>0</v>
      </c>
      <c r="AD105">
        <v>118</v>
      </c>
      <c r="AE105">
        <v>100</v>
      </c>
      <c r="AF105" t="str">
        <v>Rural</v>
      </c>
      <c r="AG105" t="str">
        <v>Sim</v>
      </c>
    </row>
    <row r="106" spans="2:33" x14ac:dyDescent="0.45">
      <c r="B106" s="4">
        <v>105</v>
      </c>
      <c r="C106" s="4" t="s">
        <v>45</v>
      </c>
      <c r="D106" s="4" t="s">
        <v>23</v>
      </c>
      <c r="E106" s="4" t="s">
        <v>35</v>
      </c>
      <c r="F106" s="4" t="s">
        <v>28</v>
      </c>
      <c r="G106" s="4" t="s">
        <v>19</v>
      </c>
      <c r="H106" s="4" t="s">
        <v>20</v>
      </c>
      <c r="I106" s="4">
        <v>4</v>
      </c>
      <c r="J106" s="5">
        <v>13.8</v>
      </c>
      <c r="K106" s="6">
        <v>0.66</v>
      </c>
      <c r="L106" s="4">
        <v>6</v>
      </c>
      <c r="M106" s="4">
        <v>111</v>
      </c>
      <c r="N106" s="4">
        <v>105</v>
      </c>
      <c r="O106" s="4" t="s">
        <v>26</v>
      </c>
      <c r="P106" s="7" t="s">
        <v>19</v>
      </c>
      <c r="S106">
        <v>237</v>
      </c>
      <c r="T106" t="str">
        <v>Zambezia</v>
      </c>
      <c r="U106" t="str">
        <v>Masculino</v>
      </c>
      <c r="V106" t="str">
        <v>Solteiro(a)</v>
      </c>
      <c r="W106" t="str">
        <v>Superior</v>
      </c>
      <c r="X106" t="str">
        <v>Sim</v>
      </c>
      <c r="Y106" t="str">
        <v>Nenhuma</v>
      </c>
      <c r="Z106">
        <v>19</v>
      </c>
      <c r="AA106">
        <v>52.2</v>
      </c>
      <c r="AB106">
        <v>1.81</v>
      </c>
      <c r="AC106">
        <v>1</v>
      </c>
      <c r="AD106">
        <v>100</v>
      </c>
      <c r="AE106">
        <v>74</v>
      </c>
      <c r="AF106" t="str">
        <v>Rural</v>
      </c>
      <c r="AG106" t="str">
        <v>Nao</v>
      </c>
    </row>
    <row r="107" spans="2:33" x14ac:dyDescent="0.45">
      <c r="B107" s="4">
        <v>106</v>
      </c>
      <c r="C107" s="4" t="s">
        <v>39</v>
      </c>
      <c r="D107" s="4" t="s">
        <v>16</v>
      </c>
      <c r="E107" s="4" t="s">
        <v>44</v>
      </c>
      <c r="F107" s="4" t="s">
        <v>28</v>
      </c>
      <c r="G107" s="4" t="s">
        <v>19</v>
      </c>
      <c r="H107" s="4" t="s">
        <v>36</v>
      </c>
      <c r="I107" s="4">
        <v>3</v>
      </c>
      <c r="J107" s="5">
        <v>7.4</v>
      </c>
      <c r="K107" s="6">
        <v>0.66</v>
      </c>
      <c r="L107" s="4">
        <v>4</v>
      </c>
      <c r="M107" s="4">
        <v>120</v>
      </c>
      <c r="N107" s="4">
        <v>95</v>
      </c>
      <c r="O107" s="4" t="s">
        <v>21</v>
      </c>
      <c r="P107" s="7" t="s">
        <v>19</v>
      </c>
      <c r="S107">
        <v>240</v>
      </c>
      <c r="T107" t="str">
        <v>Nampula</v>
      </c>
      <c r="U107" t="str">
        <v>Masculino</v>
      </c>
      <c r="V107" t="str">
        <v>Casado(a)</v>
      </c>
      <c r="W107" t="str">
        <v>Secundaria</v>
      </c>
      <c r="X107" t="str">
        <v>Nao</v>
      </c>
      <c r="Y107" t="str">
        <v>Diarreia</v>
      </c>
      <c r="Z107">
        <v>1</v>
      </c>
      <c r="AA107">
        <v>17.2</v>
      </c>
      <c r="AB107">
        <v>0.83</v>
      </c>
      <c r="AC107">
        <v>4</v>
      </c>
      <c r="AD107">
        <v>108</v>
      </c>
      <c r="AE107">
        <v>72</v>
      </c>
      <c r="AF107" t="str">
        <v>Rural</v>
      </c>
      <c r="AG107" t="str">
        <v>Nao</v>
      </c>
    </row>
    <row r="108" spans="2:33" x14ac:dyDescent="0.45">
      <c r="B108" s="4">
        <v>107</v>
      </c>
      <c r="C108" s="4" t="s">
        <v>27</v>
      </c>
      <c r="D108" s="4" t="s">
        <v>16</v>
      </c>
      <c r="E108" s="4" t="s">
        <v>17</v>
      </c>
      <c r="F108" s="4" t="s">
        <v>24</v>
      </c>
      <c r="G108" s="4" t="s">
        <v>19</v>
      </c>
      <c r="H108" s="4" t="s">
        <v>28</v>
      </c>
      <c r="I108" s="4">
        <v>15</v>
      </c>
      <c r="J108" s="5">
        <v>46.2</v>
      </c>
      <c r="K108" s="6">
        <v>1.45</v>
      </c>
      <c r="L108" s="4">
        <v>1</v>
      </c>
      <c r="M108" s="4">
        <v>116</v>
      </c>
      <c r="N108" s="4">
        <v>88</v>
      </c>
      <c r="O108" s="4" t="s">
        <v>26</v>
      </c>
      <c r="P108" s="7" t="s">
        <v>19</v>
      </c>
      <c r="S108">
        <v>241</v>
      </c>
      <c r="T108" t="str">
        <v>Zambezia</v>
      </c>
      <c r="U108" t="str">
        <v>Masculino</v>
      </c>
      <c r="V108" t="str">
        <v>Casado(a)</v>
      </c>
      <c r="W108" t="str">
        <v>Primaria</v>
      </c>
      <c r="X108" t="str">
        <v>Nao</v>
      </c>
      <c r="Y108" t="str">
        <v>Diarreia</v>
      </c>
      <c r="Z108">
        <v>24</v>
      </c>
      <c r="AA108">
        <v>52.3</v>
      </c>
      <c r="AB108">
        <v>1.82</v>
      </c>
      <c r="AC108">
        <v>2</v>
      </c>
      <c r="AD108">
        <v>104</v>
      </c>
      <c r="AE108">
        <v>91</v>
      </c>
      <c r="AF108" t="str">
        <v>Rural</v>
      </c>
      <c r="AG108" t="str">
        <v>Nao</v>
      </c>
    </row>
    <row r="109" spans="2:33" x14ac:dyDescent="0.45">
      <c r="B109" s="4">
        <v>108</v>
      </c>
      <c r="C109" s="4" t="s">
        <v>41</v>
      </c>
      <c r="D109" s="4" t="s">
        <v>16</v>
      </c>
      <c r="E109" s="4" t="s">
        <v>35</v>
      </c>
      <c r="F109" s="4" t="s">
        <v>18</v>
      </c>
      <c r="G109" s="4" t="s">
        <v>30</v>
      </c>
      <c r="H109" s="4" t="s">
        <v>28</v>
      </c>
      <c r="I109" s="4">
        <v>44</v>
      </c>
      <c r="J109" s="5">
        <v>89.3</v>
      </c>
      <c r="K109" s="6">
        <v>1.84</v>
      </c>
      <c r="L109" s="4">
        <v>2</v>
      </c>
      <c r="M109" s="4">
        <v>121</v>
      </c>
      <c r="N109" s="4">
        <v>86</v>
      </c>
      <c r="O109" s="4" t="s">
        <v>26</v>
      </c>
      <c r="P109" s="7" t="s">
        <v>19</v>
      </c>
      <c r="S109">
        <v>245</v>
      </c>
      <c r="T109" t="str">
        <v>Maputo Cidade</v>
      </c>
      <c r="U109" t="str">
        <v>Masculino</v>
      </c>
      <c r="V109" t="str">
        <v>Casado(a)</v>
      </c>
      <c r="W109" t="str">
        <v>Superior</v>
      </c>
      <c r="X109" t="str">
        <v>Nao</v>
      </c>
      <c r="Y109" t="str">
        <v>Diarreia</v>
      </c>
      <c r="Z109">
        <v>16</v>
      </c>
      <c r="AA109">
        <v>48</v>
      </c>
      <c r="AB109">
        <v>1.59</v>
      </c>
      <c r="AC109">
        <v>4</v>
      </c>
      <c r="AD109">
        <v>99</v>
      </c>
      <c r="AE109">
        <v>99</v>
      </c>
      <c r="AF109" t="str">
        <v>Urbana</v>
      </c>
      <c r="AG109" t="str">
        <v>Nao</v>
      </c>
    </row>
    <row r="110" spans="2:33" x14ac:dyDescent="0.45">
      <c r="B110" s="4">
        <v>109</v>
      </c>
      <c r="C110" s="4" t="s">
        <v>40</v>
      </c>
      <c r="D110" s="4" t="s">
        <v>23</v>
      </c>
      <c r="E110" s="4" t="s">
        <v>37</v>
      </c>
      <c r="F110" s="4" t="s">
        <v>18</v>
      </c>
      <c r="G110" s="4" t="s">
        <v>30</v>
      </c>
      <c r="H110" s="4" t="s">
        <v>25</v>
      </c>
      <c r="I110" s="4">
        <v>5</v>
      </c>
      <c r="J110" s="5">
        <v>25.9</v>
      </c>
      <c r="K110" s="6">
        <v>1.1599999999999999</v>
      </c>
      <c r="L110" s="4">
        <v>8</v>
      </c>
      <c r="M110" s="4">
        <v>92</v>
      </c>
      <c r="N110" s="4">
        <v>84</v>
      </c>
      <c r="O110" s="4" t="s">
        <v>21</v>
      </c>
      <c r="P110" s="7" t="s">
        <v>19</v>
      </c>
      <c r="S110">
        <v>246</v>
      </c>
      <c r="T110" t="str">
        <v>Nampula</v>
      </c>
      <c r="U110" t="str">
        <v>Masculino</v>
      </c>
      <c r="V110" t="str">
        <v>Casado(a)</v>
      </c>
      <c r="W110" t="str">
        <v>Primaria</v>
      </c>
      <c r="X110" t="str">
        <v>Nao</v>
      </c>
      <c r="Y110" t="str">
        <v>HIV/SIDA</v>
      </c>
      <c r="Z110">
        <v>39</v>
      </c>
      <c r="AA110">
        <v>91.4</v>
      </c>
      <c r="AB110">
        <v>1.49</v>
      </c>
      <c r="AC110">
        <v>6</v>
      </c>
      <c r="AD110">
        <v>126</v>
      </c>
      <c r="AE110">
        <v>74</v>
      </c>
      <c r="AF110" t="str">
        <v>Rural</v>
      </c>
      <c r="AG110" t="str">
        <v>Sim</v>
      </c>
    </row>
    <row r="111" spans="2:33" x14ac:dyDescent="0.45">
      <c r="B111" s="4">
        <v>110</v>
      </c>
      <c r="C111" s="4" t="s">
        <v>41</v>
      </c>
      <c r="D111" s="4" t="s">
        <v>23</v>
      </c>
      <c r="E111" s="4" t="s">
        <v>35</v>
      </c>
      <c r="F111" s="4" t="s">
        <v>24</v>
      </c>
      <c r="G111" s="4" t="s">
        <v>19</v>
      </c>
      <c r="H111" s="4" t="s">
        <v>38</v>
      </c>
      <c r="I111" s="4">
        <v>8</v>
      </c>
      <c r="J111" s="5">
        <v>18.2</v>
      </c>
      <c r="K111" s="6">
        <v>1.24</v>
      </c>
      <c r="L111" s="4">
        <v>5</v>
      </c>
      <c r="M111" s="4">
        <v>107</v>
      </c>
      <c r="N111" s="4">
        <v>80</v>
      </c>
      <c r="O111" s="4" t="s">
        <v>26</v>
      </c>
      <c r="P111" s="7" t="s">
        <v>19</v>
      </c>
      <c r="S111">
        <v>249</v>
      </c>
      <c r="T111" t="str">
        <v>Inhambane</v>
      </c>
      <c r="U111" t="str">
        <v>Masculino</v>
      </c>
      <c r="V111" t="str">
        <v>Casado(a)</v>
      </c>
      <c r="W111" t="str">
        <v>Secundaria</v>
      </c>
      <c r="X111" t="str">
        <v>Sim</v>
      </c>
      <c r="Y111" t="str">
        <v>Nenhuma</v>
      </c>
      <c r="Z111">
        <v>21</v>
      </c>
      <c r="AA111">
        <v>73</v>
      </c>
      <c r="AB111">
        <v>1.56</v>
      </c>
      <c r="AC111">
        <v>5</v>
      </c>
      <c r="AD111">
        <v>117</v>
      </c>
      <c r="AE111">
        <v>85</v>
      </c>
      <c r="AF111" t="str">
        <v>Urbana</v>
      </c>
      <c r="AG111" t="str">
        <v>Nao</v>
      </c>
    </row>
    <row r="112" spans="2:33" x14ac:dyDescent="0.45">
      <c r="B112" s="4">
        <v>111</v>
      </c>
      <c r="C112" s="4" t="s">
        <v>39</v>
      </c>
      <c r="D112" s="4" t="s">
        <v>16</v>
      </c>
      <c r="E112" s="4" t="s">
        <v>35</v>
      </c>
      <c r="F112" s="4" t="s">
        <v>18</v>
      </c>
      <c r="G112" s="4" t="s">
        <v>30</v>
      </c>
      <c r="H112" s="4" t="s">
        <v>32</v>
      </c>
      <c r="I112" s="4">
        <v>18</v>
      </c>
      <c r="J112" s="5">
        <v>86.3</v>
      </c>
      <c r="K112" s="6">
        <v>1.87</v>
      </c>
      <c r="L112" s="4">
        <v>2</v>
      </c>
      <c r="M112" s="4">
        <v>112</v>
      </c>
      <c r="N112" s="4">
        <v>127</v>
      </c>
      <c r="O112" s="4" t="s">
        <v>26</v>
      </c>
      <c r="P112" s="7" t="s">
        <v>19</v>
      </c>
      <c r="S112">
        <v>251</v>
      </c>
      <c r="T112" t="str">
        <v>Inhambane</v>
      </c>
      <c r="U112" t="str">
        <v>Masculino</v>
      </c>
      <c r="V112" t="str">
        <v>Viuvo(a)</v>
      </c>
      <c r="W112" t="str">
        <v>Secundaria</v>
      </c>
      <c r="X112" t="str">
        <v>Nao</v>
      </c>
      <c r="Y112" t="str">
        <v>Diarreia</v>
      </c>
      <c r="Z112">
        <v>14</v>
      </c>
      <c r="AA112">
        <v>47.3</v>
      </c>
      <c r="AB112">
        <v>1.54</v>
      </c>
      <c r="AC112">
        <v>2</v>
      </c>
      <c r="AD112">
        <v>107</v>
      </c>
      <c r="AE112">
        <v>76</v>
      </c>
      <c r="AF112" t="str">
        <v>Rural</v>
      </c>
      <c r="AG112" t="str">
        <v>Nao</v>
      </c>
    </row>
    <row r="113" spans="2:33" x14ac:dyDescent="0.45">
      <c r="B113" s="4">
        <v>112</v>
      </c>
      <c r="C113" s="4" t="s">
        <v>29</v>
      </c>
      <c r="D113" s="4" t="s">
        <v>16</v>
      </c>
      <c r="E113" s="4" t="s">
        <v>35</v>
      </c>
      <c r="F113" s="4" t="s">
        <v>24</v>
      </c>
      <c r="G113" s="4" t="s">
        <v>19</v>
      </c>
      <c r="H113" s="4" t="s">
        <v>20</v>
      </c>
      <c r="I113" s="4">
        <v>10</v>
      </c>
      <c r="J113" s="5">
        <v>26.6</v>
      </c>
      <c r="K113" s="6">
        <v>1.1499999999999999</v>
      </c>
      <c r="L113" s="4">
        <v>5</v>
      </c>
      <c r="M113" s="4">
        <v>94</v>
      </c>
      <c r="N113" s="4">
        <v>92</v>
      </c>
      <c r="O113" s="4" t="s">
        <v>21</v>
      </c>
      <c r="P113" s="7" t="s">
        <v>19</v>
      </c>
      <c r="S113">
        <v>252</v>
      </c>
      <c r="T113" t="str">
        <v>Tete</v>
      </c>
      <c r="U113" t="str">
        <v>Masculino</v>
      </c>
      <c r="V113" t="str">
        <v>Solteiro(a)</v>
      </c>
      <c r="W113" t="str">
        <v>Nenhuma</v>
      </c>
      <c r="X113" t="str">
        <v>Nao</v>
      </c>
      <c r="Y113" t="str">
        <v>Malaria</v>
      </c>
      <c r="Z113">
        <v>53</v>
      </c>
      <c r="AA113">
        <v>60.1</v>
      </c>
      <c r="AB113">
        <v>1.48</v>
      </c>
      <c r="AC113">
        <v>6</v>
      </c>
      <c r="AD113">
        <v>137</v>
      </c>
      <c r="AE113">
        <v>80</v>
      </c>
      <c r="AF113" t="str">
        <v>Urbana</v>
      </c>
      <c r="AG113" t="str">
        <v>Sim</v>
      </c>
    </row>
    <row r="114" spans="2:33" x14ac:dyDescent="0.45">
      <c r="B114" s="4">
        <v>113</v>
      </c>
      <c r="C114" s="4" t="s">
        <v>43</v>
      </c>
      <c r="D114" s="4" t="s">
        <v>23</v>
      </c>
      <c r="E114" s="4" t="s">
        <v>35</v>
      </c>
      <c r="F114" s="4" t="s">
        <v>18</v>
      </c>
      <c r="G114" s="4" t="s">
        <v>30</v>
      </c>
      <c r="H114" s="4" t="s">
        <v>25</v>
      </c>
      <c r="I114" s="4">
        <v>12</v>
      </c>
      <c r="J114" s="5">
        <v>51.5</v>
      </c>
      <c r="K114" s="6">
        <v>1.63</v>
      </c>
      <c r="L114" s="4">
        <v>4</v>
      </c>
      <c r="M114" s="4">
        <v>94</v>
      </c>
      <c r="N114" s="4">
        <v>96</v>
      </c>
      <c r="O114" s="4" t="s">
        <v>26</v>
      </c>
      <c r="P114" s="7" t="s">
        <v>19</v>
      </c>
      <c r="S114">
        <v>253</v>
      </c>
      <c r="T114" t="str">
        <v>Inhambane</v>
      </c>
      <c r="U114" t="str">
        <v>Masculino</v>
      </c>
      <c r="V114" t="str">
        <v>Viuvo(a)</v>
      </c>
      <c r="W114" t="str">
        <v>Primaria</v>
      </c>
      <c r="X114" t="str">
        <v>Nao</v>
      </c>
      <c r="Y114" t="str">
        <v>Malaria</v>
      </c>
      <c r="Z114">
        <v>5</v>
      </c>
      <c r="AA114">
        <v>24.3</v>
      </c>
      <c r="AB114">
        <v>1.44</v>
      </c>
      <c r="AC114">
        <v>0</v>
      </c>
      <c r="AD114">
        <v>104</v>
      </c>
      <c r="AE114">
        <v>73</v>
      </c>
      <c r="AF114" t="str">
        <v>Urbana</v>
      </c>
      <c r="AG114" t="str">
        <v>Nao</v>
      </c>
    </row>
    <row r="115" spans="2:33" x14ac:dyDescent="0.45">
      <c r="B115" s="4">
        <v>114</v>
      </c>
      <c r="C115" s="4" t="s">
        <v>27</v>
      </c>
      <c r="D115" s="4" t="s">
        <v>23</v>
      </c>
      <c r="E115" s="4" t="s">
        <v>35</v>
      </c>
      <c r="F115" s="4" t="s">
        <v>24</v>
      </c>
      <c r="G115" s="4" t="s">
        <v>19</v>
      </c>
      <c r="H115" s="4" t="s">
        <v>25</v>
      </c>
      <c r="I115" s="4">
        <v>69</v>
      </c>
      <c r="J115" s="5">
        <v>60.6</v>
      </c>
      <c r="K115" s="6">
        <v>1.7</v>
      </c>
      <c r="L115" s="4">
        <v>10</v>
      </c>
      <c r="M115" s="4">
        <v>124</v>
      </c>
      <c r="N115" s="4">
        <v>72</v>
      </c>
      <c r="O115" s="4" t="s">
        <v>26</v>
      </c>
      <c r="P115" s="7" t="s">
        <v>19</v>
      </c>
      <c r="S115">
        <v>254</v>
      </c>
      <c r="T115" t="str">
        <v>Maputo Provincia</v>
      </c>
      <c r="U115" t="str">
        <v>Masculino</v>
      </c>
      <c r="V115" t="str">
        <v>Solteiro(a)</v>
      </c>
      <c r="W115" t="str">
        <v>Secundaria</v>
      </c>
      <c r="X115" t="str">
        <v>Nao</v>
      </c>
      <c r="Y115" t="str">
        <v>Pneumonia</v>
      </c>
      <c r="Z115">
        <v>9</v>
      </c>
      <c r="AA115">
        <v>20.9</v>
      </c>
      <c r="AB115">
        <v>1.19</v>
      </c>
      <c r="AC115">
        <v>7</v>
      </c>
      <c r="AD115">
        <v>112</v>
      </c>
      <c r="AE115">
        <v>92</v>
      </c>
      <c r="AF115" t="str">
        <v>Rural</v>
      </c>
      <c r="AG115" t="str">
        <v>Nao</v>
      </c>
    </row>
    <row r="116" spans="2:33" x14ac:dyDescent="0.45">
      <c r="B116" s="4">
        <v>115</v>
      </c>
      <c r="C116" s="4" t="s">
        <v>41</v>
      </c>
      <c r="D116" s="4" t="s">
        <v>16</v>
      </c>
      <c r="E116" s="4" t="s">
        <v>35</v>
      </c>
      <c r="F116" s="4" t="s">
        <v>18</v>
      </c>
      <c r="G116" s="4" t="s">
        <v>19</v>
      </c>
      <c r="H116" s="4" t="s">
        <v>28</v>
      </c>
      <c r="I116" s="4">
        <v>14</v>
      </c>
      <c r="J116" s="5">
        <v>42.5</v>
      </c>
      <c r="K116" s="6">
        <v>1.53</v>
      </c>
      <c r="L116" s="4">
        <v>1</v>
      </c>
      <c r="M116" s="4">
        <v>105</v>
      </c>
      <c r="N116" s="4">
        <v>87</v>
      </c>
      <c r="O116" s="4" t="s">
        <v>21</v>
      </c>
      <c r="P116" s="7" t="s">
        <v>19</v>
      </c>
      <c r="S116">
        <v>255</v>
      </c>
      <c r="T116" t="str">
        <v>Inhambane</v>
      </c>
      <c r="U116" t="str">
        <v>Masculino</v>
      </c>
      <c r="V116" t="str">
        <v>Viuvo(a)</v>
      </c>
      <c r="W116" t="str">
        <v>Secundaria</v>
      </c>
      <c r="X116" t="str">
        <v>Sim</v>
      </c>
      <c r="Y116" t="str">
        <v>Pneumonia</v>
      </c>
      <c r="Z116">
        <v>38</v>
      </c>
      <c r="AA116">
        <v>82.3</v>
      </c>
      <c r="AB116">
        <v>1.74</v>
      </c>
      <c r="AC116">
        <v>8</v>
      </c>
      <c r="AD116">
        <v>130</v>
      </c>
      <c r="AE116">
        <v>101</v>
      </c>
      <c r="AF116" t="str">
        <v>Urbana</v>
      </c>
      <c r="AG116" t="str">
        <v>Sim</v>
      </c>
    </row>
    <row r="117" spans="2:33" x14ac:dyDescent="0.45">
      <c r="B117" s="4">
        <v>116</v>
      </c>
      <c r="C117" s="4" t="s">
        <v>40</v>
      </c>
      <c r="D117" s="4" t="s">
        <v>16</v>
      </c>
      <c r="E117" s="4" t="s">
        <v>35</v>
      </c>
      <c r="F117" s="4" t="s">
        <v>28</v>
      </c>
      <c r="G117" s="4" t="s">
        <v>19</v>
      </c>
      <c r="H117" s="4" t="s">
        <v>28</v>
      </c>
      <c r="I117" s="4">
        <v>34</v>
      </c>
      <c r="J117" s="5">
        <v>75.2</v>
      </c>
      <c r="K117" s="6">
        <v>1.75</v>
      </c>
      <c r="L117" s="4">
        <v>4</v>
      </c>
      <c r="M117" s="4">
        <v>111</v>
      </c>
      <c r="N117" s="4">
        <v>92</v>
      </c>
      <c r="O117" s="4" t="s">
        <v>21</v>
      </c>
      <c r="P117" s="7" t="s">
        <v>19</v>
      </c>
      <c r="S117">
        <v>259</v>
      </c>
      <c r="T117" t="str">
        <v>Tete</v>
      </c>
      <c r="U117" t="str">
        <v>Masculino</v>
      </c>
      <c r="V117" t="str">
        <v>Solteiro(a)</v>
      </c>
      <c r="W117" t="str">
        <v>Primaria</v>
      </c>
      <c r="X117" t="str">
        <v>Nao</v>
      </c>
      <c r="Y117" t="str">
        <v>Malaria</v>
      </c>
      <c r="Z117">
        <v>18</v>
      </c>
      <c r="AA117">
        <v>62.5</v>
      </c>
      <c r="AB117">
        <v>1.84</v>
      </c>
      <c r="AC117">
        <v>1</v>
      </c>
      <c r="AD117">
        <v>101</v>
      </c>
      <c r="AE117">
        <v>74</v>
      </c>
      <c r="AF117" t="str">
        <v>Rural</v>
      </c>
      <c r="AG117" t="str">
        <v>Nao</v>
      </c>
    </row>
    <row r="118" spans="2:33" x14ac:dyDescent="0.45">
      <c r="B118" s="4">
        <v>117</v>
      </c>
      <c r="C118" s="4" t="s">
        <v>43</v>
      </c>
      <c r="D118" s="4" t="s">
        <v>23</v>
      </c>
      <c r="E118" s="4" t="s">
        <v>44</v>
      </c>
      <c r="F118" s="4" t="s">
        <v>24</v>
      </c>
      <c r="G118" s="4" t="s">
        <v>30</v>
      </c>
      <c r="H118" s="4" t="s">
        <v>20</v>
      </c>
      <c r="I118" s="4">
        <v>37</v>
      </c>
      <c r="J118" s="5">
        <v>52.9</v>
      </c>
      <c r="K118" s="6">
        <v>1.88</v>
      </c>
      <c r="L118" s="4">
        <v>6</v>
      </c>
      <c r="M118" s="4">
        <v>113</v>
      </c>
      <c r="N118" s="4">
        <v>73</v>
      </c>
      <c r="O118" s="4" t="s">
        <v>26</v>
      </c>
      <c r="P118" s="7" t="s">
        <v>19</v>
      </c>
      <c r="S118">
        <v>260</v>
      </c>
      <c r="T118" t="str">
        <v>Nampula</v>
      </c>
      <c r="U118" t="str">
        <v>Masculino</v>
      </c>
      <c r="V118" t="str">
        <v>Casado(a)</v>
      </c>
      <c r="W118" t="str">
        <v>Secundaria</v>
      </c>
      <c r="X118" t="str">
        <v>Nao</v>
      </c>
      <c r="Y118" t="str">
        <v>Malaria</v>
      </c>
      <c r="Z118">
        <v>22</v>
      </c>
      <c r="AA118">
        <v>65.3</v>
      </c>
      <c r="AB118">
        <v>1.64</v>
      </c>
      <c r="AC118">
        <v>7</v>
      </c>
      <c r="AD118">
        <v>114</v>
      </c>
      <c r="AE118">
        <v>80</v>
      </c>
      <c r="AF118" t="str">
        <v>Urbana</v>
      </c>
      <c r="AG118" t="str">
        <v>Nao</v>
      </c>
    </row>
    <row r="119" spans="2:33" x14ac:dyDescent="0.45">
      <c r="B119" s="4">
        <v>118</v>
      </c>
      <c r="C119" s="4" t="s">
        <v>29</v>
      </c>
      <c r="D119" s="4" t="s">
        <v>16</v>
      </c>
      <c r="E119" s="4" t="s">
        <v>35</v>
      </c>
      <c r="F119" s="4" t="s">
        <v>18</v>
      </c>
      <c r="G119" s="4" t="s">
        <v>30</v>
      </c>
      <c r="H119" s="4" t="s">
        <v>28</v>
      </c>
      <c r="I119" s="4">
        <v>29</v>
      </c>
      <c r="J119" s="5">
        <v>63.7</v>
      </c>
      <c r="K119" s="6">
        <v>1.8</v>
      </c>
      <c r="L119" s="4">
        <v>4</v>
      </c>
      <c r="M119" s="4">
        <v>100</v>
      </c>
      <c r="N119" s="4">
        <v>80</v>
      </c>
      <c r="O119" s="4" t="s">
        <v>21</v>
      </c>
      <c r="P119" s="7" t="s">
        <v>19</v>
      </c>
      <c r="S119">
        <v>261</v>
      </c>
      <c r="T119" t="str">
        <v>Nampula</v>
      </c>
      <c r="U119" t="str">
        <v>Masculino</v>
      </c>
      <c r="V119" t="str">
        <v>Casado(a)</v>
      </c>
      <c r="W119" t="str">
        <v>Primaria</v>
      </c>
      <c r="X119" t="str">
        <v>Nao</v>
      </c>
      <c r="Y119" t="str">
        <v>Malaria</v>
      </c>
      <c r="Z119">
        <v>40</v>
      </c>
      <c r="AA119">
        <v>51.4</v>
      </c>
      <c r="AB119">
        <v>1.51</v>
      </c>
      <c r="AC119">
        <v>2</v>
      </c>
      <c r="AD119">
        <v>103</v>
      </c>
      <c r="AE119">
        <v>75</v>
      </c>
      <c r="AF119" t="str">
        <v>Rural</v>
      </c>
      <c r="AG119" t="str">
        <v>Nao</v>
      </c>
    </row>
    <row r="120" spans="2:33" x14ac:dyDescent="0.45">
      <c r="B120" s="4">
        <v>119</v>
      </c>
      <c r="C120" s="4" t="s">
        <v>41</v>
      </c>
      <c r="D120" s="4" t="s">
        <v>16</v>
      </c>
      <c r="E120" s="4" t="s">
        <v>17</v>
      </c>
      <c r="F120" s="4" t="s">
        <v>24</v>
      </c>
      <c r="G120" s="4" t="s">
        <v>19</v>
      </c>
      <c r="H120" s="4" t="s">
        <v>32</v>
      </c>
      <c r="I120" s="4">
        <v>2</v>
      </c>
      <c r="J120" s="5">
        <v>14.5</v>
      </c>
      <c r="K120" s="6">
        <v>0.96</v>
      </c>
      <c r="L120" s="4">
        <v>7</v>
      </c>
      <c r="M120" s="4">
        <v>97</v>
      </c>
      <c r="N120" s="4">
        <v>153</v>
      </c>
      <c r="O120" s="4" t="s">
        <v>26</v>
      </c>
      <c r="P120" s="7" t="s">
        <v>19</v>
      </c>
      <c r="S120">
        <v>262</v>
      </c>
      <c r="T120" t="str">
        <v>Zambezia</v>
      </c>
      <c r="U120" t="str">
        <v>Masculino</v>
      </c>
      <c r="V120" t="str">
        <v>Casado(a)</v>
      </c>
      <c r="W120" t="str">
        <v>Primaria</v>
      </c>
      <c r="X120" t="str">
        <v>Nao</v>
      </c>
      <c r="Y120" t="str">
        <v>Malaria</v>
      </c>
      <c r="Z120">
        <v>19</v>
      </c>
      <c r="AA120">
        <v>61.5</v>
      </c>
      <c r="AB120">
        <v>1.83</v>
      </c>
      <c r="AC120">
        <v>4</v>
      </c>
      <c r="AD120">
        <v>96</v>
      </c>
      <c r="AE120">
        <v>73</v>
      </c>
      <c r="AF120" t="str">
        <v>Rural</v>
      </c>
      <c r="AG120" t="str">
        <v>Nao</v>
      </c>
    </row>
    <row r="121" spans="2:33" x14ac:dyDescent="0.45">
      <c r="B121" s="4">
        <v>120</v>
      </c>
      <c r="C121" s="4" t="s">
        <v>45</v>
      </c>
      <c r="D121" s="4" t="s">
        <v>23</v>
      </c>
      <c r="E121" s="4" t="s">
        <v>37</v>
      </c>
      <c r="F121" s="4" t="s">
        <v>24</v>
      </c>
      <c r="G121" s="4" t="s">
        <v>19</v>
      </c>
      <c r="H121" s="4" t="s">
        <v>28</v>
      </c>
      <c r="I121" s="4">
        <v>23</v>
      </c>
      <c r="J121" s="5">
        <v>90.9</v>
      </c>
      <c r="K121" s="6">
        <v>1.79</v>
      </c>
      <c r="L121" s="4">
        <v>0</v>
      </c>
      <c r="M121" s="4">
        <v>121</v>
      </c>
      <c r="N121" s="4">
        <v>81</v>
      </c>
      <c r="O121" s="4" t="s">
        <v>21</v>
      </c>
      <c r="P121" s="7" t="s">
        <v>30</v>
      </c>
      <c r="S121">
        <v>264</v>
      </c>
      <c r="T121" t="str">
        <v>Maputo Provincia</v>
      </c>
      <c r="U121" t="str">
        <v>Masculino</v>
      </c>
      <c r="V121" t="str">
        <v>Casado(a)</v>
      </c>
      <c r="W121" t="str">
        <v>Nenhuma</v>
      </c>
      <c r="X121" t="str">
        <v>Nao</v>
      </c>
      <c r="Y121" t="str">
        <v>Tuberculose</v>
      </c>
      <c r="Z121">
        <v>15</v>
      </c>
      <c r="AA121">
        <v>43</v>
      </c>
      <c r="AB121">
        <v>1.57</v>
      </c>
      <c r="AC121">
        <v>5</v>
      </c>
      <c r="AD121">
        <v>106</v>
      </c>
      <c r="AE121">
        <v>82</v>
      </c>
      <c r="AF121" t="str">
        <v>Rural</v>
      </c>
      <c r="AG121" t="str">
        <v>Sim</v>
      </c>
    </row>
    <row r="122" spans="2:33" x14ac:dyDescent="0.45">
      <c r="B122" s="4">
        <v>121</v>
      </c>
      <c r="C122" s="4" t="s">
        <v>43</v>
      </c>
      <c r="D122" s="4" t="s">
        <v>16</v>
      </c>
      <c r="E122" s="4" t="s">
        <v>37</v>
      </c>
      <c r="F122" s="4" t="s">
        <v>28</v>
      </c>
      <c r="G122" s="4" t="s">
        <v>19</v>
      </c>
      <c r="H122" s="4" t="s">
        <v>20</v>
      </c>
      <c r="I122" s="4">
        <v>19</v>
      </c>
      <c r="J122" s="5">
        <v>80.599999999999994</v>
      </c>
      <c r="K122" s="6">
        <v>1.49</v>
      </c>
      <c r="L122" s="4">
        <v>1</v>
      </c>
      <c r="M122" s="4">
        <v>107</v>
      </c>
      <c r="N122" s="4">
        <v>96</v>
      </c>
      <c r="O122" s="4" t="s">
        <v>26</v>
      </c>
      <c r="P122" s="7" t="s">
        <v>19</v>
      </c>
      <c r="S122">
        <v>268</v>
      </c>
      <c r="T122" t="str">
        <v>Maputo Cidade</v>
      </c>
      <c r="U122" t="str">
        <v>Masculino</v>
      </c>
      <c r="V122" t="str">
        <v>Solteiro(a)</v>
      </c>
      <c r="W122" t="str">
        <v>Secundaria</v>
      </c>
      <c r="X122" t="str">
        <v>Nao</v>
      </c>
      <c r="Y122" t="str">
        <v>Diabetes</v>
      </c>
      <c r="Z122">
        <v>38</v>
      </c>
      <c r="AA122">
        <v>90.5</v>
      </c>
      <c r="AB122">
        <v>1.88</v>
      </c>
      <c r="AC122">
        <v>0</v>
      </c>
      <c r="AD122">
        <v>125</v>
      </c>
      <c r="AE122">
        <v>134</v>
      </c>
      <c r="AF122" t="str">
        <v>Rural</v>
      </c>
      <c r="AG122" t="str">
        <v>Nao</v>
      </c>
    </row>
    <row r="123" spans="2:33" x14ac:dyDescent="0.45">
      <c r="B123" s="4">
        <v>122</v>
      </c>
      <c r="C123" s="4" t="s">
        <v>45</v>
      </c>
      <c r="D123" s="4" t="s">
        <v>23</v>
      </c>
      <c r="E123" s="4" t="s">
        <v>17</v>
      </c>
      <c r="F123" s="4" t="s">
        <v>18</v>
      </c>
      <c r="G123" s="4" t="s">
        <v>19</v>
      </c>
      <c r="H123" s="4" t="s">
        <v>20</v>
      </c>
      <c r="I123" s="4">
        <v>1</v>
      </c>
      <c r="J123" s="5">
        <v>16</v>
      </c>
      <c r="K123" s="6">
        <v>1.03</v>
      </c>
      <c r="L123" s="4">
        <v>4</v>
      </c>
      <c r="M123" s="4">
        <v>114</v>
      </c>
      <c r="N123" s="4">
        <v>103</v>
      </c>
      <c r="O123" s="4" t="s">
        <v>26</v>
      </c>
      <c r="P123" s="7" t="s">
        <v>19</v>
      </c>
      <c r="S123">
        <v>269</v>
      </c>
      <c r="T123" t="str">
        <v>Sofala</v>
      </c>
      <c r="U123" t="str">
        <v>Masculino</v>
      </c>
      <c r="V123" t="str">
        <v>Solteiro(a)</v>
      </c>
      <c r="W123" t="str">
        <v>Nenhuma</v>
      </c>
      <c r="X123" t="str">
        <v>Nao</v>
      </c>
      <c r="Y123" t="str">
        <v>Pneumonia</v>
      </c>
      <c r="Z123">
        <v>19</v>
      </c>
      <c r="AA123">
        <v>78.3</v>
      </c>
      <c r="AB123">
        <v>1.68</v>
      </c>
      <c r="AC123">
        <v>2</v>
      </c>
      <c r="AD123">
        <v>104</v>
      </c>
      <c r="AE123">
        <v>81</v>
      </c>
      <c r="AF123" t="str">
        <v>Urbana</v>
      </c>
      <c r="AG123" t="str">
        <v>Sim</v>
      </c>
    </row>
    <row r="124" spans="2:33" x14ac:dyDescent="0.45">
      <c r="B124" s="4">
        <v>123</v>
      </c>
      <c r="C124" s="4" t="s">
        <v>41</v>
      </c>
      <c r="D124" s="4" t="s">
        <v>23</v>
      </c>
      <c r="E124" s="4" t="s">
        <v>35</v>
      </c>
      <c r="F124" s="4" t="s">
        <v>24</v>
      </c>
      <c r="G124" s="4" t="s">
        <v>19</v>
      </c>
      <c r="H124" s="4" t="s">
        <v>38</v>
      </c>
      <c r="I124" s="4">
        <v>29</v>
      </c>
      <c r="J124" s="5">
        <v>53.6</v>
      </c>
      <c r="K124" s="6">
        <v>1.5</v>
      </c>
      <c r="L124" s="4">
        <v>2</v>
      </c>
      <c r="M124" s="4">
        <v>120</v>
      </c>
      <c r="N124" s="4">
        <v>71</v>
      </c>
      <c r="O124" s="4" t="s">
        <v>26</v>
      </c>
      <c r="P124" s="7" t="s">
        <v>19</v>
      </c>
      <c r="S124">
        <v>270</v>
      </c>
      <c r="T124" t="str">
        <v>Gaza</v>
      </c>
      <c r="U124" t="str">
        <v>Masculino</v>
      </c>
      <c r="V124" t="str">
        <v>Casado(a)</v>
      </c>
      <c r="W124" t="str">
        <v>Secundaria</v>
      </c>
      <c r="X124" t="str">
        <v>Nao</v>
      </c>
      <c r="Y124" t="str">
        <v>Nenhuma</v>
      </c>
      <c r="Z124">
        <v>69</v>
      </c>
      <c r="AA124">
        <v>54.8</v>
      </c>
      <c r="AB124">
        <v>1.89</v>
      </c>
      <c r="AC124">
        <v>6</v>
      </c>
      <c r="AD124">
        <v>139</v>
      </c>
      <c r="AE124">
        <v>95</v>
      </c>
      <c r="AF124" t="str">
        <v>Urbana</v>
      </c>
      <c r="AG124" t="str">
        <v>Sim</v>
      </c>
    </row>
    <row r="125" spans="2:33" x14ac:dyDescent="0.45">
      <c r="B125" s="4">
        <v>124</v>
      </c>
      <c r="C125" s="4" t="s">
        <v>22</v>
      </c>
      <c r="D125" s="4" t="s">
        <v>16</v>
      </c>
      <c r="E125" s="4" t="s">
        <v>35</v>
      </c>
      <c r="F125" s="4" t="s">
        <v>18</v>
      </c>
      <c r="G125" s="4" t="s">
        <v>19</v>
      </c>
      <c r="H125" s="4" t="s">
        <v>25</v>
      </c>
      <c r="I125" s="4">
        <v>46</v>
      </c>
      <c r="J125" s="5">
        <v>57.5</v>
      </c>
      <c r="K125" s="6">
        <v>1.73</v>
      </c>
      <c r="L125" s="4">
        <v>0</v>
      </c>
      <c r="M125" s="4">
        <v>111</v>
      </c>
      <c r="N125" s="4">
        <v>78</v>
      </c>
      <c r="O125" s="4" t="s">
        <v>21</v>
      </c>
      <c r="P125" s="7" t="s">
        <v>19</v>
      </c>
      <c r="S125">
        <v>272</v>
      </c>
      <c r="T125" t="str">
        <v>Gaza</v>
      </c>
      <c r="U125" t="str">
        <v>Masculino</v>
      </c>
      <c r="V125" t="str">
        <v>Casado(a)</v>
      </c>
      <c r="W125" t="str">
        <v>Primaria</v>
      </c>
      <c r="X125" t="str">
        <v>Sim</v>
      </c>
      <c r="Y125" t="str">
        <v>Malaria</v>
      </c>
      <c r="Z125">
        <v>27</v>
      </c>
      <c r="AA125">
        <v>63.5</v>
      </c>
      <c r="AB125">
        <v>1.76</v>
      </c>
      <c r="AC125">
        <v>6</v>
      </c>
      <c r="AD125">
        <v>120</v>
      </c>
      <c r="AE125">
        <v>85</v>
      </c>
      <c r="AF125" t="str">
        <v>Rural</v>
      </c>
      <c r="AG125" t="str">
        <v>Nao</v>
      </c>
    </row>
    <row r="126" spans="2:33" x14ac:dyDescent="0.45">
      <c r="B126" s="4">
        <v>125</v>
      </c>
      <c r="C126" s="4" t="s">
        <v>22</v>
      </c>
      <c r="D126" s="4" t="s">
        <v>23</v>
      </c>
      <c r="E126" s="4" t="s">
        <v>35</v>
      </c>
      <c r="F126" s="4" t="s">
        <v>24</v>
      </c>
      <c r="G126" s="4" t="s">
        <v>19</v>
      </c>
      <c r="H126" s="4" t="s">
        <v>34</v>
      </c>
      <c r="I126" s="4">
        <v>20</v>
      </c>
      <c r="J126" s="5">
        <v>58.4</v>
      </c>
      <c r="K126" s="6">
        <v>1.6</v>
      </c>
      <c r="L126" s="4">
        <v>2</v>
      </c>
      <c r="M126" s="4">
        <v>119</v>
      </c>
      <c r="N126" s="4">
        <v>88</v>
      </c>
      <c r="O126" s="4" t="s">
        <v>26</v>
      </c>
      <c r="P126" s="7" t="s">
        <v>19</v>
      </c>
      <c r="S126">
        <v>275</v>
      </c>
      <c r="T126" t="str">
        <v>Zambezia</v>
      </c>
      <c r="U126" t="str">
        <v>Masculino</v>
      </c>
      <c r="V126" t="str">
        <v>Casado(a)</v>
      </c>
      <c r="W126" t="str">
        <v>Primaria</v>
      </c>
      <c r="X126" t="str">
        <v>Nao</v>
      </c>
      <c r="Y126" t="str">
        <v>Malaria</v>
      </c>
      <c r="Z126">
        <v>21</v>
      </c>
      <c r="AA126">
        <v>49.9</v>
      </c>
      <c r="AB126">
        <v>1.77</v>
      </c>
      <c r="AC126">
        <v>1</v>
      </c>
      <c r="AD126">
        <v>105</v>
      </c>
      <c r="AE126">
        <v>93</v>
      </c>
      <c r="AF126" t="str">
        <v>Rural</v>
      </c>
      <c r="AG126" t="str">
        <v>Nao</v>
      </c>
    </row>
    <row r="127" spans="2:33" x14ac:dyDescent="0.45">
      <c r="B127" s="4">
        <v>126</v>
      </c>
      <c r="C127" s="4" t="s">
        <v>41</v>
      </c>
      <c r="D127" s="4" t="s">
        <v>23</v>
      </c>
      <c r="E127" s="4" t="s">
        <v>17</v>
      </c>
      <c r="F127" s="4" t="s">
        <v>28</v>
      </c>
      <c r="G127" s="4" t="s">
        <v>19</v>
      </c>
      <c r="H127" s="4" t="s">
        <v>46</v>
      </c>
      <c r="I127" s="4">
        <v>49</v>
      </c>
      <c r="J127" s="5">
        <v>58.6</v>
      </c>
      <c r="K127" s="6">
        <v>1.56</v>
      </c>
      <c r="L127" s="4">
        <v>10</v>
      </c>
      <c r="M127" s="4">
        <v>116</v>
      </c>
      <c r="N127" s="4">
        <v>105</v>
      </c>
      <c r="O127" s="4" t="s">
        <v>21</v>
      </c>
      <c r="P127" s="7" t="s">
        <v>19</v>
      </c>
      <c r="S127">
        <v>277</v>
      </c>
      <c r="T127" t="str">
        <v>Niassa</v>
      </c>
      <c r="U127" t="str">
        <v>Masculino</v>
      </c>
      <c r="V127" t="str">
        <v>Casado(a)</v>
      </c>
      <c r="W127" t="str">
        <v>Secundaria</v>
      </c>
      <c r="X127" t="str">
        <v>Sim</v>
      </c>
      <c r="Y127" t="str">
        <v>HIV/SIDA</v>
      </c>
      <c r="Z127">
        <v>5</v>
      </c>
      <c r="AA127">
        <v>23.3</v>
      </c>
      <c r="AB127">
        <v>1.19</v>
      </c>
      <c r="AC127">
        <v>1</v>
      </c>
      <c r="AD127">
        <v>93</v>
      </c>
      <c r="AE127">
        <v>92</v>
      </c>
      <c r="AF127" t="str">
        <v>Rural</v>
      </c>
      <c r="AG127" t="str">
        <v>Nao</v>
      </c>
    </row>
    <row r="128" spans="2:33" x14ac:dyDescent="0.45">
      <c r="B128" s="4">
        <v>127</v>
      </c>
      <c r="C128" s="4" t="s">
        <v>27</v>
      </c>
      <c r="D128" s="4" t="s">
        <v>23</v>
      </c>
      <c r="E128" s="4" t="s">
        <v>35</v>
      </c>
      <c r="F128" s="4" t="s">
        <v>28</v>
      </c>
      <c r="G128" s="4" t="s">
        <v>19</v>
      </c>
      <c r="H128" s="4" t="s">
        <v>20</v>
      </c>
      <c r="I128" s="4">
        <v>25</v>
      </c>
      <c r="J128" s="5">
        <v>52.9</v>
      </c>
      <c r="K128" s="6">
        <v>1.77</v>
      </c>
      <c r="L128" s="4">
        <v>4</v>
      </c>
      <c r="M128" s="4">
        <v>114</v>
      </c>
      <c r="N128" s="4">
        <v>89</v>
      </c>
      <c r="O128" s="4" t="s">
        <v>21</v>
      </c>
      <c r="P128" s="7" t="s">
        <v>19</v>
      </c>
      <c r="S128">
        <v>281</v>
      </c>
      <c r="T128" t="str">
        <v>Manica</v>
      </c>
      <c r="U128" t="str">
        <v>Masculino</v>
      </c>
      <c r="V128" t="str">
        <v>Solteiro(a)</v>
      </c>
      <c r="W128" t="str">
        <v>Nenhuma</v>
      </c>
      <c r="X128" t="str">
        <v>Nao</v>
      </c>
      <c r="Y128" t="str">
        <v>Tuberculose</v>
      </c>
      <c r="Z128">
        <v>17</v>
      </c>
      <c r="AA128">
        <v>38.5</v>
      </c>
      <c r="AB128">
        <v>1.59</v>
      </c>
      <c r="AC128">
        <v>2</v>
      </c>
      <c r="AD128">
        <v>99</v>
      </c>
      <c r="AE128">
        <v>81</v>
      </c>
      <c r="AF128" t="str">
        <v>Rural</v>
      </c>
      <c r="AG128" t="str">
        <v>Nao</v>
      </c>
    </row>
    <row r="129" spans="2:33" x14ac:dyDescent="0.45">
      <c r="B129" s="4">
        <v>128</v>
      </c>
      <c r="C129" s="4" t="s">
        <v>15</v>
      </c>
      <c r="D129" s="4" t="s">
        <v>23</v>
      </c>
      <c r="E129" s="4" t="s">
        <v>35</v>
      </c>
      <c r="F129" s="4" t="s">
        <v>28</v>
      </c>
      <c r="G129" s="4" t="s">
        <v>19</v>
      </c>
      <c r="H129" s="4" t="s">
        <v>28</v>
      </c>
      <c r="I129" s="4">
        <v>0</v>
      </c>
      <c r="J129" s="5">
        <v>11.3</v>
      </c>
      <c r="K129" s="6">
        <v>0.81</v>
      </c>
      <c r="L129" s="4">
        <v>1</v>
      </c>
      <c r="M129" s="4">
        <v>112</v>
      </c>
      <c r="N129" s="4">
        <v>89</v>
      </c>
      <c r="O129" s="4" t="s">
        <v>26</v>
      </c>
      <c r="P129" s="7" t="s">
        <v>19</v>
      </c>
      <c r="S129">
        <v>282</v>
      </c>
      <c r="T129" t="str">
        <v>Sofala</v>
      </c>
      <c r="U129" t="str">
        <v>Masculino</v>
      </c>
      <c r="V129" t="str">
        <v>Solteiro(a)</v>
      </c>
      <c r="W129" t="str">
        <v>Primaria</v>
      </c>
      <c r="X129" t="str">
        <v>Nao</v>
      </c>
      <c r="Y129" t="str">
        <v>HIV/SIDA</v>
      </c>
      <c r="Z129">
        <v>35</v>
      </c>
      <c r="AA129">
        <v>58.1</v>
      </c>
      <c r="AB129">
        <v>1.75</v>
      </c>
      <c r="AC129">
        <v>7</v>
      </c>
      <c r="AD129">
        <v>133</v>
      </c>
      <c r="AE129">
        <v>87</v>
      </c>
      <c r="AF129" t="str">
        <v>Rural</v>
      </c>
      <c r="AG129" t="str">
        <v>Sim</v>
      </c>
    </row>
    <row r="130" spans="2:33" x14ac:dyDescent="0.45">
      <c r="B130" s="4">
        <v>129</v>
      </c>
      <c r="C130" s="4" t="s">
        <v>22</v>
      </c>
      <c r="D130" s="4" t="s">
        <v>16</v>
      </c>
      <c r="E130" s="4" t="s">
        <v>35</v>
      </c>
      <c r="F130" s="4" t="s">
        <v>28</v>
      </c>
      <c r="G130" s="4" t="s">
        <v>19</v>
      </c>
      <c r="H130" s="4" t="s">
        <v>28</v>
      </c>
      <c r="I130" s="4">
        <v>16</v>
      </c>
      <c r="J130" s="5">
        <v>64.7</v>
      </c>
      <c r="K130" s="6">
        <v>1.52</v>
      </c>
      <c r="L130" s="4">
        <v>1</v>
      </c>
      <c r="M130" s="4">
        <v>119</v>
      </c>
      <c r="N130" s="4">
        <v>99</v>
      </c>
      <c r="O130" s="4" t="s">
        <v>26</v>
      </c>
      <c r="P130" s="7" t="s">
        <v>19</v>
      </c>
      <c r="S130">
        <v>284</v>
      </c>
      <c r="T130" t="str">
        <v>Inhambane</v>
      </c>
      <c r="U130" t="str">
        <v>Masculino</v>
      </c>
      <c r="V130" t="str">
        <v>Solteiro(a)</v>
      </c>
      <c r="W130" t="str">
        <v>Superior</v>
      </c>
      <c r="X130" t="str">
        <v>Nao</v>
      </c>
      <c r="Y130" t="str">
        <v>Diarreia</v>
      </c>
      <c r="Z130">
        <v>32</v>
      </c>
      <c r="AA130">
        <v>71.099999999999994</v>
      </c>
      <c r="AB130">
        <v>1.79</v>
      </c>
      <c r="AC130">
        <v>3</v>
      </c>
      <c r="AD130">
        <v>114</v>
      </c>
      <c r="AE130">
        <v>97</v>
      </c>
      <c r="AF130" t="str">
        <v>Urbana</v>
      </c>
      <c r="AG130" t="str">
        <v>Sim</v>
      </c>
    </row>
    <row r="131" spans="2:33" x14ac:dyDescent="0.45">
      <c r="B131" s="4">
        <v>130</v>
      </c>
      <c r="C131" s="4" t="s">
        <v>22</v>
      </c>
      <c r="D131" s="4" t="s">
        <v>23</v>
      </c>
      <c r="E131" s="4" t="s">
        <v>37</v>
      </c>
      <c r="F131" s="4" t="s">
        <v>28</v>
      </c>
      <c r="G131" s="4" t="s">
        <v>19</v>
      </c>
      <c r="H131" s="4" t="s">
        <v>28</v>
      </c>
      <c r="I131" s="4">
        <v>53</v>
      </c>
      <c r="J131" s="5">
        <v>50.5</v>
      </c>
      <c r="K131" s="6">
        <v>1.89</v>
      </c>
      <c r="L131" s="4">
        <v>0</v>
      </c>
      <c r="M131" s="4">
        <v>117</v>
      </c>
      <c r="N131" s="4">
        <v>97</v>
      </c>
      <c r="O131" s="4" t="s">
        <v>21</v>
      </c>
      <c r="P131" s="7" t="s">
        <v>19</v>
      </c>
      <c r="S131">
        <v>286</v>
      </c>
      <c r="T131" t="str">
        <v>Cabo Delgado</v>
      </c>
      <c r="U131" t="str">
        <v>Masculino</v>
      </c>
      <c r="V131" t="str">
        <v>Casado(a)</v>
      </c>
      <c r="W131" t="str">
        <v>Primaria</v>
      </c>
      <c r="X131" t="str">
        <v>Nao</v>
      </c>
      <c r="Y131" t="str">
        <v>Tuberculose</v>
      </c>
      <c r="Z131">
        <v>68</v>
      </c>
      <c r="AA131">
        <v>76.599999999999994</v>
      </c>
      <c r="AB131">
        <v>1.78</v>
      </c>
      <c r="AC131">
        <v>3</v>
      </c>
      <c r="AD131">
        <v>133</v>
      </c>
      <c r="AE131">
        <v>81</v>
      </c>
      <c r="AF131" t="str">
        <v>Urbana</v>
      </c>
      <c r="AG131" t="str">
        <v>Nao</v>
      </c>
    </row>
    <row r="132" spans="2:33" x14ac:dyDescent="0.45">
      <c r="B132" s="4">
        <v>131</v>
      </c>
      <c r="C132" s="4" t="s">
        <v>41</v>
      </c>
      <c r="D132" s="4" t="s">
        <v>16</v>
      </c>
      <c r="E132" s="4" t="s">
        <v>44</v>
      </c>
      <c r="F132" s="4" t="s">
        <v>28</v>
      </c>
      <c r="G132" s="4" t="s">
        <v>19</v>
      </c>
      <c r="H132" s="4" t="s">
        <v>25</v>
      </c>
      <c r="I132" s="4">
        <v>13</v>
      </c>
      <c r="J132" s="5">
        <v>63.3</v>
      </c>
      <c r="K132" s="6">
        <v>1.74</v>
      </c>
      <c r="L132" s="4">
        <v>1</v>
      </c>
      <c r="M132" s="4">
        <v>115</v>
      </c>
      <c r="N132" s="4">
        <v>89</v>
      </c>
      <c r="O132" s="4" t="s">
        <v>26</v>
      </c>
      <c r="P132" s="7" t="s">
        <v>19</v>
      </c>
      <c r="S132">
        <v>290</v>
      </c>
      <c r="T132" t="str">
        <v>Maputo Provincia</v>
      </c>
      <c r="U132" t="str">
        <v>Masculino</v>
      </c>
      <c r="V132" t="str">
        <v>Solteiro(a)</v>
      </c>
      <c r="W132" t="str">
        <v>Nenhuma</v>
      </c>
      <c r="X132" t="str">
        <v>Nao</v>
      </c>
      <c r="Y132" t="str">
        <v>Nenhuma</v>
      </c>
      <c r="Z132">
        <v>21</v>
      </c>
      <c r="AA132">
        <v>74</v>
      </c>
      <c r="AB132">
        <v>1.61</v>
      </c>
      <c r="AC132">
        <v>3</v>
      </c>
      <c r="AD132">
        <v>121</v>
      </c>
      <c r="AE132">
        <v>92</v>
      </c>
      <c r="AF132" t="str">
        <v>Urbana</v>
      </c>
      <c r="AG132" t="str">
        <v>Nao</v>
      </c>
    </row>
    <row r="133" spans="2:33" x14ac:dyDescent="0.45">
      <c r="B133" s="4">
        <v>132</v>
      </c>
      <c r="C133" s="4" t="s">
        <v>15</v>
      </c>
      <c r="D133" s="4" t="s">
        <v>16</v>
      </c>
      <c r="E133" s="4" t="s">
        <v>17</v>
      </c>
      <c r="F133" s="4" t="s">
        <v>28</v>
      </c>
      <c r="G133" s="4" t="s">
        <v>19</v>
      </c>
      <c r="H133" s="4" t="s">
        <v>46</v>
      </c>
      <c r="I133" s="4">
        <v>39</v>
      </c>
      <c r="J133" s="5">
        <v>63.9</v>
      </c>
      <c r="K133" s="6">
        <v>1.83</v>
      </c>
      <c r="L133" s="4">
        <v>3</v>
      </c>
      <c r="M133" s="4">
        <v>114</v>
      </c>
      <c r="N133" s="4">
        <v>90</v>
      </c>
      <c r="O133" s="4" t="s">
        <v>21</v>
      </c>
      <c r="P133" s="7" t="s">
        <v>19</v>
      </c>
      <c r="S133">
        <v>291</v>
      </c>
      <c r="T133" t="str">
        <v>Cabo Delgado</v>
      </c>
      <c r="U133" t="str">
        <v>Masculino</v>
      </c>
      <c r="V133" t="str">
        <v>Solteiro(a)</v>
      </c>
      <c r="W133" t="str">
        <v>Superior</v>
      </c>
      <c r="X133" t="str">
        <v>Nao</v>
      </c>
      <c r="Y133" t="str">
        <v>Malaria</v>
      </c>
      <c r="Z133">
        <v>23</v>
      </c>
      <c r="AA133">
        <v>87.9</v>
      </c>
      <c r="AB133">
        <v>1.81</v>
      </c>
      <c r="AC133">
        <v>4</v>
      </c>
      <c r="AD133">
        <v>110</v>
      </c>
      <c r="AE133">
        <v>88</v>
      </c>
      <c r="AF133" t="str">
        <v>Rural</v>
      </c>
      <c r="AG133" t="str">
        <v>Sim</v>
      </c>
    </row>
    <row r="134" spans="2:33" x14ac:dyDescent="0.45">
      <c r="B134" s="4">
        <v>133</v>
      </c>
      <c r="C134" s="4" t="s">
        <v>22</v>
      </c>
      <c r="D134" s="4" t="s">
        <v>23</v>
      </c>
      <c r="E134" s="4" t="s">
        <v>17</v>
      </c>
      <c r="F134" s="4" t="s">
        <v>24</v>
      </c>
      <c r="G134" s="4" t="s">
        <v>19</v>
      </c>
      <c r="H134" s="4" t="s">
        <v>28</v>
      </c>
      <c r="I134" s="4">
        <v>5</v>
      </c>
      <c r="J134" s="5">
        <v>25.4</v>
      </c>
      <c r="K134" s="6">
        <v>1.05</v>
      </c>
      <c r="L134" s="4">
        <v>9</v>
      </c>
      <c r="M134" s="4">
        <v>99</v>
      </c>
      <c r="N134" s="4">
        <v>89</v>
      </c>
      <c r="O134" s="4" t="s">
        <v>26</v>
      </c>
      <c r="P134" s="7" t="s">
        <v>19</v>
      </c>
      <c r="S134">
        <v>292</v>
      </c>
      <c r="T134" t="str">
        <v>Cabo Delgado</v>
      </c>
      <c r="U134" t="str">
        <v>Masculino</v>
      </c>
      <c r="V134" t="str">
        <v>Solteiro(a)</v>
      </c>
      <c r="W134" t="str">
        <v>Secundaria</v>
      </c>
      <c r="X134" t="str">
        <v>Sim</v>
      </c>
      <c r="Y134" t="str">
        <v>Malaria</v>
      </c>
      <c r="Z134">
        <v>34</v>
      </c>
      <c r="AA134">
        <v>79</v>
      </c>
      <c r="AB134">
        <v>1.54</v>
      </c>
      <c r="AC134">
        <v>4</v>
      </c>
      <c r="AD134">
        <v>103</v>
      </c>
      <c r="AE134">
        <v>102</v>
      </c>
      <c r="AF134" t="str">
        <v>Urbana</v>
      </c>
      <c r="AG134" t="str">
        <v>Nao</v>
      </c>
    </row>
    <row r="135" spans="2:33" x14ac:dyDescent="0.45">
      <c r="B135" s="4">
        <v>134</v>
      </c>
      <c r="C135" s="4" t="s">
        <v>43</v>
      </c>
      <c r="D135" s="4" t="s">
        <v>16</v>
      </c>
      <c r="E135" s="4" t="s">
        <v>17</v>
      </c>
      <c r="F135" s="4" t="s">
        <v>18</v>
      </c>
      <c r="G135" s="4" t="s">
        <v>19</v>
      </c>
      <c r="H135" s="4" t="s">
        <v>25</v>
      </c>
      <c r="I135" s="4">
        <v>8</v>
      </c>
      <c r="J135" s="5">
        <v>21.8</v>
      </c>
      <c r="K135" s="6">
        <v>1.25</v>
      </c>
      <c r="L135" s="4">
        <v>2</v>
      </c>
      <c r="M135" s="4">
        <v>97</v>
      </c>
      <c r="N135" s="4">
        <v>97</v>
      </c>
      <c r="O135" s="4" t="s">
        <v>26</v>
      </c>
      <c r="P135" s="7" t="s">
        <v>19</v>
      </c>
      <c r="S135">
        <v>293</v>
      </c>
      <c r="T135" t="str">
        <v>Sofala</v>
      </c>
      <c r="U135" t="str">
        <v>Masculino</v>
      </c>
      <c r="V135" t="str">
        <v>Casado(a)</v>
      </c>
      <c r="W135" t="str">
        <v>Secundaria</v>
      </c>
      <c r="X135" t="str">
        <v>Nao</v>
      </c>
      <c r="Y135" t="str">
        <v>Pneumonia</v>
      </c>
      <c r="Z135">
        <v>10</v>
      </c>
      <c r="AA135">
        <v>27.5</v>
      </c>
      <c r="AB135">
        <v>1.28</v>
      </c>
      <c r="AC135">
        <v>2</v>
      </c>
      <c r="AD135">
        <v>114</v>
      </c>
      <c r="AE135">
        <v>94</v>
      </c>
      <c r="AF135" t="str">
        <v>Rural</v>
      </c>
      <c r="AG135" t="str">
        <v>Sim</v>
      </c>
    </row>
    <row r="136" spans="2:33" x14ac:dyDescent="0.45">
      <c r="B136" s="4">
        <v>135</v>
      </c>
      <c r="C136" s="4" t="s">
        <v>43</v>
      </c>
      <c r="D136" s="4" t="s">
        <v>23</v>
      </c>
      <c r="E136" s="4" t="s">
        <v>17</v>
      </c>
      <c r="F136" s="4" t="s">
        <v>24</v>
      </c>
      <c r="G136" s="4" t="s">
        <v>19</v>
      </c>
      <c r="H136" s="4" t="s">
        <v>20</v>
      </c>
      <c r="I136" s="4">
        <v>3</v>
      </c>
      <c r="J136" s="5">
        <v>7</v>
      </c>
      <c r="K136" s="6">
        <v>0.63</v>
      </c>
      <c r="L136" s="4">
        <v>1</v>
      </c>
      <c r="M136" s="4">
        <v>98</v>
      </c>
      <c r="N136" s="4">
        <v>97</v>
      </c>
      <c r="O136" s="4" t="s">
        <v>26</v>
      </c>
      <c r="P136" s="7" t="s">
        <v>30</v>
      </c>
      <c r="S136">
        <v>294</v>
      </c>
      <c r="T136" t="str">
        <v>Zambezia</v>
      </c>
      <c r="U136" t="str">
        <v>Masculino</v>
      </c>
      <c r="V136" t="str">
        <v>Divorciado(a)</v>
      </c>
      <c r="W136" t="str">
        <v>Nenhuma</v>
      </c>
      <c r="X136" t="str">
        <v>Nao</v>
      </c>
      <c r="Y136" t="str">
        <v>Malaria</v>
      </c>
      <c r="Z136">
        <v>31</v>
      </c>
      <c r="AA136">
        <v>93.8</v>
      </c>
      <c r="AB136">
        <v>1.85</v>
      </c>
      <c r="AC136">
        <v>0</v>
      </c>
      <c r="AD136">
        <v>100</v>
      </c>
      <c r="AE136">
        <v>88</v>
      </c>
      <c r="AF136" t="str">
        <v>Rural</v>
      </c>
      <c r="AG136" t="str">
        <v>Nao</v>
      </c>
    </row>
    <row r="137" spans="2:33" x14ac:dyDescent="0.45">
      <c r="B137" s="4">
        <v>136</v>
      </c>
      <c r="C137" s="4" t="s">
        <v>40</v>
      </c>
      <c r="D137" s="4" t="s">
        <v>23</v>
      </c>
      <c r="E137" s="4" t="s">
        <v>17</v>
      </c>
      <c r="F137" s="4" t="s">
        <v>24</v>
      </c>
      <c r="G137" s="4" t="s">
        <v>19</v>
      </c>
      <c r="H137" s="4" t="s">
        <v>36</v>
      </c>
      <c r="I137" s="4">
        <v>4</v>
      </c>
      <c r="J137" s="5">
        <v>6.4</v>
      </c>
      <c r="K137" s="6">
        <v>0.86</v>
      </c>
      <c r="L137" s="4">
        <v>9</v>
      </c>
      <c r="M137" s="4">
        <v>134</v>
      </c>
      <c r="N137" s="4">
        <v>90</v>
      </c>
      <c r="O137" s="4" t="s">
        <v>26</v>
      </c>
      <c r="P137" s="7" t="s">
        <v>19</v>
      </c>
      <c r="S137">
        <v>295</v>
      </c>
      <c r="T137" t="str">
        <v>Maputo Provincia</v>
      </c>
      <c r="U137" t="str">
        <v>Masculino</v>
      </c>
      <c r="V137" t="str">
        <v>Solteiro(a)</v>
      </c>
      <c r="W137" t="str">
        <v>Primaria</v>
      </c>
      <c r="X137" t="str">
        <v>Sim</v>
      </c>
      <c r="Y137" t="str">
        <v>Tuberculose</v>
      </c>
      <c r="Z137">
        <v>63</v>
      </c>
      <c r="AA137">
        <v>77.400000000000006</v>
      </c>
      <c r="AB137">
        <v>1.82</v>
      </c>
      <c r="AC137">
        <v>5</v>
      </c>
      <c r="AD137">
        <v>135</v>
      </c>
      <c r="AE137">
        <v>93</v>
      </c>
      <c r="AF137" t="str">
        <v>Rural</v>
      </c>
      <c r="AG137" t="str">
        <v>Sim</v>
      </c>
    </row>
    <row r="138" spans="2:33" x14ac:dyDescent="0.45">
      <c r="B138" s="4">
        <v>137</v>
      </c>
      <c r="C138" s="4" t="s">
        <v>43</v>
      </c>
      <c r="D138" s="4" t="s">
        <v>23</v>
      </c>
      <c r="E138" s="4" t="s">
        <v>17</v>
      </c>
      <c r="F138" s="4" t="s">
        <v>24</v>
      </c>
      <c r="G138" s="4" t="s">
        <v>19</v>
      </c>
      <c r="H138" s="4" t="s">
        <v>20</v>
      </c>
      <c r="I138" s="4">
        <v>55</v>
      </c>
      <c r="J138" s="5">
        <v>58.7</v>
      </c>
      <c r="K138" s="6">
        <v>1.89</v>
      </c>
      <c r="L138" s="4">
        <v>2</v>
      </c>
      <c r="M138" s="4">
        <v>109</v>
      </c>
      <c r="N138" s="4">
        <v>81</v>
      </c>
      <c r="O138" s="4" t="s">
        <v>21</v>
      </c>
      <c r="P138" s="7" t="s">
        <v>19</v>
      </c>
      <c r="S138">
        <v>299</v>
      </c>
      <c r="T138" t="str">
        <v>Maputo Provincia</v>
      </c>
      <c r="U138" t="str">
        <v>Masculino</v>
      </c>
      <c r="V138" t="str">
        <v>Solteiro(a)</v>
      </c>
      <c r="W138" t="str">
        <v>Primaria</v>
      </c>
      <c r="X138" t="str">
        <v>Nao</v>
      </c>
      <c r="Y138" t="str">
        <v>HIV/SIDA</v>
      </c>
      <c r="Z138">
        <v>5</v>
      </c>
      <c r="AA138">
        <v>28.7</v>
      </c>
      <c r="AB138">
        <v>1.1399999999999999</v>
      </c>
      <c r="AC138">
        <v>3</v>
      </c>
      <c r="AD138">
        <v>109</v>
      </c>
      <c r="AE138">
        <v>90</v>
      </c>
      <c r="AF138" t="str">
        <v>Urbana</v>
      </c>
      <c r="AG138" t="str">
        <v>Nao</v>
      </c>
    </row>
    <row r="139" spans="2:33" x14ac:dyDescent="0.45">
      <c r="B139" s="4">
        <v>138</v>
      </c>
      <c r="C139" s="4" t="s">
        <v>31</v>
      </c>
      <c r="D139" s="4" t="s">
        <v>16</v>
      </c>
      <c r="E139" s="4" t="s">
        <v>17</v>
      </c>
      <c r="F139" s="4" t="s">
        <v>24</v>
      </c>
      <c r="G139" s="4" t="s">
        <v>19</v>
      </c>
      <c r="H139" s="4" t="s">
        <v>28</v>
      </c>
      <c r="I139" s="4">
        <v>1</v>
      </c>
      <c r="J139" s="5">
        <v>7.7</v>
      </c>
      <c r="K139" s="6">
        <v>0.81</v>
      </c>
      <c r="L139" s="4">
        <v>0</v>
      </c>
      <c r="M139" s="4">
        <v>115</v>
      </c>
      <c r="N139" s="4">
        <v>79</v>
      </c>
      <c r="O139" s="4" t="s">
        <v>26</v>
      </c>
      <c r="P139" s="7" t="s">
        <v>19</v>
      </c>
      <c r="S139">
        <v>300</v>
      </c>
      <c r="T139" t="str">
        <v>Manica</v>
      </c>
      <c r="U139" t="str">
        <v>Masculino</v>
      </c>
      <c r="V139" t="str">
        <v>Solteiro(a)</v>
      </c>
      <c r="W139" t="str">
        <v>Primaria</v>
      </c>
      <c r="X139" t="str">
        <v>Nao</v>
      </c>
      <c r="Y139" t="str">
        <v>Nenhuma</v>
      </c>
      <c r="Z139">
        <v>21</v>
      </c>
      <c r="AA139">
        <v>92.4</v>
      </c>
      <c r="AB139">
        <v>1.72</v>
      </c>
      <c r="AC139">
        <v>4</v>
      </c>
      <c r="AD139">
        <v>114</v>
      </c>
      <c r="AE139">
        <v>96</v>
      </c>
      <c r="AF139" t="str">
        <v>Rural</v>
      </c>
      <c r="AG139" t="str">
        <v>Nao</v>
      </c>
    </row>
    <row r="140" spans="2:33" x14ac:dyDescent="0.45">
      <c r="B140" s="4">
        <v>139</v>
      </c>
      <c r="C140" s="4" t="s">
        <v>15</v>
      </c>
      <c r="D140" s="4" t="s">
        <v>16</v>
      </c>
      <c r="E140" s="4" t="s">
        <v>17</v>
      </c>
      <c r="F140" s="4" t="s">
        <v>24</v>
      </c>
      <c r="G140" s="4" t="s">
        <v>19</v>
      </c>
      <c r="H140" s="4" t="s">
        <v>32</v>
      </c>
      <c r="I140" s="4">
        <v>33</v>
      </c>
      <c r="J140" s="5">
        <v>45.7</v>
      </c>
      <c r="K140" s="6">
        <v>1.84</v>
      </c>
      <c r="L140" s="4">
        <v>1</v>
      </c>
      <c r="M140" s="4">
        <v>101</v>
      </c>
      <c r="N140" s="4">
        <v>151</v>
      </c>
      <c r="O140" s="4" t="s">
        <v>26</v>
      </c>
      <c r="P140" s="7" t="s">
        <v>19</v>
      </c>
      <c r="S140">
        <v>301</v>
      </c>
      <c r="T140" t="str">
        <v>Gaza</v>
      </c>
      <c r="U140" t="str">
        <v>Masculino</v>
      </c>
      <c r="V140" t="str">
        <v>Casado(a)</v>
      </c>
      <c r="W140" t="str">
        <v>Primaria</v>
      </c>
      <c r="X140" t="str">
        <v>Sim</v>
      </c>
      <c r="Y140" t="str">
        <v>Nenhuma</v>
      </c>
      <c r="Z140">
        <v>10</v>
      </c>
      <c r="AA140">
        <v>19.100000000000001</v>
      </c>
      <c r="AB140">
        <v>1.06</v>
      </c>
      <c r="AC140">
        <v>8</v>
      </c>
      <c r="AD140">
        <v>95</v>
      </c>
      <c r="AE140">
        <v>92</v>
      </c>
      <c r="AF140" t="str">
        <v>Urbana</v>
      </c>
      <c r="AG140" t="str">
        <v>Nao</v>
      </c>
    </row>
    <row r="141" spans="2:33" x14ac:dyDescent="0.45">
      <c r="B141" s="4">
        <v>140</v>
      </c>
      <c r="C141" s="4" t="s">
        <v>29</v>
      </c>
      <c r="D141" s="4" t="s">
        <v>23</v>
      </c>
      <c r="E141" s="4" t="s">
        <v>37</v>
      </c>
      <c r="F141" s="4" t="s">
        <v>18</v>
      </c>
      <c r="G141" s="4" t="s">
        <v>19</v>
      </c>
      <c r="H141" s="4" t="s">
        <v>28</v>
      </c>
      <c r="I141" s="4">
        <v>9</v>
      </c>
      <c r="J141" s="5">
        <v>36</v>
      </c>
      <c r="K141" s="6">
        <v>1.37</v>
      </c>
      <c r="L141" s="4">
        <v>1</v>
      </c>
      <c r="M141" s="4">
        <v>113</v>
      </c>
      <c r="N141" s="4">
        <v>94</v>
      </c>
      <c r="O141" s="4" t="s">
        <v>26</v>
      </c>
      <c r="P141" s="7" t="s">
        <v>30</v>
      </c>
      <c r="S141">
        <v>303</v>
      </c>
      <c r="T141" t="str">
        <v>Sofala</v>
      </c>
      <c r="U141" t="str">
        <v>Masculino</v>
      </c>
      <c r="V141" t="str">
        <v>Casado(a)</v>
      </c>
      <c r="W141" t="str">
        <v>Secundaria</v>
      </c>
      <c r="X141" t="str">
        <v>Nao</v>
      </c>
      <c r="Y141" t="str">
        <v>Tuberculose</v>
      </c>
      <c r="Z141">
        <v>51</v>
      </c>
      <c r="AA141">
        <v>85.3</v>
      </c>
      <c r="AB141">
        <v>1.53</v>
      </c>
      <c r="AC141">
        <v>2</v>
      </c>
      <c r="AD141">
        <v>120</v>
      </c>
      <c r="AE141">
        <v>76</v>
      </c>
      <c r="AF141" t="str">
        <v>Urbana</v>
      </c>
      <c r="AG141" t="str">
        <v>Sim</v>
      </c>
    </row>
    <row r="142" spans="2:33" x14ac:dyDescent="0.45">
      <c r="B142" s="4">
        <v>141</v>
      </c>
      <c r="C142" s="4" t="s">
        <v>33</v>
      </c>
      <c r="D142" s="4" t="s">
        <v>16</v>
      </c>
      <c r="E142" s="4" t="s">
        <v>35</v>
      </c>
      <c r="F142" s="4" t="s">
        <v>18</v>
      </c>
      <c r="G142" s="4" t="s">
        <v>30</v>
      </c>
      <c r="H142" s="4" t="s">
        <v>38</v>
      </c>
      <c r="I142" s="4">
        <v>21</v>
      </c>
      <c r="J142" s="5">
        <v>48.7</v>
      </c>
      <c r="K142" s="6">
        <v>1.75</v>
      </c>
      <c r="L142" s="4">
        <v>1</v>
      </c>
      <c r="M142" s="4">
        <v>118</v>
      </c>
      <c r="N142" s="4">
        <v>98</v>
      </c>
      <c r="O142" s="4" t="s">
        <v>21</v>
      </c>
      <c r="P142" s="7" t="s">
        <v>30</v>
      </c>
      <c r="S142">
        <v>305</v>
      </c>
      <c r="T142" t="str">
        <v>Inhambane</v>
      </c>
      <c r="U142" t="str">
        <v>Masculino</v>
      </c>
      <c r="V142" t="str">
        <v>Casado(a)</v>
      </c>
      <c r="W142" t="str">
        <v>Secundaria</v>
      </c>
      <c r="X142" t="str">
        <v>Sim</v>
      </c>
      <c r="Y142" t="str">
        <v>Diabetes</v>
      </c>
      <c r="Z142">
        <v>64</v>
      </c>
      <c r="AA142">
        <v>86.4</v>
      </c>
      <c r="AB142">
        <v>1.76</v>
      </c>
      <c r="AC142">
        <v>4</v>
      </c>
      <c r="AD142">
        <v>128</v>
      </c>
      <c r="AE142">
        <v>132</v>
      </c>
      <c r="AF142" t="str">
        <v>Urbana</v>
      </c>
      <c r="AG142" t="str">
        <v>Nao</v>
      </c>
    </row>
    <row r="143" spans="2:33" x14ac:dyDescent="0.45">
      <c r="B143" s="4">
        <v>142</v>
      </c>
      <c r="C143" s="4" t="s">
        <v>27</v>
      </c>
      <c r="D143" s="4" t="s">
        <v>16</v>
      </c>
      <c r="E143" s="4" t="s">
        <v>35</v>
      </c>
      <c r="F143" s="4" t="s">
        <v>18</v>
      </c>
      <c r="G143" s="4" t="s">
        <v>19</v>
      </c>
      <c r="H143" s="4" t="s">
        <v>25</v>
      </c>
      <c r="I143" s="4">
        <v>30</v>
      </c>
      <c r="J143" s="5">
        <v>94.2</v>
      </c>
      <c r="K143" s="6">
        <v>1.82</v>
      </c>
      <c r="L143" s="4">
        <v>2</v>
      </c>
      <c r="M143" s="4">
        <v>105</v>
      </c>
      <c r="N143" s="4">
        <v>101</v>
      </c>
      <c r="O143" s="4" t="s">
        <v>21</v>
      </c>
      <c r="P143" s="7" t="s">
        <v>19</v>
      </c>
      <c r="S143">
        <v>306</v>
      </c>
      <c r="T143" t="str">
        <v>Manica</v>
      </c>
      <c r="U143" t="str">
        <v>Masculino</v>
      </c>
      <c r="V143" t="str">
        <v>Solteiro(a)</v>
      </c>
      <c r="W143" t="str">
        <v>Primaria</v>
      </c>
      <c r="X143" t="str">
        <v>Sim</v>
      </c>
      <c r="Y143" t="str">
        <v>HIV/SIDA</v>
      </c>
      <c r="Z143">
        <v>4</v>
      </c>
      <c r="AA143">
        <v>13.6</v>
      </c>
      <c r="AB143">
        <v>0.73</v>
      </c>
      <c r="AC143">
        <v>1</v>
      </c>
      <c r="AD143">
        <v>99</v>
      </c>
      <c r="AE143">
        <v>71</v>
      </c>
      <c r="AF143" t="str">
        <v>Urbana</v>
      </c>
      <c r="AG143" t="str">
        <v>Nao</v>
      </c>
    </row>
    <row r="144" spans="2:33" x14ac:dyDescent="0.45">
      <c r="B144" s="4">
        <v>143</v>
      </c>
      <c r="C144" s="4" t="s">
        <v>27</v>
      </c>
      <c r="D144" s="4" t="s">
        <v>16</v>
      </c>
      <c r="E144" s="4" t="s">
        <v>35</v>
      </c>
      <c r="F144" s="4" t="s">
        <v>18</v>
      </c>
      <c r="G144" s="4" t="s">
        <v>30</v>
      </c>
      <c r="H144" s="4" t="s">
        <v>38</v>
      </c>
      <c r="I144" s="4">
        <v>57</v>
      </c>
      <c r="J144" s="5">
        <v>66.5</v>
      </c>
      <c r="K144" s="6">
        <v>1.72</v>
      </c>
      <c r="L144" s="4">
        <v>2</v>
      </c>
      <c r="M144" s="4">
        <v>109</v>
      </c>
      <c r="N144" s="4">
        <v>99</v>
      </c>
      <c r="O144" s="4" t="s">
        <v>21</v>
      </c>
      <c r="P144" s="7" t="s">
        <v>19</v>
      </c>
      <c r="S144">
        <v>307</v>
      </c>
      <c r="T144" t="str">
        <v>Nampula</v>
      </c>
      <c r="U144" t="str">
        <v>Masculino</v>
      </c>
      <c r="V144" t="str">
        <v>Casado(a)</v>
      </c>
      <c r="W144" t="str">
        <v>Secundaria</v>
      </c>
      <c r="X144" t="str">
        <v>Nao</v>
      </c>
      <c r="Y144" t="str">
        <v>HIV/SIDA</v>
      </c>
      <c r="Z144">
        <v>29</v>
      </c>
      <c r="AA144">
        <v>92.1</v>
      </c>
      <c r="AB144">
        <v>1.71</v>
      </c>
      <c r="AC144">
        <v>6</v>
      </c>
      <c r="AD144">
        <v>100</v>
      </c>
      <c r="AE144">
        <v>95</v>
      </c>
      <c r="AF144" t="str">
        <v>Urbana</v>
      </c>
      <c r="AG144" t="str">
        <v>Nao</v>
      </c>
    </row>
    <row r="145" spans="2:33" x14ac:dyDescent="0.45">
      <c r="B145" s="4">
        <v>144</v>
      </c>
      <c r="C145" s="4" t="s">
        <v>29</v>
      </c>
      <c r="D145" s="4" t="s">
        <v>23</v>
      </c>
      <c r="E145" s="4" t="s">
        <v>37</v>
      </c>
      <c r="F145" s="4" t="s">
        <v>18</v>
      </c>
      <c r="G145" s="4" t="s">
        <v>19</v>
      </c>
      <c r="H145" s="4" t="s">
        <v>34</v>
      </c>
      <c r="I145" s="4">
        <v>55</v>
      </c>
      <c r="J145" s="5">
        <v>53.5</v>
      </c>
      <c r="K145" s="6">
        <v>1.56</v>
      </c>
      <c r="L145" s="4">
        <v>6</v>
      </c>
      <c r="M145" s="4">
        <v>120</v>
      </c>
      <c r="N145" s="4">
        <v>88</v>
      </c>
      <c r="O145" s="4" t="s">
        <v>26</v>
      </c>
      <c r="P145" s="7" t="s">
        <v>19</v>
      </c>
      <c r="S145">
        <v>308</v>
      </c>
      <c r="T145" t="str">
        <v>Maputo Provincia</v>
      </c>
      <c r="U145" t="str">
        <v>Masculino</v>
      </c>
      <c r="V145" t="str">
        <v>Solteiro(a)</v>
      </c>
      <c r="W145" t="str">
        <v>Secundaria</v>
      </c>
      <c r="X145" t="str">
        <v>Nao</v>
      </c>
      <c r="Y145" t="str">
        <v>Nenhuma</v>
      </c>
      <c r="Z145">
        <v>24</v>
      </c>
      <c r="AA145">
        <v>62.8</v>
      </c>
      <c r="AB145">
        <v>1.7</v>
      </c>
      <c r="AC145">
        <v>1</v>
      </c>
      <c r="AD145">
        <v>120</v>
      </c>
      <c r="AE145">
        <v>83</v>
      </c>
      <c r="AF145" t="str">
        <v>Rural</v>
      </c>
      <c r="AG145" t="str">
        <v>Nao</v>
      </c>
    </row>
    <row r="146" spans="2:33" x14ac:dyDescent="0.45">
      <c r="B146" s="4">
        <v>145</v>
      </c>
      <c r="C146" s="4" t="s">
        <v>39</v>
      </c>
      <c r="D146" s="4" t="s">
        <v>16</v>
      </c>
      <c r="E146" s="4" t="s">
        <v>35</v>
      </c>
      <c r="F146" s="4" t="s">
        <v>24</v>
      </c>
      <c r="G146" s="4" t="s">
        <v>30</v>
      </c>
      <c r="H146" s="4" t="s">
        <v>25</v>
      </c>
      <c r="I146" s="4">
        <v>30</v>
      </c>
      <c r="J146" s="5">
        <v>58.4</v>
      </c>
      <c r="K146" s="6">
        <v>1.69</v>
      </c>
      <c r="L146" s="4">
        <v>0</v>
      </c>
      <c r="M146" s="4">
        <v>124</v>
      </c>
      <c r="N146" s="4">
        <v>100</v>
      </c>
      <c r="O146" s="4" t="s">
        <v>21</v>
      </c>
      <c r="P146" s="7" t="s">
        <v>19</v>
      </c>
      <c r="S146">
        <v>309</v>
      </c>
      <c r="T146" t="str">
        <v>Maputo Cidade</v>
      </c>
      <c r="U146" t="str">
        <v>Masculino</v>
      </c>
      <c r="V146" t="str">
        <v>Casado(a)</v>
      </c>
      <c r="W146" t="str">
        <v>Secundaria</v>
      </c>
      <c r="X146" t="str">
        <v>Sim</v>
      </c>
      <c r="Y146" t="str">
        <v>Nenhuma</v>
      </c>
      <c r="Z146">
        <v>40</v>
      </c>
      <c r="AA146">
        <v>50.5</v>
      </c>
      <c r="AB146">
        <v>1.83</v>
      </c>
      <c r="AC146">
        <v>5</v>
      </c>
      <c r="AD146">
        <v>131</v>
      </c>
      <c r="AE146">
        <v>92</v>
      </c>
      <c r="AF146" t="str">
        <v>Rural</v>
      </c>
      <c r="AG146" t="str">
        <v>Sim</v>
      </c>
    </row>
    <row r="147" spans="2:33" x14ac:dyDescent="0.45">
      <c r="B147" s="4">
        <v>146</v>
      </c>
      <c r="C147" s="4" t="s">
        <v>22</v>
      </c>
      <c r="D147" s="4" t="s">
        <v>16</v>
      </c>
      <c r="E147" s="4" t="s">
        <v>17</v>
      </c>
      <c r="F147" s="4" t="s">
        <v>28</v>
      </c>
      <c r="G147" s="4" t="s">
        <v>19</v>
      </c>
      <c r="H147" s="4" t="s">
        <v>20</v>
      </c>
      <c r="I147" s="4">
        <v>13</v>
      </c>
      <c r="J147" s="5">
        <v>44.4</v>
      </c>
      <c r="K147" s="6">
        <v>1.62</v>
      </c>
      <c r="L147" s="4">
        <v>1</v>
      </c>
      <c r="M147" s="4">
        <v>106</v>
      </c>
      <c r="N147" s="4">
        <v>81</v>
      </c>
      <c r="O147" s="4" t="s">
        <v>26</v>
      </c>
      <c r="P147" s="7" t="s">
        <v>19</v>
      </c>
      <c r="S147">
        <v>310</v>
      </c>
      <c r="T147" t="str">
        <v>Nampula</v>
      </c>
      <c r="U147" t="str">
        <v>Masculino</v>
      </c>
      <c r="V147" t="str">
        <v>Casado(a)</v>
      </c>
      <c r="W147" t="str">
        <v>Primaria</v>
      </c>
      <c r="X147" t="str">
        <v>Nao</v>
      </c>
      <c r="Y147" t="str">
        <v>Pneumonia</v>
      </c>
      <c r="Z147">
        <v>50</v>
      </c>
      <c r="AA147">
        <v>62</v>
      </c>
      <c r="AB147">
        <v>1.68</v>
      </c>
      <c r="AC147">
        <v>9</v>
      </c>
      <c r="AD147">
        <v>115</v>
      </c>
      <c r="AE147">
        <v>74</v>
      </c>
      <c r="AF147" t="str">
        <v>Urbana</v>
      </c>
      <c r="AG147" t="str">
        <v>Nao</v>
      </c>
    </row>
    <row r="148" spans="2:33" x14ac:dyDescent="0.45">
      <c r="B148" s="4">
        <v>147</v>
      </c>
      <c r="C148" s="4" t="s">
        <v>41</v>
      </c>
      <c r="D148" s="4" t="s">
        <v>16</v>
      </c>
      <c r="E148" s="4" t="s">
        <v>44</v>
      </c>
      <c r="F148" s="4" t="s">
        <v>24</v>
      </c>
      <c r="G148" s="4" t="s">
        <v>19</v>
      </c>
      <c r="H148" s="4" t="s">
        <v>38</v>
      </c>
      <c r="I148" s="4">
        <v>44</v>
      </c>
      <c r="J148" s="5">
        <v>92.3</v>
      </c>
      <c r="K148" s="6">
        <v>1.73</v>
      </c>
      <c r="L148" s="4">
        <v>3</v>
      </c>
      <c r="M148" s="4">
        <v>115</v>
      </c>
      <c r="N148" s="4">
        <v>97</v>
      </c>
      <c r="O148" s="4" t="s">
        <v>26</v>
      </c>
      <c r="P148" s="7" t="s">
        <v>19</v>
      </c>
      <c r="S148">
        <v>311</v>
      </c>
      <c r="T148" t="str">
        <v>Maputo Cidade</v>
      </c>
      <c r="U148" t="str">
        <v>Masculino</v>
      </c>
      <c r="V148" t="str">
        <v>Divorciado(a)</v>
      </c>
      <c r="W148" t="str">
        <v>Secundaria</v>
      </c>
      <c r="X148" t="str">
        <v>Nao</v>
      </c>
      <c r="Y148" t="str">
        <v>Malaria</v>
      </c>
      <c r="Z148">
        <v>10</v>
      </c>
      <c r="AA148">
        <v>37.1</v>
      </c>
      <c r="AB148">
        <v>1.23</v>
      </c>
      <c r="AC148">
        <v>3</v>
      </c>
      <c r="AD148">
        <v>114</v>
      </c>
      <c r="AE148">
        <v>72</v>
      </c>
      <c r="AF148" t="str">
        <v>Rural</v>
      </c>
      <c r="AG148" t="str">
        <v>Nao</v>
      </c>
    </row>
    <row r="149" spans="2:33" x14ac:dyDescent="0.45">
      <c r="B149" s="4">
        <v>148</v>
      </c>
      <c r="C149" s="4" t="s">
        <v>31</v>
      </c>
      <c r="D149" s="4" t="s">
        <v>23</v>
      </c>
      <c r="E149" s="4" t="s">
        <v>17</v>
      </c>
      <c r="F149" s="4" t="s">
        <v>18</v>
      </c>
      <c r="G149" s="4" t="s">
        <v>19</v>
      </c>
      <c r="H149" s="4" t="s">
        <v>20</v>
      </c>
      <c r="I149" s="4">
        <v>21</v>
      </c>
      <c r="J149" s="5">
        <v>71.099999999999994</v>
      </c>
      <c r="K149" s="6">
        <v>1.61</v>
      </c>
      <c r="L149" s="4">
        <v>2</v>
      </c>
      <c r="M149" s="4">
        <v>104</v>
      </c>
      <c r="N149" s="4">
        <v>96</v>
      </c>
      <c r="O149" s="4" t="s">
        <v>26</v>
      </c>
      <c r="P149" s="7" t="s">
        <v>19</v>
      </c>
      <c r="S149">
        <v>312</v>
      </c>
      <c r="T149" t="str">
        <v>Cabo Delgado</v>
      </c>
      <c r="U149" t="str">
        <v>Masculino</v>
      </c>
      <c r="V149" t="str">
        <v>Solteiro(a)</v>
      </c>
      <c r="W149" t="str">
        <v>Secundaria</v>
      </c>
      <c r="X149" t="str">
        <v>Nao</v>
      </c>
      <c r="Y149" t="str">
        <v>Hipertensao</v>
      </c>
      <c r="Z149">
        <v>29</v>
      </c>
      <c r="AA149">
        <v>78.400000000000006</v>
      </c>
      <c r="AB149">
        <v>1.61</v>
      </c>
      <c r="AC149">
        <v>4</v>
      </c>
      <c r="AD149">
        <v>118</v>
      </c>
      <c r="AE149">
        <v>102</v>
      </c>
      <c r="AF149" t="str">
        <v>Rural</v>
      </c>
      <c r="AG149" t="str">
        <v>Nao</v>
      </c>
    </row>
    <row r="150" spans="2:33" x14ac:dyDescent="0.45">
      <c r="B150" s="4">
        <v>149</v>
      </c>
      <c r="C150" s="4" t="s">
        <v>33</v>
      </c>
      <c r="D150" s="4" t="s">
        <v>16</v>
      </c>
      <c r="E150" s="4" t="s">
        <v>17</v>
      </c>
      <c r="F150" s="4" t="s">
        <v>18</v>
      </c>
      <c r="G150" s="4" t="s">
        <v>30</v>
      </c>
      <c r="H150" s="4" t="s">
        <v>32</v>
      </c>
      <c r="I150" s="4">
        <v>9</v>
      </c>
      <c r="J150" s="5">
        <v>32.200000000000003</v>
      </c>
      <c r="K150" s="6">
        <v>1.37</v>
      </c>
      <c r="L150" s="4">
        <v>5</v>
      </c>
      <c r="M150" s="4">
        <v>105</v>
      </c>
      <c r="N150" s="4">
        <v>157</v>
      </c>
      <c r="O150" s="4" t="s">
        <v>26</v>
      </c>
      <c r="P150" s="7" t="s">
        <v>19</v>
      </c>
      <c r="S150">
        <v>316</v>
      </c>
      <c r="T150" t="str">
        <v>Inhambane</v>
      </c>
      <c r="U150" t="str">
        <v>Masculino</v>
      </c>
      <c r="V150" t="str">
        <v>Divorciado(a)</v>
      </c>
      <c r="W150" t="str">
        <v>Primaria</v>
      </c>
      <c r="X150" t="str">
        <v>Nao</v>
      </c>
      <c r="Y150" t="str">
        <v>Nenhuma</v>
      </c>
      <c r="Z150">
        <v>21</v>
      </c>
      <c r="AA150">
        <v>47.5</v>
      </c>
      <c r="AB150">
        <v>1.77</v>
      </c>
      <c r="AC150">
        <v>6</v>
      </c>
      <c r="AD150">
        <v>108</v>
      </c>
      <c r="AE150">
        <v>70</v>
      </c>
      <c r="AF150" t="str">
        <v>Rural</v>
      </c>
      <c r="AG150" t="str">
        <v>Nao</v>
      </c>
    </row>
    <row r="151" spans="2:33" x14ac:dyDescent="0.45">
      <c r="B151" s="4">
        <v>150</v>
      </c>
      <c r="C151" s="4" t="s">
        <v>27</v>
      </c>
      <c r="D151" s="4" t="s">
        <v>16</v>
      </c>
      <c r="E151" s="4" t="s">
        <v>35</v>
      </c>
      <c r="F151" s="4" t="s">
        <v>28</v>
      </c>
      <c r="G151" s="4" t="s">
        <v>30</v>
      </c>
      <c r="H151" s="4" t="s">
        <v>46</v>
      </c>
      <c r="I151" s="4">
        <v>17</v>
      </c>
      <c r="J151" s="5">
        <v>46.8</v>
      </c>
      <c r="K151" s="6">
        <v>1.7</v>
      </c>
      <c r="L151" s="4">
        <v>3</v>
      </c>
      <c r="M151" s="4">
        <v>119</v>
      </c>
      <c r="N151" s="4">
        <v>85</v>
      </c>
      <c r="O151" s="4" t="s">
        <v>21</v>
      </c>
      <c r="P151" s="7" t="s">
        <v>19</v>
      </c>
      <c r="S151">
        <v>319</v>
      </c>
      <c r="T151" t="str">
        <v>Gaza</v>
      </c>
      <c r="U151" t="str">
        <v>Masculino</v>
      </c>
      <c r="V151" t="str">
        <v>Solteiro(a)</v>
      </c>
      <c r="W151" t="str">
        <v>Nenhuma</v>
      </c>
      <c r="X151" t="str">
        <v>Nao</v>
      </c>
      <c r="Y151" t="str">
        <v>Diarreia</v>
      </c>
      <c r="Z151">
        <v>39</v>
      </c>
      <c r="AA151">
        <v>79.7</v>
      </c>
      <c r="AB151">
        <v>1.82</v>
      </c>
      <c r="AC151">
        <v>7</v>
      </c>
      <c r="AD151">
        <v>120</v>
      </c>
      <c r="AE151">
        <v>101</v>
      </c>
      <c r="AF151" t="str">
        <v>Rural</v>
      </c>
      <c r="AG151" t="str">
        <v>Nao</v>
      </c>
    </row>
    <row r="152" spans="2:33" x14ac:dyDescent="0.45">
      <c r="B152" s="4">
        <v>151</v>
      </c>
      <c r="C152" s="4" t="s">
        <v>22</v>
      </c>
      <c r="D152" s="4" t="s">
        <v>23</v>
      </c>
      <c r="E152" s="4" t="s">
        <v>35</v>
      </c>
      <c r="F152" s="4" t="s">
        <v>28</v>
      </c>
      <c r="G152" s="4" t="s">
        <v>19</v>
      </c>
      <c r="H152" s="4" t="s">
        <v>20</v>
      </c>
      <c r="I152" s="4">
        <v>10</v>
      </c>
      <c r="J152" s="5">
        <v>37</v>
      </c>
      <c r="K152" s="6">
        <v>1.1200000000000001</v>
      </c>
      <c r="L152" s="4">
        <v>1</v>
      </c>
      <c r="M152" s="4">
        <v>101</v>
      </c>
      <c r="N152" s="4">
        <v>101</v>
      </c>
      <c r="O152" s="4" t="s">
        <v>26</v>
      </c>
      <c r="P152" s="7" t="s">
        <v>19</v>
      </c>
      <c r="S152">
        <v>323</v>
      </c>
      <c r="T152" t="str">
        <v>Cabo Delgado</v>
      </c>
      <c r="U152" t="str">
        <v>Masculino</v>
      </c>
      <c r="V152" t="str">
        <v>Casado(a)</v>
      </c>
      <c r="W152" t="str">
        <v>Secundaria</v>
      </c>
      <c r="X152" t="str">
        <v>Nao</v>
      </c>
      <c r="Y152" t="str">
        <v>Diabetes</v>
      </c>
      <c r="Z152">
        <v>11</v>
      </c>
      <c r="AA152">
        <v>24.8</v>
      </c>
      <c r="AB152">
        <v>1.1200000000000001</v>
      </c>
      <c r="AC152">
        <v>2</v>
      </c>
      <c r="AD152">
        <v>115</v>
      </c>
      <c r="AE152">
        <v>160</v>
      </c>
      <c r="AF152" t="str">
        <v>Urbana</v>
      </c>
      <c r="AG152" t="str">
        <v>Sim</v>
      </c>
    </row>
    <row r="153" spans="2:33" x14ac:dyDescent="0.45">
      <c r="B153" s="4">
        <v>152</v>
      </c>
      <c r="C153" s="4" t="s">
        <v>41</v>
      </c>
      <c r="D153" s="4" t="s">
        <v>16</v>
      </c>
      <c r="E153" s="4" t="s">
        <v>17</v>
      </c>
      <c r="F153" s="4" t="s">
        <v>24</v>
      </c>
      <c r="G153" s="4" t="s">
        <v>19</v>
      </c>
      <c r="H153" s="4" t="s">
        <v>25</v>
      </c>
      <c r="I153" s="4">
        <v>65</v>
      </c>
      <c r="J153" s="5">
        <v>80.599999999999994</v>
      </c>
      <c r="K153" s="6">
        <v>1.76</v>
      </c>
      <c r="L153" s="4">
        <v>3</v>
      </c>
      <c r="M153" s="4">
        <v>122</v>
      </c>
      <c r="N153" s="4">
        <v>82</v>
      </c>
      <c r="O153" s="4" t="s">
        <v>26</v>
      </c>
      <c r="P153" s="7" t="s">
        <v>19</v>
      </c>
      <c r="S153">
        <v>324</v>
      </c>
      <c r="T153" t="str">
        <v>Nampula</v>
      </c>
      <c r="U153" t="str">
        <v>Masculino</v>
      </c>
      <c r="V153" t="str">
        <v>Viuvo(a)</v>
      </c>
      <c r="W153" t="str">
        <v>Secundaria</v>
      </c>
      <c r="X153" t="str">
        <v>Nao</v>
      </c>
      <c r="Y153" t="str">
        <v>Hipertensao</v>
      </c>
      <c r="Z153">
        <v>1</v>
      </c>
      <c r="AA153">
        <v>8.5</v>
      </c>
      <c r="AB153">
        <v>1.03</v>
      </c>
      <c r="AC153">
        <v>3</v>
      </c>
      <c r="AD153">
        <v>137</v>
      </c>
      <c r="AE153">
        <v>73</v>
      </c>
      <c r="AF153" t="str">
        <v>Rural</v>
      </c>
      <c r="AG153" t="str">
        <v>Sim</v>
      </c>
    </row>
    <row r="154" spans="2:33" x14ac:dyDescent="0.45">
      <c r="B154" s="4">
        <v>153</v>
      </c>
      <c r="C154" s="4" t="s">
        <v>27</v>
      </c>
      <c r="D154" s="4" t="s">
        <v>16</v>
      </c>
      <c r="E154" s="4" t="s">
        <v>17</v>
      </c>
      <c r="F154" s="4" t="s">
        <v>18</v>
      </c>
      <c r="G154" s="4" t="s">
        <v>19</v>
      </c>
      <c r="H154" s="4" t="s">
        <v>38</v>
      </c>
      <c r="I154" s="4">
        <v>15</v>
      </c>
      <c r="J154" s="5">
        <v>40.299999999999997</v>
      </c>
      <c r="K154" s="6">
        <v>1.52</v>
      </c>
      <c r="L154" s="4">
        <v>2</v>
      </c>
      <c r="M154" s="4">
        <v>95</v>
      </c>
      <c r="N154" s="4">
        <v>104</v>
      </c>
      <c r="O154" s="4" t="s">
        <v>26</v>
      </c>
      <c r="P154" s="7" t="s">
        <v>19</v>
      </c>
      <c r="S154">
        <v>325</v>
      </c>
      <c r="T154" t="str">
        <v>Zambezia</v>
      </c>
      <c r="U154" t="str">
        <v>Masculino</v>
      </c>
      <c r="V154" t="str">
        <v>Divorciado(a)</v>
      </c>
      <c r="W154" t="str">
        <v>Primaria</v>
      </c>
      <c r="X154" t="str">
        <v>Nao</v>
      </c>
      <c r="Y154" t="str">
        <v>Malaria</v>
      </c>
      <c r="Z154">
        <v>47</v>
      </c>
      <c r="AA154">
        <v>76.2</v>
      </c>
      <c r="AB154">
        <v>1.57</v>
      </c>
      <c r="AC154">
        <v>1</v>
      </c>
      <c r="AD154">
        <v>113</v>
      </c>
      <c r="AE154">
        <v>98</v>
      </c>
      <c r="AF154" t="str">
        <v>Rural</v>
      </c>
      <c r="AG154" t="str">
        <v>Nao</v>
      </c>
    </row>
    <row r="155" spans="2:33" x14ac:dyDescent="0.45">
      <c r="B155" s="4">
        <v>154</v>
      </c>
      <c r="C155" s="4" t="s">
        <v>41</v>
      </c>
      <c r="D155" s="4" t="s">
        <v>23</v>
      </c>
      <c r="E155" s="4" t="s">
        <v>17</v>
      </c>
      <c r="F155" s="4" t="s">
        <v>18</v>
      </c>
      <c r="G155" s="4" t="s">
        <v>19</v>
      </c>
      <c r="H155" s="4" t="s">
        <v>34</v>
      </c>
      <c r="I155" s="4">
        <v>22</v>
      </c>
      <c r="J155" s="5">
        <v>66.599999999999994</v>
      </c>
      <c r="K155" s="6">
        <v>1.58</v>
      </c>
      <c r="L155" s="4">
        <v>3</v>
      </c>
      <c r="M155" s="4">
        <v>116</v>
      </c>
      <c r="N155" s="4">
        <v>74</v>
      </c>
      <c r="O155" s="4" t="s">
        <v>26</v>
      </c>
      <c r="P155" s="7" t="s">
        <v>19</v>
      </c>
      <c r="S155">
        <v>327</v>
      </c>
      <c r="T155" t="str">
        <v>Inhambane</v>
      </c>
      <c r="U155" t="str">
        <v>Masculino</v>
      </c>
      <c r="V155" t="str">
        <v>Solteiro(a)</v>
      </c>
      <c r="W155" t="str">
        <v>Nenhuma</v>
      </c>
      <c r="X155" t="str">
        <v>Nao</v>
      </c>
      <c r="Y155" t="str">
        <v>Malaria</v>
      </c>
      <c r="Z155">
        <v>2</v>
      </c>
      <c r="AA155">
        <v>9.8000000000000007</v>
      </c>
      <c r="AB155">
        <v>0.93</v>
      </c>
      <c r="AC155">
        <v>10</v>
      </c>
      <c r="AD155">
        <v>103</v>
      </c>
      <c r="AE155">
        <v>97</v>
      </c>
      <c r="AF155" t="str">
        <v>Urbana</v>
      </c>
      <c r="AG155" t="str">
        <v>Nao</v>
      </c>
    </row>
    <row r="156" spans="2:33" x14ac:dyDescent="0.45">
      <c r="B156" s="4">
        <v>155</v>
      </c>
      <c r="C156" s="4" t="s">
        <v>27</v>
      </c>
      <c r="D156" s="4" t="s">
        <v>16</v>
      </c>
      <c r="E156" s="4" t="s">
        <v>17</v>
      </c>
      <c r="F156" s="4" t="s">
        <v>24</v>
      </c>
      <c r="G156" s="4" t="s">
        <v>19</v>
      </c>
      <c r="H156" s="4" t="s">
        <v>20</v>
      </c>
      <c r="I156" s="4">
        <v>83</v>
      </c>
      <c r="J156" s="5">
        <v>47.2</v>
      </c>
      <c r="K156" s="6">
        <v>1.78</v>
      </c>
      <c r="L156" s="4">
        <v>2</v>
      </c>
      <c r="M156" s="4">
        <v>129</v>
      </c>
      <c r="N156" s="4">
        <v>103</v>
      </c>
      <c r="O156" s="4" t="s">
        <v>21</v>
      </c>
      <c r="P156" s="7" t="s">
        <v>19</v>
      </c>
      <c r="S156">
        <v>329</v>
      </c>
      <c r="T156" t="str">
        <v>Maputo Cidade</v>
      </c>
      <c r="U156" t="str">
        <v>Masculino</v>
      </c>
      <c r="V156" t="str">
        <v>Casado(a)</v>
      </c>
      <c r="W156" t="str">
        <v>Primaria</v>
      </c>
      <c r="X156" t="str">
        <v>Nao</v>
      </c>
      <c r="Y156" t="str">
        <v>Nenhuma</v>
      </c>
      <c r="Z156">
        <v>3</v>
      </c>
      <c r="AA156">
        <v>12.5</v>
      </c>
      <c r="AB156">
        <v>0.82</v>
      </c>
      <c r="AC156">
        <v>7</v>
      </c>
      <c r="AD156">
        <v>96</v>
      </c>
      <c r="AE156">
        <v>85</v>
      </c>
      <c r="AF156" t="str">
        <v>Rural</v>
      </c>
      <c r="AG156" t="str">
        <v>Nao</v>
      </c>
    </row>
    <row r="157" spans="2:33" x14ac:dyDescent="0.45">
      <c r="B157" s="4">
        <v>156</v>
      </c>
      <c r="C157" s="4" t="s">
        <v>41</v>
      </c>
      <c r="D157" s="4" t="s">
        <v>16</v>
      </c>
      <c r="E157" s="4" t="s">
        <v>35</v>
      </c>
      <c r="F157" s="4" t="s">
        <v>24</v>
      </c>
      <c r="G157" s="4" t="s">
        <v>30</v>
      </c>
      <c r="H157" s="4" t="s">
        <v>32</v>
      </c>
      <c r="I157" s="4">
        <v>39</v>
      </c>
      <c r="J157" s="5">
        <v>56.7</v>
      </c>
      <c r="K157" s="6">
        <v>1.76</v>
      </c>
      <c r="L157" s="4">
        <v>9</v>
      </c>
      <c r="M157" s="4">
        <v>111</v>
      </c>
      <c r="N157" s="4">
        <v>140</v>
      </c>
      <c r="O157" s="4" t="s">
        <v>21</v>
      </c>
      <c r="P157" s="7" t="s">
        <v>19</v>
      </c>
      <c r="S157">
        <v>336</v>
      </c>
      <c r="T157" t="str">
        <v>Manica</v>
      </c>
      <c r="U157" t="str">
        <v>Masculino</v>
      </c>
      <c r="V157" t="str">
        <v>Casado(a)</v>
      </c>
      <c r="W157" t="str">
        <v>Secundaria</v>
      </c>
      <c r="X157" t="str">
        <v>Nao</v>
      </c>
      <c r="Y157" t="str">
        <v>HIV/SIDA</v>
      </c>
      <c r="Z157">
        <v>0</v>
      </c>
      <c r="AA157">
        <v>15.6</v>
      </c>
      <c r="AB157">
        <v>0.96</v>
      </c>
      <c r="AC157">
        <v>6</v>
      </c>
      <c r="AD157">
        <v>105</v>
      </c>
      <c r="AE157">
        <v>94</v>
      </c>
      <c r="AF157" t="str">
        <v>Rural</v>
      </c>
      <c r="AG157" t="str">
        <v>Nao</v>
      </c>
    </row>
    <row r="158" spans="2:33" x14ac:dyDescent="0.45">
      <c r="B158" s="4">
        <v>157</v>
      </c>
      <c r="C158" s="4" t="s">
        <v>27</v>
      </c>
      <c r="D158" s="4" t="s">
        <v>23</v>
      </c>
      <c r="E158" s="4" t="s">
        <v>35</v>
      </c>
      <c r="F158" s="4" t="s">
        <v>24</v>
      </c>
      <c r="G158" s="4" t="s">
        <v>19</v>
      </c>
      <c r="H158" s="4" t="s">
        <v>28</v>
      </c>
      <c r="I158" s="4">
        <v>1</v>
      </c>
      <c r="J158" s="5">
        <v>6.6</v>
      </c>
      <c r="K158" s="6">
        <v>0.68</v>
      </c>
      <c r="L158" s="4">
        <v>2</v>
      </c>
      <c r="M158" s="4">
        <v>107</v>
      </c>
      <c r="N158" s="4">
        <v>102</v>
      </c>
      <c r="O158" s="4" t="s">
        <v>21</v>
      </c>
      <c r="P158" s="7" t="s">
        <v>19</v>
      </c>
      <c r="S158">
        <v>337</v>
      </c>
      <c r="T158" t="str">
        <v>Sofala</v>
      </c>
      <c r="U158" t="str">
        <v>Masculino</v>
      </c>
      <c r="V158" t="str">
        <v>Solteiro(a)</v>
      </c>
      <c r="W158" t="str">
        <v>Secundaria</v>
      </c>
      <c r="X158" t="str">
        <v>Sim</v>
      </c>
      <c r="Y158" t="str">
        <v>Diarreia</v>
      </c>
      <c r="Z158">
        <v>5</v>
      </c>
      <c r="AA158">
        <v>30.2</v>
      </c>
      <c r="AB158">
        <v>1.06</v>
      </c>
      <c r="AC158">
        <v>2</v>
      </c>
      <c r="AD158">
        <v>94</v>
      </c>
      <c r="AE158">
        <v>76</v>
      </c>
      <c r="AF158" t="str">
        <v>Rural</v>
      </c>
      <c r="AG158" t="str">
        <v>Nao</v>
      </c>
    </row>
    <row r="159" spans="2:33" x14ac:dyDescent="0.45">
      <c r="B159" s="4">
        <v>158</v>
      </c>
      <c r="C159" s="4" t="s">
        <v>41</v>
      </c>
      <c r="D159" s="4" t="s">
        <v>23</v>
      </c>
      <c r="E159" s="4" t="s">
        <v>35</v>
      </c>
      <c r="F159" s="4" t="s">
        <v>28</v>
      </c>
      <c r="G159" s="4" t="s">
        <v>19</v>
      </c>
      <c r="H159" s="4" t="s">
        <v>32</v>
      </c>
      <c r="I159" s="4">
        <v>34</v>
      </c>
      <c r="J159" s="5">
        <v>55</v>
      </c>
      <c r="K159" s="6">
        <v>1.88</v>
      </c>
      <c r="L159" s="4">
        <v>5</v>
      </c>
      <c r="M159" s="4">
        <v>125</v>
      </c>
      <c r="N159" s="4">
        <v>149</v>
      </c>
      <c r="O159" s="4" t="s">
        <v>26</v>
      </c>
      <c r="P159" s="7" t="s">
        <v>30</v>
      </c>
      <c r="S159">
        <v>338</v>
      </c>
      <c r="T159" t="str">
        <v>Niassa</v>
      </c>
      <c r="U159" t="str">
        <v>Masculino</v>
      </c>
      <c r="V159" t="str">
        <v>Viuvo(a)</v>
      </c>
      <c r="W159" t="str">
        <v>Primaria</v>
      </c>
      <c r="X159" t="str">
        <v>Nao</v>
      </c>
      <c r="Y159" t="str">
        <v>Nenhuma</v>
      </c>
      <c r="Z159">
        <v>6</v>
      </c>
      <c r="AA159">
        <v>31.5</v>
      </c>
      <c r="AB159">
        <v>1.35</v>
      </c>
      <c r="AC159">
        <v>8</v>
      </c>
      <c r="AD159">
        <v>113</v>
      </c>
      <c r="AE159">
        <v>92</v>
      </c>
      <c r="AF159" t="str">
        <v>Rural</v>
      </c>
      <c r="AG159" t="str">
        <v>Nao</v>
      </c>
    </row>
    <row r="160" spans="2:33" x14ac:dyDescent="0.45">
      <c r="B160" s="4">
        <v>159</v>
      </c>
      <c r="C160" s="4" t="s">
        <v>45</v>
      </c>
      <c r="D160" s="4" t="s">
        <v>23</v>
      </c>
      <c r="E160" s="4" t="s">
        <v>17</v>
      </c>
      <c r="F160" s="4" t="s">
        <v>24</v>
      </c>
      <c r="G160" s="4" t="s">
        <v>19</v>
      </c>
      <c r="H160" s="4" t="s">
        <v>46</v>
      </c>
      <c r="I160" s="4">
        <v>78</v>
      </c>
      <c r="J160" s="5">
        <v>82.6</v>
      </c>
      <c r="K160" s="6">
        <v>1.66</v>
      </c>
      <c r="L160" s="4">
        <v>1</v>
      </c>
      <c r="M160" s="4">
        <v>127</v>
      </c>
      <c r="N160" s="4">
        <v>103</v>
      </c>
      <c r="O160" s="4" t="s">
        <v>21</v>
      </c>
      <c r="P160" s="7" t="s">
        <v>30</v>
      </c>
      <c r="S160">
        <v>339</v>
      </c>
      <c r="T160" t="str">
        <v>Cabo Delgado</v>
      </c>
      <c r="U160" t="str">
        <v>Masculino</v>
      </c>
      <c r="V160" t="str">
        <v>Divorciado(a)</v>
      </c>
      <c r="W160" t="str">
        <v>Nenhuma</v>
      </c>
      <c r="X160" t="str">
        <v>Nao</v>
      </c>
      <c r="Y160" t="str">
        <v>Diarreia</v>
      </c>
      <c r="Z160">
        <v>1</v>
      </c>
      <c r="AA160">
        <v>16.100000000000001</v>
      </c>
      <c r="AB160">
        <v>1.05</v>
      </c>
      <c r="AC160">
        <v>3</v>
      </c>
      <c r="AD160">
        <v>101</v>
      </c>
      <c r="AE160">
        <v>90</v>
      </c>
      <c r="AF160" t="str">
        <v>Rural</v>
      </c>
      <c r="AG160" t="str">
        <v>Nao</v>
      </c>
    </row>
    <row r="161" spans="2:33" x14ac:dyDescent="0.45">
      <c r="B161" s="4">
        <v>160</v>
      </c>
      <c r="C161" s="4" t="s">
        <v>15</v>
      </c>
      <c r="D161" s="4" t="s">
        <v>16</v>
      </c>
      <c r="E161" s="4" t="s">
        <v>35</v>
      </c>
      <c r="F161" s="4" t="s">
        <v>24</v>
      </c>
      <c r="G161" s="4" t="s">
        <v>30</v>
      </c>
      <c r="H161" s="4" t="s">
        <v>36</v>
      </c>
      <c r="I161" s="4">
        <v>21</v>
      </c>
      <c r="J161" s="5">
        <v>69.099999999999994</v>
      </c>
      <c r="K161" s="6">
        <v>1.66</v>
      </c>
      <c r="L161" s="4">
        <v>8</v>
      </c>
      <c r="M161" s="4">
        <v>131</v>
      </c>
      <c r="N161" s="4">
        <v>77</v>
      </c>
      <c r="O161" s="4" t="s">
        <v>21</v>
      </c>
      <c r="P161" s="7" t="s">
        <v>19</v>
      </c>
      <c r="S161">
        <v>340</v>
      </c>
      <c r="T161" t="str">
        <v>Gaza</v>
      </c>
      <c r="U161" t="str">
        <v>Masculino</v>
      </c>
      <c r="V161" t="str">
        <v>Solteiro(a)</v>
      </c>
      <c r="W161" t="str">
        <v>Secundaria</v>
      </c>
      <c r="X161" t="str">
        <v>Nao</v>
      </c>
      <c r="Y161" t="str">
        <v>Nenhuma</v>
      </c>
      <c r="Z161">
        <v>7</v>
      </c>
      <c r="AA161">
        <v>36.6</v>
      </c>
      <c r="AB161">
        <v>1.0900000000000001</v>
      </c>
      <c r="AC161">
        <v>4</v>
      </c>
      <c r="AD161">
        <v>97</v>
      </c>
      <c r="AE161">
        <v>103</v>
      </c>
      <c r="AF161" t="str">
        <v>Urbana</v>
      </c>
      <c r="AG161" t="str">
        <v>Nao</v>
      </c>
    </row>
    <row r="162" spans="2:33" x14ac:dyDescent="0.45">
      <c r="B162" s="4">
        <v>161</v>
      </c>
      <c r="C162" s="4" t="s">
        <v>40</v>
      </c>
      <c r="D162" s="4" t="s">
        <v>16</v>
      </c>
      <c r="E162" s="4" t="s">
        <v>17</v>
      </c>
      <c r="F162" s="4" t="s">
        <v>24</v>
      </c>
      <c r="G162" s="4" t="s">
        <v>30</v>
      </c>
      <c r="H162" s="4" t="s">
        <v>28</v>
      </c>
      <c r="I162" s="4">
        <v>51</v>
      </c>
      <c r="J162" s="5">
        <v>68.5</v>
      </c>
      <c r="K162" s="6">
        <v>1.87</v>
      </c>
      <c r="L162" s="4">
        <v>4</v>
      </c>
      <c r="M162" s="4">
        <v>128</v>
      </c>
      <c r="N162" s="4">
        <v>86</v>
      </c>
      <c r="O162" s="4" t="s">
        <v>26</v>
      </c>
      <c r="P162" s="7" t="s">
        <v>19</v>
      </c>
      <c r="S162">
        <v>344</v>
      </c>
      <c r="T162" t="str">
        <v>Cabo Delgado</v>
      </c>
      <c r="U162" t="str">
        <v>Masculino</v>
      </c>
      <c r="V162" t="str">
        <v>Solteiro(a)</v>
      </c>
      <c r="W162" t="str">
        <v>Nenhuma</v>
      </c>
      <c r="X162" t="str">
        <v>Nao</v>
      </c>
      <c r="Y162" t="str">
        <v>Diarreia</v>
      </c>
      <c r="Z162">
        <v>39</v>
      </c>
      <c r="AA162">
        <v>85.9</v>
      </c>
      <c r="AB162">
        <v>1.79</v>
      </c>
      <c r="AC162">
        <v>0</v>
      </c>
      <c r="AD162">
        <v>109</v>
      </c>
      <c r="AE162">
        <v>104</v>
      </c>
      <c r="AF162" t="str">
        <v>Rural</v>
      </c>
      <c r="AG162" t="str">
        <v>Nao</v>
      </c>
    </row>
    <row r="163" spans="2:33" x14ac:dyDescent="0.45">
      <c r="B163" s="4">
        <v>162</v>
      </c>
      <c r="C163" s="4" t="s">
        <v>22</v>
      </c>
      <c r="D163" s="4" t="s">
        <v>16</v>
      </c>
      <c r="E163" s="4" t="s">
        <v>35</v>
      </c>
      <c r="F163" s="4" t="s">
        <v>24</v>
      </c>
      <c r="G163" s="4" t="s">
        <v>19</v>
      </c>
      <c r="H163" s="4" t="s">
        <v>20</v>
      </c>
      <c r="I163" s="4">
        <v>12</v>
      </c>
      <c r="J163" s="5">
        <v>58</v>
      </c>
      <c r="K163" s="6">
        <v>1.64</v>
      </c>
      <c r="L163" s="4">
        <v>3</v>
      </c>
      <c r="M163" s="4">
        <v>106</v>
      </c>
      <c r="N163" s="4">
        <v>89</v>
      </c>
      <c r="O163" s="4" t="s">
        <v>26</v>
      </c>
      <c r="P163" s="7" t="s">
        <v>19</v>
      </c>
      <c r="S163">
        <v>346</v>
      </c>
      <c r="T163" t="str">
        <v>Nampula</v>
      </c>
      <c r="U163" t="str">
        <v>Masculino</v>
      </c>
      <c r="V163" t="str">
        <v>Divorciado(a)</v>
      </c>
      <c r="W163" t="str">
        <v>Primaria</v>
      </c>
      <c r="X163" t="str">
        <v>Nao</v>
      </c>
      <c r="Y163" t="str">
        <v>Malaria</v>
      </c>
      <c r="Z163">
        <v>18</v>
      </c>
      <c r="AA163">
        <v>61.8</v>
      </c>
      <c r="AB163">
        <v>1.83</v>
      </c>
      <c r="AC163">
        <v>1</v>
      </c>
      <c r="AD163">
        <v>107</v>
      </c>
      <c r="AE163">
        <v>83</v>
      </c>
      <c r="AF163" t="str">
        <v>Rural</v>
      </c>
      <c r="AG163" t="str">
        <v>Nao</v>
      </c>
    </row>
    <row r="164" spans="2:33" x14ac:dyDescent="0.45">
      <c r="B164" s="4">
        <v>163</v>
      </c>
      <c r="C164" s="4" t="s">
        <v>40</v>
      </c>
      <c r="D164" s="4" t="s">
        <v>16</v>
      </c>
      <c r="E164" s="4" t="s">
        <v>35</v>
      </c>
      <c r="F164" s="4" t="s">
        <v>24</v>
      </c>
      <c r="G164" s="4" t="s">
        <v>19</v>
      </c>
      <c r="H164" s="4" t="s">
        <v>20</v>
      </c>
      <c r="I164" s="4">
        <v>19</v>
      </c>
      <c r="J164" s="5">
        <v>62.5</v>
      </c>
      <c r="K164" s="6">
        <v>1.88</v>
      </c>
      <c r="L164" s="4">
        <v>0</v>
      </c>
      <c r="M164" s="4">
        <v>106</v>
      </c>
      <c r="N164" s="4">
        <v>87</v>
      </c>
      <c r="O164" s="4" t="s">
        <v>21</v>
      </c>
      <c r="P164" s="7" t="s">
        <v>19</v>
      </c>
      <c r="S164">
        <v>349</v>
      </c>
      <c r="T164" t="str">
        <v>Cabo Delgado</v>
      </c>
      <c r="U164" t="str">
        <v>Masculino</v>
      </c>
      <c r="V164" t="str">
        <v>Solteiro(a)</v>
      </c>
      <c r="W164" t="str">
        <v>Primaria</v>
      </c>
      <c r="X164" t="str">
        <v>Nao</v>
      </c>
      <c r="Y164" t="str">
        <v>Nenhuma</v>
      </c>
      <c r="Z164">
        <v>12</v>
      </c>
      <c r="AA164">
        <v>53.4</v>
      </c>
      <c r="AB164">
        <v>1.69</v>
      </c>
      <c r="AC164">
        <v>0</v>
      </c>
      <c r="AD164">
        <v>108</v>
      </c>
      <c r="AE164">
        <v>83</v>
      </c>
      <c r="AF164" t="str">
        <v>Rural</v>
      </c>
      <c r="AG164" t="str">
        <v>Nao</v>
      </c>
    </row>
    <row r="165" spans="2:33" x14ac:dyDescent="0.45">
      <c r="B165" s="4">
        <v>164</v>
      </c>
      <c r="C165" s="4" t="s">
        <v>43</v>
      </c>
      <c r="D165" s="4" t="s">
        <v>16</v>
      </c>
      <c r="E165" s="4" t="s">
        <v>17</v>
      </c>
      <c r="F165" s="4" t="s">
        <v>24</v>
      </c>
      <c r="G165" s="4" t="s">
        <v>30</v>
      </c>
      <c r="H165" s="4" t="s">
        <v>36</v>
      </c>
      <c r="I165" s="4">
        <v>23</v>
      </c>
      <c r="J165" s="5">
        <v>65.5</v>
      </c>
      <c r="K165" s="6">
        <v>1.67</v>
      </c>
      <c r="L165" s="4">
        <v>0</v>
      </c>
      <c r="M165" s="4">
        <v>121</v>
      </c>
      <c r="N165" s="4">
        <v>79</v>
      </c>
      <c r="O165" s="4" t="s">
        <v>21</v>
      </c>
      <c r="P165" s="7" t="s">
        <v>19</v>
      </c>
      <c r="S165">
        <v>350</v>
      </c>
      <c r="T165" t="str">
        <v>Tete</v>
      </c>
      <c r="U165" t="str">
        <v>Masculino</v>
      </c>
      <c r="V165" t="str">
        <v>Casado(a)</v>
      </c>
      <c r="W165" t="str">
        <v>Primaria</v>
      </c>
      <c r="X165" t="str">
        <v>Nao</v>
      </c>
      <c r="Y165" t="str">
        <v>Tuberculose</v>
      </c>
      <c r="Z165">
        <v>56</v>
      </c>
      <c r="AA165">
        <v>50.4</v>
      </c>
      <c r="AB165">
        <v>1.9</v>
      </c>
      <c r="AC165">
        <v>2</v>
      </c>
      <c r="AD165">
        <v>117</v>
      </c>
      <c r="AE165">
        <v>76</v>
      </c>
      <c r="AF165" t="str">
        <v>Urbana</v>
      </c>
      <c r="AG165" t="str">
        <v>Sim</v>
      </c>
    </row>
    <row r="166" spans="2:33" x14ac:dyDescent="0.45">
      <c r="B166" s="4">
        <v>165</v>
      </c>
      <c r="C166" s="4" t="s">
        <v>27</v>
      </c>
      <c r="D166" s="4" t="s">
        <v>16</v>
      </c>
      <c r="E166" s="4" t="s">
        <v>17</v>
      </c>
      <c r="F166" s="4" t="s">
        <v>18</v>
      </c>
      <c r="G166" s="4" t="s">
        <v>19</v>
      </c>
      <c r="H166" s="4" t="s">
        <v>20</v>
      </c>
      <c r="I166" s="4">
        <v>87</v>
      </c>
      <c r="J166" s="5">
        <v>50.7</v>
      </c>
      <c r="K166" s="6">
        <v>1.72</v>
      </c>
      <c r="L166" s="4">
        <v>2</v>
      </c>
      <c r="M166" s="4">
        <v>138</v>
      </c>
      <c r="N166" s="4">
        <v>101</v>
      </c>
      <c r="O166" s="4" t="s">
        <v>21</v>
      </c>
      <c r="P166" s="7" t="s">
        <v>30</v>
      </c>
      <c r="S166">
        <v>352</v>
      </c>
      <c r="T166" t="str">
        <v>Nampula</v>
      </c>
      <c r="U166" t="str">
        <v>Masculino</v>
      </c>
      <c r="V166" t="str">
        <v>Solteiro(a)</v>
      </c>
      <c r="W166" t="str">
        <v>Superior</v>
      </c>
      <c r="X166" t="str">
        <v>Sim</v>
      </c>
      <c r="Y166" t="str">
        <v>Tuberculose</v>
      </c>
      <c r="Z166">
        <v>32</v>
      </c>
      <c r="AA166">
        <v>62.4</v>
      </c>
      <c r="AB166">
        <v>1.67</v>
      </c>
      <c r="AC166">
        <v>1</v>
      </c>
      <c r="AD166">
        <v>111</v>
      </c>
      <c r="AE166">
        <v>102</v>
      </c>
      <c r="AF166" t="str">
        <v>Rural</v>
      </c>
      <c r="AG166" t="str">
        <v>Sim</v>
      </c>
    </row>
    <row r="167" spans="2:33" x14ac:dyDescent="0.45">
      <c r="B167" s="4">
        <v>166</v>
      </c>
      <c r="C167" s="4" t="s">
        <v>27</v>
      </c>
      <c r="D167" s="4" t="s">
        <v>23</v>
      </c>
      <c r="E167" s="4" t="s">
        <v>17</v>
      </c>
      <c r="F167" s="4" t="s">
        <v>24</v>
      </c>
      <c r="G167" s="4" t="s">
        <v>19</v>
      </c>
      <c r="H167" s="4" t="s">
        <v>36</v>
      </c>
      <c r="I167" s="4">
        <v>53</v>
      </c>
      <c r="J167" s="5">
        <v>53.2</v>
      </c>
      <c r="K167" s="6">
        <v>1.53</v>
      </c>
      <c r="L167" s="4">
        <v>4</v>
      </c>
      <c r="M167" s="4">
        <v>151</v>
      </c>
      <c r="N167" s="4">
        <v>104</v>
      </c>
      <c r="O167" s="4" t="s">
        <v>26</v>
      </c>
      <c r="P167" s="7" t="s">
        <v>19</v>
      </c>
      <c r="S167">
        <v>356</v>
      </c>
      <c r="T167" t="str">
        <v>Zambezia</v>
      </c>
      <c r="U167" t="str">
        <v>Masculino</v>
      </c>
      <c r="V167" t="str">
        <v>Casado(a)</v>
      </c>
      <c r="W167" t="str">
        <v>Secundaria</v>
      </c>
      <c r="X167" t="str">
        <v>Nao</v>
      </c>
      <c r="Y167" t="str">
        <v>Pneumonia</v>
      </c>
      <c r="Z167">
        <v>36</v>
      </c>
      <c r="AA167">
        <v>93</v>
      </c>
      <c r="AB167">
        <v>1.56</v>
      </c>
      <c r="AC167">
        <v>10</v>
      </c>
      <c r="AD167">
        <v>114</v>
      </c>
      <c r="AE167">
        <v>80</v>
      </c>
      <c r="AF167" t="str">
        <v>Rural</v>
      </c>
      <c r="AG167" t="str">
        <v>Nao</v>
      </c>
    </row>
    <row r="168" spans="2:33" x14ac:dyDescent="0.45">
      <c r="B168" s="4">
        <v>167</v>
      </c>
      <c r="C168" s="4" t="s">
        <v>27</v>
      </c>
      <c r="D168" s="4" t="s">
        <v>23</v>
      </c>
      <c r="E168" s="4" t="s">
        <v>44</v>
      </c>
      <c r="F168" s="4" t="s">
        <v>24</v>
      </c>
      <c r="G168" s="4" t="s">
        <v>19</v>
      </c>
      <c r="H168" s="4" t="s">
        <v>34</v>
      </c>
      <c r="I168" s="4">
        <v>39</v>
      </c>
      <c r="J168" s="5">
        <v>89.9</v>
      </c>
      <c r="K168" s="6">
        <v>1.52</v>
      </c>
      <c r="L168" s="4">
        <v>1</v>
      </c>
      <c r="M168" s="4">
        <v>123</v>
      </c>
      <c r="N168" s="4">
        <v>88</v>
      </c>
      <c r="O168" s="4" t="s">
        <v>26</v>
      </c>
      <c r="P168" s="7" t="s">
        <v>30</v>
      </c>
      <c r="S168">
        <v>359</v>
      </c>
      <c r="T168" t="str">
        <v>Maputo Cidade</v>
      </c>
      <c r="U168" t="str">
        <v>Masculino</v>
      </c>
      <c r="V168" t="str">
        <v>Solteiro(a)</v>
      </c>
      <c r="W168" t="str">
        <v>Nenhuma</v>
      </c>
      <c r="X168" t="str">
        <v>Sim</v>
      </c>
      <c r="Y168" t="str">
        <v>Malaria</v>
      </c>
      <c r="Z168">
        <v>2</v>
      </c>
      <c r="AA168">
        <v>9.6</v>
      </c>
      <c r="AB168">
        <v>1.03</v>
      </c>
      <c r="AC168">
        <v>3</v>
      </c>
      <c r="AD168">
        <v>103</v>
      </c>
      <c r="AE168">
        <v>73</v>
      </c>
      <c r="AF168" t="str">
        <v>Rural</v>
      </c>
      <c r="AG168" t="str">
        <v>Nao</v>
      </c>
    </row>
    <row r="169" spans="2:33" x14ac:dyDescent="0.45">
      <c r="B169" s="4">
        <v>168</v>
      </c>
      <c r="C169" s="4" t="s">
        <v>43</v>
      </c>
      <c r="D169" s="4" t="s">
        <v>16</v>
      </c>
      <c r="E169" s="4" t="s">
        <v>37</v>
      </c>
      <c r="F169" s="4" t="s">
        <v>42</v>
      </c>
      <c r="G169" s="4" t="s">
        <v>19</v>
      </c>
      <c r="H169" s="4" t="s">
        <v>20</v>
      </c>
      <c r="I169" s="4">
        <v>14</v>
      </c>
      <c r="J169" s="5">
        <v>50.9</v>
      </c>
      <c r="K169" s="6">
        <v>1.51</v>
      </c>
      <c r="L169" s="4">
        <v>2</v>
      </c>
      <c r="M169" s="4">
        <v>99</v>
      </c>
      <c r="N169" s="4">
        <v>71</v>
      </c>
      <c r="O169" s="4" t="s">
        <v>21</v>
      </c>
      <c r="P169" s="7" t="s">
        <v>19</v>
      </c>
      <c r="S169">
        <v>360</v>
      </c>
      <c r="T169" t="str">
        <v>Nampula</v>
      </c>
      <c r="U169" t="str">
        <v>Masculino</v>
      </c>
      <c r="V169" t="str">
        <v>Solteiro(a)</v>
      </c>
      <c r="W169" t="str">
        <v>Primaria</v>
      </c>
      <c r="X169" t="str">
        <v>Nao</v>
      </c>
      <c r="Y169" t="str">
        <v>Diarreia</v>
      </c>
      <c r="Z169">
        <v>22</v>
      </c>
      <c r="AA169">
        <v>56.7</v>
      </c>
      <c r="AB169">
        <v>1.66</v>
      </c>
      <c r="AC169">
        <v>2</v>
      </c>
      <c r="AD169">
        <v>102</v>
      </c>
      <c r="AE169">
        <v>77</v>
      </c>
      <c r="AF169" t="str">
        <v>Urbana</v>
      </c>
      <c r="AG169" t="str">
        <v>Nao</v>
      </c>
    </row>
    <row r="170" spans="2:33" x14ac:dyDescent="0.45">
      <c r="B170" s="4">
        <v>169</v>
      </c>
      <c r="C170" s="4" t="s">
        <v>45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s">
        <v>38</v>
      </c>
      <c r="I170" s="4">
        <v>19</v>
      </c>
      <c r="J170" s="5">
        <v>49.1</v>
      </c>
      <c r="K170" s="6">
        <v>1.68</v>
      </c>
      <c r="L170" s="4">
        <v>4</v>
      </c>
      <c r="M170" s="4">
        <v>96</v>
      </c>
      <c r="N170" s="4">
        <v>73</v>
      </c>
      <c r="O170" s="4" t="s">
        <v>26</v>
      </c>
      <c r="P170" s="7" t="s">
        <v>19</v>
      </c>
      <c r="S170">
        <v>361</v>
      </c>
      <c r="T170" t="str">
        <v>Cabo Delgado</v>
      </c>
      <c r="U170" t="str">
        <v>Masculino</v>
      </c>
      <c r="V170" t="str">
        <v>Casado(a)</v>
      </c>
      <c r="W170" t="str">
        <v>Primaria</v>
      </c>
      <c r="X170" t="str">
        <v>Nao</v>
      </c>
      <c r="Y170" t="str">
        <v>Malaria</v>
      </c>
      <c r="Z170">
        <v>13</v>
      </c>
      <c r="AA170">
        <v>56.7</v>
      </c>
      <c r="AB170">
        <v>1.67</v>
      </c>
      <c r="AC170">
        <v>1</v>
      </c>
      <c r="AD170">
        <v>122</v>
      </c>
      <c r="AE170">
        <v>100</v>
      </c>
      <c r="AF170" t="str">
        <v>Rural</v>
      </c>
      <c r="AG170" t="str">
        <v>Sim</v>
      </c>
    </row>
    <row r="171" spans="2:33" x14ac:dyDescent="0.45">
      <c r="B171" s="4">
        <v>170</v>
      </c>
      <c r="C171" s="4" t="s">
        <v>15</v>
      </c>
      <c r="D171" s="4" t="s">
        <v>23</v>
      </c>
      <c r="E171" s="4" t="s">
        <v>35</v>
      </c>
      <c r="F171" s="4" t="s">
        <v>42</v>
      </c>
      <c r="G171" s="4" t="s">
        <v>19</v>
      </c>
      <c r="H171" s="4" t="s">
        <v>32</v>
      </c>
      <c r="I171" s="4">
        <v>80</v>
      </c>
      <c r="J171" s="5">
        <v>51.3</v>
      </c>
      <c r="K171" s="6">
        <v>1.69</v>
      </c>
      <c r="L171" s="4">
        <v>1</v>
      </c>
      <c r="M171" s="4">
        <v>134</v>
      </c>
      <c r="N171" s="4">
        <v>157</v>
      </c>
      <c r="O171" s="4" t="s">
        <v>21</v>
      </c>
      <c r="P171" s="7" t="s">
        <v>19</v>
      </c>
      <c r="S171">
        <v>362</v>
      </c>
      <c r="T171" t="str">
        <v>Nampula</v>
      </c>
      <c r="U171" t="str">
        <v>Masculino</v>
      </c>
      <c r="V171" t="str">
        <v>Solteiro(a)</v>
      </c>
      <c r="W171" t="str">
        <v>Primaria</v>
      </c>
      <c r="X171" t="str">
        <v>Nao</v>
      </c>
      <c r="Y171" t="str">
        <v>Malaria</v>
      </c>
      <c r="Z171">
        <v>18</v>
      </c>
      <c r="AA171">
        <v>77.599999999999994</v>
      </c>
      <c r="AB171">
        <v>1.9</v>
      </c>
      <c r="AC171">
        <v>1</v>
      </c>
      <c r="AD171">
        <v>106</v>
      </c>
      <c r="AE171">
        <v>88</v>
      </c>
      <c r="AF171" t="str">
        <v>Urbana</v>
      </c>
      <c r="AG171" t="str">
        <v>Nao</v>
      </c>
    </row>
    <row r="172" spans="2:33" x14ac:dyDescent="0.45">
      <c r="B172" s="4">
        <v>171</v>
      </c>
      <c r="C172" s="4" t="s">
        <v>29</v>
      </c>
      <c r="D172" s="4" t="s">
        <v>16</v>
      </c>
      <c r="E172" s="4" t="s">
        <v>17</v>
      </c>
      <c r="F172" s="4" t="s">
        <v>18</v>
      </c>
      <c r="G172" s="4" t="s">
        <v>19</v>
      </c>
      <c r="H172" s="4" t="s">
        <v>34</v>
      </c>
      <c r="I172" s="4">
        <v>14</v>
      </c>
      <c r="J172" s="5">
        <v>52.3</v>
      </c>
      <c r="K172" s="6">
        <v>1.57</v>
      </c>
      <c r="L172" s="4">
        <v>0</v>
      </c>
      <c r="M172" s="4">
        <v>114</v>
      </c>
      <c r="N172" s="4">
        <v>81</v>
      </c>
      <c r="O172" s="4" t="s">
        <v>21</v>
      </c>
      <c r="P172" s="7" t="s">
        <v>19</v>
      </c>
      <c r="S172">
        <v>363</v>
      </c>
      <c r="T172" t="str">
        <v>Zambezia</v>
      </c>
      <c r="U172" t="str">
        <v>Masculino</v>
      </c>
      <c r="V172" t="str">
        <v>Divorciado(a)</v>
      </c>
      <c r="W172" t="str">
        <v>Secundaria</v>
      </c>
      <c r="X172" t="str">
        <v>Nao</v>
      </c>
      <c r="Y172" t="str">
        <v>Malaria</v>
      </c>
      <c r="Z172">
        <v>4</v>
      </c>
      <c r="AA172">
        <v>8.8000000000000007</v>
      </c>
      <c r="AB172">
        <v>0.83</v>
      </c>
      <c r="AC172">
        <v>2</v>
      </c>
      <c r="AD172">
        <v>93</v>
      </c>
      <c r="AE172">
        <v>99</v>
      </c>
      <c r="AF172" t="str">
        <v>Rural</v>
      </c>
      <c r="AG172" t="str">
        <v>Nao</v>
      </c>
    </row>
    <row r="173" spans="2:33" x14ac:dyDescent="0.45">
      <c r="B173" s="4">
        <v>172</v>
      </c>
      <c r="C173" s="4" t="s">
        <v>31</v>
      </c>
      <c r="D173" s="4" t="s">
        <v>23</v>
      </c>
      <c r="E173" s="4" t="s">
        <v>17</v>
      </c>
      <c r="F173" s="4" t="s">
        <v>28</v>
      </c>
      <c r="G173" s="4" t="s">
        <v>30</v>
      </c>
      <c r="H173" s="4" t="s">
        <v>28</v>
      </c>
      <c r="I173" s="4">
        <v>66</v>
      </c>
      <c r="J173" s="5">
        <v>66.400000000000006</v>
      </c>
      <c r="K173" s="6">
        <v>1.64</v>
      </c>
      <c r="L173" s="4">
        <v>1</v>
      </c>
      <c r="M173" s="4">
        <v>110</v>
      </c>
      <c r="N173" s="4">
        <v>81</v>
      </c>
      <c r="O173" s="4" t="s">
        <v>26</v>
      </c>
      <c r="P173" s="7" t="s">
        <v>19</v>
      </c>
      <c r="S173">
        <v>364</v>
      </c>
      <c r="T173" t="str">
        <v>Niassa</v>
      </c>
      <c r="U173" t="str">
        <v>Masculino</v>
      </c>
      <c r="V173" t="str">
        <v>Solteiro(a)</v>
      </c>
      <c r="W173" t="str">
        <v>Primaria</v>
      </c>
      <c r="X173" t="str">
        <v>Nao</v>
      </c>
      <c r="Y173" t="str">
        <v>Nenhuma</v>
      </c>
      <c r="Z173">
        <v>38</v>
      </c>
      <c r="AA173">
        <v>91.6</v>
      </c>
      <c r="AB173">
        <v>1.65</v>
      </c>
      <c r="AC173">
        <v>2</v>
      </c>
      <c r="AD173">
        <v>110</v>
      </c>
      <c r="AE173">
        <v>91</v>
      </c>
      <c r="AF173" t="str">
        <v>Urbana</v>
      </c>
      <c r="AG173" t="str">
        <v>Nao</v>
      </c>
    </row>
    <row r="174" spans="2:33" x14ac:dyDescent="0.45">
      <c r="B174" s="4">
        <v>173</v>
      </c>
      <c r="C174" s="4" t="s">
        <v>41</v>
      </c>
      <c r="D174" s="4" t="s">
        <v>16</v>
      </c>
      <c r="E174" s="4" t="s">
        <v>17</v>
      </c>
      <c r="F174" s="4" t="s">
        <v>24</v>
      </c>
      <c r="G174" s="4" t="s">
        <v>19</v>
      </c>
      <c r="H174" s="4" t="s">
        <v>20</v>
      </c>
      <c r="I174" s="4">
        <v>10</v>
      </c>
      <c r="J174" s="5">
        <v>23</v>
      </c>
      <c r="K174" s="6">
        <v>1.07</v>
      </c>
      <c r="L174" s="4">
        <v>2</v>
      </c>
      <c r="M174" s="4">
        <v>103</v>
      </c>
      <c r="N174" s="4">
        <v>74</v>
      </c>
      <c r="O174" s="4" t="s">
        <v>21</v>
      </c>
      <c r="P174" s="7" t="s">
        <v>19</v>
      </c>
      <c r="S174">
        <v>365</v>
      </c>
      <c r="T174" t="str">
        <v>Tete</v>
      </c>
      <c r="U174" t="str">
        <v>Masculino</v>
      </c>
      <c r="V174" t="str">
        <v>Solteiro(a)</v>
      </c>
      <c r="W174" t="str">
        <v>Secundaria</v>
      </c>
      <c r="X174" t="str">
        <v>Nao</v>
      </c>
      <c r="Y174" t="str">
        <v>Malaria</v>
      </c>
      <c r="Z174">
        <v>27</v>
      </c>
      <c r="AA174">
        <v>75.599999999999994</v>
      </c>
      <c r="AB174">
        <v>1.76</v>
      </c>
      <c r="AC174">
        <v>3</v>
      </c>
      <c r="AD174">
        <v>111</v>
      </c>
      <c r="AE174">
        <v>97</v>
      </c>
      <c r="AF174" t="str">
        <v>Rural</v>
      </c>
      <c r="AG174" t="str">
        <v>Nao</v>
      </c>
    </row>
    <row r="175" spans="2:33" x14ac:dyDescent="0.45">
      <c r="B175" s="4">
        <v>174</v>
      </c>
      <c r="C175" s="4" t="s">
        <v>43</v>
      </c>
      <c r="D175" s="4" t="s">
        <v>23</v>
      </c>
      <c r="E175" s="4" t="s">
        <v>35</v>
      </c>
      <c r="F175" s="4" t="s">
        <v>24</v>
      </c>
      <c r="G175" s="4" t="s">
        <v>30</v>
      </c>
      <c r="H175" s="4" t="s">
        <v>25</v>
      </c>
      <c r="I175" s="4">
        <v>11</v>
      </c>
      <c r="J175" s="5">
        <v>33.200000000000003</v>
      </c>
      <c r="K175" s="6">
        <v>1.41</v>
      </c>
      <c r="L175" s="4">
        <v>0</v>
      </c>
      <c r="M175" s="4">
        <v>98</v>
      </c>
      <c r="N175" s="4">
        <v>102</v>
      </c>
      <c r="O175" s="4" t="s">
        <v>21</v>
      </c>
      <c r="P175" s="7" t="s">
        <v>19</v>
      </c>
      <c r="S175">
        <v>368</v>
      </c>
      <c r="T175" t="str">
        <v>Manica</v>
      </c>
      <c r="U175" t="str">
        <v>Masculino</v>
      </c>
      <c r="V175" t="str">
        <v>Casado(a)</v>
      </c>
      <c r="W175" t="str">
        <v>Primaria</v>
      </c>
      <c r="X175" t="str">
        <v>Nao</v>
      </c>
      <c r="Y175" t="str">
        <v>Hipertensao</v>
      </c>
      <c r="Z175">
        <v>12</v>
      </c>
      <c r="AA175">
        <v>42.1</v>
      </c>
      <c r="AB175">
        <v>1.59</v>
      </c>
      <c r="AC175">
        <v>3</v>
      </c>
      <c r="AD175">
        <v>122</v>
      </c>
      <c r="AE175">
        <v>81</v>
      </c>
      <c r="AF175" t="str">
        <v>Rural</v>
      </c>
      <c r="AG175" t="str">
        <v>Nao</v>
      </c>
    </row>
    <row r="176" spans="2:33" x14ac:dyDescent="0.45">
      <c r="B176" s="4">
        <v>175</v>
      </c>
      <c r="C176" s="4" t="s">
        <v>27</v>
      </c>
      <c r="D176" s="4" t="s">
        <v>16</v>
      </c>
      <c r="E176" s="4" t="s">
        <v>17</v>
      </c>
      <c r="F176" s="4" t="s">
        <v>24</v>
      </c>
      <c r="G176" s="4" t="s">
        <v>19</v>
      </c>
      <c r="H176" s="4" t="s">
        <v>20</v>
      </c>
      <c r="I176" s="4">
        <v>31</v>
      </c>
      <c r="J176" s="5">
        <v>71.900000000000006</v>
      </c>
      <c r="K176" s="6">
        <v>1.72</v>
      </c>
      <c r="L176" s="4">
        <v>1</v>
      </c>
      <c r="M176" s="4">
        <v>123</v>
      </c>
      <c r="N176" s="4">
        <v>76</v>
      </c>
      <c r="O176" s="4" t="s">
        <v>21</v>
      </c>
      <c r="P176" s="7" t="s">
        <v>19</v>
      </c>
      <c r="S176">
        <v>370</v>
      </c>
      <c r="T176" t="str">
        <v>Maputo Cidade</v>
      </c>
      <c r="U176" t="str">
        <v>Masculino</v>
      </c>
      <c r="V176" t="str">
        <v>Solteiro(a)</v>
      </c>
      <c r="W176" t="str">
        <v>Primaria</v>
      </c>
      <c r="X176" t="str">
        <v>Nao</v>
      </c>
      <c r="Y176" t="str">
        <v>Malaria</v>
      </c>
      <c r="Z176">
        <v>30</v>
      </c>
      <c r="AA176">
        <v>83.3</v>
      </c>
      <c r="AB176">
        <v>1.85</v>
      </c>
      <c r="AC176">
        <v>2</v>
      </c>
      <c r="AD176">
        <v>129</v>
      </c>
      <c r="AE176">
        <v>97</v>
      </c>
      <c r="AF176" t="str">
        <v>Urbana</v>
      </c>
      <c r="AG176" t="str">
        <v>Sim</v>
      </c>
    </row>
    <row r="177" spans="2:33" x14ac:dyDescent="0.45">
      <c r="B177" s="4">
        <v>176</v>
      </c>
      <c r="C177" s="4" t="s">
        <v>39</v>
      </c>
      <c r="D177" s="4" t="s">
        <v>16</v>
      </c>
      <c r="E177" s="4" t="s">
        <v>37</v>
      </c>
      <c r="F177" s="4" t="s">
        <v>24</v>
      </c>
      <c r="G177" s="4" t="s">
        <v>19</v>
      </c>
      <c r="H177" s="4" t="s">
        <v>28</v>
      </c>
      <c r="I177" s="4">
        <v>35</v>
      </c>
      <c r="J177" s="5">
        <v>52.6</v>
      </c>
      <c r="K177" s="6">
        <v>1.79</v>
      </c>
      <c r="L177" s="4">
        <v>0</v>
      </c>
      <c r="M177" s="4">
        <v>120</v>
      </c>
      <c r="N177" s="4">
        <v>103</v>
      </c>
      <c r="O177" s="4" t="s">
        <v>26</v>
      </c>
      <c r="P177" s="7" t="s">
        <v>19</v>
      </c>
      <c r="S177">
        <v>371</v>
      </c>
      <c r="T177" t="str">
        <v>Nampula</v>
      </c>
      <c r="U177" t="str">
        <v>Masculino</v>
      </c>
      <c r="V177" t="str">
        <v>Solteiro(a)</v>
      </c>
      <c r="W177" t="str">
        <v>Primaria</v>
      </c>
      <c r="X177" t="str">
        <v>Nao</v>
      </c>
      <c r="Y177" t="str">
        <v>Pneumonia</v>
      </c>
      <c r="Z177">
        <v>46</v>
      </c>
      <c r="AA177">
        <v>58.6</v>
      </c>
      <c r="AB177">
        <v>1.89</v>
      </c>
      <c r="AC177">
        <v>1</v>
      </c>
      <c r="AD177">
        <v>113</v>
      </c>
      <c r="AE177">
        <v>79</v>
      </c>
      <c r="AF177" t="str">
        <v>Urbana</v>
      </c>
      <c r="AG177" t="str">
        <v>Sim</v>
      </c>
    </row>
    <row r="178" spans="2:33" x14ac:dyDescent="0.45">
      <c r="B178" s="4">
        <v>177</v>
      </c>
      <c r="C178" s="4" t="s">
        <v>39</v>
      </c>
      <c r="D178" s="4" t="s">
        <v>16</v>
      </c>
      <c r="E178" s="4" t="s">
        <v>35</v>
      </c>
      <c r="F178" s="4" t="s">
        <v>18</v>
      </c>
      <c r="G178" s="4" t="s">
        <v>19</v>
      </c>
      <c r="H178" s="4" t="s">
        <v>36</v>
      </c>
      <c r="I178" s="4">
        <v>24</v>
      </c>
      <c r="J178" s="5">
        <v>47.6</v>
      </c>
      <c r="K178" s="6">
        <v>1.62</v>
      </c>
      <c r="L178" s="4">
        <v>6</v>
      </c>
      <c r="M178" s="4">
        <v>131</v>
      </c>
      <c r="N178" s="4">
        <v>101</v>
      </c>
      <c r="O178" s="4" t="s">
        <v>26</v>
      </c>
      <c r="P178" s="7" t="s">
        <v>19</v>
      </c>
      <c r="S178">
        <v>374</v>
      </c>
      <c r="T178" t="str">
        <v>Tete</v>
      </c>
      <c r="U178" t="str">
        <v>Masculino</v>
      </c>
      <c r="V178" t="str">
        <v>Casado(a)</v>
      </c>
      <c r="W178" t="str">
        <v>Primaria</v>
      </c>
      <c r="X178" t="str">
        <v>Nao</v>
      </c>
      <c r="Y178" t="str">
        <v>Nenhuma</v>
      </c>
      <c r="Z178">
        <v>3</v>
      </c>
      <c r="AA178">
        <v>12.1</v>
      </c>
      <c r="AB178">
        <v>0.78</v>
      </c>
      <c r="AC178">
        <v>6</v>
      </c>
      <c r="AD178">
        <v>104</v>
      </c>
      <c r="AE178">
        <v>80</v>
      </c>
      <c r="AF178" t="str">
        <v>Rural</v>
      </c>
      <c r="AG178" t="str">
        <v>Nao</v>
      </c>
    </row>
    <row r="179" spans="2:33" x14ac:dyDescent="0.45">
      <c r="B179" s="4">
        <v>178</v>
      </c>
      <c r="C179" s="4" t="s">
        <v>15</v>
      </c>
      <c r="D179" s="4" t="s">
        <v>23</v>
      </c>
      <c r="E179" s="4" t="s">
        <v>35</v>
      </c>
      <c r="F179" s="4" t="s">
        <v>24</v>
      </c>
      <c r="G179" s="4" t="s">
        <v>19</v>
      </c>
      <c r="H179" s="4" t="s">
        <v>36</v>
      </c>
      <c r="I179" s="4">
        <v>11</v>
      </c>
      <c r="J179" s="5">
        <v>21.7</v>
      </c>
      <c r="K179" s="6">
        <v>1.21</v>
      </c>
      <c r="L179" s="4">
        <v>6</v>
      </c>
      <c r="M179" s="4">
        <v>131</v>
      </c>
      <c r="N179" s="4">
        <v>100</v>
      </c>
      <c r="O179" s="4" t="s">
        <v>26</v>
      </c>
      <c r="P179" s="7" t="s">
        <v>19</v>
      </c>
      <c r="S179">
        <v>376</v>
      </c>
      <c r="T179" t="str">
        <v>Gaza</v>
      </c>
      <c r="U179" t="str">
        <v>Masculino</v>
      </c>
      <c r="V179" t="str">
        <v>Solteiro(a)</v>
      </c>
      <c r="W179" t="str">
        <v>Secundaria</v>
      </c>
      <c r="X179" t="str">
        <v>Sim</v>
      </c>
      <c r="Y179" t="str">
        <v>Malaria</v>
      </c>
      <c r="Z179">
        <v>17</v>
      </c>
      <c r="AA179">
        <v>48.8</v>
      </c>
      <c r="AB179">
        <v>1.51</v>
      </c>
      <c r="AC179">
        <v>2</v>
      </c>
      <c r="AD179">
        <v>115</v>
      </c>
      <c r="AE179">
        <v>96</v>
      </c>
      <c r="AF179" t="str">
        <v>Urbana</v>
      </c>
      <c r="AG179" t="str">
        <v>Nao</v>
      </c>
    </row>
    <row r="180" spans="2:33" x14ac:dyDescent="0.45">
      <c r="B180" s="4">
        <v>179</v>
      </c>
      <c r="C180" s="4" t="s">
        <v>22</v>
      </c>
      <c r="D180" s="4" t="s">
        <v>16</v>
      </c>
      <c r="E180" s="4" t="s">
        <v>17</v>
      </c>
      <c r="F180" s="4" t="s">
        <v>18</v>
      </c>
      <c r="G180" s="4" t="s">
        <v>19</v>
      </c>
      <c r="H180" s="4" t="s">
        <v>36</v>
      </c>
      <c r="I180" s="4">
        <v>10</v>
      </c>
      <c r="J180" s="5">
        <v>30.7</v>
      </c>
      <c r="K180" s="6">
        <v>1.4</v>
      </c>
      <c r="L180" s="4">
        <v>4</v>
      </c>
      <c r="M180" s="4">
        <v>125</v>
      </c>
      <c r="N180" s="4">
        <v>77</v>
      </c>
      <c r="O180" s="4" t="s">
        <v>26</v>
      </c>
      <c r="P180" s="7" t="s">
        <v>19</v>
      </c>
      <c r="S180">
        <v>377</v>
      </c>
      <c r="T180" t="str">
        <v>Cabo Delgado</v>
      </c>
      <c r="U180" t="str">
        <v>Masculino</v>
      </c>
      <c r="V180" t="str">
        <v>Divorciado(a)</v>
      </c>
      <c r="W180" t="str">
        <v>Primaria</v>
      </c>
      <c r="X180" t="str">
        <v>Nao</v>
      </c>
      <c r="Y180" t="str">
        <v>Malaria</v>
      </c>
      <c r="Z180">
        <v>40</v>
      </c>
      <c r="AA180">
        <v>83.1</v>
      </c>
      <c r="AB180">
        <v>1.78</v>
      </c>
      <c r="AC180">
        <v>5</v>
      </c>
      <c r="AD180">
        <v>105</v>
      </c>
      <c r="AE180">
        <v>73</v>
      </c>
      <c r="AF180" t="str">
        <v>Rural</v>
      </c>
      <c r="AG180" t="str">
        <v>Nao</v>
      </c>
    </row>
    <row r="181" spans="2:33" x14ac:dyDescent="0.45">
      <c r="B181" s="4">
        <v>180</v>
      </c>
      <c r="C181" s="4" t="s">
        <v>27</v>
      </c>
      <c r="D181" s="4" t="s">
        <v>16</v>
      </c>
      <c r="E181" s="4" t="s">
        <v>35</v>
      </c>
      <c r="F181" s="4" t="s">
        <v>18</v>
      </c>
      <c r="G181" s="4" t="s">
        <v>19</v>
      </c>
      <c r="H181" s="4" t="s">
        <v>28</v>
      </c>
      <c r="I181" s="4">
        <v>74</v>
      </c>
      <c r="J181" s="5">
        <v>76.599999999999994</v>
      </c>
      <c r="K181" s="6">
        <v>1.51</v>
      </c>
      <c r="L181" s="4">
        <v>1</v>
      </c>
      <c r="M181" s="4">
        <v>112</v>
      </c>
      <c r="N181" s="4">
        <v>71</v>
      </c>
      <c r="O181" s="4" t="s">
        <v>26</v>
      </c>
      <c r="P181" s="7" t="s">
        <v>19</v>
      </c>
      <c r="S181">
        <v>379</v>
      </c>
      <c r="T181" t="str">
        <v>Inhambane</v>
      </c>
      <c r="U181" t="str">
        <v>Masculino</v>
      </c>
      <c r="V181" t="str">
        <v>Solteiro(a)</v>
      </c>
      <c r="W181" t="str">
        <v>Secundaria</v>
      </c>
      <c r="X181" t="str">
        <v>Nao</v>
      </c>
      <c r="Y181" t="str">
        <v>Diarreia</v>
      </c>
      <c r="Z181">
        <v>5</v>
      </c>
      <c r="AA181">
        <v>20</v>
      </c>
      <c r="AB181">
        <v>1.1100000000000001</v>
      </c>
      <c r="AC181">
        <v>3</v>
      </c>
      <c r="AD181">
        <v>104</v>
      </c>
      <c r="AE181">
        <v>79</v>
      </c>
      <c r="AF181" t="str">
        <v>Urbana</v>
      </c>
      <c r="AG181" t="str">
        <v>Sim</v>
      </c>
    </row>
    <row r="182" spans="2:33" x14ac:dyDescent="0.45">
      <c r="B182" s="4">
        <v>181</v>
      </c>
      <c r="C182" s="4" t="s">
        <v>27</v>
      </c>
      <c r="D182" s="4" t="s">
        <v>16</v>
      </c>
      <c r="E182" s="4" t="s">
        <v>35</v>
      </c>
      <c r="F182" s="4" t="s">
        <v>18</v>
      </c>
      <c r="G182" s="4" t="s">
        <v>19</v>
      </c>
      <c r="H182" s="4" t="s">
        <v>20</v>
      </c>
      <c r="I182" s="4">
        <v>54</v>
      </c>
      <c r="J182" s="5">
        <v>93.8</v>
      </c>
      <c r="K182" s="6">
        <v>1.73</v>
      </c>
      <c r="L182" s="4">
        <v>0</v>
      </c>
      <c r="M182" s="4">
        <v>123</v>
      </c>
      <c r="N182" s="4">
        <v>78</v>
      </c>
      <c r="O182" s="4" t="s">
        <v>26</v>
      </c>
      <c r="P182" s="7" t="s">
        <v>19</v>
      </c>
      <c r="S182">
        <v>382</v>
      </c>
      <c r="T182" t="str">
        <v>Sofala</v>
      </c>
      <c r="U182" t="str">
        <v>Masculino</v>
      </c>
      <c r="V182" t="str">
        <v>Casado(a)</v>
      </c>
      <c r="W182" t="str">
        <v>Primaria</v>
      </c>
      <c r="X182" t="str">
        <v>Sim</v>
      </c>
      <c r="Y182" t="str">
        <v>Pneumonia</v>
      </c>
      <c r="Z182">
        <v>84</v>
      </c>
      <c r="AA182">
        <v>75.2</v>
      </c>
      <c r="AB182">
        <v>1.84</v>
      </c>
      <c r="AC182">
        <v>6</v>
      </c>
      <c r="AD182">
        <v>125</v>
      </c>
      <c r="AE182">
        <v>102</v>
      </c>
      <c r="AF182" t="str">
        <v>Urbana</v>
      </c>
      <c r="AG182" t="str">
        <v>Nao</v>
      </c>
    </row>
    <row r="183" spans="2:33" x14ac:dyDescent="0.45">
      <c r="B183" s="4">
        <v>182</v>
      </c>
      <c r="C183" s="4" t="s">
        <v>43</v>
      </c>
      <c r="D183" s="4" t="s">
        <v>23</v>
      </c>
      <c r="E183" s="4" t="s">
        <v>17</v>
      </c>
      <c r="F183" s="4" t="s">
        <v>18</v>
      </c>
      <c r="G183" s="4" t="s">
        <v>30</v>
      </c>
      <c r="H183" s="4" t="s">
        <v>34</v>
      </c>
      <c r="I183" s="4">
        <v>4</v>
      </c>
      <c r="J183" s="5">
        <v>6</v>
      </c>
      <c r="K183" s="6">
        <v>0.72</v>
      </c>
      <c r="L183" s="4">
        <v>1</v>
      </c>
      <c r="M183" s="4">
        <v>92</v>
      </c>
      <c r="N183" s="4">
        <v>86</v>
      </c>
      <c r="O183" s="4" t="s">
        <v>26</v>
      </c>
      <c r="P183" s="7" t="s">
        <v>19</v>
      </c>
      <c r="S183">
        <v>383</v>
      </c>
      <c r="T183" t="str">
        <v>Cabo Delgado</v>
      </c>
      <c r="U183" t="str">
        <v>Masculino</v>
      </c>
      <c r="V183" t="str">
        <v>Casado(a)</v>
      </c>
      <c r="W183" t="str">
        <v>Secundaria</v>
      </c>
      <c r="X183" t="str">
        <v>Nao</v>
      </c>
      <c r="Y183" t="str">
        <v>Malaria</v>
      </c>
      <c r="Z183">
        <v>6</v>
      </c>
      <c r="AA183">
        <v>36.799999999999997</v>
      </c>
      <c r="AB183">
        <v>1.08</v>
      </c>
      <c r="AC183">
        <v>3</v>
      </c>
      <c r="AD183">
        <v>96</v>
      </c>
      <c r="AE183">
        <v>84</v>
      </c>
      <c r="AF183" t="str">
        <v>Urbana</v>
      </c>
      <c r="AG183" t="str">
        <v>Nao</v>
      </c>
    </row>
    <row r="184" spans="2:33" x14ac:dyDescent="0.45">
      <c r="B184" s="4">
        <v>183</v>
      </c>
      <c r="C184" s="4" t="s">
        <v>39</v>
      </c>
      <c r="D184" s="4" t="s">
        <v>23</v>
      </c>
      <c r="E184" s="4" t="s">
        <v>35</v>
      </c>
      <c r="F184" s="4" t="s">
        <v>24</v>
      </c>
      <c r="G184" s="4" t="s">
        <v>19</v>
      </c>
      <c r="H184" s="4" t="s">
        <v>34</v>
      </c>
      <c r="I184" s="4">
        <v>2</v>
      </c>
      <c r="J184" s="5">
        <v>6.7</v>
      </c>
      <c r="K184" s="6">
        <v>0.94</v>
      </c>
      <c r="L184" s="4">
        <v>1</v>
      </c>
      <c r="M184" s="4">
        <v>93</v>
      </c>
      <c r="N184" s="4">
        <v>89</v>
      </c>
      <c r="O184" s="4" t="s">
        <v>26</v>
      </c>
      <c r="P184" s="7" t="s">
        <v>19</v>
      </c>
      <c r="S184">
        <v>384</v>
      </c>
      <c r="T184" t="str">
        <v>Sofala</v>
      </c>
      <c r="U184" t="str">
        <v>Masculino</v>
      </c>
      <c r="V184" t="str">
        <v>Solteiro(a)</v>
      </c>
      <c r="W184" t="str">
        <v>Nenhuma</v>
      </c>
      <c r="X184" t="str">
        <v>Nao</v>
      </c>
      <c r="Y184" t="str">
        <v>Malaria</v>
      </c>
      <c r="Z184">
        <v>54</v>
      </c>
      <c r="AA184">
        <v>81.099999999999994</v>
      </c>
      <c r="AB184">
        <v>1.56</v>
      </c>
      <c r="AC184">
        <v>2</v>
      </c>
      <c r="AD184">
        <v>114</v>
      </c>
      <c r="AE184">
        <v>87</v>
      </c>
      <c r="AF184" t="str">
        <v>Urbana</v>
      </c>
      <c r="AG184" t="str">
        <v>Nao</v>
      </c>
    </row>
    <row r="185" spans="2:33" x14ac:dyDescent="0.45">
      <c r="B185" s="4">
        <v>184</v>
      </c>
      <c r="C185" s="4" t="s">
        <v>40</v>
      </c>
      <c r="D185" s="4" t="s">
        <v>16</v>
      </c>
      <c r="E185" s="4" t="s">
        <v>35</v>
      </c>
      <c r="F185" s="4" t="s">
        <v>42</v>
      </c>
      <c r="G185" s="4" t="s">
        <v>19</v>
      </c>
      <c r="H185" s="4" t="s">
        <v>38</v>
      </c>
      <c r="I185" s="4">
        <v>36</v>
      </c>
      <c r="J185" s="5">
        <v>88.2</v>
      </c>
      <c r="K185" s="6">
        <v>1.69</v>
      </c>
      <c r="L185" s="4">
        <v>7</v>
      </c>
      <c r="M185" s="4">
        <v>101</v>
      </c>
      <c r="N185" s="4">
        <v>86</v>
      </c>
      <c r="O185" s="4" t="s">
        <v>26</v>
      </c>
      <c r="P185" s="7" t="s">
        <v>19</v>
      </c>
      <c r="S185">
        <v>385</v>
      </c>
      <c r="T185" t="str">
        <v>Nampula</v>
      </c>
      <c r="U185" t="str">
        <v>Masculino</v>
      </c>
      <c r="V185" t="str">
        <v>Solteiro(a)</v>
      </c>
      <c r="W185" t="str">
        <v>Superior</v>
      </c>
      <c r="X185" t="str">
        <v>Nao</v>
      </c>
      <c r="Y185" t="str">
        <v>Diarreia</v>
      </c>
      <c r="Z185">
        <v>14</v>
      </c>
      <c r="AA185">
        <v>62.4</v>
      </c>
      <c r="AB185">
        <v>1.48</v>
      </c>
      <c r="AC185">
        <v>4</v>
      </c>
      <c r="AD185">
        <v>102</v>
      </c>
      <c r="AE185">
        <v>76</v>
      </c>
      <c r="AF185" t="str">
        <v>Rural</v>
      </c>
      <c r="AG185" t="str">
        <v>Nao</v>
      </c>
    </row>
    <row r="186" spans="2:33" x14ac:dyDescent="0.45">
      <c r="B186" s="4">
        <v>185</v>
      </c>
      <c r="C186" s="4" t="s">
        <v>43</v>
      </c>
      <c r="D186" s="4" t="s">
        <v>23</v>
      </c>
      <c r="E186" s="4" t="s">
        <v>17</v>
      </c>
      <c r="F186" s="4" t="s">
        <v>28</v>
      </c>
      <c r="G186" s="4" t="s">
        <v>19</v>
      </c>
      <c r="H186" s="4" t="s">
        <v>28</v>
      </c>
      <c r="I186" s="4">
        <v>13</v>
      </c>
      <c r="J186" s="5">
        <v>41.8</v>
      </c>
      <c r="K186" s="6">
        <v>1.53</v>
      </c>
      <c r="L186" s="4">
        <v>4</v>
      </c>
      <c r="M186" s="4">
        <v>110</v>
      </c>
      <c r="N186" s="4">
        <v>98</v>
      </c>
      <c r="O186" s="4" t="s">
        <v>26</v>
      </c>
      <c r="P186" s="7" t="s">
        <v>19</v>
      </c>
      <c r="S186">
        <v>386</v>
      </c>
      <c r="T186" t="str">
        <v>Maputo Provincia</v>
      </c>
      <c r="U186" t="str">
        <v>Masculino</v>
      </c>
      <c r="V186" t="str">
        <v>Casado(a)</v>
      </c>
      <c r="W186" t="str">
        <v>Secundaria</v>
      </c>
      <c r="X186" t="str">
        <v>Nao</v>
      </c>
      <c r="Y186" t="str">
        <v>Diarreia</v>
      </c>
      <c r="Z186">
        <v>55</v>
      </c>
      <c r="AA186">
        <v>55.9</v>
      </c>
      <c r="AB186">
        <v>1.48</v>
      </c>
      <c r="AC186">
        <v>3</v>
      </c>
      <c r="AD186">
        <v>130</v>
      </c>
      <c r="AE186">
        <v>100</v>
      </c>
      <c r="AF186" t="str">
        <v>Rural</v>
      </c>
      <c r="AG186" t="str">
        <v>Sim</v>
      </c>
    </row>
    <row r="187" spans="2:33" x14ac:dyDescent="0.45">
      <c r="B187" s="4">
        <v>186</v>
      </c>
      <c r="C187" s="4" t="s">
        <v>15</v>
      </c>
      <c r="D187" s="4" t="s">
        <v>16</v>
      </c>
      <c r="E187" s="4" t="s">
        <v>35</v>
      </c>
      <c r="F187" s="4" t="s">
        <v>18</v>
      </c>
      <c r="G187" s="4" t="s">
        <v>19</v>
      </c>
      <c r="H187" s="4" t="s">
        <v>32</v>
      </c>
      <c r="I187" s="4">
        <v>8</v>
      </c>
      <c r="J187" s="5">
        <v>24.6</v>
      </c>
      <c r="K187" s="6">
        <v>1.22</v>
      </c>
      <c r="L187" s="4">
        <v>1</v>
      </c>
      <c r="M187" s="4">
        <v>93</v>
      </c>
      <c r="N187" s="4">
        <v>143</v>
      </c>
      <c r="O187" s="4" t="s">
        <v>26</v>
      </c>
      <c r="P187" s="7" t="s">
        <v>19</v>
      </c>
      <c r="S187">
        <v>387</v>
      </c>
      <c r="T187" t="str">
        <v>Zambezia</v>
      </c>
      <c r="U187" t="str">
        <v>Masculino</v>
      </c>
      <c r="V187" t="str">
        <v>Viuvo(a)</v>
      </c>
      <c r="W187" t="str">
        <v>Primaria</v>
      </c>
      <c r="X187" t="str">
        <v>Nao</v>
      </c>
      <c r="Y187" t="str">
        <v>Nenhuma</v>
      </c>
      <c r="Z187">
        <v>20</v>
      </c>
      <c r="AA187">
        <v>62.7</v>
      </c>
      <c r="AB187">
        <v>1.48</v>
      </c>
      <c r="AC187">
        <v>3</v>
      </c>
      <c r="AD187">
        <v>111</v>
      </c>
      <c r="AE187">
        <v>70</v>
      </c>
      <c r="AF187" t="str">
        <v>Rural</v>
      </c>
      <c r="AG187" t="str">
        <v>Sim</v>
      </c>
    </row>
    <row r="188" spans="2:33" x14ac:dyDescent="0.45">
      <c r="B188" s="4">
        <v>187</v>
      </c>
      <c r="C188" s="4" t="s">
        <v>33</v>
      </c>
      <c r="D188" s="4" t="s">
        <v>23</v>
      </c>
      <c r="E188" s="4" t="s">
        <v>17</v>
      </c>
      <c r="F188" s="4" t="s">
        <v>18</v>
      </c>
      <c r="G188" s="4" t="s">
        <v>19</v>
      </c>
      <c r="H188" s="4" t="s">
        <v>46</v>
      </c>
      <c r="I188" s="4">
        <v>38</v>
      </c>
      <c r="J188" s="5">
        <v>73.7</v>
      </c>
      <c r="K188" s="6">
        <v>1.77</v>
      </c>
      <c r="L188" s="4">
        <v>2</v>
      </c>
      <c r="M188" s="4">
        <v>104</v>
      </c>
      <c r="N188" s="4">
        <v>90</v>
      </c>
      <c r="O188" s="4" t="s">
        <v>26</v>
      </c>
      <c r="P188" s="7" t="s">
        <v>19</v>
      </c>
      <c r="S188">
        <v>388</v>
      </c>
      <c r="T188" t="str">
        <v>Cabo Delgado</v>
      </c>
      <c r="U188" t="str">
        <v>Masculino</v>
      </c>
      <c r="V188" t="str">
        <v>Solteiro(a)</v>
      </c>
      <c r="W188" t="str">
        <v>Secundaria</v>
      </c>
      <c r="X188" t="str">
        <v>Nao</v>
      </c>
      <c r="Y188" t="str">
        <v>Pneumonia</v>
      </c>
      <c r="Z188">
        <v>23</v>
      </c>
      <c r="AA188">
        <v>63.1</v>
      </c>
      <c r="AB188">
        <v>1.5</v>
      </c>
      <c r="AC188">
        <v>3</v>
      </c>
      <c r="AD188">
        <v>105</v>
      </c>
      <c r="AE188">
        <v>74</v>
      </c>
      <c r="AF188" t="str">
        <v>Rural</v>
      </c>
      <c r="AG188" t="str">
        <v>Sim</v>
      </c>
    </row>
    <row r="189" spans="2:33" x14ac:dyDescent="0.45">
      <c r="B189" s="4">
        <v>188</v>
      </c>
      <c r="C189" s="4" t="s">
        <v>40</v>
      </c>
      <c r="D189" s="4" t="s">
        <v>23</v>
      </c>
      <c r="E189" s="4" t="s">
        <v>35</v>
      </c>
      <c r="F189" s="4" t="s">
        <v>18</v>
      </c>
      <c r="G189" s="4" t="s">
        <v>19</v>
      </c>
      <c r="H189" s="4" t="s">
        <v>32</v>
      </c>
      <c r="I189" s="4">
        <v>35</v>
      </c>
      <c r="J189" s="5">
        <v>63.3</v>
      </c>
      <c r="K189" s="6">
        <v>1.62</v>
      </c>
      <c r="L189" s="4">
        <v>4</v>
      </c>
      <c r="M189" s="4">
        <v>115</v>
      </c>
      <c r="N189" s="4">
        <v>149</v>
      </c>
      <c r="O189" s="4" t="s">
        <v>26</v>
      </c>
      <c r="P189" s="7" t="s">
        <v>19</v>
      </c>
      <c r="S189">
        <v>390</v>
      </c>
      <c r="T189" t="str">
        <v>Inhambane</v>
      </c>
      <c r="U189" t="str">
        <v>Masculino</v>
      </c>
      <c r="V189" t="str">
        <v>Solteiro(a)</v>
      </c>
      <c r="W189" t="str">
        <v>Secundaria</v>
      </c>
      <c r="X189" t="str">
        <v>Nao</v>
      </c>
      <c r="Y189" t="str">
        <v>HIV/SIDA</v>
      </c>
      <c r="Z189">
        <v>0</v>
      </c>
      <c r="AA189">
        <v>14.2</v>
      </c>
      <c r="AB189">
        <v>0.68</v>
      </c>
      <c r="AC189">
        <v>4</v>
      </c>
      <c r="AD189">
        <v>97</v>
      </c>
      <c r="AE189">
        <v>73</v>
      </c>
      <c r="AF189" t="str">
        <v>Rural</v>
      </c>
      <c r="AG189" t="str">
        <v>Nao</v>
      </c>
    </row>
    <row r="190" spans="2:33" x14ac:dyDescent="0.45">
      <c r="B190" s="4">
        <v>189</v>
      </c>
      <c r="C190" s="4" t="s">
        <v>39</v>
      </c>
      <c r="D190" s="4" t="s">
        <v>16</v>
      </c>
      <c r="E190" s="4" t="s">
        <v>35</v>
      </c>
      <c r="F190" s="4" t="s">
        <v>24</v>
      </c>
      <c r="G190" s="4" t="s">
        <v>19</v>
      </c>
      <c r="H190" s="4" t="s">
        <v>20</v>
      </c>
      <c r="I190" s="4">
        <v>20</v>
      </c>
      <c r="J190" s="5">
        <v>54.8</v>
      </c>
      <c r="K190" s="6">
        <v>1.68</v>
      </c>
      <c r="L190" s="4">
        <v>3</v>
      </c>
      <c r="M190" s="4">
        <v>106</v>
      </c>
      <c r="N190" s="4">
        <v>74</v>
      </c>
      <c r="O190" s="4" t="s">
        <v>21</v>
      </c>
      <c r="P190" s="7" t="s">
        <v>30</v>
      </c>
      <c r="S190">
        <v>397</v>
      </c>
      <c r="T190" t="str">
        <v>Zambezia</v>
      </c>
      <c r="U190" t="str">
        <v>Masculino</v>
      </c>
      <c r="V190" t="str">
        <v>Solteiro(a)</v>
      </c>
      <c r="W190" t="str">
        <v>Secundaria</v>
      </c>
      <c r="X190" t="str">
        <v>Sim</v>
      </c>
      <c r="Y190" t="str">
        <v>Malaria</v>
      </c>
      <c r="Z190">
        <v>3</v>
      </c>
      <c r="AA190">
        <v>9.8000000000000007</v>
      </c>
      <c r="AB190">
        <v>0.61</v>
      </c>
      <c r="AC190">
        <v>0</v>
      </c>
      <c r="AD190">
        <v>103</v>
      </c>
      <c r="AE190">
        <v>75</v>
      </c>
      <c r="AF190" t="str">
        <v>Urbana</v>
      </c>
      <c r="AG190" t="str">
        <v>Nao</v>
      </c>
    </row>
    <row r="191" spans="2:33" x14ac:dyDescent="0.45">
      <c r="B191" s="4">
        <v>190</v>
      </c>
      <c r="C191" s="4" t="s">
        <v>27</v>
      </c>
      <c r="D191" s="4" t="s">
        <v>16</v>
      </c>
      <c r="E191" s="4" t="s">
        <v>35</v>
      </c>
      <c r="F191" s="4" t="s">
        <v>24</v>
      </c>
      <c r="G191" s="4" t="s">
        <v>30</v>
      </c>
      <c r="H191" s="4" t="s">
        <v>38</v>
      </c>
      <c r="I191" s="4">
        <v>26</v>
      </c>
      <c r="J191" s="5">
        <v>52.6</v>
      </c>
      <c r="K191" s="6">
        <v>1.52</v>
      </c>
      <c r="L191" s="4">
        <v>7</v>
      </c>
      <c r="M191" s="4">
        <v>114</v>
      </c>
      <c r="N191" s="4">
        <v>88</v>
      </c>
      <c r="O191" s="4" t="s">
        <v>26</v>
      </c>
      <c r="P191" s="7" t="s">
        <v>19</v>
      </c>
      <c r="S191">
        <v>399</v>
      </c>
      <c r="T191" t="str">
        <v>Gaza</v>
      </c>
      <c r="U191" t="str">
        <v>Masculino</v>
      </c>
      <c r="V191" t="str">
        <v>Viuvo(a)</v>
      </c>
      <c r="W191" t="str">
        <v>Primaria</v>
      </c>
      <c r="X191" t="str">
        <v>Sim</v>
      </c>
      <c r="Y191" t="str">
        <v>Nenhuma</v>
      </c>
      <c r="Z191">
        <v>17</v>
      </c>
      <c r="AA191">
        <v>54.1</v>
      </c>
      <c r="AB191">
        <v>1.64</v>
      </c>
      <c r="AC191">
        <v>6</v>
      </c>
      <c r="AD191">
        <v>118</v>
      </c>
      <c r="AE191">
        <v>87</v>
      </c>
      <c r="AF191" t="str">
        <v>Urbana</v>
      </c>
      <c r="AG191" t="str">
        <v>Nao</v>
      </c>
    </row>
    <row r="192" spans="2:33" x14ac:dyDescent="0.45">
      <c r="B192" s="4">
        <v>191</v>
      </c>
      <c r="C192" s="4" t="s">
        <v>41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s">
        <v>28</v>
      </c>
      <c r="I192" s="4">
        <v>5</v>
      </c>
      <c r="J192" s="5">
        <v>31.4</v>
      </c>
      <c r="K192" s="6">
        <v>1.38</v>
      </c>
      <c r="L192" s="4">
        <v>3</v>
      </c>
      <c r="M192" s="4">
        <v>116</v>
      </c>
      <c r="N192" s="4">
        <v>96</v>
      </c>
      <c r="O192" s="4" t="s">
        <v>21</v>
      </c>
      <c r="P192" s="7" t="s">
        <v>19</v>
      </c>
      <c r="S192">
        <v>401</v>
      </c>
      <c r="T192" t="str">
        <v>Niassa</v>
      </c>
      <c r="U192" t="str">
        <v>Masculino</v>
      </c>
      <c r="V192" t="str">
        <v>Solteiro(a)</v>
      </c>
      <c r="W192" t="str">
        <v>Nenhuma</v>
      </c>
      <c r="X192" t="str">
        <v>Sim</v>
      </c>
      <c r="Y192" t="str">
        <v>Malaria</v>
      </c>
      <c r="Z192">
        <v>22</v>
      </c>
      <c r="AA192">
        <v>46.7</v>
      </c>
      <c r="AB192">
        <v>1.83</v>
      </c>
      <c r="AC192">
        <v>7</v>
      </c>
      <c r="AD192">
        <v>98</v>
      </c>
      <c r="AE192">
        <v>96</v>
      </c>
      <c r="AF192" t="str">
        <v>Urbana</v>
      </c>
      <c r="AG192" t="str">
        <v>Nao</v>
      </c>
    </row>
    <row r="193" spans="2:33" x14ac:dyDescent="0.45">
      <c r="B193" s="4">
        <v>192</v>
      </c>
      <c r="C193" s="4" t="s">
        <v>22</v>
      </c>
      <c r="D193" s="4" t="s">
        <v>23</v>
      </c>
      <c r="E193" s="4" t="s">
        <v>35</v>
      </c>
      <c r="F193" s="4" t="s">
        <v>28</v>
      </c>
      <c r="G193" s="4" t="s">
        <v>19</v>
      </c>
      <c r="H193" s="4" t="s">
        <v>28</v>
      </c>
      <c r="I193" s="4">
        <v>7</v>
      </c>
      <c r="J193" s="5">
        <v>24.8</v>
      </c>
      <c r="K193" s="6">
        <v>1.19</v>
      </c>
      <c r="L193" s="4">
        <v>1</v>
      </c>
      <c r="M193" s="4">
        <v>100</v>
      </c>
      <c r="N193" s="4">
        <v>73</v>
      </c>
      <c r="O193" s="4" t="s">
        <v>21</v>
      </c>
      <c r="P193" s="7" t="s">
        <v>19</v>
      </c>
      <c r="S193">
        <v>404</v>
      </c>
      <c r="T193" t="str">
        <v>Tete</v>
      </c>
      <c r="U193" t="str">
        <v>Masculino</v>
      </c>
      <c r="V193" t="str">
        <v>Casado(a)</v>
      </c>
      <c r="W193" t="str">
        <v>Primaria</v>
      </c>
      <c r="X193" t="str">
        <v>Nao</v>
      </c>
      <c r="Y193" t="str">
        <v>HIV/SIDA</v>
      </c>
      <c r="Z193">
        <v>17</v>
      </c>
      <c r="AA193">
        <v>38</v>
      </c>
      <c r="AB193">
        <v>1.58</v>
      </c>
      <c r="AC193">
        <v>1</v>
      </c>
      <c r="AD193">
        <v>113</v>
      </c>
      <c r="AE193">
        <v>82</v>
      </c>
      <c r="AF193" t="str">
        <v>Rural</v>
      </c>
      <c r="AG193" t="str">
        <v>Sim</v>
      </c>
    </row>
    <row r="194" spans="2:33" x14ac:dyDescent="0.45">
      <c r="B194" s="4">
        <v>193</v>
      </c>
      <c r="C194" s="4" t="s">
        <v>40</v>
      </c>
      <c r="D194" s="4" t="s">
        <v>23</v>
      </c>
      <c r="E194" s="4" t="s">
        <v>17</v>
      </c>
      <c r="F194" s="4" t="s">
        <v>24</v>
      </c>
      <c r="G194" s="4" t="s">
        <v>19</v>
      </c>
      <c r="H194" s="4" t="s">
        <v>25</v>
      </c>
      <c r="I194" s="4">
        <v>19</v>
      </c>
      <c r="J194" s="5">
        <v>92.4</v>
      </c>
      <c r="K194" s="6">
        <v>1.56</v>
      </c>
      <c r="L194" s="4">
        <v>3</v>
      </c>
      <c r="M194" s="4">
        <v>116</v>
      </c>
      <c r="N194" s="4">
        <v>96</v>
      </c>
      <c r="O194" s="4" t="s">
        <v>26</v>
      </c>
      <c r="P194" s="7" t="s">
        <v>19</v>
      </c>
      <c r="S194">
        <v>405</v>
      </c>
      <c r="T194" t="str">
        <v>Niassa</v>
      </c>
      <c r="U194" t="str">
        <v>Masculino</v>
      </c>
      <c r="V194" t="str">
        <v>Casado(a)</v>
      </c>
      <c r="W194" t="str">
        <v>Nenhuma</v>
      </c>
      <c r="X194" t="str">
        <v>Nao</v>
      </c>
      <c r="Y194" t="str">
        <v>Pneumonia</v>
      </c>
      <c r="Z194">
        <v>14</v>
      </c>
      <c r="AA194">
        <v>41.2</v>
      </c>
      <c r="AB194">
        <v>1.63</v>
      </c>
      <c r="AC194">
        <v>3</v>
      </c>
      <c r="AD194">
        <v>99</v>
      </c>
      <c r="AE194">
        <v>105</v>
      </c>
      <c r="AF194" t="str">
        <v>Rural</v>
      </c>
      <c r="AG194" t="str">
        <v>Nao</v>
      </c>
    </row>
    <row r="195" spans="2:33" x14ac:dyDescent="0.45">
      <c r="B195" s="4">
        <v>194</v>
      </c>
      <c r="C195" s="4" t="s">
        <v>31</v>
      </c>
      <c r="D195" s="4" t="s">
        <v>16</v>
      </c>
      <c r="E195" s="4" t="s">
        <v>17</v>
      </c>
      <c r="F195" s="4" t="s">
        <v>24</v>
      </c>
      <c r="G195" s="4" t="s">
        <v>19</v>
      </c>
      <c r="H195" s="4" t="s">
        <v>46</v>
      </c>
      <c r="I195" s="4">
        <v>13</v>
      </c>
      <c r="J195" s="5">
        <v>61.5</v>
      </c>
      <c r="K195" s="6">
        <v>1.57</v>
      </c>
      <c r="L195" s="4">
        <v>0</v>
      </c>
      <c r="M195" s="4">
        <v>117</v>
      </c>
      <c r="N195" s="4">
        <v>77</v>
      </c>
      <c r="O195" s="4" t="s">
        <v>26</v>
      </c>
      <c r="P195" s="7" t="s">
        <v>19</v>
      </c>
      <c r="S195">
        <v>407</v>
      </c>
      <c r="T195" t="str">
        <v>Nampula</v>
      </c>
      <c r="U195" t="str">
        <v>Masculino</v>
      </c>
      <c r="V195" t="str">
        <v>Solteiro(a)</v>
      </c>
      <c r="W195" t="str">
        <v>Primaria</v>
      </c>
      <c r="X195" t="str">
        <v>Nao</v>
      </c>
      <c r="Y195" t="str">
        <v>Hipertensao</v>
      </c>
      <c r="Z195">
        <v>36</v>
      </c>
      <c r="AA195">
        <v>82</v>
      </c>
      <c r="AB195">
        <v>1.83</v>
      </c>
      <c r="AC195">
        <v>3</v>
      </c>
      <c r="AD195">
        <v>119</v>
      </c>
      <c r="AE195">
        <v>86</v>
      </c>
      <c r="AF195" t="str">
        <v>Urbana</v>
      </c>
      <c r="AG195" t="str">
        <v>Nao</v>
      </c>
    </row>
    <row r="196" spans="2:33" x14ac:dyDescent="0.45">
      <c r="B196" s="4">
        <v>195</v>
      </c>
      <c r="C196" s="4" t="s">
        <v>43</v>
      </c>
      <c r="D196" s="4" t="s">
        <v>16</v>
      </c>
      <c r="E196" s="4" t="s">
        <v>17</v>
      </c>
      <c r="F196" s="4" t="s">
        <v>24</v>
      </c>
      <c r="G196" s="4" t="s">
        <v>19</v>
      </c>
      <c r="H196" s="4" t="s">
        <v>20</v>
      </c>
      <c r="I196" s="4">
        <v>7</v>
      </c>
      <c r="J196" s="5">
        <v>23.3</v>
      </c>
      <c r="K196" s="6">
        <v>1.07</v>
      </c>
      <c r="L196" s="4">
        <v>1</v>
      </c>
      <c r="M196" s="4">
        <v>95</v>
      </c>
      <c r="N196" s="4">
        <v>88</v>
      </c>
      <c r="O196" s="4" t="s">
        <v>26</v>
      </c>
      <c r="P196" s="7" t="s">
        <v>19</v>
      </c>
      <c r="S196">
        <v>409</v>
      </c>
      <c r="T196" t="str">
        <v>Sofala</v>
      </c>
      <c r="U196" t="str">
        <v>Masculino</v>
      </c>
      <c r="V196" t="str">
        <v>Solteiro(a)</v>
      </c>
      <c r="W196" t="str">
        <v>Superior</v>
      </c>
      <c r="X196" t="str">
        <v>Nao</v>
      </c>
      <c r="Y196" t="str">
        <v>HIV/SIDA</v>
      </c>
      <c r="Z196">
        <v>90</v>
      </c>
      <c r="AA196">
        <v>71.2</v>
      </c>
      <c r="AB196">
        <v>1.83</v>
      </c>
      <c r="AC196">
        <v>4</v>
      </c>
      <c r="AD196">
        <v>129</v>
      </c>
      <c r="AE196">
        <v>89</v>
      </c>
      <c r="AF196" t="str">
        <v>Rural</v>
      </c>
      <c r="AG196" t="str">
        <v>Sim</v>
      </c>
    </row>
    <row r="197" spans="2:33" x14ac:dyDescent="0.45">
      <c r="B197" s="4">
        <v>196</v>
      </c>
      <c r="C197" s="4" t="s">
        <v>29</v>
      </c>
      <c r="D197" s="4" t="s">
        <v>23</v>
      </c>
      <c r="E197" s="4" t="s">
        <v>17</v>
      </c>
      <c r="F197" s="4" t="s">
        <v>18</v>
      </c>
      <c r="G197" s="4" t="s">
        <v>19</v>
      </c>
      <c r="H197" s="4" t="s">
        <v>38</v>
      </c>
      <c r="I197" s="4">
        <v>35</v>
      </c>
      <c r="J197" s="5">
        <v>74.2</v>
      </c>
      <c r="K197" s="6">
        <v>1.73</v>
      </c>
      <c r="L197" s="4">
        <v>3</v>
      </c>
      <c r="M197" s="4">
        <v>116</v>
      </c>
      <c r="N197" s="4">
        <v>102</v>
      </c>
      <c r="O197" s="4" t="s">
        <v>26</v>
      </c>
      <c r="P197" s="7" t="s">
        <v>19</v>
      </c>
      <c r="S197">
        <v>410</v>
      </c>
      <c r="T197" t="str">
        <v>Sofala</v>
      </c>
      <c r="U197" t="str">
        <v>Masculino</v>
      </c>
      <c r="V197" t="str">
        <v>Casado(a)</v>
      </c>
      <c r="W197" t="str">
        <v>Secundaria</v>
      </c>
      <c r="X197" t="str">
        <v>Nao</v>
      </c>
      <c r="Y197" t="str">
        <v>HIV/SIDA</v>
      </c>
      <c r="Z197">
        <v>17</v>
      </c>
      <c r="AA197">
        <v>42.1</v>
      </c>
      <c r="AB197">
        <v>1.49</v>
      </c>
      <c r="AC197">
        <v>4</v>
      </c>
      <c r="AD197">
        <v>99</v>
      </c>
      <c r="AE197">
        <v>81</v>
      </c>
      <c r="AF197" t="str">
        <v>Rural</v>
      </c>
      <c r="AG197" t="str">
        <v>Nao</v>
      </c>
    </row>
    <row r="198" spans="2:33" x14ac:dyDescent="0.45">
      <c r="B198" s="4">
        <v>197</v>
      </c>
      <c r="C198" s="4" t="s">
        <v>31</v>
      </c>
      <c r="D198" s="4" t="s">
        <v>16</v>
      </c>
      <c r="E198" s="4" t="s">
        <v>17</v>
      </c>
      <c r="F198" s="4" t="s">
        <v>24</v>
      </c>
      <c r="G198" s="4" t="s">
        <v>19</v>
      </c>
      <c r="H198" s="4" t="s">
        <v>46</v>
      </c>
      <c r="I198" s="4">
        <v>15</v>
      </c>
      <c r="J198" s="5">
        <v>61.1</v>
      </c>
      <c r="K198" s="6">
        <v>1.59</v>
      </c>
      <c r="L198" s="4">
        <v>7</v>
      </c>
      <c r="M198" s="4">
        <v>98</v>
      </c>
      <c r="N198" s="4">
        <v>102</v>
      </c>
      <c r="O198" s="4" t="s">
        <v>21</v>
      </c>
      <c r="P198" s="7" t="s">
        <v>19</v>
      </c>
      <c r="S198">
        <v>412</v>
      </c>
      <c r="T198" t="str">
        <v>Cabo Delgado</v>
      </c>
      <c r="U198" t="str">
        <v>Masculino</v>
      </c>
      <c r="V198" t="str">
        <v>Casado(a)</v>
      </c>
      <c r="W198" t="str">
        <v>Primaria</v>
      </c>
      <c r="X198" t="str">
        <v>Nao</v>
      </c>
      <c r="Y198" t="str">
        <v>HIV/SIDA</v>
      </c>
      <c r="Z198">
        <v>51</v>
      </c>
      <c r="AA198">
        <v>65.3</v>
      </c>
      <c r="AB198">
        <v>1.66</v>
      </c>
      <c r="AC198">
        <v>4</v>
      </c>
      <c r="AD198">
        <v>127</v>
      </c>
      <c r="AE198">
        <v>77</v>
      </c>
      <c r="AF198" t="str">
        <v>Rural</v>
      </c>
      <c r="AG198" t="str">
        <v>Nao</v>
      </c>
    </row>
    <row r="199" spans="2:33" x14ac:dyDescent="0.45">
      <c r="B199" s="4">
        <v>198</v>
      </c>
      <c r="C199" s="4" t="s">
        <v>33</v>
      </c>
      <c r="D199" s="4" t="s">
        <v>23</v>
      </c>
      <c r="E199" s="4" t="s">
        <v>44</v>
      </c>
      <c r="F199" s="4" t="s">
        <v>18</v>
      </c>
      <c r="G199" s="4" t="s">
        <v>19</v>
      </c>
      <c r="H199" s="4" t="s">
        <v>34</v>
      </c>
      <c r="I199" s="4">
        <v>44</v>
      </c>
      <c r="J199" s="5">
        <v>87.2</v>
      </c>
      <c r="K199" s="6">
        <v>1.72</v>
      </c>
      <c r="L199" s="4">
        <v>2</v>
      </c>
      <c r="M199" s="4">
        <v>117</v>
      </c>
      <c r="N199" s="4">
        <v>82</v>
      </c>
      <c r="O199" s="4" t="s">
        <v>21</v>
      </c>
      <c r="P199" s="7" t="s">
        <v>19</v>
      </c>
      <c r="S199">
        <v>414</v>
      </c>
      <c r="T199" t="str">
        <v>Nampula</v>
      </c>
      <c r="U199" t="str">
        <v>Masculino</v>
      </c>
      <c r="V199" t="str">
        <v>Solteiro(a)</v>
      </c>
      <c r="W199" t="str">
        <v>Superior</v>
      </c>
      <c r="X199" t="str">
        <v>Nao</v>
      </c>
      <c r="Y199" t="str">
        <v>HIV/SIDA</v>
      </c>
      <c r="Z199">
        <v>51</v>
      </c>
      <c r="AA199">
        <v>59.2</v>
      </c>
      <c r="AB199">
        <v>1.53</v>
      </c>
      <c r="AC199">
        <v>4</v>
      </c>
      <c r="AD199">
        <v>106</v>
      </c>
      <c r="AE199">
        <v>104</v>
      </c>
      <c r="AF199" t="str">
        <v>Urbana</v>
      </c>
      <c r="AG199" t="str">
        <v>Nao</v>
      </c>
    </row>
    <row r="200" spans="2:33" x14ac:dyDescent="0.45">
      <c r="B200" s="4">
        <v>199</v>
      </c>
      <c r="C200" s="4" t="s">
        <v>39</v>
      </c>
      <c r="D200" s="4" t="s">
        <v>16</v>
      </c>
      <c r="E200" s="4" t="s">
        <v>35</v>
      </c>
      <c r="F200" s="4" t="s">
        <v>42</v>
      </c>
      <c r="G200" s="4" t="s">
        <v>19</v>
      </c>
      <c r="H200" s="4" t="s">
        <v>28</v>
      </c>
      <c r="I200" s="4">
        <v>12</v>
      </c>
      <c r="J200" s="5">
        <v>41.9</v>
      </c>
      <c r="K200" s="6">
        <v>1.53</v>
      </c>
      <c r="L200" s="4">
        <v>1</v>
      </c>
      <c r="M200" s="4">
        <v>112</v>
      </c>
      <c r="N200" s="4">
        <v>84</v>
      </c>
      <c r="O200" s="4" t="s">
        <v>21</v>
      </c>
      <c r="P200" s="7" t="s">
        <v>19</v>
      </c>
      <c r="S200">
        <v>415</v>
      </c>
      <c r="T200" t="str">
        <v>Sofala</v>
      </c>
      <c r="U200" t="str">
        <v>Masculino</v>
      </c>
      <c r="V200" t="str">
        <v>Solteiro(a)</v>
      </c>
      <c r="W200" t="str">
        <v>Primaria</v>
      </c>
      <c r="X200" t="str">
        <v>Nao</v>
      </c>
      <c r="Y200" t="str">
        <v>Diabetes</v>
      </c>
      <c r="Z200">
        <v>38</v>
      </c>
      <c r="AA200">
        <v>53</v>
      </c>
      <c r="AB200">
        <v>1.65</v>
      </c>
      <c r="AC200">
        <v>2</v>
      </c>
      <c r="AD200">
        <v>118</v>
      </c>
      <c r="AE200">
        <v>148</v>
      </c>
      <c r="AF200" t="str">
        <v>Rural</v>
      </c>
      <c r="AG200" t="str">
        <v>Nao</v>
      </c>
    </row>
    <row r="201" spans="2:33" x14ac:dyDescent="0.45">
      <c r="B201" s="4">
        <v>200</v>
      </c>
      <c r="C201" s="4" t="s">
        <v>40</v>
      </c>
      <c r="D201" s="4" t="s">
        <v>16</v>
      </c>
      <c r="E201" s="4" t="s">
        <v>35</v>
      </c>
      <c r="F201" s="4" t="s">
        <v>24</v>
      </c>
      <c r="G201" s="4" t="s">
        <v>19</v>
      </c>
      <c r="H201" s="4" t="s">
        <v>28</v>
      </c>
      <c r="I201" s="4">
        <v>25</v>
      </c>
      <c r="J201" s="5">
        <v>83.3</v>
      </c>
      <c r="K201" s="6">
        <v>1.86</v>
      </c>
      <c r="L201" s="4">
        <v>1</v>
      </c>
      <c r="M201" s="4">
        <v>104</v>
      </c>
      <c r="N201" s="4">
        <v>105</v>
      </c>
      <c r="O201" s="4" t="s">
        <v>26</v>
      </c>
      <c r="P201" s="7" t="s">
        <v>19</v>
      </c>
      <c r="S201">
        <v>420</v>
      </c>
      <c r="T201" t="str">
        <v>Maputo Cidade</v>
      </c>
      <c r="U201" t="str">
        <v>Masculino</v>
      </c>
      <c r="V201" t="str">
        <v>Solteiro(a)</v>
      </c>
      <c r="W201" t="str">
        <v>Primaria</v>
      </c>
      <c r="X201" t="str">
        <v>Nao</v>
      </c>
      <c r="Y201" t="str">
        <v>Nenhuma</v>
      </c>
      <c r="Z201">
        <v>53</v>
      </c>
      <c r="AA201">
        <v>90.6</v>
      </c>
      <c r="AB201">
        <v>1.51</v>
      </c>
      <c r="AC201">
        <v>1</v>
      </c>
      <c r="AD201">
        <v>136</v>
      </c>
      <c r="AE201">
        <v>103</v>
      </c>
      <c r="AF201" t="str">
        <v>Rural</v>
      </c>
      <c r="AG201" t="str">
        <v>Sim</v>
      </c>
    </row>
    <row r="202" spans="2:33" x14ac:dyDescent="0.45">
      <c r="B202" s="4">
        <v>201</v>
      </c>
      <c r="C202" s="4" t="s">
        <v>22</v>
      </c>
      <c r="D202" s="4" t="s">
        <v>23</v>
      </c>
      <c r="E202" s="4" t="s">
        <v>17</v>
      </c>
      <c r="F202" s="4" t="s">
        <v>24</v>
      </c>
      <c r="G202" s="4" t="s">
        <v>19</v>
      </c>
      <c r="H202" s="4" t="s">
        <v>38</v>
      </c>
      <c r="I202" s="4">
        <v>15</v>
      </c>
      <c r="J202" s="5">
        <v>50.5</v>
      </c>
      <c r="K202" s="6">
        <v>1.54</v>
      </c>
      <c r="L202" s="4">
        <v>4</v>
      </c>
      <c r="M202" s="4">
        <v>109</v>
      </c>
      <c r="N202" s="4">
        <v>88</v>
      </c>
      <c r="O202" s="4" t="s">
        <v>21</v>
      </c>
      <c r="P202" s="7" t="s">
        <v>30</v>
      </c>
      <c r="S202">
        <v>421</v>
      </c>
      <c r="T202" t="str">
        <v>Manica</v>
      </c>
      <c r="U202" t="str">
        <v>Masculino</v>
      </c>
      <c r="V202" t="str">
        <v>Viuvo(a)</v>
      </c>
      <c r="W202" t="str">
        <v>Nenhuma</v>
      </c>
      <c r="X202" t="str">
        <v>Nao</v>
      </c>
      <c r="Y202" t="str">
        <v>Pneumonia</v>
      </c>
      <c r="Z202">
        <v>19</v>
      </c>
      <c r="AA202">
        <v>66</v>
      </c>
      <c r="AB202">
        <v>1.9</v>
      </c>
      <c r="AC202">
        <v>3</v>
      </c>
      <c r="AD202">
        <v>114</v>
      </c>
      <c r="AE202">
        <v>74</v>
      </c>
      <c r="AF202" t="str">
        <v>Urbana</v>
      </c>
      <c r="AG202" t="str">
        <v>Sim</v>
      </c>
    </row>
    <row r="203" spans="2:33" x14ac:dyDescent="0.45">
      <c r="B203" s="4">
        <v>202</v>
      </c>
      <c r="C203" s="4" t="s">
        <v>15</v>
      </c>
      <c r="D203" s="4" t="s">
        <v>16</v>
      </c>
      <c r="E203" s="4" t="s">
        <v>17</v>
      </c>
      <c r="F203" s="4" t="s">
        <v>18</v>
      </c>
      <c r="G203" s="4" t="s">
        <v>30</v>
      </c>
      <c r="H203" s="4" t="s">
        <v>20</v>
      </c>
      <c r="I203" s="4">
        <v>19</v>
      </c>
      <c r="J203" s="5">
        <v>83.8</v>
      </c>
      <c r="K203" s="6">
        <v>1.68</v>
      </c>
      <c r="L203" s="4">
        <v>1</v>
      </c>
      <c r="M203" s="4">
        <v>104</v>
      </c>
      <c r="N203" s="4">
        <v>102</v>
      </c>
      <c r="O203" s="4" t="s">
        <v>26</v>
      </c>
      <c r="P203" s="7" t="s">
        <v>30</v>
      </c>
      <c r="S203">
        <v>423</v>
      </c>
      <c r="T203" t="str">
        <v>Niassa</v>
      </c>
      <c r="U203" t="str">
        <v>Masculino</v>
      </c>
      <c r="V203" t="str">
        <v>Casado(a)</v>
      </c>
      <c r="W203" t="str">
        <v>Primaria</v>
      </c>
      <c r="X203" t="str">
        <v>Nao</v>
      </c>
      <c r="Y203" t="str">
        <v>Malaria</v>
      </c>
      <c r="Z203">
        <v>4</v>
      </c>
      <c r="AA203">
        <v>9.3000000000000007</v>
      </c>
      <c r="AB203">
        <v>0.64</v>
      </c>
      <c r="AC203">
        <v>4</v>
      </c>
      <c r="AD203">
        <v>107</v>
      </c>
      <c r="AE203">
        <v>94</v>
      </c>
      <c r="AF203" t="str">
        <v>Rural</v>
      </c>
      <c r="AG203" t="str">
        <v>Nao</v>
      </c>
    </row>
    <row r="204" spans="2:33" x14ac:dyDescent="0.45">
      <c r="B204" s="4">
        <v>203</v>
      </c>
      <c r="C204" s="4" t="s">
        <v>39</v>
      </c>
      <c r="D204" s="4" t="s">
        <v>23</v>
      </c>
      <c r="E204" s="4" t="s">
        <v>17</v>
      </c>
      <c r="F204" s="4" t="s">
        <v>18</v>
      </c>
      <c r="G204" s="4" t="s">
        <v>19</v>
      </c>
      <c r="H204" s="4" t="s">
        <v>28</v>
      </c>
      <c r="I204" s="4">
        <v>9</v>
      </c>
      <c r="J204" s="5">
        <v>18.2</v>
      </c>
      <c r="K204" s="6">
        <v>1.1599999999999999</v>
      </c>
      <c r="L204" s="4">
        <v>0</v>
      </c>
      <c r="M204" s="4">
        <v>100</v>
      </c>
      <c r="N204" s="4">
        <v>80</v>
      </c>
      <c r="O204" s="4" t="s">
        <v>21</v>
      </c>
      <c r="P204" s="7" t="s">
        <v>30</v>
      </c>
      <c r="S204">
        <v>424</v>
      </c>
      <c r="T204" t="str">
        <v>Zambezia</v>
      </c>
      <c r="U204" t="str">
        <v>Masculino</v>
      </c>
      <c r="V204" t="str">
        <v>Casado(a)</v>
      </c>
      <c r="W204" t="str">
        <v>Primaria</v>
      </c>
      <c r="X204" t="str">
        <v>Nao</v>
      </c>
      <c r="Y204" t="str">
        <v>Diarreia</v>
      </c>
      <c r="Z204">
        <v>4</v>
      </c>
      <c r="AA204">
        <v>9.4</v>
      </c>
      <c r="AB204">
        <v>0.66</v>
      </c>
      <c r="AC204">
        <v>5</v>
      </c>
      <c r="AD204">
        <v>101</v>
      </c>
      <c r="AE204">
        <v>99</v>
      </c>
      <c r="AF204" t="str">
        <v>Rural</v>
      </c>
      <c r="AG204" t="str">
        <v>Nao</v>
      </c>
    </row>
    <row r="205" spans="2:33" x14ac:dyDescent="0.45">
      <c r="B205" s="4">
        <v>204</v>
      </c>
      <c r="C205" s="4" t="s">
        <v>39</v>
      </c>
      <c r="D205" s="4" t="s">
        <v>16</v>
      </c>
      <c r="E205" s="4" t="s">
        <v>17</v>
      </c>
      <c r="F205" s="4" t="s">
        <v>28</v>
      </c>
      <c r="G205" s="4" t="s">
        <v>19</v>
      </c>
      <c r="H205" s="4" t="s">
        <v>20</v>
      </c>
      <c r="I205" s="4">
        <v>7</v>
      </c>
      <c r="J205" s="5">
        <v>22.5</v>
      </c>
      <c r="K205" s="6">
        <v>1.25</v>
      </c>
      <c r="L205" s="4">
        <v>3</v>
      </c>
      <c r="M205" s="4">
        <v>99</v>
      </c>
      <c r="N205" s="4">
        <v>79</v>
      </c>
      <c r="O205" s="4" t="s">
        <v>26</v>
      </c>
      <c r="P205" s="7" t="s">
        <v>19</v>
      </c>
      <c r="S205">
        <v>426</v>
      </c>
      <c r="T205" t="str">
        <v>Zambezia</v>
      </c>
      <c r="U205" t="str">
        <v>Masculino</v>
      </c>
      <c r="V205" t="str">
        <v>Casado(a)</v>
      </c>
      <c r="W205" t="str">
        <v>Secundaria</v>
      </c>
      <c r="X205" t="str">
        <v>Nao</v>
      </c>
      <c r="Y205" t="str">
        <v>HIV/SIDA</v>
      </c>
      <c r="Z205">
        <v>8</v>
      </c>
      <c r="AA205">
        <v>27</v>
      </c>
      <c r="AB205">
        <v>1.31</v>
      </c>
      <c r="AC205">
        <v>2</v>
      </c>
      <c r="AD205">
        <v>109</v>
      </c>
      <c r="AE205">
        <v>93</v>
      </c>
      <c r="AF205" t="str">
        <v>Urbana</v>
      </c>
      <c r="AG205" t="str">
        <v>Sim</v>
      </c>
    </row>
    <row r="206" spans="2:33" x14ac:dyDescent="0.45">
      <c r="B206" s="4">
        <v>205</v>
      </c>
      <c r="C206" s="4" t="s">
        <v>27</v>
      </c>
      <c r="D206" s="4" t="s">
        <v>16</v>
      </c>
      <c r="E206" s="4" t="s">
        <v>35</v>
      </c>
      <c r="F206" s="4" t="s">
        <v>24</v>
      </c>
      <c r="G206" s="4" t="s">
        <v>19</v>
      </c>
      <c r="H206" s="4" t="s">
        <v>46</v>
      </c>
      <c r="I206" s="4">
        <v>27</v>
      </c>
      <c r="J206" s="5">
        <v>82.8</v>
      </c>
      <c r="K206" s="6">
        <v>1.68</v>
      </c>
      <c r="L206" s="4">
        <v>0</v>
      </c>
      <c r="M206" s="4">
        <v>106</v>
      </c>
      <c r="N206" s="4">
        <v>82</v>
      </c>
      <c r="O206" s="4" t="s">
        <v>21</v>
      </c>
      <c r="P206" s="7" t="s">
        <v>19</v>
      </c>
      <c r="S206">
        <v>428</v>
      </c>
      <c r="T206" t="str">
        <v>Tete</v>
      </c>
      <c r="U206" t="str">
        <v>Masculino</v>
      </c>
      <c r="V206" t="str">
        <v>Divorciado(a)</v>
      </c>
      <c r="W206" t="str">
        <v>Secundaria</v>
      </c>
      <c r="X206" t="str">
        <v>Nao</v>
      </c>
      <c r="Y206" t="str">
        <v>Diabetes</v>
      </c>
      <c r="Z206">
        <v>19</v>
      </c>
      <c r="AA206">
        <v>64.7</v>
      </c>
      <c r="AB206">
        <v>1.7</v>
      </c>
      <c r="AC206">
        <v>3</v>
      </c>
      <c r="AD206">
        <v>120</v>
      </c>
      <c r="AE206">
        <v>164</v>
      </c>
      <c r="AF206" t="str">
        <v>Urbana</v>
      </c>
      <c r="AG206" t="str">
        <v>Sim</v>
      </c>
    </row>
    <row r="207" spans="2:33" x14ac:dyDescent="0.45">
      <c r="B207" s="4">
        <v>206</v>
      </c>
      <c r="C207" s="4" t="s">
        <v>22</v>
      </c>
      <c r="D207" s="4" t="s">
        <v>16</v>
      </c>
      <c r="E207" s="4" t="s">
        <v>35</v>
      </c>
      <c r="F207" s="4" t="s">
        <v>18</v>
      </c>
      <c r="G207" s="4" t="s">
        <v>19</v>
      </c>
      <c r="H207" s="4" t="s">
        <v>36</v>
      </c>
      <c r="I207" s="4">
        <v>27</v>
      </c>
      <c r="J207" s="5">
        <v>50.4</v>
      </c>
      <c r="K207" s="6">
        <v>1.54</v>
      </c>
      <c r="L207" s="4">
        <v>6</v>
      </c>
      <c r="M207" s="4">
        <v>134</v>
      </c>
      <c r="N207" s="4">
        <v>92</v>
      </c>
      <c r="O207" s="4" t="s">
        <v>21</v>
      </c>
      <c r="P207" s="7" t="s">
        <v>19</v>
      </c>
      <c r="S207">
        <v>429</v>
      </c>
      <c r="T207" t="str">
        <v>Zambezia</v>
      </c>
      <c r="U207" t="str">
        <v>Masculino</v>
      </c>
      <c r="V207" t="str">
        <v>Casado(a)</v>
      </c>
      <c r="W207" t="str">
        <v>Nenhuma</v>
      </c>
      <c r="X207" t="str">
        <v>Nao</v>
      </c>
      <c r="Y207" t="str">
        <v>HIV/SIDA</v>
      </c>
      <c r="Z207">
        <v>5</v>
      </c>
      <c r="AA207">
        <v>33.6</v>
      </c>
      <c r="AB207">
        <v>1.41</v>
      </c>
      <c r="AC207">
        <v>3</v>
      </c>
      <c r="AD207">
        <v>116</v>
      </c>
      <c r="AE207">
        <v>99</v>
      </c>
      <c r="AF207" t="str">
        <v>Rural</v>
      </c>
      <c r="AG207" t="str">
        <v>Nao</v>
      </c>
    </row>
    <row r="208" spans="2:33" x14ac:dyDescent="0.45">
      <c r="B208" s="4">
        <v>207</v>
      </c>
      <c r="C208" s="4" t="s">
        <v>22</v>
      </c>
      <c r="D208" s="4" t="s">
        <v>16</v>
      </c>
      <c r="E208" s="4" t="s">
        <v>17</v>
      </c>
      <c r="F208" s="4" t="s">
        <v>24</v>
      </c>
      <c r="G208" s="4" t="s">
        <v>19</v>
      </c>
      <c r="H208" s="4" t="s">
        <v>20</v>
      </c>
      <c r="I208" s="4">
        <v>23</v>
      </c>
      <c r="J208" s="5">
        <v>94.5</v>
      </c>
      <c r="K208" s="6">
        <v>1.86</v>
      </c>
      <c r="L208" s="4">
        <v>1</v>
      </c>
      <c r="M208" s="4">
        <v>99</v>
      </c>
      <c r="N208" s="4">
        <v>85</v>
      </c>
      <c r="O208" s="4" t="s">
        <v>26</v>
      </c>
      <c r="P208" s="7" t="s">
        <v>19</v>
      </c>
      <c r="S208">
        <v>430</v>
      </c>
      <c r="T208" t="str">
        <v>Zambezia</v>
      </c>
      <c r="U208" t="str">
        <v>Masculino</v>
      </c>
      <c r="V208" t="str">
        <v>Divorciado(a)</v>
      </c>
      <c r="W208" t="str">
        <v>Primaria</v>
      </c>
      <c r="X208" t="str">
        <v>Nao</v>
      </c>
      <c r="Y208" t="str">
        <v>Nenhuma</v>
      </c>
      <c r="Z208">
        <v>61</v>
      </c>
      <c r="AA208">
        <v>49.4</v>
      </c>
      <c r="AB208">
        <v>1.71</v>
      </c>
      <c r="AC208">
        <v>1</v>
      </c>
      <c r="AD208">
        <v>127</v>
      </c>
      <c r="AE208">
        <v>88</v>
      </c>
      <c r="AF208" t="str">
        <v>Urbana</v>
      </c>
      <c r="AG208" t="str">
        <v>Nao</v>
      </c>
    </row>
    <row r="209" spans="2:33" x14ac:dyDescent="0.45">
      <c r="B209" s="4">
        <v>208</v>
      </c>
      <c r="C209" s="4" t="s">
        <v>29</v>
      </c>
      <c r="D209" s="4" t="s">
        <v>16</v>
      </c>
      <c r="E209" s="4" t="s">
        <v>17</v>
      </c>
      <c r="F209" s="4" t="s">
        <v>24</v>
      </c>
      <c r="G209" s="4" t="s">
        <v>19</v>
      </c>
      <c r="H209" s="4" t="s">
        <v>20</v>
      </c>
      <c r="I209" s="4">
        <v>9</v>
      </c>
      <c r="J209" s="5">
        <v>29.7</v>
      </c>
      <c r="K209" s="6">
        <v>1.29</v>
      </c>
      <c r="L209" s="4">
        <v>0</v>
      </c>
      <c r="M209" s="4">
        <v>93</v>
      </c>
      <c r="N209" s="4">
        <v>82</v>
      </c>
      <c r="O209" s="4" t="s">
        <v>26</v>
      </c>
      <c r="P209" s="7" t="s">
        <v>19</v>
      </c>
      <c r="S209">
        <v>431</v>
      </c>
      <c r="T209" t="str">
        <v>Niassa</v>
      </c>
      <c r="U209" t="str">
        <v>Masculino</v>
      </c>
      <c r="V209" t="str">
        <v>Casado(a)</v>
      </c>
      <c r="W209" t="str">
        <v>Nenhuma</v>
      </c>
      <c r="X209" t="str">
        <v>Sim</v>
      </c>
      <c r="Y209" t="str">
        <v>Pneumonia</v>
      </c>
      <c r="Z209">
        <v>40</v>
      </c>
      <c r="AA209">
        <v>82.2</v>
      </c>
      <c r="AB209">
        <v>1.81</v>
      </c>
      <c r="AC209">
        <v>2</v>
      </c>
      <c r="AD209">
        <v>111</v>
      </c>
      <c r="AE209">
        <v>80</v>
      </c>
      <c r="AF209" t="str">
        <v>Rural</v>
      </c>
      <c r="AG209" t="str">
        <v>Nao</v>
      </c>
    </row>
    <row r="210" spans="2:33" x14ac:dyDescent="0.45">
      <c r="B210" s="4">
        <v>209</v>
      </c>
      <c r="C210" s="4" t="s">
        <v>40</v>
      </c>
      <c r="D210" s="4" t="s">
        <v>16</v>
      </c>
      <c r="E210" s="4" t="s">
        <v>17</v>
      </c>
      <c r="F210" s="4" t="s">
        <v>24</v>
      </c>
      <c r="G210" s="4" t="s">
        <v>19</v>
      </c>
      <c r="H210" s="4" t="s">
        <v>36</v>
      </c>
      <c r="I210" s="4">
        <v>27</v>
      </c>
      <c r="J210" s="5">
        <v>84.9</v>
      </c>
      <c r="K210" s="6">
        <v>1.69</v>
      </c>
      <c r="L210" s="4">
        <v>3</v>
      </c>
      <c r="M210" s="4">
        <v>123</v>
      </c>
      <c r="N210" s="4">
        <v>105</v>
      </c>
      <c r="O210" s="4" t="s">
        <v>21</v>
      </c>
      <c r="P210" s="7" t="s">
        <v>19</v>
      </c>
      <c r="S210">
        <v>435</v>
      </c>
      <c r="T210" t="str">
        <v>Tete</v>
      </c>
      <c r="U210" t="str">
        <v>Masculino</v>
      </c>
      <c r="V210" t="str">
        <v>Solteiro(a)</v>
      </c>
      <c r="W210" t="str">
        <v>Primaria</v>
      </c>
      <c r="X210" t="str">
        <v>Sim</v>
      </c>
      <c r="Y210" t="str">
        <v>Hipertensao</v>
      </c>
      <c r="Z210">
        <v>31</v>
      </c>
      <c r="AA210">
        <v>84.1</v>
      </c>
      <c r="AB210">
        <v>1.68</v>
      </c>
      <c r="AC210">
        <v>9</v>
      </c>
      <c r="AD210">
        <v>117</v>
      </c>
      <c r="AE210">
        <v>101</v>
      </c>
      <c r="AF210" t="str">
        <v>Rural</v>
      </c>
      <c r="AG210" t="str">
        <v>Nao</v>
      </c>
    </row>
    <row r="211" spans="2:33" x14ac:dyDescent="0.45">
      <c r="B211" s="4">
        <v>210</v>
      </c>
      <c r="C211" s="4" t="s">
        <v>31</v>
      </c>
      <c r="D211" s="4" t="s">
        <v>23</v>
      </c>
      <c r="E211" s="4" t="s">
        <v>35</v>
      </c>
      <c r="F211" s="4" t="s">
        <v>24</v>
      </c>
      <c r="G211" s="4" t="s">
        <v>19</v>
      </c>
      <c r="H211" s="4" t="s">
        <v>32</v>
      </c>
      <c r="I211" s="4">
        <v>15</v>
      </c>
      <c r="J211" s="5">
        <v>63.3</v>
      </c>
      <c r="K211" s="6">
        <v>1.67</v>
      </c>
      <c r="L211" s="4">
        <v>1</v>
      </c>
      <c r="M211" s="4">
        <v>118</v>
      </c>
      <c r="N211" s="4">
        <v>167</v>
      </c>
      <c r="O211" s="4" t="s">
        <v>21</v>
      </c>
      <c r="P211" s="7" t="s">
        <v>19</v>
      </c>
      <c r="S211">
        <v>437</v>
      </c>
      <c r="T211" t="str">
        <v>Manica</v>
      </c>
      <c r="U211" t="str">
        <v>Masculino</v>
      </c>
      <c r="V211" t="str">
        <v>Casado(a)</v>
      </c>
      <c r="W211" t="str">
        <v>Secundaria</v>
      </c>
      <c r="X211" t="str">
        <v>Nao</v>
      </c>
      <c r="Y211" t="str">
        <v>Nenhuma</v>
      </c>
      <c r="Z211">
        <v>24</v>
      </c>
      <c r="AA211">
        <v>91.3</v>
      </c>
      <c r="AB211">
        <v>1.72</v>
      </c>
      <c r="AC211">
        <v>2</v>
      </c>
      <c r="AD211">
        <v>125</v>
      </c>
      <c r="AE211">
        <v>75</v>
      </c>
      <c r="AF211" t="str">
        <v>Urbana</v>
      </c>
      <c r="AG211" t="str">
        <v>Sim</v>
      </c>
    </row>
    <row r="212" spans="2:33" x14ac:dyDescent="0.45">
      <c r="B212" s="4">
        <v>211</v>
      </c>
      <c r="C212" s="4" t="s">
        <v>29</v>
      </c>
      <c r="D212" s="4" t="s">
        <v>16</v>
      </c>
      <c r="E212" s="4" t="s">
        <v>37</v>
      </c>
      <c r="F212" s="4" t="s">
        <v>24</v>
      </c>
      <c r="G212" s="4" t="s">
        <v>19</v>
      </c>
      <c r="H212" s="4" t="s">
        <v>38</v>
      </c>
      <c r="I212" s="4">
        <v>73</v>
      </c>
      <c r="J212" s="5">
        <v>92.6</v>
      </c>
      <c r="K212" s="6">
        <v>1.7</v>
      </c>
      <c r="L212" s="4">
        <v>4</v>
      </c>
      <c r="M212" s="4">
        <v>113</v>
      </c>
      <c r="N212" s="4">
        <v>76</v>
      </c>
      <c r="O212" s="4" t="s">
        <v>26</v>
      </c>
      <c r="P212" s="7" t="s">
        <v>19</v>
      </c>
      <c r="S212">
        <v>440</v>
      </c>
      <c r="T212" t="str">
        <v>Zambezia</v>
      </c>
      <c r="U212" t="str">
        <v>Masculino</v>
      </c>
      <c r="V212" t="str">
        <v>Casado(a)</v>
      </c>
      <c r="W212" t="str">
        <v>Secundaria</v>
      </c>
      <c r="X212" t="str">
        <v>Nao</v>
      </c>
      <c r="Y212" t="str">
        <v>Diarreia</v>
      </c>
      <c r="Z212">
        <v>13</v>
      </c>
      <c r="AA212">
        <v>59.1</v>
      </c>
      <c r="AB212">
        <v>1.55</v>
      </c>
      <c r="AC212">
        <v>6</v>
      </c>
      <c r="AD212">
        <v>107</v>
      </c>
      <c r="AE212">
        <v>73</v>
      </c>
      <c r="AF212" t="str">
        <v>Rural</v>
      </c>
      <c r="AG212" t="str">
        <v>Nao</v>
      </c>
    </row>
    <row r="213" spans="2:33" x14ac:dyDescent="0.45">
      <c r="B213" s="4">
        <v>212</v>
      </c>
      <c r="C213" s="4" t="s">
        <v>43</v>
      </c>
      <c r="D213" s="4" t="s">
        <v>23</v>
      </c>
      <c r="E213" s="4" t="s">
        <v>17</v>
      </c>
      <c r="F213" s="4" t="s">
        <v>24</v>
      </c>
      <c r="G213" s="4" t="s">
        <v>19</v>
      </c>
      <c r="H213" s="4" t="s">
        <v>25</v>
      </c>
      <c r="I213" s="4">
        <v>50</v>
      </c>
      <c r="J213" s="5">
        <v>52.3</v>
      </c>
      <c r="K213" s="6">
        <v>1.51</v>
      </c>
      <c r="L213" s="4">
        <v>1</v>
      </c>
      <c r="M213" s="4">
        <v>126</v>
      </c>
      <c r="N213" s="4">
        <v>97</v>
      </c>
      <c r="O213" s="4" t="s">
        <v>26</v>
      </c>
      <c r="P213" s="7" t="s">
        <v>19</v>
      </c>
      <c r="S213">
        <v>441</v>
      </c>
      <c r="T213" t="str">
        <v>Zambezia</v>
      </c>
      <c r="U213" t="str">
        <v>Masculino</v>
      </c>
      <c r="V213" t="str">
        <v>Casado(a)</v>
      </c>
      <c r="W213" t="str">
        <v>Primaria</v>
      </c>
      <c r="X213" t="str">
        <v>Nao</v>
      </c>
      <c r="Y213" t="str">
        <v>Malaria</v>
      </c>
      <c r="Z213">
        <v>5</v>
      </c>
      <c r="AA213">
        <v>34.299999999999997</v>
      </c>
      <c r="AB213">
        <v>1.08</v>
      </c>
      <c r="AC213">
        <v>3</v>
      </c>
      <c r="AD213">
        <v>99</v>
      </c>
      <c r="AE213">
        <v>85</v>
      </c>
      <c r="AF213" t="str">
        <v>Urbana</v>
      </c>
      <c r="AG213" t="str">
        <v>Nao</v>
      </c>
    </row>
    <row r="214" spans="2:33" x14ac:dyDescent="0.45">
      <c r="B214" s="4">
        <v>213</v>
      </c>
      <c r="C214" s="4" t="s">
        <v>27</v>
      </c>
      <c r="D214" s="4" t="s">
        <v>23</v>
      </c>
      <c r="E214" s="4" t="s">
        <v>37</v>
      </c>
      <c r="F214" s="4" t="s">
        <v>18</v>
      </c>
      <c r="G214" s="4" t="s">
        <v>19</v>
      </c>
      <c r="H214" s="4" t="s">
        <v>25</v>
      </c>
      <c r="I214" s="4">
        <v>41</v>
      </c>
      <c r="J214" s="5">
        <v>77.7</v>
      </c>
      <c r="K214" s="6">
        <v>1.49</v>
      </c>
      <c r="L214" s="4">
        <v>2</v>
      </c>
      <c r="M214" s="4">
        <v>106</v>
      </c>
      <c r="N214" s="4">
        <v>87</v>
      </c>
      <c r="O214" s="4" t="s">
        <v>26</v>
      </c>
      <c r="P214" s="7" t="s">
        <v>19</v>
      </c>
      <c r="S214">
        <v>442</v>
      </c>
      <c r="T214" t="str">
        <v>Inhambane</v>
      </c>
      <c r="U214" t="str">
        <v>Masculino</v>
      </c>
      <c r="V214" t="str">
        <v>Solteiro(a)</v>
      </c>
      <c r="W214" t="str">
        <v>Secundaria</v>
      </c>
      <c r="X214" t="str">
        <v>Sim</v>
      </c>
      <c r="Y214" t="str">
        <v>Hipertensao</v>
      </c>
      <c r="Z214">
        <v>18</v>
      </c>
      <c r="AA214">
        <v>77.7</v>
      </c>
      <c r="AB214">
        <v>1.53</v>
      </c>
      <c r="AC214">
        <v>1</v>
      </c>
      <c r="AD214">
        <v>124</v>
      </c>
      <c r="AE214">
        <v>80</v>
      </c>
      <c r="AF214" t="str">
        <v>Rural</v>
      </c>
      <c r="AG214" t="str">
        <v>Nao</v>
      </c>
    </row>
    <row r="215" spans="2:33" x14ac:dyDescent="0.45">
      <c r="B215" s="4">
        <v>214</v>
      </c>
      <c r="C215" s="4" t="s">
        <v>41</v>
      </c>
      <c r="D215" s="4" t="s">
        <v>16</v>
      </c>
      <c r="E215" s="4" t="s">
        <v>35</v>
      </c>
      <c r="F215" s="4" t="s">
        <v>28</v>
      </c>
      <c r="G215" s="4" t="s">
        <v>19</v>
      </c>
      <c r="H215" s="4" t="s">
        <v>28</v>
      </c>
      <c r="I215" s="4">
        <v>0</v>
      </c>
      <c r="J215" s="5">
        <v>8.1</v>
      </c>
      <c r="K215" s="6">
        <v>0.88</v>
      </c>
      <c r="L215" s="4">
        <v>5</v>
      </c>
      <c r="M215" s="4">
        <v>94</v>
      </c>
      <c r="N215" s="4">
        <v>90</v>
      </c>
      <c r="O215" s="4" t="s">
        <v>21</v>
      </c>
      <c r="P215" s="7" t="s">
        <v>19</v>
      </c>
      <c r="S215">
        <v>444</v>
      </c>
      <c r="T215" t="str">
        <v>Inhambane</v>
      </c>
      <c r="U215" t="str">
        <v>Masculino</v>
      </c>
      <c r="V215" t="str">
        <v>Divorciado(a)</v>
      </c>
      <c r="W215" t="str">
        <v>Secundaria</v>
      </c>
      <c r="X215" t="str">
        <v>Nao</v>
      </c>
      <c r="Y215" t="str">
        <v>Malaria</v>
      </c>
      <c r="Z215">
        <v>17</v>
      </c>
      <c r="AA215">
        <v>44.7</v>
      </c>
      <c r="AB215">
        <v>1.68</v>
      </c>
      <c r="AC215">
        <v>3</v>
      </c>
      <c r="AD215">
        <v>112</v>
      </c>
      <c r="AE215">
        <v>82</v>
      </c>
      <c r="AF215" t="str">
        <v>Rural</v>
      </c>
      <c r="AG215" t="str">
        <v>Nao</v>
      </c>
    </row>
    <row r="216" spans="2:33" x14ac:dyDescent="0.45">
      <c r="B216" s="4">
        <v>215</v>
      </c>
      <c r="C216" s="4" t="s">
        <v>15</v>
      </c>
      <c r="D216" s="4" t="s">
        <v>16</v>
      </c>
      <c r="E216" s="4" t="s">
        <v>17</v>
      </c>
      <c r="F216" s="4" t="s">
        <v>28</v>
      </c>
      <c r="G216" s="4" t="s">
        <v>19</v>
      </c>
      <c r="H216" s="4" t="s">
        <v>20</v>
      </c>
      <c r="I216" s="4">
        <v>19</v>
      </c>
      <c r="J216" s="5">
        <v>50.2</v>
      </c>
      <c r="K216" s="6">
        <v>1.68</v>
      </c>
      <c r="L216" s="4">
        <v>2</v>
      </c>
      <c r="M216" s="4">
        <v>106</v>
      </c>
      <c r="N216" s="4">
        <v>77</v>
      </c>
      <c r="O216" s="4" t="s">
        <v>26</v>
      </c>
      <c r="P216" s="7" t="s">
        <v>19</v>
      </c>
      <c r="S216">
        <v>445</v>
      </c>
      <c r="T216" t="str">
        <v>Zambezia</v>
      </c>
      <c r="U216" t="str">
        <v>Masculino</v>
      </c>
      <c r="V216" t="str">
        <v>Solteiro(a)</v>
      </c>
      <c r="W216" t="str">
        <v>Primaria</v>
      </c>
      <c r="X216" t="str">
        <v>Nao</v>
      </c>
      <c r="Y216" t="str">
        <v>HIV/SIDA</v>
      </c>
      <c r="Z216">
        <v>16</v>
      </c>
      <c r="AA216">
        <v>55.9</v>
      </c>
      <c r="AB216">
        <v>1.59</v>
      </c>
      <c r="AC216">
        <v>4</v>
      </c>
      <c r="AD216">
        <v>112</v>
      </c>
      <c r="AE216">
        <v>80</v>
      </c>
      <c r="AF216" t="str">
        <v>Rural</v>
      </c>
      <c r="AG216" t="str">
        <v>Nao</v>
      </c>
    </row>
    <row r="217" spans="2:33" x14ac:dyDescent="0.45">
      <c r="B217" s="4">
        <v>216</v>
      </c>
      <c r="C217" s="4" t="s">
        <v>39</v>
      </c>
      <c r="D217" s="4" t="s">
        <v>16</v>
      </c>
      <c r="E217" s="4" t="s">
        <v>17</v>
      </c>
      <c r="F217" s="4" t="s">
        <v>28</v>
      </c>
      <c r="G217" s="4" t="s">
        <v>19</v>
      </c>
      <c r="H217" s="4" t="s">
        <v>20</v>
      </c>
      <c r="I217" s="4">
        <v>45</v>
      </c>
      <c r="J217" s="5">
        <v>60.1</v>
      </c>
      <c r="K217" s="6">
        <v>1.85</v>
      </c>
      <c r="L217" s="4">
        <v>3</v>
      </c>
      <c r="M217" s="4">
        <v>120</v>
      </c>
      <c r="N217" s="4">
        <v>78</v>
      </c>
      <c r="O217" s="4" t="s">
        <v>26</v>
      </c>
      <c r="P217" s="7" t="s">
        <v>19</v>
      </c>
      <c r="S217">
        <v>447</v>
      </c>
      <c r="T217" t="str">
        <v>Inhambane</v>
      </c>
      <c r="U217" t="str">
        <v>Masculino</v>
      </c>
      <c r="V217" t="str">
        <v>Divorciado(a)</v>
      </c>
      <c r="W217" t="str">
        <v>Nenhuma</v>
      </c>
      <c r="X217" t="str">
        <v>Nao</v>
      </c>
      <c r="Y217" t="str">
        <v>Pneumonia</v>
      </c>
      <c r="Z217">
        <v>3</v>
      </c>
      <c r="AA217">
        <v>13.3</v>
      </c>
      <c r="AB217">
        <v>0.87</v>
      </c>
      <c r="AC217">
        <v>3</v>
      </c>
      <c r="AD217">
        <v>107</v>
      </c>
      <c r="AE217">
        <v>71</v>
      </c>
      <c r="AF217" t="str">
        <v>Urbana</v>
      </c>
      <c r="AG217" t="str">
        <v>Nao</v>
      </c>
    </row>
    <row r="218" spans="2:33" x14ac:dyDescent="0.45">
      <c r="B218" s="4">
        <v>217</v>
      </c>
      <c r="C218" s="4" t="s">
        <v>22</v>
      </c>
      <c r="D218" s="4" t="s">
        <v>16</v>
      </c>
      <c r="E218" s="4" t="s">
        <v>17</v>
      </c>
      <c r="F218" s="4" t="s">
        <v>24</v>
      </c>
      <c r="G218" s="4" t="s">
        <v>30</v>
      </c>
      <c r="H218" s="4" t="s">
        <v>20</v>
      </c>
      <c r="I218" s="4">
        <v>40</v>
      </c>
      <c r="J218" s="5">
        <v>69.099999999999994</v>
      </c>
      <c r="K218" s="6">
        <v>1.66</v>
      </c>
      <c r="L218" s="4">
        <v>0</v>
      </c>
      <c r="M218" s="4">
        <v>114</v>
      </c>
      <c r="N218" s="4">
        <v>94</v>
      </c>
      <c r="O218" s="4" t="s">
        <v>21</v>
      </c>
      <c r="P218" s="7" t="s">
        <v>19</v>
      </c>
      <c r="S218">
        <v>455</v>
      </c>
      <c r="T218" t="str">
        <v>Nampula</v>
      </c>
      <c r="U218" t="str">
        <v>Masculino</v>
      </c>
      <c r="V218" t="str">
        <v>Casado(a)</v>
      </c>
      <c r="W218" t="str">
        <v>Secundaria</v>
      </c>
      <c r="X218" t="str">
        <v>Sim</v>
      </c>
      <c r="Y218" t="str">
        <v>Tuberculose</v>
      </c>
      <c r="Z218">
        <v>22</v>
      </c>
      <c r="AA218">
        <v>89.9</v>
      </c>
      <c r="AB218">
        <v>1.57</v>
      </c>
      <c r="AC218">
        <v>0</v>
      </c>
      <c r="AD218">
        <v>113</v>
      </c>
      <c r="AE218">
        <v>101</v>
      </c>
      <c r="AF218" t="str">
        <v>Urbana</v>
      </c>
      <c r="AG218" t="str">
        <v>Sim</v>
      </c>
    </row>
    <row r="219" spans="2:33" x14ac:dyDescent="0.45">
      <c r="B219" s="4">
        <v>218</v>
      </c>
      <c r="C219" s="4" t="s">
        <v>27</v>
      </c>
      <c r="D219" s="4" t="s">
        <v>16</v>
      </c>
      <c r="E219" s="4" t="s">
        <v>35</v>
      </c>
      <c r="F219" s="4" t="s">
        <v>18</v>
      </c>
      <c r="G219" s="4" t="s">
        <v>19</v>
      </c>
      <c r="H219" s="4" t="s">
        <v>25</v>
      </c>
      <c r="I219" s="4">
        <v>22</v>
      </c>
      <c r="J219" s="5">
        <v>68.099999999999994</v>
      </c>
      <c r="K219" s="6">
        <v>1.7</v>
      </c>
      <c r="L219" s="4">
        <v>6</v>
      </c>
      <c r="M219" s="4">
        <v>101</v>
      </c>
      <c r="N219" s="4">
        <v>88</v>
      </c>
      <c r="O219" s="4" t="s">
        <v>21</v>
      </c>
      <c r="P219" s="7" t="s">
        <v>19</v>
      </c>
      <c r="S219">
        <v>456</v>
      </c>
      <c r="T219" t="str">
        <v>Maputo Provincia</v>
      </c>
      <c r="U219" t="str">
        <v>Masculino</v>
      </c>
      <c r="V219" t="str">
        <v>Solteiro(a)</v>
      </c>
      <c r="W219" t="str">
        <v>Secundaria</v>
      </c>
      <c r="X219" t="str">
        <v>Sim</v>
      </c>
      <c r="Y219" t="str">
        <v>Nenhuma</v>
      </c>
      <c r="Z219">
        <v>6</v>
      </c>
      <c r="AA219">
        <v>26.9</v>
      </c>
      <c r="AB219">
        <v>1.42</v>
      </c>
      <c r="AC219">
        <v>1</v>
      </c>
      <c r="AD219">
        <v>108</v>
      </c>
      <c r="AE219">
        <v>105</v>
      </c>
      <c r="AF219" t="str">
        <v>Urbana</v>
      </c>
      <c r="AG219" t="str">
        <v>Nao</v>
      </c>
    </row>
    <row r="220" spans="2:33" x14ac:dyDescent="0.45">
      <c r="B220" s="4">
        <v>219</v>
      </c>
      <c r="C220" s="4" t="s">
        <v>27</v>
      </c>
      <c r="D220" s="4" t="s">
        <v>16</v>
      </c>
      <c r="E220" s="4" t="s">
        <v>37</v>
      </c>
      <c r="F220" s="4" t="s">
        <v>18</v>
      </c>
      <c r="G220" s="4" t="s">
        <v>19</v>
      </c>
      <c r="H220" s="4" t="s">
        <v>34</v>
      </c>
      <c r="I220" s="4">
        <v>25</v>
      </c>
      <c r="J220" s="5">
        <v>93</v>
      </c>
      <c r="K220" s="6">
        <v>1.49</v>
      </c>
      <c r="L220" s="4">
        <v>6</v>
      </c>
      <c r="M220" s="4">
        <v>120</v>
      </c>
      <c r="N220" s="4">
        <v>96</v>
      </c>
      <c r="O220" s="4" t="s">
        <v>26</v>
      </c>
      <c r="P220" s="7" t="s">
        <v>19</v>
      </c>
      <c r="S220">
        <v>457</v>
      </c>
      <c r="T220" t="str">
        <v>Zambezia</v>
      </c>
      <c r="U220" t="str">
        <v>Masculino</v>
      </c>
      <c r="V220" t="str">
        <v>Viuvo(a)</v>
      </c>
      <c r="W220" t="str">
        <v>Primaria</v>
      </c>
      <c r="X220" t="str">
        <v>Nao</v>
      </c>
      <c r="Y220" t="str">
        <v>Hipertensao</v>
      </c>
      <c r="Z220">
        <v>11</v>
      </c>
      <c r="AA220">
        <v>35.1</v>
      </c>
      <c r="AB220">
        <v>1.22</v>
      </c>
      <c r="AC220">
        <v>4</v>
      </c>
      <c r="AD220">
        <v>125</v>
      </c>
      <c r="AE220">
        <v>100</v>
      </c>
      <c r="AF220" t="str">
        <v>Rural</v>
      </c>
      <c r="AG220" t="str">
        <v>Nao</v>
      </c>
    </row>
    <row r="221" spans="2:33" x14ac:dyDescent="0.45">
      <c r="B221" s="4">
        <v>220</v>
      </c>
      <c r="C221" s="4" t="s">
        <v>27</v>
      </c>
      <c r="D221" s="4" t="s">
        <v>16</v>
      </c>
      <c r="E221" s="4" t="s">
        <v>17</v>
      </c>
      <c r="F221" s="4" t="s">
        <v>24</v>
      </c>
      <c r="G221" s="4" t="s">
        <v>19</v>
      </c>
      <c r="H221" s="4" t="s">
        <v>34</v>
      </c>
      <c r="I221" s="4">
        <v>0</v>
      </c>
      <c r="J221" s="5">
        <v>9.1999999999999993</v>
      </c>
      <c r="K221" s="6">
        <v>0.7</v>
      </c>
      <c r="L221" s="4">
        <v>1</v>
      </c>
      <c r="M221" s="4">
        <v>96</v>
      </c>
      <c r="N221" s="4">
        <v>97</v>
      </c>
      <c r="O221" s="4" t="s">
        <v>26</v>
      </c>
      <c r="P221" s="7" t="s">
        <v>19</v>
      </c>
      <c r="S221">
        <v>461</v>
      </c>
      <c r="T221" t="str">
        <v>Zambezia</v>
      </c>
      <c r="U221" t="str">
        <v>Masculino</v>
      </c>
      <c r="V221" t="str">
        <v>Casado(a)</v>
      </c>
      <c r="W221" t="str">
        <v>Primaria</v>
      </c>
      <c r="X221" t="str">
        <v>Nao</v>
      </c>
      <c r="Y221" t="str">
        <v>Diabetes</v>
      </c>
      <c r="Z221">
        <v>15</v>
      </c>
      <c r="AA221">
        <v>51</v>
      </c>
      <c r="AB221">
        <v>1.54</v>
      </c>
      <c r="AC221">
        <v>3</v>
      </c>
      <c r="AD221">
        <v>116</v>
      </c>
      <c r="AE221">
        <v>168</v>
      </c>
      <c r="AF221" t="str">
        <v>Rural</v>
      </c>
      <c r="AG221" t="str">
        <v>Nao</v>
      </c>
    </row>
    <row r="222" spans="2:33" x14ac:dyDescent="0.45">
      <c r="B222" s="4">
        <v>221</v>
      </c>
      <c r="C222" s="4" t="s">
        <v>31</v>
      </c>
      <c r="D222" s="4" t="s">
        <v>23</v>
      </c>
      <c r="E222" s="4" t="s">
        <v>37</v>
      </c>
      <c r="F222" s="4" t="s">
        <v>24</v>
      </c>
      <c r="G222" s="4" t="s">
        <v>19</v>
      </c>
      <c r="H222" s="4" t="s">
        <v>20</v>
      </c>
      <c r="I222" s="4">
        <v>1</v>
      </c>
      <c r="J222" s="5">
        <v>15.4</v>
      </c>
      <c r="K222" s="6">
        <v>0.73</v>
      </c>
      <c r="L222" s="4">
        <v>2</v>
      </c>
      <c r="M222" s="4">
        <v>111</v>
      </c>
      <c r="N222" s="4">
        <v>77</v>
      </c>
      <c r="O222" s="4" t="s">
        <v>26</v>
      </c>
      <c r="P222" s="7" t="s">
        <v>19</v>
      </c>
      <c r="S222">
        <v>465</v>
      </c>
      <c r="T222" t="str">
        <v>Nampula</v>
      </c>
      <c r="U222" t="str">
        <v>Masculino</v>
      </c>
      <c r="V222" t="str">
        <v>Solteiro(a)</v>
      </c>
      <c r="W222" t="str">
        <v>Nenhuma</v>
      </c>
      <c r="X222" t="str">
        <v>Nao</v>
      </c>
      <c r="Y222" t="str">
        <v>Nenhuma</v>
      </c>
      <c r="Z222">
        <v>46</v>
      </c>
      <c r="AA222">
        <v>84.9</v>
      </c>
      <c r="AB222">
        <v>1.79</v>
      </c>
      <c r="AC222">
        <v>3</v>
      </c>
      <c r="AD222">
        <v>128</v>
      </c>
      <c r="AE222">
        <v>93</v>
      </c>
      <c r="AF222" t="str">
        <v>Rural</v>
      </c>
      <c r="AG222" t="str">
        <v>Sim</v>
      </c>
    </row>
    <row r="223" spans="2:33" x14ac:dyDescent="0.45">
      <c r="B223" s="4">
        <v>222</v>
      </c>
      <c r="C223" s="4" t="s">
        <v>27</v>
      </c>
      <c r="D223" s="4" t="s">
        <v>16</v>
      </c>
      <c r="E223" s="4" t="s">
        <v>35</v>
      </c>
      <c r="F223" s="4" t="s">
        <v>18</v>
      </c>
      <c r="G223" s="4" t="s">
        <v>19</v>
      </c>
      <c r="H223" s="4" t="s">
        <v>28</v>
      </c>
      <c r="I223" s="4">
        <v>19</v>
      </c>
      <c r="J223" s="5">
        <v>47.5</v>
      </c>
      <c r="K223" s="6">
        <v>1.69</v>
      </c>
      <c r="L223" s="4">
        <v>0</v>
      </c>
      <c r="M223" s="4">
        <v>100</v>
      </c>
      <c r="N223" s="4">
        <v>75</v>
      </c>
      <c r="O223" s="4" t="s">
        <v>21</v>
      </c>
      <c r="P223" s="7" t="s">
        <v>19</v>
      </c>
      <c r="S223">
        <v>470</v>
      </c>
      <c r="T223" t="str">
        <v>Gaza</v>
      </c>
      <c r="U223" t="str">
        <v>Masculino</v>
      </c>
      <c r="V223" t="str">
        <v>Casado(a)</v>
      </c>
      <c r="W223" t="str">
        <v>Primaria</v>
      </c>
      <c r="X223" t="str">
        <v>Nao</v>
      </c>
      <c r="Y223" t="str">
        <v>HIV/SIDA</v>
      </c>
      <c r="Z223">
        <v>32</v>
      </c>
      <c r="AA223">
        <v>90</v>
      </c>
      <c r="AB223">
        <v>1.67</v>
      </c>
      <c r="AC223">
        <v>2</v>
      </c>
      <c r="AD223">
        <v>119</v>
      </c>
      <c r="AE223">
        <v>91</v>
      </c>
      <c r="AF223" t="str">
        <v>Urbana</v>
      </c>
      <c r="AG223" t="str">
        <v>Sim</v>
      </c>
    </row>
    <row r="224" spans="2:33" x14ac:dyDescent="0.45">
      <c r="B224" s="4">
        <v>223</v>
      </c>
      <c r="C224" s="4" t="s">
        <v>31</v>
      </c>
      <c r="D224" s="4" t="s">
        <v>16</v>
      </c>
      <c r="E224" s="4" t="s">
        <v>17</v>
      </c>
      <c r="F224" s="4" t="s">
        <v>28</v>
      </c>
      <c r="G224" s="4" t="s">
        <v>19</v>
      </c>
      <c r="H224" s="4" t="s">
        <v>20</v>
      </c>
      <c r="I224" s="4">
        <v>20</v>
      </c>
      <c r="J224" s="5">
        <v>82.8</v>
      </c>
      <c r="K224" s="6">
        <v>1.72</v>
      </c>
      <c r="L224" s="4">
        <v>2</v>
      </c>
      <c r="M224" s="4">
        <v>103</v>
      </c>
      <c r="N224" s="4">
        <v>81</v>
      </c>
      <c r="O224" s="4" t="s">
        <v>26</v>
      </c>
      <c r="P224" s="7" t="s">
        <v>30</v>
      </c>
      <c r="S224">
        <v>471</v>
      </c>
      <c r="T224" t="str">
        <v>Sofala</v>
      </c>
      <c r="U224" t="str">
        <v>Masculino</v>
      </c>
      <c r="V224" t="str">
        <v>Solteiro(a)</v>
      </c>
      <c r="W224" t="str">
        <v>Primaria</v>
      </c>
      <c r="X224" t="str">
        <v>Nao</v>
      </c>
      <c r="Y224" t="str">
        <v>Malaria</v>
      </c>
      <c r="Z224">
        <v>32</v>
      </c>
      <c r="AA224">
        <v>74.3</v>
      </c>
      <c r="AB224">
        <v>1.89</v>
      </c>
      <c r="AC224">
        <v>4</v>
      </c>
      <c r="AD224">
        <v>126</v>
      </c>
      <c r="AE224">
        <v>99</v>
      </c>
      <c r="AF224" t="str">
        <v>Rural</v>
      </c>
      <c r="AG224" t="str">
        <v>Sim</v>
      </c>
    </row>
    <row r="225" spans="2:33" x14ac:dyDescent="0.45">
      <c r="B225" s="4">
        <v>224</v>
      </c>
      <c r="C225" s="4" t="s">
        <v>39</v>
      </c>
      <c r="D225" s="4" t="s">
        <v>16</v>
      </c>
      <c r="E225" s="4" t="s">
        <v>17</v>
      </c>
      <c r="F225" s="4" t="s">
        <v>24</v>
      </c>
      <c r="G225" s="4" t="s">
        <v>19</v>
      </c>
      <c r="H225" s="4" t="s">
        <v>20</v>
      </c>
      <c r="I225" s="4">
        <v>25</v>
      </c>
      <c r="J225" s="5">
        <v>91.9</v>
      </c>
      <c r="K225" s="6">
        <v>1.61</v>
      </c>
      <c r="L225" s="4">
        <v>2</v>
      </c>
      <c r="M225" s="4">
        <v>118</v>
      </c>
      <c r="N225" s="4">
        <v>101</v>
      </c>
      <c r="O225" s="4" t="s">
        <v>21</v>
      </c>
      <c r="P225" s="7" t="s">
        <v>19</v>
      </c>
      <c r="S225">
        <v>472</v>
      </c>
      <c r="T225" t="str">
        <v>Sofala</v>
      </c>
      <c r="U225" t="str">
        <v>Masculino</v>
      </c>
      <c r="V225" t="str">
        <v>Casado(a)</v>
      </c>
      <c r="W225" t="str">
        <v>Superior</v>
      </c>
      <c r="X225" t="str">
        <v>Sim</v>
      </c>
      <c r="Y225" t="str">
        <v>Nenhuma</v>
      </c>
      <c r="Z225">
        <v>21</v>
      </c>
      <c r="AA225">
        <v>47.4</v>
      </c>
      <c r="AB225">
        <v>1.64</v>
      </c>
      <c r="AC225">
        <v>2</v>
      </c>
      <c r="AD225">
        <v>103</v>
      </c>
      <c r="AE225">
        <v>98</v>
      </c>
      <c r="AF225" t="str">
        <v>Urbana</v>
      </c>
      <c r="AG225" t="str">
        <v>Nao</v>
      </c>
    </row>
    <row r="226" spans="2:33" x14ac:dyDescent="0.45">
      <c r="B226" s="4">
        <v>225</v>
      </c>
      <c r="C226" s="4" t="s">
        <v>45</v>
      </c>
      <c r="D226" s="4" t="s">
        <v>23</v>
      </c>
      <c r="E226" s="4" t="s">
        <v>35</v>
      </c>
      <c r="F226" s="4" t="s">
        <v>24</v>
      </c>
      <c r="G226" s="4" t="s">
        <v>30</v>
      </c>
      <c r="H226" s="4" t="s">
        <v>34</v>
      </c>
      <c r="I226" s="4">
        <v>8</v>
      </c>
      <c r="J226" s="5">
        <v>35.799999999999997</v>
      </c>
      <c r="K226" s="6">
        <v>1.33</v>
      </c>
      <c r="L226" s="4">
        <v>0</v>
      </c>
      <c r="M226" s="4">
        <v>113</v>
      </c>
      <c r="N226" s="4">
        <v>79</v>
      </c>
      <c r="O226" s="4" t="s">
        <v>21</v>
      </c>
      <c r="P226" s="7" t="s">
        <v>19</v>
      </c>
      <c r="S226">
        <v>474</v>
      </c>
      <c r="T226" t="str">
        <v>Nampula</v>
      </c>
      <c r="U226" t="str">
        <v>Masculino</v>
      </c>
      <c r="V226" t="str">
        <v>Solteiro(a)</v>
      </c>
      <c r="W226" t="str">
        <v>Primaria</v>
      </c>
      <c r="X226" t="str">
        <v>Nao</v>
      </c>
      <c r="Y226" t="str">
        <v>Diarreia</v>
      </c>
      <c r="Z226">
        <v>13</v>
      </c>
      <c r="AA226">
        <v>50.1</v>
      </c>
      <c r="AB226">
        <v>1.65</v>
      </c>
      <c r="AC226">
        <v>1</v>
      </c>
      <c r="AD226">
        <v>97</v>
      </c>
      <c r="AE226">
        <v>102</v>
      </c>
      <c r="AF226" t="str">
        <v>Urbana</v>
      </c>
      <c r="AG226" t="str">
        <v>Nao</v>
      </c>
    </row>
    <row r="227" spans="2:33" x14ac:dyDescent="0.45">
      <c r="B227" s="4">
        <v>226</v>
      </c>
      <c r="C227" s="4" t="s">
        <v>27</v>
      </c>
      <c r="D227" s="4" t="s">
        <v>23</v>
      </c>
      <c r="E227" s="4" t="s">
        <v>35</v>
      </c>
      <c r="F227" s="4" t="s">
        <v>42</v>
      </c>
      <c r="G227" s="4" t="s">
        <v>30</v>
      </c>
      <c r="H227" s="4" t="s">
        <v>28</v>
      </c>
      <c r="I227" s="4">
        <v>8</v>
      </c>
      <c r="J227" s="5">
        <v>25</v>
      </c>
      <c r="K227" s="6">
        <v>1.25</v>
      </c>
      <c r="L227" s="4">
        <v>1</v>
      </c>
      <c r="M227" s="4">
        <v>106</v>
      </c>
      <c r="N227" s="4">
        <v>85</v>
      </c>
      <c r="O227" s="4" t="s">
        <v>21</v>
      </c>
      <c r="P227" s="7" t="s">
        <v>30</v>
      </c>
      <c r="S227">
        <v>477</v>
      </c>
      <c r="T227" t="str">
        <v>Sofala</v>
      </c>
      <c r="U227" t="str">
        <v>Masculino</v>
      </c>
      <c r="V227" t="str">
        <v>Casado(a)</v>
      </c>
      <c r="W227" t="str">
        <v>Nenhuma</v>
      </c>
      <c r="X227" t="str">
        <v>Nao</v>
      </c>
      <c r="Y227" t="str">
        <v>Diarreia</v>
      </c>
      <c r="Z227">
        <v>47</v>
      </c>
      <c r="AA227">
        <v>62.7</v>
      </c>
      <c r="AB227">
        <v>1.54</v>
      </c>
      <c r="AC227">
        <v>2</v>
      </c>
      <c r="AD227">
        <v>133</v>
      </c>
      <c r="AE227">
        <v>103</v>
      </c>
      <c r="AF227" t="str">
        <v>Rural</v>
      </c>
      <c r="AG227" t="str">
        <v>Sim</v>
      </c>
    </row>
    <row r="228" spans="2:33" x14ac:dyDescent="0.45">
      <c r="B228" s="4">
        <v>227</v>
      </c>
      <c r="C228" s="4" t="s">
        <v>41</v>
      </c>
      <c r="D228" s="4" t="s">
        <v>23</v>
      </c>
      <c r="E228" s="4" t="s">
        <v>37</v>
      </c>
      <c r="F228" s="4" t="s">
        <v>18</v>
      </c>
      <c r="G228" s="4" t="s">
        <v>30</v>
      </c>
      <c r="H228" s="4" t="s">
        <v>38</v>
      </c>
      <c r="I228" s="4">
        <v>3</v>
      </c>
      <c r="J228" s="5">
        <v>17.600000000000001</v>
      </c>
      <c r="K228" s="6">
        <v>0.63</v>
      </c>
      <c r="L228" s="4">
        <v>2</v>
      </c>
      <c r="M228" s="4">
        <v>106</v>
      </c>
      <c r="N228" s="4">
        <v>81</v>
      </c>
      <c r="O228" s="4" t="s">
        <v>21</v>
      </c>
      <c r="P228" s="7" t="s">
        <v>19</v>
      </c>
      <c r="S228">
        <v>478</v>
      </c>
      <c r="T228" t="str">
        <v>Nampula</v>
      </c>
      <c r="U228" t="str">
        <v>Masculino</v>
      </c>
      <c r="V228" t="str">
        <v>Casado(a)</v>
      </c>
      <c r="W228" t="str">
        <v>Secundaria</v>
      </c>
      <c r="X228" t="str">
        <v>Sim</v>
      </c>
      <c r="Y228" t="str">
        <v>Pneumonia</v>
      </c>
      <c r="Z228">
        <v>7</v>
      </c>
      <c r="AA228">
        <v>23.2</v>
      </c>
      <c r="AB228">
        <v>1.28</v>
      </c>
      <c r="AC228">
        <v>2</v>
      </c>
      <c r="AD228">
        <v>104</v>
      </c>
      <c r="AE228">
        <v>88</v>
      </c>
      <c r="AF228" t="str">
        <v>Urbana</v>
      </c>
      <c r="AG228" t="str">
        <v>Nao</v>
      </c>
    </row>
    <row r="229" spans="2:33" x14ac:dyDescent="0.45">
      <c r="B229" s="4">
        <v>228</v>
      </c>
      <c r="C229" s="4" t="s">
        <v>41</v>
      </c>
      <c r="D229" s="4" t="s">
        <v>16</v>
      </c>
      <c r="E229" s="4" t="s">
        <v>17</v>
      </c>
      <c r="F229" s="4" t="s">
        <v>24</v>
      </c>
      <c r="G229" s="4" t="s">
        <v>19</v>
      </c>
      <c r="H229" s="4" t="s">
        <v>32</v>
      </c>
      <c r="I229" s="4">
        <v>0</v>
      </c>
      <c r="J229" s="5">
        <v>16.5</v>
      </c>
      <c r="K229" s="6">
        <v>0.78</v>
      </c>
      <c r="L229" s="4">
        <v>1</v>
      </c>
      <c r="M229" s="4">
        <v>105</v>
      </c>
      <c r="N229" s="4">
        <v>141</v>
      </c>
      <c r="O229" s="4" t="s">
        <v>26</v>
      </c>
      <c r="P229" s="7" t="s">
        <v>19</v>
      </c>
      <c r="S229">
        <v>479</v>
      </c>
      <c r="T229" t="str">
        <v>Gaza</v>
      </c>
      <c r="U229" t="str">
        <v>Masculino</v>
      </c>
      <c r="V229" t="str">
        <v>Solteiro(a)</v>
      </c>
      <c r="W229" t="str">
        <v>Nenhuma</v>
      </c>
      <c r="X229" t="str">
        <v>Nao</v>
      </c>
      <c r="Y229" t="str">
        <v>Nenhuma</v>
      </c>
      <c r="Z229">
        <v>38</v>
      </c>
      <c r="AA229">
        <v>94.4</v>
      </c>
      <c r="AB229">
        <v>1.49</v>
      </c>
      <c r="AC229">
        <v>9</v>
      </c>
      <c r="AD229">
        <v>127</v>
      </c>
      <c r="AE229">
        <v>92</v>
      </c>
      <c r="AF229" t="str">
        <v>Rural</v>
      </c>
      <c r="AG229" t="str">
        <v>Sim</v>
      </c>
    </row>
    <row r="230" spans="2:33" x14ac:dyDescent="0.45">
      <c r="B230" s="4">
        <v>229</v>
      </c>
      <c r="C230" s="4" t="s">
        <v>41</v>
      </c>
      <c r="D230" s="4" t="s">
        <v>16</v>
      </c>
      <c r="E230" s="4" t="s">
        <v>35</v>
      </c>
      <c r="F230" s="4" t="s">
        <v>28</v>
      </c>
      <c r="G230" s="4" t="s">
        <v>19</v>
      </c>
      <c r="H230" s="4" t="s">
        <v>28</v>
      </c>
      <c r="I230" s="4">
        <v>45</v>
      </c>
      <c r="J230" s="5">
        <v>82.3</v>
      </c>
      <c r="K230" s="6">
        <v>1.57</v>
      </c>
      <c r="L230" s="4">
        <v>1</v>
      </c>
      <c r="M230" s="4">
        <v>106</v>
      </c>
      <c r="N230" s="4">
        <v>99</v>
      </c>
      <c r="O230" s="4" t="s">
        <v>21</v>
      </c>
      <c r="P230" s="7" t="s">
        <v>19</v>
      </c>
      <c r="S230">
        <v>481</v>
      </c>
      <c r="T230" t="str">
        <v>Maputo Provincia</v>
      </c>
      <c r="U230" t="str">
        <v>Masculino</v>
      </c>
      <c r="V230" t="str">
        <v>Solteiro(a)</v>
      </c>
      <c r="W230" t="str">
        <v>Primaria</v>
      </c>
      <c r="X230" t="str">
        <v>Nao</v>
      </c>
      <c r="Y230" t="str">
        <v>Malaria</v>
      </c>
      <c r="Z230">
        <v>7</v>
      </c>
      <c r="AA230">
        <v>35.5</v>
      </c>
      <c r="AB230">
        <v>1.3</v>
      </c>
      <c r="AC230">
        <v>1</v>
      </c>
      <c r="AD230">
        <v>116</v>
      </c>
      <c r="AE230">
        <v>86</v>
      </c>
      <c r="AF230" t="str">
        <v>Rural</v>
      </c>
      <c r="AG230" t="str">
        <v>Nao</v>
      </c>
    </row>
    <row r="231" spans="2:33" x14ac:dyDescent="0.45">
      <c r="B231" s="4">
        <v>230</v>
      </c>
      <c r="C231" s="4" t="s">
        <v>15</v>
      </c>
      <c r="D231" s="4" t="s">
        <v>23</v>
      </c>
      <c r="E231" s="4" t="s">
        <v>35</v>
      </c>
      <c r="F231" s="4" t="s">
        <v>18</v>
      </c>
      <c r="G231" s="4" t="s">
        <v>19</v>
      </c>
      <c r="H231" s="4" t="s">
        <v>32</v>
      </c>
      <c r="I231" s="4">
        <v>37</v>
      </c>
      <c r="J231" s="5">
        <v>54.7</v>
      </c>
      <c r="K231" s="6">
        <v>1.58</v>
      </c>
      <c r="L231" s="4">
        <v>4</v>
      </c>
      <c r="M231" s="4">
        <v>121</v>
      </c>
      <c r="N231" s="4">
        <v>165</v>
      </c>
      <c r="O231" s="4" t="s">
        <v>26</v>
      </c>
      <c r="P231" s="7" t="s">
        <v>19</v>
      </c>
      <c r="S231">
        <v>483</v>
      </c>
      <c r="T231" t="str">
        <v>Sofala</v>
      </c>
      <c r="U231" t="str">
        <v>Masculino</v>
      </c>
      <c r="V231" t="str">
        <v>Casado(a)</v>
      </c>
      <c r="W231" t="str">
        <v>Secundaria</v>
      </c>
      <c r="X231" t="str">
        <v>Sim</v>
      </c>
      <c r="Y231" t="str">
        <v>Diarreia</v>
      </c>
      <c r="Z231">
        <v>16</v>
      </c>
      <c r="AA231">
        <v>59</v>
      </c>
      <c r="AB231">
        <v>1.67</v>
      </c>
      <c r="AC231">
        <v>6</v>
      </c>
      <c r="AD231">
        <v>114</v>
      </c>
      <c r="AE231">
        <v>81</v>
      </c>
      <c r="AF231" t="str">
        <v>Urbana</v>
      </c>
      <c r="AG231" t="str">
        <v>Sim</v>
      </c>
    </row>
    <row r="232" spans="2:33" x14ac:dyDescent="0.45">
      <c r="B232" s="4">
        <v>231</v>
      </c>
      <c r="C232" s="4" t="s">
        <v>43</v>
      </c>
      <c r="D232" s="4" t="s">
        <v>23</v>
      </c>
      <c r="E232" s="4" t="s">
        <v>35</v>
      </c>
      <c r="F232" s="4" t="s">
        <v>24</v>
      </c>
      <c r="G232" s="4" t="s">
        <v>19</v>
      </c>
      <c r="H232" s="4" t="s">
        <v>20</v>
      </c>
      <c r="I232" s="4">
        <v>27</v>
      </c>
      <c r="J232" s="5">
        <v>46.2</v>
      </c>
      <c r="K232" s="6">
        <v>1.61</v>
      </c>
      <c r="L232" s="4">
        <v>6</v>
      </c>
      <c r="M232" s="4">
        <v>131</v>
      </c>
      <c r="N232" s="4">
        <v>104</v>
      </c>
      <c r="O232" s="4" t="s">
        <v>26</v>
      </c>
      <c r="P232" s="7" t="s">
        <v>30</v>
      </c>
      <c r="S232">
        <v>485</v>
      </c>
      <c r="T232" t="str">
        <v>Maputo Provincia</v>
      </c>
      <c r="U232" t="str">
        <v>Masculino</v>
      </c>
      <c r="V232" t="str">
        <v>Viuvo(a)</v>
      </c>
      <c r="W232" t="str">
        <v>Superior</v>
      </c>
      <c r="X232" t="str">
        <v>Nao</v>
      </c>
      <c r="Y232" t="str">
        <v>Malaria</v>
      </c>
      <c r="Z232">
        <v>11</v>
      </c>
      <c r="AA232">
        <v>25.2</v>
      </c>
      <c r="AB232">
        <v>1.06</v>
      </c>
      <c r="AC232">
        <v>3</v>
      </c>
      <c r="AD232">
        <v>96</v>
      </c>
      <c r="AE232">
        <v>100</v>
      </c>
      <c r="AF232" t="str">
        <v>Rural</v>
      </c>
      <c r="AG232" t="str">
        <v>Nao</v>
      </c>
    </row>
    <row r="233" spans="2:33" x14ac:dyDescent="0.45">
      <c r="B233" s="4">
        <v>232</v>
      </c>
      <c r="C233" s="4" t="s">
        <v>39</v>
      </c>
      <c r="D233" s="4" t="s">
        <v>16</v>
      </c>
      <c r="E233" s="4" t="s">
        <v>35</v>
      </c>
      <c r="F233" s="4" t="s">
        <v>24</v>
      </c>
      <c r="G233" s="4" t="s">
        <v>19</v>
      </c>
      <c r="H233" s="4" t="s">
        <v>28</v>
      </c>
      <c r="I233" s="4">
        <v>58</v>
      </c>
      <c r="J233" s="5">
        <v>83.4</v>
      </c>
      <c r="K233" s="6">
        <v>1.66</v>
      </c>
      <c r="L233" s="4">
        <v>2</v>
      </c>
      <c r="M233" s="4">
        <v>130</v>
      </c>
      <c r="N233" s="4">
        <v>88</v>
      </c>
      <c r="O233" s="4" t="s">
        <v>26</v>
      </c>
      <c r="P233" s="7" t="s">
        <v>19</v>
      </c>
      <c r="S233">
        <v>486</v>
      </c>
      <c r="T233" t="str">
        <v>Niassa</v>
      </c>
      <c r="U233" t="str">
        <v>Masculino</v>
      </c>
      <c r="V233" t="str">
        <v>Solteiro(a)</v>
      </c>
      <c r="W233" t="str">
        <v>Secundaria</v>
      </c>
      <c r="X233" t="str">
        <v>Nao</v>
      </c>
      <c r="Y233" t="str">
        <v>Diabetes</v>
      </c>
      <c r="Z233">
        <v>2</v>
      </c>
      <c r="AA233">
        <v>9.6999999999999993</v>
      </c>
      <c r="AB233">
        <v>0.7</v>
      </c>
      <c r="AC233">
        <v>2</v>
      </c>
      <c r="AD233">
        <v>121</v>
      </c>
      <c r="AE233">
        <v>166</v>
      </c>
      <c r="AF233" t="str">
        <v>Rural</v>
      </c>
      <c r="AG233" t="str">
        <v>Sim</v>
      </c>
    </row>
    <row r="234" spans="2:33" x14ac:dyDescent="0.45">
      <c r="B234" s="4">
        <v>233</v>
      </c>
      <c r="C234" s="4" t="s">
        <v>15</v>
      </c>
      <c r="D234" s="4" t="s">
        <v>23</v>
      </c>
      <c r="E234" s="4" t="s">
        <v>35</v>
      </c>
      <c r="F234" s="4" t="s">
        <v>18</v>
      </c>
      <c r="G234" s="4" t="s">
        <v>30</v>
      </c>
      <c r="H234" s="4" t="s">
        <v>25</v>
      </c>
      <c r="I234" s="4">
        <v>21</v>
      </c>
      <c r="J234" s="5">
        <v>60.2</v>
      </c>
      <c r="K234" s="6">
        <v>1.64</v>
      </c>
      <c r="L234" s="4">
        <v>2</v>
      </c>
      <c r="M234" s="4">
        <v>113</v>
      </c>
      <c r="N234" s="4">
        <v>77</v>
      </c>
      <c r="O234" s="4" t="s">
        <v>21</v>
      </c>
      <c r="P234" s="7" t="s">
        <v>30</v>
      </c>
      <c r="S234">
        <v>490</v>
      </c>
      <c r="T234" t="str">
        <v>Gaza</v>
      </c>
      <c r="U234" t="str">
        <v>Masculino</v>
      </c>
      <c r="V234" t="str">
        <v>Solteiro(a)</v>
      </c>
      <c r="W234" t="str">
        <v>Secundaria</v>
      </c>
      <c r="X234" t="str">
        <v>Nao</v>
      </c>
      <c r="Y234" t="str">
        <v>Nenhuma</v>
      </c>
      <c r="Z234">
        <v>58</v>
      </c>
      <c r="AA234">
        <v>74.599999999999994</v>
      </c>
      <c r="AB234">
        <v>1.65</v>
      </c>
      <c r="AC234">
        <v>1</v>
      </c>
      <c r="AD234">
        <v>133</v>
      </c>
      <c r="AE234">
        <v>98</v>
      </c>
      <c r="AF234" t="str">
        <v>Rural</v>
      </c>
      <c r="AG234" t="str">
        <v>Sim</v>
      </c>
    </row>
    <row r="235" spans="2:33" x14ac:dyDescent="0.45">
      <c r="B235" s="4">
        <v>234</v>
      </c>
      <c r="C235" s="4" t="s">
        <v>31</v>
      </c>
      <c r="D235" s="4" t="s">
        <v>23</v>
      </c>
      <c r="E235" s="4" t="s">
        <v>35</v>
      </c>
      <c r="F235" s="4" t="s">
        <v>28</v>
      </c>
      <c r="G235" s="4" t="s">
        <v>19</v>
      </c>
      <c r="H235" s="4" t="s">
        <v>36</v>
      </c>
      <c r="I235" s="4">
        <v>60</v>
      </c>
      <c r="J235" s="5">
        <v>91.4</v>
      </c>
      <c r="K235" s="6">
        <v>1.83</v>
      </c>
      <c r="L235" s="4">
        <v>6</v>
      </c>
      <c r="M235" s="4">
        <v>146</v>
      </c>
      <c r="N235" s="4">
        <v>71</v>
      </c>
      <c r="O235" s="4" t="s">
        <v>21</v>
      </c>
      <c r="P235" s="7" t="s">
        <v>30</v>
      </c>
      <c r="S235">
        <v>492</v>
      </c>
      <c r="T235" t="str">
        <v>Maputo Cidade</v>
      </c>
      <c r="U235" t="str">
        <v>Masculino</v>
      </c>
      <c r="V235" t="str">
        <v>Solteiro(a)</v>
      </c>
      <c r="W235" t="str">
        <v>Primaria</v>
      </c>
      <c r="X235" t="str">
        <v>Sim</v>
      </c>
      <c r="Y235" t="str">
        <v>Tuberculose</v>
      </c>
      <c r="Z235">
        <v>62</v>
      </c>
      <c r="AA235">
        <v>62.3</v>
      </c>
      <c r="AB235">
        <v>1.7</v>
      </c>
      <c r="AC235">
        <v>1</v>
      </c>
      <c r="AD235">
        <v>122</v>
      </c>
      <c r="AE235">
        <v>100</v>
      </c>
      <c r="AF235" t="str">
        <v>Rural</v>
      </c>
      <c r="AG235" t="str">
        <v>Nao</v>
      </c>
    </row>
    <row r="236" spans="2:33" x14ac:dyDescent="0.45">
      <c r="B236" s="4">
        <v>235</v>
      </c>
      <c r="C236" s="4" t="s">
        <v>22</v>
      </c>
      <c r="D236" s="4" t="s">
        <v>23</v>
      </c>
      <c r="E236" s="4" t="s">
        <v>37</v>
      </c>
      <c r="F236" s="4" t="s">
        <v>28</v>
      </c>
      <c r="G236" s="4" t="s">
        <v>30</v>
      </c>
      <c r="H236" s="4" t="s">
        <v>20</v>
      </c>
      <c r="I236" s="4">
        <v>57</v>
      </c>
      <c r="J236" s="5">
        <v>82.3</v>
      </c>
      <c r="K236" s="6">
        <v>1.81</v>
      </c>
      <c r="L236" s="4">
        <v>5</v>
      </c>
      <c r="M236" s="4">
        <v>120</v>
      </c>
      <c r="N236" s="4">
        <v>85</v>
      </c>
      <c r="O236" s="4" t="s">
        <v>21</v>
      </c>
      <c r="P236" s="7" t="s">
        <v>19</v>
      </c>
      <c r="S236">
        <v>494</v>
      </c>
      <c r="T236" t="str">
        <v>Tete</v>
      </c>
      <c r="U236" t="str">
        <v>Masculino</v>
      </c>
      <c r="V236" t="str">
        <v>Casado(a)</v>
      </c>
      <c r="W236" t="str">
        <v>Secundaria</v>
      </c>
      <c r="X236" t="str">
        <v>Sim</v>
      </c>
      <c r="Y236" t="str">
        <v>Diabetes</v>
      </c>
      <c r="Z236">
        <v>52</v>
      </c>
      <c r="AA236">
        <v>75.400000000000006</v>
      </c>
      <c r="AB236">
        <v>1.84</v>
      </c>
      <c r="AC236">
        <v>2</v>
      </c>
      <c r="AD236">
        <v>117</v>
      </c>
      <c r="AE236">
        <v>146</v>
      </c>
      <c r="AF236" t="str">
        <v>Rural</v>
      </c>
      <c r="AG236" t="str">
        <v>Sim</v>
      </c>
    </row>
    <row r="237" spans="2:33" x14ac:dyDescent="0.45">
      <c r="B237" s="4">
        <v>236</v>
      </c>
      <c r="C237" s="4" t="s">
        <v>41</v>
      </c>
      <c r="D237" s="4" t="s">
        <v>23</v>
      </c>
      <c r="E237" s="4" t="s">
        <v>17</v>
      </c>
      <c r="F237" s="4" t="s">
        <v>18</v>
      </c>
      <c r="G237" s="4" t="s">
        <v>19</v>
      </c>
      <c r="H237" s="4" t="s">
        <v>38</v>
      </c>
      <c r="I237" s="4">
        <v>31</v>
      </c>
      <c r="J237" s="5">
        <v>66.8</v>
      </c>
      <c r="K237" s="6">
        <v>1.73</v>
      </c>
      <c r="L237" s="4">
        <v>0</v>
      </c>
      <c r="M237" s="4">
        <v>118</v>
      </c>
      <c r="N237" s="4">
        <v>100</v>
      </c>
      <c r="O237" s="4" t="s">
        <v>26</v>
      </c>
      <c r="P237" s="7" t="s">
        <v>30</v>
      </c>
      <c r="S237">
        <v>495</v>
      </c>
      <c r="T237" t="str">
        <v>Tete</v>
      </c>
      <c r="U237" t="str">
        <v>Masculino</v>
      </c>
      <c r="V237" t="str">
        <v>Solteiro(a)</v>
      </c>
      <c r="W237" t="str">
        <v>Primaria</v>
      </c>
      <c r="X237" t="str">
        <v>Nao</v>
      </c>
      <c r="Y237" t="str">
        <v>Nenhuma</v>
      </c>
      <c r="Z237">
        <v>28</v>
      </c>
      <c r="AA237">
        <v>67.8</v>
      </c>
      <c r="AB237">
        <v>1.81</v>
      </c>
      <c r="AC237">
        <v>2</v>
      </c>
      <c r="AD237">
        <v>111</v>
      </c>
      <c r="AE237">
        <v>102</v>
      </c>
      <c r="AF237" t="str">
        <v>Rural</v>
      </c>
      <c r="AG237" t="str">
        <v>Nao</v>
      </c>
    </row>
    <row r="238" spans="2:33" x14ac:dyDescent="0.45">
      <c r="B238" s="4">
        <v>237</v>
      </c>
      <c r="C238" s="4" t="s">
        <v>22</v>
      </c>
      <c r="D238" s="4" t="s">
        <v>23</v>
      </c>
      <c r="E238" s="4" t="s">
        <v>35</v>
      </c>
      <c r="F238" s="4" t="s">
        <v>42</v>
      </c>
      <c r="G238" s="4" t="s">
        <v>30</v>
      </c>
      <c r="H238" s="4" t="s">
        <v>28</v>
      </c>
      <c r="I238" s="4">
        <v>19</v>
      </c>
      <c r="J238" s="5">
        <v>52.2</v>
      </c>
      <c r="K238" s="6">
        <v>1.81</v>
      </c>
      <c r="L238" s="4">
        <v>1</v>
      </c>
      <c r="M238" s="4">
        <v>100</v>
      </c>
      <c r="N238" s="4">
        <v>74</v>
      </c>
      <c r="O238" s="4" t="s">
        <v>26</v>
      </c>
      <c r="P238" s="7" t="s">
        <v>19</v>
      </c>
      <c r="S238">
        <v>497</v>
      </c>
      <c r="T238" t="str">
        <v>Nampula</v>
      </c>
      <c r="U238" t="str">
        <v>Masculino</v>
      </c>
      <c r="V238" t="str">
        <v>Viuvo(a)</v>
      </c>
      <c r="W238" t="str">
        <v>Primaria</v>
      </c>
      <c r="X238" t="str">
        <v>Nao</v>
      </c>
      <c r="Y238" t="str">
        <v>Nenhuma</v>
      </c>
      <c r="Z238">
        <v>7</v>
      </c>
      <c r="AA238">
        <v>38</v>
      </c>
      <c r="AB238">
        <v>1.27</v>
      </c>
      <c r="AC238">
        <v>5</v>
      </c>
      <c r="AD238">
        <v>98</v>
      </c>
      <c r="AE238">
        <v>74</v>
      </c>
      <c r="AF238" t="str">
        <v>Urbana</v>
      </c>
      <c r="AG238" t="str">
        <v>Nao</v>
      </c>
    </row>
    <row r="239" spans="2:33" x14ac:dyDescent="0.45">
      <c r="B239" s="4">
        <v>238</v>
      </c>
      <c r="C239" s="4" t="s">
        <v>22</v>
      </c>
      <c r="D239" s="4" t="s">
        <v>16</v>
      </c>
      <c r="E239" s="4" t="s">
        <v>35</v>
      </c>
      <c r="F239" s="4" t="s">
        <v>42</v>
      </c>
      <c r="G239" s="4" t="s">
        <v>19</v>
      </c>
      <c r="H239" s="4" t="s">
        <v>36</v>
      </c>
      <c r="I239" s="4">
        <v>15</v>
      </c>
      <c r="J239" s="5">
        <v>44.6</v>
      </c>
      <c r="K239" s="6">
        <v>1.49</v>
      </c>
      <c r="L239" s="4">
        <v>8</v>
      </c>
      <c r="M239" s="4">
        <v>139</v>
      </c>
      <c r="N239" s="4">
        <v>100</v>
      </c>
      <c r="O239" s="4" t="s">
        <v>26</v>
      </c>
      <c r="P239" s="7" t="s">
        <v>19</v>
      </c>
      <c r="S239">
        <v>498</v>
      </c>
      <c r="T239" t="str">
        <v>Inhambane</v>
      </c>
      <c r="U239" t="str">
        <v>Masculino</v>
      </c>
      <c r="V239" t="str">
        <v>Solteiro(a)</v>
      </c>
      <c r="W239" t="str">
        <v>Nenhuma</v>
      </c>
      <c r="X239" t="str">
        <v>Nao</v>
      </c>
      <c r="Y239" t="str">
        <v>Diarreia</v>
      </c>
      <c r="Z239">
        <v>20</v>
      </c>
      <c r="AA239">
        <v>90.7</v>
      </c>
      <c r="AB239">
        <v>1.86</v>
      </c>
      <c r="AC239">
        <v>4</v>
      </c>
      <c r="AD239">
        <v>97</v>
      </c>
      <c r="AE239">
        <v>87</v>
      </c>
      <c r="AF239" t="str">
        <v>Rural</v>
      </c>
      <c r="AG239" t="str">
        <v>Nao</v>
      </c>
    </row>
    <row r="240" spans="2:33" x14ac:dyDescent="0.45">
      <c r="B240" s="4">
        <v>239</v>
      </c>
      <c r="C240" s="4" t="s">
        <v>22</v>
      </c>
      <c r="D240" s="4" t="s">
        <v>16</v>
      </c>
      <c r="E240" s="4" t="s">
        <v>17</v>
      </c>
      <c r="F240" s="4" t="s">
        <v>18</v>
      </c>
      <c r="G240" s="4" t="s">
        <v>30</v>
      </c>
      <c r="H240" s="4" t="s">
        <v>34</v>
      </c>
      <c r="I240" s="4">
        <v>20</v>
      </c>
      <c r="J240" s="5">
        <v>55.1</v>
      </c>
      <c r="K240" s="6">
        <v>1.88</v>
      </c>
      <c r="L240" s="4">
        <v>1</v>
      </c>
      <c r="M240" s="4">
        <v>108</v>
      </c>
      <c r="N240" s="4">
        <v>72</v>
      </c>
      <c r="O240" s="4" t="s">
        <v>26</v>
      </c>
      <c r="P240" s="7" t="s">
        <v>30</v>
      </c>
      <c r="S240">
        <v>504</v>
      </c>
      <c r="T240" t="str">
        <v>Maputo Provincia</v>
      </c>
      <c r="U240" t="str">
        <v>Masculino</v>
      </c>
      <c r="V240" t="str">
        <v>Solteiro(a)</v>
      </c>
      <c r="W240" t="str">
        <v>Nenhuma</v>
      </c>
      <c r="X240" t="str">
        <v>Nao</v>
      </c>
      <c r="Y240" t="str">
        <v>Hipertensao</v>
      </c>
      <c r="Z240">
        <v>10</v>
      </c>
      <c r="AA240">
        <v>28.8</v>
      </c>
      <c r="AB240">
        <v>1.1000000000000001</v>
      </c>
      <c r="AC240">
        <v>3</v>
      </c>
      <c r="AD240">
        <v>126</v>
      </c>
      <c r="AE240">
        <v>84</v>
      </c>
      <c r="AF240" t="str">
        <v>Rural</v>
      </c>
      <c r="AG240" t="str">
        <v>Nao</v>
      </c>
    </row>
    <row r="241" spans="2:33" x14ac:dyDescent="0.45">
      <c r="B241" s="4">
        <v>240</v>
      </c>
      <c r="C241" s="4" t="s">
        <v>27</v>
      </c>
      <c r="D241" s="4" t="s">
        <v>23</v>
      </c>
      <c r="E241" s="4" t="s">
        <v>17</v>
      </c>
      <c r="F241" s="4" t="s">
        <v>18</v>
      </c>
      <c r="G241" s="4" t="s">
        <v>19</v>
      </c>
      <c r="H241" s="4" t="s">
        <v>25</v>
      </c>
      <c r="I241" s="4">
        <v>1</v>
      </c>
      <c r="J241" s="5">
        <v>17.2</v>
      </c>
      <c r="K241" s="6">
        <v>0.83</v>
      </c>
      <c r="L241" s="4">
        <v>4</v>
      </c>
      <c r="M241" s="4">
        <v>108</v>
      </c>
      <c r="N241" s="4">
        <v>72</v>
      </c>
      <c r="O241" s="4" t="s">
        <v>26</v>
      </c>
      <c r="P241" s="7" t="s">
        <v>19</v>
      </c>
      <c r="S241">
        <v>506</v>
      </c>
      <c r="T241" t="str">
        <v>Inhambane</v>
      </c>
      <c r="U241" t="str">
        <v>Masculino</v>
      </c>
      <c r="V241" t="str">
        <v>Casado(a)</v>
      </c>
      <c r="W241" t="str">
        <v>Primaria</v>
      </c>
      <c r="X241" t="str">
        <v>Nao</v>
      </c>
      <c r="Y241" t="str">
        <v>Tuberculose</v>
      </c>
      <c r="Z241">
        <v>27</v>
      </c>
      <c r="AA241">
        <v>66.599999999999994</v>
      </c>
      <c r="AB241">
        <v>1.5</v>
      </c>
      <c r="AC241">
        <v>5</v>
      </c>
      <c r="AD241">
        <v>103</v>
      </c>
      <c r="AE241">
        <v>78</v>
      </c>
      <c r="AF241" t="str">
        <v>Urbana</v>
      </c>
      <c r="AG241" t="str">
        <v>Nao</v>
      </c>
    </row>
    <row r="242" spans="2:33" x14ac:dyDescent="0.45">
      <c r="B242" s="4">
        <v>241</v>
      </c>
      <c r="C242" s="4" t="s">
        <v>22</v>
      </c>
      <c r="D242" s="4" t="s">
        <v>23</v>
      </c>
      <c r="E242" s="4" t="s">
        <v>17</v>
      </c>
      <c r="F242" s="4" t="s">
        <v>24</v>
      </c>
      <c r="G242" s="4" t="s">
        <v>19</v>
      </c>
      <c r="H242" s="4" t="s">
        <v>25</v>
      </c>
      <c r="I242" s="4">
        <v>24</v>
      </c>
      <c r="J242" s="5">
        <v>52.3</v>
      </c>
      <c r="K242" s="6">
        <v>1.82</v>
      </c>
      <c r="L242" s="4">
        <v>2</v>
      </c>
      <c r="M242" s="4">
        <v>104</v>
      </c>
      <c r="N242" s="4">
        <v>91</v>
      </c>
      <c r="O242" s="4" t="s">
        <v>26</v>
      </c>
      <c r="P242" s="7" t="s">
        <v>19</v>
      </c>
      <c r="S242">
        <v>509</v>
      </c>
      <c r="T242" t="str">
        <v>Nampula</v>
      </c>
      <c r="U242" t="str">
        <v>Masculino</v>
      </c>
      <c r="V242" t="str">
        <v>Casado(a)</v>
      </c>
      <c r="W242" t="str">
        <v>Secundaria</v>
      </c>
      <c r="X242" t="str">
        <v>Sim</v>
      </c>
      <c r="Y242" t="str">
        <v>Tuberculose</v>
      </c>
      <c r="Z242">
        <v>3</v>
      </c>
      <c r="AA242">
        <v>9</v>
      </c>
      <c r="AB242">
        <v>1.02</v>
      </c>
      <c r="AC242">
        <v>5</v>
      </c>
      <c r="AD242">
        <v>108</v>
      </c>
      <c r="AE242">
        <v>86</v>
      </c>
      <c r="AF242" t="str">
        <v>Rural</v>
      </c>
      <c r="AG242" t="str">
        <v>Sim</v>
      </c>
    </row>
    <row r="243" spans="2:33" x14ac:dyDescent="0.45">
      <c r="B243" s="4">
        <v>242</v>
      </c>
      <c r="C243" s="4" t="s">
        <v>31</v>
      </c>
      <c r="D243" s="4" t="s">
        <v>16</v>
      </c>
      <c r="E243" s="4" t="s">
        <v>35</v>
      </c>
      <c r="F243" s="4" t="s">
        <v>18</v>
      </c>
      <c r="G243" s="4" t="s">
        <v>19</v>
      </c>
      <c r="H243" s="4" t="s">
        <v>20</v>
      </c>
      <c r="I243" s="4">
        <v>18</v>
      </c>
      <c r="J243" s="5">
        <v>67.099999999999994</v>
      </c>
      <c r="K243" s="6">
        <v>1.9</v>
      </c>
      <c r="L243" s="4">
        <v>2</v>
      </c>
      <c r="M243" s="4">
        <v>111</v>
      </c>
      <c r="N243" s="4">
        <v>103</v>
      </c>
      <c r="O243" s="4" t="s">
        <v>21</v>
      </c>
      <c r="P243" s="7" t="s">
        <v>19</v>
      </c>
      <c r="S243">
        <v>510</v>
      </c>
      <c r="T243" t="str">
        <v>Maputo Cidade</v>
      </c>
      <c r="U243" t="str">
        <v>Masculino</v>
      </c>
      <c r="V243" t="str">
        <v>Casado(a)</v>
      </c>
      <c r="W243" t="str">
        <v>Superior</v>
      </c>
      <c r="X243" t="str">
        <v>Nao</v>
      </c>
      <c r="Y243" t="str">
        <v>Malaria</v>
      </c>
      <c r="Z243">
        <v>12</v>
      </c>
      <c r="AA243">
        <v>44.3</v>
      </c>
      <c r="AB243">
        <v>1.66</v>
      </c>
      <c r="AC243">
        <v>0</v>
      </c>
      <c r="AD243">
        <v>104</v>
      </c>
      <c r="AE243">
        <v>77</v>
      </c>
      <c r="AF243" t="str">
        <v>Urbana</v>
      </c>
      <c r="AG243" t="str">
        <v>Nao</v>
      </c>
    </row>
    <row r="244" spans="2:33" x14ac:dyDescent="0.45">
      <c r="B244" s="4">
        <v>243</v>
      </c>
      <c r="C244" s="4" t="s">
        <v>45</v>
      </c>
      <c r="D244" s="4" t="s">
        <v>16</v>
      </c>
      <c r="E244" s="4" t="s">
        <v>35</v>
      </c>
      <c r="F244" s="4" t="s">
        <v>28</v>
      </c>
      <c r="G244" s="4" t="s">
        <v>19</v>
      </c>
      <c r="H244" s="4" t="s">
        <v>20</v>
      </c>
      <c r="I244" s="4">
        <v>13</v>
      </c>
      <c r="J244" s="5">
        <v>52.4</v>
      </c>
      <c r="K244" s="6">
        <v>1.53</v>
      </c>
      <c r="L244" s="4">
        <v>1</v>
      </c>
      <c r="M244" s="4">
        <v>105</v>
      </c>
      <c r="N244" s="4">
        <v>94</v>
      </c>
      <c r="O244" s="4" t="s">
        <v>21</v>
      </c>
      <c r="P244" s="7" t="s">
        <v>19</v>
      </c>
      <c r="S244">
        <v>511</v>
      </c>
      <c r="T244" t="str">
        <v>Tete</v>
      </c>
      <c r="U244" t="str">
        <v>Masculino</v>
      </c>
      <c r="V244" t="str">
        <v>Solteiro(a)</v>
      </c>
      <c r="W244" t="str">
        <v>Nenhuma</v>
      </c>
      <c r="X244" t="str">
        <v>Sim</v>
      </c>
      <c r="Y244" t="str">
        <v>Malaria</v>
      </c>
      <c r="Z244">
        <v>42</v>
      </c>
      <c r="AA244">
        <v>83.7</v>
      </c>
      <c r="AB244">
        <v>1.6</v>
      </c>
      <c r="AC244">
        <v>2</v>
      </c>
      <c r="AD244">
        <v>116</v>
      </c>
      <c r="AE244">
        <v>95</v>
      </c>
      <c r="AF244" t="str">
        <v>Urbana</v>
      </c>
      <c r="AG244" t="str">
        <v>Sim</v>
      </c>
    </row>
    <row r="245" spans="2:33" x14ac:dyDescent="0.45">
      <c r="B245" s="4">
        <v>244</v>
      </c>
      <c r="C245" s="4" t="s">
        <v>41</v>
      </c>
      <c r="D245" s="4" t="s">
        <v>16</v>
      </c>
      <c r="E245" s="4" t="s">
        <v>44</v>
      </c>
      <c r="F245" s="4" t="s">
        <v>24</v>
      </c>
      <c r="G245" s="4" t="s">
        <v>19</v>
      </c>
      <c r="H245" s="4" t="s">
        <v>20</v>
      </c>
      <c r="I245" s="4">
        <v>22</v>
      </c>
      <c r="J245" s="5">
        <v>54.4</v>
      </c>
      <c r="K245" s="6">
        <v>1.58</v>
      </c>
      <c r="L245" s="4">
        <v>2</v>
      </c>
      <c r="M245" s="4">
        <v>118</v>
      </c>
      <c r="N245" s="4">
        <v>104</v>
      </c>
      <c r="O245" s="4" t="s">
        <v>26</v>
      </c>
      <c r="P245" s="7" t="s">
        <v>19</v>
      </c>
      <c r="S245">
        <v>514</v>
      </c>
      <c r="T245" t="str">
        <v>Cabo Delgado</v>
      </c>
      <c r="U245" t="str">
        <v>Masculino</v>
      </c>
      <c r="V245" t="str">
        <v>Viuvo(a)</v>
      </c>
      <c r="W245" t="str">
        <v>Superior</v>
      </c>
      <c r="X245" t="str">
        <v>Sim</v>
      </c>
      <c r="Y245" t="str">
        <v>Hipertensao</v>
      </c>
      <c r="Z245">
        <v>45</v>
      </c>
      <c r="AA245">
        <v>53.9</v>
      </c>
      <c r="AB245">
        <v>1.65</v>
      </c>
      <c r="AC245">
        <v>7</v>
      </c>
      <c r="AD245">
        <v>136</v>
      </c>
      <c r="AE245">
        <v>96</v>
      </c>
      <c r="AF245" t="str">
        <v>Rural</v>
      </c>
      <c r="AG245" t="str">
        <v>Nao</v>
      </c>
    </row>
    <row r="246" spans="2:33" x14ac:dyDescent="0.45">
      <c r="B246" s="4">
        <v>245</v>
      </c>
      <c r="C246" s="4" t="s">
        <v>45</v>
      </c>
      <c r="D246" s="4" t="s">
        <v>23</v>
      </c>
      <c r="E246" s="4" t="s">
        <v>17</v>
      </c>
      <c r="F246" s="4" t="s">
        <v>42</v>
      </c>
      <c r="G246" s="4" t="s">
        <v>19</v>
      </c>
      <c r="H246" s="4" t="s">
        <v>25</v>
      </c>
      <c r="I246" s="4">
        <v>16</v>
      </c>
      <c r="J246" s="5">
        <v>48</v>
      </c>
      <c r="K246" s="6">
        <v>1.59</v>
      </c>
      <c r="L246" s="4">
        <v>4</v>
      </c>
      <c r="M246" s="4">
        <v>99</v>
      </c>
      <c r="N246" s="4">
        <v>99</v>
      </c>
      <c r="O246" s="4" t="s">
        <v>21</v>
      </c>
      <c r="P246" s="7" t="s">
        <v>19</v>
      </c>
      <c r="S246">
        <v>515</v>
      </c>
      <c r="T246" t="str">
        <v>Cabo Delgado</v>
      </c>
      <c r="U246" t="str">
        <v>Masculino</v>
      </c>
      <c r="V246" t="str">
        <v>Casado(a)</v>
      </c>
      <c r="W246" t="str">
        <v>Nenhuma</v>
      </c>
      <c r="X246" t="str">
        <v>Nao</v>
      </c>
      <c r="Y246" t="str">
        <v>Malaria</v>
      </c>
      <c r="Z246">
        <v>0</v>
      </c>
      <c r="AA246">
        <v>11.6</v>
      </c>
      <c r="AB246">
        <v>0.65</v>
      </c>
      <c r="AC246">
        <v>2</v>
      </c>
      <c r="AD246">
        <v>97</v>
      </c>
      <c r="AE246">
        <v>97</v>
      </c>
      <c r="AF246" t="str">
        <v>Urbana</v>
      </c>
      <c r="AG246" t="str">
        <v>Nao</v>
      </c>
    </row>
    <row r="247" spans="2:33" x14ac:dyDescent="0.45">
      <c r="B247" s="4">
        <v>246</v>
      </c>
      <c r="C247" s="4" t="s">
        <v>27</v>
      </c>
      <c r="D247" s="4" t="s">
        <v>23</v>
      </c>
      <c r="E247" s="4" t="s">
        <v>17</v>
      </c>
      <c r="F247" s="4" t="s">
        <v>24</v>
      </c>
      <c r="G247" s="4" t="s">
        <v>19</v>
      </c>
      <c r="H247" s="4" t="s">
        <v>34</v>
      </c>
      <c r="I247" s="4">
        <v>39</v>
      </c>
      <c r="J247" s="5">
        <v>91.4</v>
      </c>
      <c r="K247" s="6">
        <v>1.49</v>
      </c>
      <c r="L247" s="4">
        <v>6</v>
      </c>
      <c r="M247" s="4">
        <v>126</v>
      </c>
      <c r="N247" s="4">
        <v>74</v>
      </c>
      <c r="O247" s="4" t="s">
        <v>26</v>
      </c>
      <c r="P247" s="7" t="s">
        <v>30</v>
      </c>
      <c r="S247">
        <v>516</v>
      </c>
      <c r="T247" t="str">
        <v>Tete</v>
      </c>
      <c r="U247" t="str">
        <v>Masculino</v>
      </c>
      <c r="V247" t="str">
        <v>Casado(a)</v>
      </c>
      <c r="W247" t="str">
        <v>Primaria</v>
      </c>
      <c r="X247" t="str">
        <v>Nao</v>
      </c>
      <c r="Y247" t="str">
        <v>Nenhuma</v>
      </c>
      <c r="Z247">
        <v>2</v>
      </c>
      <c r="AA247">
        <v>11.9</v>
      </c>
      <c r="AB247">
        <v>0.64</v>
      </c>
      <c r="AC247">
        <v>2</v>
      </c>
      <c r="AD247">
        <v>106</v>
      </c>
      <c r="AE247">
        <v>91</v>
      </c>
      <c r="AF247" t="str">
        <v>Rural</v>
      </c>
      <c r="AG247" t="str">
        <v>Nao</v>
      </c>
    </row>
    <row r="248" spans="2:33" x14ac:dyDescent="0.45">
      <c r="B248" s="4">
        <v>247</v>
      </c>
      <c r="C248" s="4" t="s">
        <v>41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s">
        <v>38</v>
      </c>
      <c r="I248" s="4">
        <v>26</v>
      </c>
      <c r="J248" s="5">
        <v>48.4</v>
      </c>
      <c r="K248" s="6">
        <v>1.76</v>
      </c>
      <c r="L248" s="4">
        <v>3</v>
      </c>
      <c r="M248" s="4">
        <v>101</v>
      </c>
      <c r="N248" s="4">
        <v>75</v>
      </c>
      <c r="O248" s="4" t="s">
        <v>21</v>
      </c>
      <c r="P248" s="7" t="s">
        <v>19</v>
      </c>
      <c r="S248">
        <v>523</v>
      </c>
      <c r="T248" t="str">
        <v>Tete</v>
      </c>
      <c r="U248" t="str">
        <v>Masculino</v>
      </c>
      <c r="V248" t="str">
        <v>Solteiro(a)</v>
      </c>
      <c r="W248" t="str">
        <v>Secundaria</v>
      </c>
      <c r="X248" t="str">
        <v>Sim</v>
      </c>
      <c r="Y248" t="str">
        <v>Nenhuma</v>
      </c>
      <c r="Z248">
        <v>24</v>
      </c>
      <c r="AA248">
        <v>69.400000000000006</v>
      </c>
      <c r="AB248">
        <v>1.79</v>
      </c>
      <c r="AC248">
        <v>1</v>
      </c>
      <c r="AD248">
        <v>123</v>
      </c>
      <c r="AE248">
        <v>102</v>
      </c>
      <c r="AF248" t="str">
        <v>Urbana</v>
      </c>
      <c r="AG248" t="str">
        <v>Sim</v>
      </c>
    </row>
    <row r="249" spans="2:33" x14ac:dyDescent="0.45">
      <c r="B249" s="4">
        <v>248</v>
      </c>
      <c r="C249" s="4" t="s">
        <v>45</v>
      </c>
      <c r="D249" s="4" t="s">
        <v>16</v>
      </c>
      <c r="E249" s="4" t="s">
        <v>17</v>
      </c>
      <c r="F249" s="4" t="s">
        <v>18</v>
      </c>
      <c r="G249" s="4" t="s">
        <v>19</v>
      </c>
      <c r="H249" s="4" t="s">
        <v>34</v>
      </c>
      <c r="I249" s="4">
        <v>8</v>
      </c>
      <c r="J249" s="5">
        <v>28</v>
      </c>
      <c r="K249" s="6">
        <v>1.2</v>
      </c>
      <c r="L249" s="4">
        <v>0</v>
      </c>
      <c r="M249" s="4">
        <v>100</v>
      </c>
      <c r="N249" s="4">
        <v>87</v>
      </c>
      <c r="O249" s="4" t="s">
        <v>21</v>
      </c>
      <c r="P249" s="7" t="s">
        <v>19</v>
      </c>
      <c r="S249">
        <v>526</v>
      </c>
      <c r="T249" t="str">
        <v>Inhambane</v>
      </c>
      <c r="U249" t="str">
        <v>Masculino</v>
      </c>
      <c r="V249" t="str">
        <v>Solteiro(a)</v>
      </c>
      <c r="W249" t="str">
        <v>Primaria</v>
      </c>
      <c r="X249" t="str">
        <v>Nao</v>
      </c>
      <c r="Y249" t="str">
        <v>Malaria</v>
      </c>
      <c r="Z249">
        <v>12</v>
      </c>
      <c r="AA249">
        <v>47.3</v>
      </c>
      <c r="AB249">
        <v>1.5</v>
      </c>
      <c r="AC249">
        <v>6</v>
      </c>
      <c r="AD249">
        <v>105</v>
      </c>
      <c r="AE249">
        <v>79</v>
      </c>
      <c r="AF249" t="str">
        <v>Rural</v>
      </c>
      <c r="AG249" t="str">
        <v>Nao</v>
      </c>
    </row>
    <row r="250" spans="2:33" x14ac:dyDescent="0.45">
      <c r="B250" s="4">
        <v>249</v>
      </c>
      <c r="C250" s="4" t="s">
        <v>39</v>
      </c>
      <c r="D250" s="4" t="s">
        <v>23</v>
      </c>
      <c r="E250" s="4" t="s">
        <v>17</v>
      </c>
      <c r="F250" s="4" t="s">
        <v>18</v>
      </c>
      <c r="G250" s="4" t="s">
        <v>30</v>
      </c>
      <c r="H250" s="4" t="s">
        <v>28</v>
      </c>
      <c r="I250" s="4">
        <v>21</v>
      </c>
      <c r="J250" s="5">
        <v>73</v>
      </c>
      <c r="K250" s="6">
        <v>1.56</v>
      </c>
      <c r="L250" s="4">
        <v>5</v>
      </c>
      <c r="M250" s="4">
        <v>117</v>
      </c>
      <c r="N250" s="4">
        <v>85</v>
      </c>
      <c r="O250" s="4" t="s">
        <v>21</v>
      </c>
      <c r="P250" s="7" t="s">
        <v>19</v>
      </c>
      <c r="S250">
        <v>533</v>
      </c>
      <c r="T250" t="str">
        <v>Maputo Provincia</v>
      </c>
      <c r="U250" t="str">
        <v>Masculino</v>
      </c>
      <c r="V250" t="str">
        <v>Viuvo(a)</v>
      </c>
      <c r="W250" t="str">
        <v>Primaria</v>
      </c>
      <c r="X250" t="str">
        <v>Nao</v>
      </c>
      <c r="Y250" t="str">
        <v>Pneumonia</v>
      </c>
      <c r="Z250">
        <v>24</v>
      </c>
      <c r="AA250">
        <v>76.599999999999994</v>
      </c>
      <c r="AB250">
        <v>1.57</v>
      </c>
      <c r="AC250">
        <v>6</v>
      </c>
      <c r="AD250">
        <v>113</v>
      </c>
      <c r="AE250">
        <v>89</v>
      </c>
      <c r="AF250" t="str">
        <v>Rural</v>
      </c>
      <c r="AG250" t="str">
        <v>Nao</v>
      </c>
    </row>
    <row r="251" spans="2:33" x14ac:dyDescent="0.45">
      <c r="B251" s="4">
        <v>250</v>
      </c>
      <c r="C251" s="4" t="s">
        <v>27</v>
      </c>
      <c r="D251" s="4" t="s">
        <v>16</v>
      </c>
      <c r="E251" s="4" t="s">
        <v>35</v>
      </c>
      <c r="F251" s="4" t="s">
        <v>18</v>
      </c>
      <c r="G251" s="4" t="s">
        <v>19</v>
      </c>
      <c r="H251" s="4" t="s">
        <v>46</v>
      </c>
      <c r="I251" s="4">
        <v>60</v>
      </c>
      <c r="J251" s="5">
        <v>77.8</v>
      </c>
      <c r="K251" s="6">
        <v>1.71</v>
      </c>
      <c r="L251" s="4">
        <v>1</v>
      </c>
      <c r="M251" s="4">
        <v>131</v>
      </c>
      <c r="N251" s="4">
        <v>97</v>
      </c>
      <c r="O251" s="4" t="s">
        <v>21</v>
      </c>
      <c r="P251" s="7" t="s">
        <v>30</v>
      </c>
      <c r="S251">
        <v>534</v>
      </c>
      <c r="T251" t="str">
        <v>Nampula</v>
      </c>
      <c r="U251" t="str">
        <v>Masculino</v>
      </c>
      <c r="V251" t="str">
        <v>Casado(a)</v>
      </c>
      <c r="W251" t="str">
        <v>Primaria</v>
      </c>
      <c r="X251" t="str">
        <v>Sim</v>
      </c>
      <c r="Y251" t="str">
        <v>Pneumonia</v>
      </c>
      <c r="Z251">
        <v>21</v>
      </c>
      <c r="AA251">
        <v>87.1</v>
      </c>
      <c r="AB251">
        <v>1.83</v>
      </c>
      <c r="AC251">
        <v>2</v>
      </c>
      <c r="AD251">
        <v>104</v>
      </c>
      <c r="AE251">
        <v>83</v>
      </c>
      <c r="AF251" t="str">
        <v>Urbana</v>
      </c>
      <c r="AG251" t="str">
        <v>Sim</v>
      </c>
    </row>
    <row r="252" spans="2:33" x14ac:dyDescent="0.45">
      <c r="B252" s="4">
        <v>251</v>
      </c>
      <c r="C252" s="4" t="s">
        <v>39</v>
      </c>
      <c r="D252" s="4" t="s">
        <v>23</v>
      </c>
      <c r="E252" s="4" t="s">
        <v>37</v>
      </c>
      <c r="F252" s="4" t="s">
        <v>18</v>
      </c>
      <c r="G252" s="4" t="s">
        <v>19</v>
      </c>
      <c r="H252" s="4" t="s">
        <v>25</v>
      </c>
      <c r="I252" s="4">
        <v>14</v>
      </c>
      <c r="J252" s="5">
        <v>47.3</v>
      </c>
      <c r="K252" s="6">
        <v>1.54</v>
      </c>
      <c r="L252" s="4">
        <v>2</v>
      </c>
      <c r="M252" s="4">
        <v>107</v>
      </c>
      <c r="N252" s="4">
        <v>76</v>
      </c>
      <c r="O252" s="4" t="s">
        <v>26</v>
      </c>
      <c r="P252" s="7" t="s">
        <v>19</v>
      </c>
      <c r="S252">
        <v>537</v>
      </c>
      <c r="T252" t="str">
        <v>Nampula</v>
      </c>
      <c r="U252" t="str">
        <v>Masculino</v>
      </c>
      <c r="V252" t="str">
        <v>Casado(a)</v>
      </c>
      <c r="W252" t="str">
        <v>Secundaria</v>
      </c>
      <c r="X252" t="str">
        <v>Nao</v>
      </c>
      <c r="Y252" t="str">
        <v>Pneumonia</v>
      </c>
      <c r="Z252">
        <v>15</v>
      </c>
      <c r="AA252">
        <v>44.6</v>
      </c>
      <c r="AB252">
        <v>1.59</v>
      </c>
      <c r="AC252">
        <v>5</v>
      </c>
      <c r="AD252">
        <v>110</v>
      </c>
      <c r="AE252">
        <v>96</v>
      </c>
      <c r="AF252" t="str">
        <v>Urbana</v>
      </c>
      <c r="AG252" t="str">
        <v>Nao</v>
      </c>
    </row>
    <row r="253" spans="2:33" x14ac:dyDescent="0.45">
      <c r="B253" s="4">
        <v>252</v>
      </c>
      <c r="C253" s="4" t="s">
        <v>29</v>
      </c>
      <c r="D253" s="4" t="s">
        <v>23</v>
      </c>
      <c r="E253" s="4" t="s">
        <v>35</v>
      </c>
      <c r="F253" s="4" t="s">
        <v>28</v>
      </c>
      <c r="G253" s="4" t="s">
        <v>19</v>
      </c>
      <c r="H253" s="4" t="s">
        <v>20</v>
      </c>
      <c r="I253" s="4">
        <v>53</v>
      </c>
      <c r="J253" s="5">
        <v>60.1</v>
      </c>
      <c r="K253" s="6">
        <v>1.48</v>
      </c>
      <c r="L253" s="4">
        <v>6</v>
      </c>
      <c r="M253" s="4">
        <v>137</v>
      </c>
      <c r="N253" s="4">
        <v>80</v>
      </c>
      <c r="O253" s="4" t="s">
        <v>21</v>
      </c>
      <c r="P253" s="7" t="s">
        <v>30</v>
      </c>
      <c r="S253">
        <v>538</v>
      </c>
      <c r="T253" t="str">
        <v>Sofala</v>
      </c>
      <c r="U253" t="str">
        <v>Masculino</v>
      </c>
      <c r="V253" t="str">
        <v>Casado(a)</v>
      </c>
      <c r="W253" t="str">
        <v>Primaria</v>
      </c>
      <c r="X253" t="str">
        <v>Nao</v>
      </c>
      <c r="Y253" t="str">
        <v>Nenhuma</v>
      </c>
      <c r="Z253">
        <v>11</v>
      </c>
      <c r="AA253">
        <v>20.2</v>
      </c>
      <c r="AB253">
        <v>1.05</v>
      </c>
      <c r="AC253">
        <v>7</v>
      </c>
      <c r="AD253">
        <v>105</v>
      </c>
      <c r="AE253">
        <v>98</v>
      </c>
      <c r="AF253" t="str">
        <v>Rural</v>
      </c>
      <c r="AG253" t="str">
        <v>Sim</v>
      </c>
    </row>
    <row r="254" spans="2:33" x14ac:dyDescent="0.45">
      <c r="B254" s="4">
        <v>253</v>
      </c>
      <c r="C254" s="4" t="s">
        <v>39</v>
      </c>
      <c r="D254" s="4" t="s">
        <v>23</v>
      </c>
      <c r="E254" s="4" t="s">
        <v>37</v>
      </c>
      <c r="F254" s="4" t="s">
        <v>24</v>
      </c>
      <c r="G254" s="4" t="s">
        <v>19</v>
      </c>
      <c r="H254" s="4" t="s">
        <v>20</v>
      </c>
      <c r="I254" s="4">
        <v>5</v>
      </c>
      <c r="J254" s="5">
        <v>24.3</v>
      </c>
      <c r="K254" s="6">
        <v>1.44</v>
      </c>
      <c r="L254" s="4">
        <v>0</v>
      </c>
      <c r="M254" s="4">
        <v>104</v>
      </c>
      <c r="N254" s="4">
        <v>73</v>
      </c>
      <c r="O254" s="4" t="s">
        <v>21</v>
      </c>
      <c r="P254" s="7" t="s">
        <v>19</v>
      </c>
      <c r="S254">
        <v>539</v>
      </c>
      <c r="T254" t="str">
        <v>Maputo Cidade</v>
      </c>
      <c r="U254" t="str">
        <v>Masculino</v>
      </c>
      <c r="V254" t="str">
        <v>Casado(a)</v>
      </c>
      <c r="W254" t="str">
        <v>Superior</v>
      </c>
      <c r="X254" t="str">
        <v>Nao</v>
      </c>
      <c r="Y254" t="str">
        <v>HIV/SIDA</v>
      </c>
      <c r="Z254">
        <v>77</v>
      </c>
      <c r="AA254">
        <v>63.2</v>
      </c>
      <c r="AB254">
        <v>1.82</v>
      </c>
      <c r="AC254">
        <v>2</v>
      </c>
      <c r="AD254">
        <v>124</v>
      </c>
      <c r="AE254">
        <v>78</v>
      </c>
      <c r="AF254" t="str">
        <v>Urbana</v>
      </c>
      <c r="AG254" t="str">
        <v>Nao</v>
      </c>
    </row>
    <row r="255" spans="2:33" x14ac:dyDescent="0.45">
      <c r="B255" s="4">
        <v>254</v>
      </c>
      <c r="C255" s="4" t="s">
        <v>15</v>
      </c>
      <c r="D255" s="4" t="s">
        <v>23</v>
      </c>
      <c r="E255" s="4" t="s">
        <v>35</v>
      </c>
      <c r="F255" s="4" t="s">
        <v>18</v>
      </c>
      <c r="G255" s="4" t="s">
        <v>19</v>
      </c>
      <c r="H255" s="4" t="s">
        <v>38</v>
      </c>
      <c r="I255" s="4">
        <v>9</v>
      </c>
      <c r="J255" s="5">
        <v>20.9</v>
      </c>
      <c r="K255" s="6">
        <v>1.19</v>
      </c>
      <c r="L255" s="4">
        <v>7</v>
      </c>
      <c r="M255" s="4">
        <v>112</v>
      </c>
      <c r="N255" s="4">
        <v>92</v>
      </c>
      <c r="O255" s="4" t="s">
        <v>26</v>
      </c>
      <c r="P255" s="7" t="s">
        <v>19</v>
      </c>
      <c r="S255">
        <v>543</v>
      </c>
      <c r="T255" t="str">
        <v>Inhambane</v>
      </c>
      <c r="U255" t="str">
        <v>Masculino</v>
      </c>
      <c r="V255" t="str">
        <v>Divorciado(a)</v>
      </c>
      <c r="W255" t="str">
        <v>Nenhuma</v>
      </c>
      <c r="X255" t="str">
        <v>Nao</v>
      </c>
      <c r="Y255" t="str">
        <v>Malaria</v>
      </c>
      <c r="Z255">
        <v>64</v>
      </c>
      <c r="AA255">
        <v>81</v>
      </c>
      <c r="AB255">
        <v>1.8</v>
      </c>
      <c r="AC255">
        <v>6</v>
      </c>
      <c r="AD255">
        <v>114</v>
      </c>
      <c r="AE255">
        <v>91</v>
      </c>
      <c r="AF255" t="str">
        <v>Rural</v>
      </c>
      <c r="AG255" t="str">
        <v>Nao</v>
      </c>
    </row>
    <row r="256" spans="2:33" x14ac:dyDescent="0.45">
      <c r="B256" s="4">
        <v>255</v>
      </c>
      <c r="C256" s="4" t="s">
        <v>39</v>
      </c>
      <c r="D256" s="4" t="s">
        <v>23</v>
      </c>
      <c r="E256" s="4" t="s">
        <v>37</v>
      </c>
      <c r="F256" s="4" t="s">
        <v>18</v>
      </c>
      <c r="G256" s="4" t="s">
        <v>30</v>
      </c>
      <c r="H256" s="4" t="s">
        <v>38</v>
      </c>
      <c r="I256" s="4">
        <v>38</v>
      </c>
      <c r="J256" s="5">
        <v>82.3</v>
      </c>
      <c r="K256" s="6">
        <v>1.74</v>
      </c>
      <c r="L256" s="4">
        <v>8</v>
      </c>
      <c r="M256" s="4">
        <v>130</v>
      </c>
      <c r="N256" s="4">
        <v>101</v>
      </c>
      <c r="O256" s="4" t="s">
        <v>21</v>
      </c>
      <c r="P256" s="7" t="s">
        <v>30</v>
      </c>
      <c r="S256">
        <v>544</v>
      </c>
      <c r="T256" t="str">
        <v>Zambezia</v>
      </c>
      <c r="U256" t="str">
        <v>Masculino</v>
      </c>
      <c r="V256" t="str">
        <v>Viuvo(a)</v>
      </c>
      <c r="W256" t="str">
        <v>Primaria</v>
      </c>
      <c r="X256" t="str">
        <v>Nao</v>
      </c>
      <c r="Y256" t="str">
        <v>Nenhuma</v>
      </c>
      <c r="Z256">
        <v>24</v>
      </c>
      <c r="AA256">
        <v>61.1</v>
      </c>
      <c r="AB256">
        <v>1.87</v>
      </c>
      <c r="AC256">
        <v>9</v>
      </c>
      <c r="AD256">
        <v>109</v>
      </c>
      <c r="AE256">
        <v>97</v>
      </c>
      <c r="AF256" t="str">
        <v>Rural</v>
      </c>
      <c r="AG256" t="str">
        <v>Nao</v>
      </c>
    </row>
    <row r="257" spans="2:33" x14ac:dyDescent="0.45">
      <c r="B257" s="4">
        <v>256</v>
      </c>
      <c r="C257" s="4" t="s">
        <v>43</v>
      </c>
      <c r="D257" s="4" t="s">
        <v>16</v>
      </c>
      <c r="E257" s="4" t="s">
        <v>37</v>
      </c>
      <c r="F257" s="4" t="s">
        <v>18</v>
      </c>
      <c r="G257" s="4" t="s">
        <v>19</v>
      </c>
      <c r="H257" s="4" t="s">
        <v>28</v>
      </c>
      <c r="I257" s="4">
        <v>60</v>
      </c>
      <c r="J257" s="5">
        <v>92.1</v>
      </c>
      <c r="K257" s="6">
        <v>1.8</v>
      </c>
      <c r="L257" s="4">
        <v>2</v>
      </c>
      <c r="M257" s="4">
        <v>116</v>
      </c>
      <c r="N257" s="4">
        <v>96</v>
      </c>
      <c r="O257" s="4" t="s">
        <v>26</v>
      </c>
      <c r="P257" s="7" t="s">
        <v>19</v>
      </c>
      <c r="S257">
        <v>549</v>
      </c>
      <c r="T257" t="str">
        <v>Manica</v>
      </c>
      <c r="U257" t="str">
        <v>Masculino</v>
      </c>
      <c r="V257" t="str">
        <v>Solteiro(a)</v>
      </c>
      <c r="W257" t="str">
        <v>Primaria</v>
      </c>
      <c r="X257" t="str">
        <v>Nao</v>
      </c>
      <c r="Y257" t="str">
        <v>Malaria</v>
      </c>
      <c r="Z257">
        <v>10</v>
      </c>
      <c r="AA257">
        <v>19.899999999999999</v>
      </c>
      <c r="AB257">
        <v>1.27</v>
      </c>
      <c r="AC257">
        <v>0</v>
      </c>
      <c r="AD257">
        <v>124</v>
      </c>
      <c r="AE257">
        <v>104</v>
      </c>
      <c r="AF257" t="str">
        <v>Rural</v>
      </c>
      <c r="AG257" t="str">
        <v>Sim</v>
      </c>
    </row>
    <row r="258" spans="2:33" x14ac:dyDescent="0.45">
      <c r="B258" s="4">
        <v>257</v>
      </c>
      <c r="C258" s="4" t="s">
        <v>39</v>
      </c>
      <c r="D258" s="4" t="s">
        <v>16</v>
      </c>
      <c r="E258" s="4" t="s">
        <v>35</v>
      </c>
      <c r="F258" s="4" t="s">
        <v>24</v>
      </c>
      <c r="G258" s="4" t="s">
        <v>19</v>
      </c>
      <c r="H258" s="4" t="s">
        <v>34</v>
      </c>
      <c r="I258" s="4">
        <v>17</v>
      </c>
      <c r="J258" s="5">
        <v>64.599999999999994</v>
      </c>
      <c r="K258" s="6">
        <v>1.73</v>
      </c>
      <c r="L258" s="4">
        <v>6</v>
      </c>
      <c r="M258" s="4">
        <v>113</v>
      </c>
      <c r="N258" s="4">
        <v>74</v>
      </c>
      <c r="O258" s="4" t="s">
        <v>21</v>
      </c>
      <c r="P258" s="7" t="s">
        <v>19</v>
      </c>
      <c r="S258">
        <v>551</v>
      </c>
      <c r="T258" t="str">
        <v>Maputo Provincia</v>
      </c>
      <c r="U258" t="str">
        <v>Masculino</v>
      </c>
      <c r="V258" t="str">
        <v>Casado(a)</v>
      </c>
      <c r="W258" t="str">
        <v>Primaria</v>
      </c>
      <c r="X258" t="str">
        <v>Nao</v>
      </c>
      <c r="Y258" t="str">
        <v>Diarreia</v>
      </c>
      <c r="Z258">
        <v>53</v>
      </c>
      <c r="AA258">
        <v>88.9</v>
      </c>
      <c r="AB258">
        <v>1.67</v>
      </c>
      <c r="AC258">
        <v>0</v>
      </c>
      <c r="AD258">
        <v>125</v>
      </c>
      <c r="AE258">
        <v>88</v>
      </c>
      <c r="AF258" t="str">
        <v>Urbana</v>
      </c>
      <c r="AG258" t="str">
        <v>Nao</v>
      </c>
    </row>
    <row r="259" spans="2:33" x14ac:dyDescent="0.45">
      <c r="B259" s="4">
        <v>258</v>
      </c>
      <c r="C259" s="4" t="s">
        <v>45</v>
      </c>
      <c r="D259" s="4" t="s">
        <v>16</v>
      </c>
      <c r="E259" s="4" t="s">
        <v>17</v>
      </c>
      <c r="F259" s="4" t="s">
        <v>24</v>
      </c>
      <c r="G259" s="4" t="s">
        <v>19</v>
      </c>
      <c r="H259" s="4" t="s">
        <v>32</v>
      </c>
      <c r="I259" s="4">
        <v>43</v>
      </c>
      <c r="J259" s="5">
        <v>52.6</v>
      </c>
      <c r="K259" s="6">
        <v>1.57</v>
      </c>
      <c r="L259" s="4">
        <v>5</v>
      </c>
      <c r="M259" s="4">
        <v>118</v>
      </c>
      <c r="N259" s="4">
        <v>155</v>
      </c>
      <c r="O259" s="4" t="s">
        <v>26</v>
      </c>
      <c r="P259" s="7" t="s">
        <v>19</v>
      </c>
      <c r="S259">
        <v>552</v>
      </c>
      <c r="T259" t="str">
        <v>Sofala</v>
      </c>
      <c r="U259" t="str">
        <v>Masculino</v>
      </c>
      <c r="V259" t="str">
        <v>Solteiro(a)</v>
      </c>
      <c r="W259" t="str">
        <v>Nenhuma</v>
      </c>
      <c r="X259" t="str">
        <v>Nao</v>
      </c>
      <c r="Y259" t="str">
        <v>Pneumonia</v>
      </c>
      <c r="Z259">
        <v>88</v>
      </c>
      <c r="AA259">
        <v>55.4</v>
      </c>
      <c r="AB259">
        <v>1.58</v>
      </c>
      <c r="AC259">
        <v>6</v>
      </c>
      <c r="AD259">
        <v>134</v>
      </c>
      <c r="AE259">
        <v>86</v>
      </c>
      <c r="AF259" t="str">
        <v>Rural</v>
      </c>
      <c r="AG259" t="str">
        <v>Nao</v>
      </c>
    </row>
    <row r="260" spans="2:33" x14ac:dyDescent="0.45">
      <c r="B260" s="4">
        <v>259</v>
      </c>
      <c r="C260" s="4" t="s">
        <v>29</v>
      </c>
      <c r="D260" s="4" t="s">
        <v>23</v>
      </c>
      <c r="E260" s="4" t="s">
        <v>35</v>
      </c>
      <c r="F260" s="4" t="s">
        <v>24</v>
      </c>
      <c r="G260" s="4" t="s">
        <v>19</v>
      </c>
      <c r="H260" s="4" t="s">
        <v>20</v>
      </c>
      <c r="I260" s="4">
        <v>18</v>
      </c>
      <c r="J260" s="5">
        <v>62.5</v>
      </c>
      <c r="K260" s="6">
        <v>1.84</v>
      </c>
      <c r="L260" s="4">
        <v>1</v>
      </c>
      <c r="M260" s="4">
        <v>101</v>
      </c>
      <c r="N260" s="4">
        <v>74</v>
      </c>
      <c r="O260" s="4" t="s">
        <v>26</v>
      </c>
      <c r="P260" s="7" t="s">
        <v>19</v>
      </c>
      <c r="S260">
        <v>555</v>
      </c>
      <c r="T260" t="str">
        <v>Nampula</v>
      </c>
      <c r="U260" t="str">
        <v>Masculino</v>
      </c>
      <c r="V260" t="str">
        <v>Casado(a)</v>
      </c>
      <c r="W260" t="str">
        <v>Nenhuma</v>
      </c>
      <c r="X260" t="str">
        <v>Sim</v>
      </c>
      <c r="Y260" t="str">
        <v>Hipertensao</v>
      </c>
      <c r="Z260">
        <v>49</v>
      </c>
      <c r="AA260">
        <v>86.9</v>
      </c>
      <c r="AB260">
        <v>1.63</v>
      </c>
      <c r="AC260">
        <v>4</v>
      </c>
      <c r="AD260">
        <v>132</v>
      </c>
      <c r="AE260">
        <v>83</v>
      </c>
      <c r="AF260" t="str">
        <v>Rural</v>
      </c>
      <c r="AG260" t="str">
        <v>Nao</v>
      </c>
    </row>
    <row r="261" spans="2:33" x14ac:dyDescent="0.45">
      <c r="B261" s="4">
        <v>260</v>
      </c>
      <c r="C261" s="4" t="s">
        <v>27</v>
      </c>
      <c r="D261" s="4" t="s">
        <v>23</v>
      </c>
      <c r="E261" s="4" t="s">
        <v>17</v>
      </c>
      <c r="F261" s="4" t="s">
        <v>18</v>
      </c>
      <c r="G261" s="4" t="s">
        <v>19</v>
      </c>
      <c r="H261" s="4" t="s">
        <v>20</v>
      </c>
      <c r="I261" s="4">
        <v>22</v>
      </c>
      <c r="J261" s="5">
        <v>65.3</v>
      </c>
      <c r="K261" s="6">
        <v>1.64</v>
      </c>
      <c r="L261" s="4">
        <v>7</v>
      </c>
      <c r="M261" s="4">
        <v>114</v>
      </c>
      <c r="N261" s="4">
        <v>80</v>
      </c>
      <c r="O261" s="4" t="s">
        <v>21</v>
      </c>
      <c r="P261" s="7" t="s">
        <v>19</v>
      </c>
      <c r="S261">
        <v>556</v>
      </c>
      <c r="T261" t="str">
        <v>Niassa</v>
      </c>
      <c r="U261" t="str">
        <v>Masculino</v>
      </c>
      <c r="V261" t="str">
        <v>Casado(a)</v>
      </c>
      <c r="W261" t="str">
        <v>Primaria</v>
      </c>
      <c r="X261" t="str">
        <v>Nao</v>
      </c>
      <c r="Y261" t="str">
        <v>Hipertensao</v>
      </c>
      <c r="Z261">
        <v>69</v>
      </c>
      <c r="AA261">
        <v>45.2</v>
      </c>
      <c r="AB261">
        <v>1.75</v>
      </c>
      <c r="AC261">
        <v>7</v>
      </c>
      <c r="AD261">
        <v>148</v>
      </c>
      <c r="AE261">
        <v>78</v>
      </c>
      <c r="AF261" t="str">
        <v>Rural</v>
      </c>
      <c r="AG261" t="str">
        <v>Nao</v>
      </c>
    </row>
    <row r="262" spans="2:33" x14ac:dyDescent="0.45">
      <c r="B262" s="4">
        <v>261</v>
      </c>
      <c r="C262" s="4" t="s">
        <v>27</v>
      </c>
      <c r="D262" s="4" t="s">
        <v>23</v>
      </c>
      <c r="E262" s="4" t="s">
        <v>17</v>
      </c>
      <c r="F262" s="4" t="s">
        <v>24</v>
      </c>
      <c r="G262" s="4" t="s">
        <v>19</v>
      </c>
      <c r="H262" s="4" t="s">
        <v>20</v>
      </c>
      <c r="I262" s="4">
        <v>40</v>
      </c>
      <c r="J262" s="5">
        <v>51.4</v>
      </c>
      <c r="K262" s="6">
        <v>1.51</v>
      </c>
      <c r="L262" s="4">
        <v>2</v>
      </c>
      <c r="M262" s="4">
        <v>103</v>
      </c>
      <c r="N262" s="4">
        <v>75</v>
      </c>
      <c r="O262" s="4" t="s">
        <v>26</v>
      </c>
      <c r="P262" s="7" t="s">
        <v>19</v>
      </c>
      <c r="S262">
        <v>565</v>
      </c>
      <c r="T262" t="str">
        <v>Nampula</v>
      </c>
      <c r="U262" t="str">
        <v>Masculino</v>
      </c>
      <c r="V262" t="str">
        <v>Viuvo(a)</v>
      </c>
      <c r="W262" t="str">
        <v>Secundaria</v>
      </c>
      <c r="X262" t="str">
        <v>Nao</v>
      </c>
      <c r="Y262" t="str">
        <v>Tuberculose</v>
      </c>
      <c r="Z262">
        <v>23</v>
      </c>
      <c r="AA262">
        <v>76.2</v>
      </c>
      <c r="AB262">
        <v>1.65</v>
      </c>
      <c r="AC262">
        <v>5</v>
      </c>
      <c r="AD262">
        <v>109</v>
      </c>
      <c r="AE262">
        <v>89</v>
      </c>
      <c r="AF262" t="str">
        <v>Urbana</v>
      </c>
      <c r="AG262" t="str">
        <v>Sim</v>
      </c>
    </row>
    <row r="263" spans="2:33" x14ac:dyDescent="0.45">
      <c r="B263" s="4">
        <v>262</v>
      </c>
      <c r="C263" s="4" t="s">
        <v>22</v>
      </c>
      <c r="D263" s="4" t="s">
        <v>23</v>
      </c>
      <c r="E263" s="4" t="s">
        <v>17</v>
      </c>
      <c r="F263" s="4" t="s">
        <v>24</v>
      </c>
      <c r="G263" s="4" t="s">
        <v>19</v>
      </c>
      <c r="H263" s="4" t="s">
        <v>20</v>
      </c>
      <c r="I263" s="4">
        <v>19</v>
      </c>
      <c r="J263" s="5">
        <v>61.5</v>
      </c>
      <c r="K263" s="6">
        <v>1.83</v>
      </c>
      <c r="L263" s="4">
        <v>4</v>
      </c>
      <c r="M263" s="4">
        <v>96</v>
      </c>
      <c r="N263" s="4">
        <v>73</v>
      </c>
      <c r="O263" s="4" t="s">
        <v>26</v>
      </c>
      <c r="P263" s="7" t="s">
        <v>19</v>
      </c>
      <c r="S263">
        <v>566</v>
      </c>
      <c r="T263" t="str">
        <v>Nampula</v>
      </c>
      <c r="U263" t="str">
        <v>Masculino</v>
      </c>
      <c r="V263" t="str">
        <v>Divorciado(a)</v>
      </c>
      <c r="W263" t="str">
        <v>Primaria</v>
      </c>
      <c r="X263" t="str">
        <v>Nao</v>
      </c>
      <c r="Y263" t="str">
        <v>Hipertensao</v>
      </c>
      <c r="Z263">
        <v>19</v>
      </c>
      <c r="AA263">
        <v>66.099999999999994</v>
      </c>
      <c r="AB263">
        <v>1.62</v>
      </c>
      <c r="AC263">
        <v>7</v>
      </c>
      <c r="AD263">
        <v>134</v>
      </c>
      <c r="AE263">
        <v>74</v>
      </c>
      <c r="AF263" t="str">
        <v>Urbana</v>
      </c>
      <c r="AG263" t="str">
        <v>Sim</v>
      </c>
    </row>
    <row r="264" spans="2:33" x14ac:dyDescent="0.45">
      <c r="B264" s="4">
        <v>263</v>
      </c>
      <c r="C264" s="4" t="s">
        <v>41</v>
      </c>
      <c r="D264" s="4" t="s">
        <v>16</v>
      </c>
      <c r="E264" s="4" t="s">
        <v>35</v>
      </c>
      <c r="F264" s="4" t="s">
        <v>18</v>
      </c>
      <c r="G264" s="4" t="s">
        <v>30</v>
      </c>
      <c r="H264" s="4" t="s">
        <v>38</v>
      </c>
      <c r="I264" s="4">
        <v>1</v>
      </c>
      <c r="J264" s="5">
        <v>13.1</v>
      </c>
      <c r="K264" s="6">
        <v>0.81</v>
      </c>
      <c r="L264" s="4">
        <v>0</v>
      </c>
      <c r="M264" s="4">
        <v>99</v>
      </c>
      <c r="N264" s="4">
        <v>73</v>
      </c>
      <c r="O264" s="4" t="s">
        <v>26</v>
      </c>
      <c r="P264" s="7" t="s">
        <v>19</v>
      </c>
      <c r="S264">
        <v>569</v>
      </c>
      <c r="T264" t="str">
        <v>Maputo Provincia</v>
      </c>
      <c r="U264" t="str">
        <v>Masculino</v>
      </c>
      <c r="V264" t="str">
        <v>Solteiro(a)</v>
      </c>
      <c r="W264" t="str">
        <v>Primaria</v>
      </c>
      <c r="X264" t="str">
        <v>Nao</v>
      </c>
      <c r="Y264" t="str">
        <v>Diarreia</v>
      </c>
      <c r="Z264">
        <v>1</v>
      </c>
      <c r="AA264">
        <v>12</v>
      </c>
      <c r="AB264">
        <v>0.68</v>
      </c>
      <c r="AC264">
        <v>4</v>
      </c>
      <c r="AD264">
        <v>95</v>
      </c>
      <c r="AE264">
        <v>89</v>
      </c>
      <c r="AF264" t="str">
        <v>Rural</v>
      </c>
      <c r="AG264" t="str">
        <v>Nao</v>
      </c>
    </row>
    <row r="265" spans="2:33" x14ac:dyDescent="0.45">
      <c r="B265" s="4">
        <v>264</v>
      </c>
      <c r="C265" s="4" t="s">
        <v>15</v>
      </c>
      <c r="D265" s="4" t="s">
        <v>23</v>
      </c>
      <c r="E265" s="4" t="s">
        <v>17</v>
      </c>
      <c r="F265" s="4" t="s">
        <v>28</v>
      </c>
      <c r="G265" s="4" t="s">
        <v>19</v>
      </c>
      <c r="H265" s="4" t="s">
        <v>46</v>
      </c>
      <c r="I265" s="4">
        <v>15</v>
      </c>
      <c r="J265" s="5">
        <v>43</v>
      </c>
      <c r="K265" s="6">
        <v>1.57</v>
      </c>
      <c r="L265" s="4">
        <v>5</v>
      </c>
      <c r="M265" s="4">
        <v>106</v>
      </c>
      <c r="N265" s="4">
        <v>82</v>
      </c>
      <c r="O265" s="4" t="s">
        <v>26</v>
      </c>
      <c r="P265" s="7" t="s">
        <v>30</v>
      </c>
      <c r="S265">
        <v>573</v>
      </c>
      <c r="T265" t="str">
        <v>Nampula</v>
      </c>
      <c r="U265" t="str">
        <v>Masculino</v>
      </c>
      <c r="V265" t="str">
        <v>Casado(a)</v>
      </c>
      <c r="W265" t="str">
        <v>Primaria</v>
      </c>
      <c r="X265" t="str">
        <v>Nao</v>
      </c>
      <c r="Y265" t="str">
        <v>Tuberculose</v>
      </c>
      <c r="Z265">
        <v>8</v>
      </c>
      <c r="AA265">
        <v>28.2</v>
      </c>
      <c r="AB265">
        <v>1.1000000000000001</v>
      </c>
      <c r="AC265">
        <v>0</v>
      </c>
      <c r="AD265">
        <v>117</v>
      </c>
      <c r="AE265">
        <v>104</v>
      </c>
      <c r="AF265" t="str">
        <v>Rural</v>
      </c>
      <c r="AG265" t="str">
        <v>Nao</v>
      </c>
    </row>
    <row r="266" spans="2:33" x14ac:dyDescent="0.45">
      <c r="B266" s="4">
        <v>265</v>
      </c>
      <c r="C266" s="4" t="s">
        <v>27</v>
      </c>
      <c r="D266" s="4" t="s">
        <v>16</v>
      </c>
      <c r="E266" s="4" t="s">
        <v>17</v>
      </c>
      <c r="F266" s="4" t="s">
        <v>28</v>
      </c>
      <c r="G266" s="4" t="s">
        <v>30</v>
      </c>
      <c r="H266" s="4" t="s">
        <v>20</v>
      </c>
      <c r="I266" s="4">
        <v>26</v>
      </c>
      <c r="J266" s="5">
        <v>67.5</v>
      </c>
      <c r="K266" s="6">
        <v>1.89</v>
      </c>
      <c r="L266" s="4">
        <v>2</v>
      </c>
      <c r="M266" s="4">
        <v>110</v>
      </c>
      <c r="N266" s="4">
        <v>71</v>
      </c>
      <c r="O266" s="4" t="s">
        <v>21</v>
      </c>
      <c r="P266" s="7" t="s">
        <v>19</v>
      </c>
      <c r="S266">
        <v>576</v>
      </c>
      <c r="T266" t="str">
        <v>Inhambane</v>
      </c>
      <c r="U266" t="str">
        <v>Masculino</v>
      </c>
      <c r="V266" t="str">
        <v>Divorciado(a)</v>
      </c>
      <c r="W266" t="str">
        <v>Nenhuma</v>
      </c>
      <c r="X266" t="str">
        <v>Sim</v>
      </c>
      <c r="Y266" t="str">
        <v>Malaria</v>
      </c>
      <c r="Z266">
        <v>7</v>
      </c>
      <c r="AA266">
        <v>25.8</v>
      </c>
      <c r="AB266">
        <v>1.17</v>
      </c>
      <c r="AC266">
        <v>2</v>
      </c>
      <c r="AD266">
        <v>96</v>
      </c>
      <c r="AE266">
        <v>83</v>
      </c>
      <c r="AF266" t="str">
        <v>Urbana</v>
      </c>
      <c r="AG266" t="str">
        <v>Nao</v>
      </c>
    </row>
    <row r="267" spans="2:33" x14ac:dyDescent="0.45">
      <c r="B267" s="4">
        <v>266</v>
      </c>
      <c r="C267" s="4" t="s">
        <v>22</v>
      </c>
      <c r="D267" s="4" t="s">
        <v>16</v>
      </c>
      <c r="E267" s="4" t="s">
        <v>35</v>
      </c>
      <c r="F267" s="4" t="s">
        <v>28</v>
      </c>
      <c r="G267" s="4" t="s">
        <v>19</v>
      </c>
      <c r="H267" s="4" t="s">
        <v>34</v>
      </c>
      <c r="I267" s="4">
        <v>7</v>
      </c>
      <c r="J267" s="5">
        <v>19.399999999999999</v>
      </c>
      <c r="K267" s="6">
        <v>1.08</v>
      </c>
      <c r="L267" s="4">
        <v>2</v>
      </c>
      <c r="M267" s="4">
        <v>93</v>
      </c>
      <c r="N267" s="4">
        <v>77</v>
      </c>
      <c r="O267" s="4" t="s">
        <v>26</v>
      </c>
      <c r="P267" s="7" t="s">
        <v>19</v>
      </c>
      <c r="S267">
        <v>578</v>
      </c>
      <c r="T267" t="str">
        <v>Zambezia</v>
      </c>
      <c r="U267" t="str">
        <v>Masculino</v>
      </c>
      <c r="V267" t="str">
        <v>Casado(a)</v>
      </c>
      <c r="W267" t="str">
        <v>Primaria</v>
      </c>
      <c r="X267" t="str">
        <v>Sim</v>
      </c>
      <c r="Y267" t="str">
        <v>Malaria</v>
      </c>
      <c r="Z267">
        <v>8</v>
      </c>
      <c r="AA267">
        <v>24.6</v>
      </c>
      <c r="AB267">
        <v>1.39</v>
      </c>
      <c r="AC267">
        <v>4</v>
      </c>
      <c r="AD267">
        <v>104</v>
      </c>
      <c r="AE267">
        <v>85</v>
      </c>
      <c r="AF267" t="str">
        <v>Urbana</v>
      </c>
      <c r="AG267" t="str">
        <v>Nao</v>
      </c>
    </row>
    <row r="268" spans="2:33" x14ac:dyDescent="0.45">
      <c r="B268" s="4">
        <v>267</v>
      </c>
      <c r="C268" s="4" t="s">
        <v>45</v>
      </c>
      <c r="D268" s="4" t="s">
        <v>16</v>
      </c>
      <c r="E268" s="4" t="s">
        <v>35</v>
      </c>
      <c r="F268" s="4" t="s">
        <v>24</v>
      </c>
      <c r="G268" s="4" t="s">
        <v>19</v>
      </c>
      <c r="H268" s="4" t="s">
        <v>36</v>
      </c>
      <c r="I268" s="4">
        <v>26</v>
      </c>
      <c r="J268" s="5">
        <v>70.7</v>
      </c>
      <c r="K268" s="6">
        <v>1.68</v>
      </c>
      <c r="L268" s="4">
        <v>2</v>
      </c>
      <c r="M268" s="4">
        <v>131</v>
      </c>
      <c r="N268" s="4">
        <v>74</v>
      </c>
      <c r="O268" s="4" t="s">
        <v>26</v>
      </c>
      <c r="P268" s="7" t="s">
        <v>19</v>
      </c>
      <c r="S268">
        <v>581</v>
      </c>
      <c r="T268" t="str">
        <v>Maputo Cidade</v>
      </c>
      <c r="U268" t="str">
        <v>Masculino</v>
      </c>
      <c r="V268" t="str">
        <v>Solteiro(a)</v>
      </c>
      <c r="W268" t="str">
        <v>Secundaria</v>
      </c>
      <c r="X268" t="str">
        <v>Nao</v>
      </c>
      <c r="Y268" t="str">
        <v>Malaria</v>
      </c>
      <c r="Z268">
        <v>89</v>
      </c>
      <c r="AA268">
        <v>88.3</v>
      </c>
      <c r="AB268">
        <v>1.73</v>
      </c>
      <c r="AC268">
        <v>1</v>
      </c>
      <c r="AD268">
        <v>118</v>
      </c>
      <c r="AE268">
        <v>82</v>
      </c>
      <c r="AF268" t="str">
        <v>Rural</v>
      </c>
      <c r="AG268" t="str">
        <v>Nao</v>
      </c>
    </row>
    <row r="269" spans="2:33" x14ac:dyDescent="0.45">
      <c r="B269" s="4">
        <v>268</v>
      </c>
      <c r="C269" s="4" t="s">
        <v>45</v>
      </c>
      <c r="D269" s="4" t="s">
        <v>23</v>
      </c>
      <c r="E269" s="4" t="s">
        <v>35</v>
      </c>
      <c r="F269" s="4" t="s">
        <v>18</v>
      </c>
      <c r="G269" s="4" t="s">
        <v>19</v>
      </c>
      <c r="H269" s="4" t="s">
        <v>32</v>
      </c>
      <c r="I269" s="4">
        <v>38</v>
      </c>
      <c r="J269" s="5">
        <v>90.5</v>
      </c>
      <c r="K269" s="6">
        <v>1.88</v>
      </c>
      <c r="L269" s="4">
        <v>0</v>
      </c>
      <c r="M269" s="4">
        <v>125</v>
      </c>
      <c r="N269" s="4">
        <v>134</v>
      </c>
      <c r="O269" s="4" t="s">
        <v>26</v>
      </c>
      <c r="P269" s="7" t="s">
        <v>19</v>
      </c>
      <c r="S269">
        <v>583</v>
      </c>
      <c r="T269" t="str">
        <v>Niassa</v>
      </c>
      <c r="U269" t="str">
        <v>Masculino</v>
      </c>
      <c r="V269" t="str">
        <v>Divorciado(a)</v>
      </c>
      <c r="W269" t="str">
        <v>Primaria</v>
      </c>
      <c r="X269" t="str">
        <v>Nao</v>
      </c>
      <c r="Y269" t="str">
        <v>HIV/SIDA</v>
      </c>
      <c r="Z269">
        <v>13</v>
      </c>
      <c r="AA269">
        <v>42.8</v>
      </c>
      <c r="AB269">
        <v>1.5</v>
      </c>
      <c r="AC269">
        <v>2</v>
      </c>
      <c r="AD269">
        <v>96</v>
      </c>
      <c r="AE269">
        <v>72</v>
      </c>
      <c r="AF269" t="str">
        <v>Urbana</v>
      </c>
      <c r="AG269" t="str">
        <v>Nao</v>
      </c>
    </row>
    <row r="270" spans="2:33" x14ac:dyDescent="0.45">
      <c r="B270" s="4">
        <v>269</v>
      </c>
      <c r="C270" s="4" t="s">
        <v>41</v>
      </c>
      <c r="D270" s="4" t="s">
        <v>23</v>
      </c>
      <c r="E270" s="4" t="s">
        <v>35</v>
      </c>
      <c r="F270" s="4" t="s">
        <v>28</v>
      </c>
      <c r="G270" s="4" t="s">
        <v>19</v>
      </c>
      <c r="H270" s="4" t="s">
        <v>38</v>
      </c>
      <c r="I270" s="4">
        <v>19</v>
      </c>
      <c r="J270" s="5">
        <v>78.3</v>
      </c>
      <c r="K270" s="6">
        <v>1.68</v>
      </c>
      <c r="L270" s="4">
        <v>2</v>
      </c>
      <c r="M270" s="4">
        <v>104</v>
      </c>
      <c r="N270" s="4">
        <v>81</v>
      </c>
      <c r="O270" s="4" t="s">
        <v>21</v>
      </c>
      <c r="P270" s="7" t="s">
        <v>30</v>
      </c>
      <c r="S270">
        <v>586</v>
      </c>
      <c r="T270" t="str">
        <v>Inhambane</v>
      </c>
      <c r="U270" t="str">
        <v>Masculino</v>
      </c>
      <c r="V270" t="str">
        <v>Casado(a)</v>
      </c>
      <c r="W270" t="str">
        <v>Primaria</v>
      </c>
      <c r="X270" t="str">
        <v>Nao</v>
      </c>
      <c r="Y270" t="str">
        <v>Hipertensao</v>
      </c>
      <c r="Z270">
        <v>8</v>
      </c>
      <c r="AA270">
        <v>18.5</v>
      </c>
      <c r="AB270">
        <v>1.36</v>
      </c>
      <c r="AC270">
        <v>3</v>
      </c>
      <c r="AD270">
        <v>122</v>
      </c>
      <c r="AE270">
        <v>101</v>
      </c>
      <c r="AF270" t="str">
        <v>Rural</v>
      </c>
      <c r="AG270" t="str">
        <v>Nao</v>
      </c>
    </row>
    <row r="271" spans="2:33" x14ac:dyDescent="0.45">
      <c r="B271" s="4">
        <v>270</v>
      </c>
      <c r="C271" s="4" t="s">
        <v>31</v>
      </c>
      <c r="D271" s="4" t="s">
        <v>23</v>
      </c>
      <c r="E271" s="4" t="s">
        <v>17</v>
      </c>
      <c r="F271" s="4" t="s">
        <v>18</v>
      </c>
      <c r="G271" s="4" t="s">
        <v>19</v>
      </c>
      <c r="H271" s="4" t="s">
        <v>28</v>
      </c>
      <c r="I271" s="4">
        <v>69</v>
      </c>
      <c r="J271" s="5">
        <v>54.8</v>
      </c>
      <c r="K271" s="6">
        <v>1.89</v>
      </c>
      <c r="L271" s="4">
        <v>6</v>
      </c>
      <c r="M271" s="4">
        <v>139</v>
      </c>
      <c r="N271" s="4">
        <v>95</v>
      </c>
      <c r="O271" s="4" t="s">
        <v>21</v>
      </c>
      <c r="P271" s="7" t="s">
        <v>30</v>
      </c>
      <c r="S271">
        <v>587</v>
      </c>
      <c r="T271" t="str">
        <v>Niassa</v>
      </c>
      <c r="U271" t="str">
        <v>Masculino</v>
      </c>
      <c r="V271" t="str">
        <v>Solteiro(a)</v>
      </c>
      <c r="W271" t="str">
        <v>Primaria</v>
      </c>
      <c r="X271" t="str">
        <v>Sim</v>
      </c>
      <c r="Y271" t="str">
        <v>Hipertensao</v>
      </c>
      <c r="Z271">
        <v>11</v>
      </c>
      <c r="AA271">
        <v>35.299999999999997</v>
      </c>
      <c r="AB271">
        <v>1.4</v>
      </c>
      <c r="AC271">
        <v>8</v>
      </c>
      <c r="AD271">
        <v>143</v>
      </c>
      <c r="AE271">
        <v>89</v>
      </c>
      <c r="AF271" t="str">
        <v>Urbana</v>
      </c>
      <c r="AG271" t="str">
        <v>Sim</v>
      </c>
    </row>
    <row r="272" spans="2:33" x14ac:dyDescent="0.45">
      <c r="B272" s="4">
        <v>271</v>
      </c>
      <c r="C272" s="4" t="s">
        <v>29</v>
      </c>
      <c r="D272" s="4" t="s">
        <v>16</v>
      </c>
      <c r="E272" s="4" t="s">
        <v>35</v>
      </c>
      <c r="F272" s="4" t="s">
        <v>28</v>
      </c>
      <c r="G272" s="4" t="s">
        <v>19</v>
      </c>
      <c r="H272" s="4" t="s">
        <v>32</v>
      </c>
      <c r="I272" s="4">
        <v>30</v>
      </c>
      <c r="J272" s="5">
        <v>58.7</v>
      </c>
      <c r="K272" s="6">
        <v>1.66</v>
      </c>
      <c r="L272" s="4">
        <v>6</v>
      </c>
      <c r="M272" s="4">
        <v>109</v>
      </c>
      <c r="N272" s="4">
        <v>130</v>
      </c>
      <c r="O272" s="4" t="s">
        <v>26</v>
      </c>
      <c r="P272" s="7" t="s">
        <v>30</v>
      </c>
      <c r="S272">
        <v>590</v>
      </c>
      <c r="T272" t="str">
        <v>Maputo Provincia</v>
      </c>
      <c r="U272" t="str">
        <v>Masculino</v>
      </c>
      <c r="V272" t="str">
        <v>Solteiro(a)</v>
      </c>
      <c r="W272" t="str">
        <v>Nenhuma</v>
      </c>
      <c r="X272" t="str">
        <v>Nao</v>
      </c>
      <c r="Y272" t="str">
        <v>Malaria</v>
      </c>
      <c r="Z272">
        <v>28</v>
      </c>
      <c r="AA272">
        <v>78.900000000000006</v>
      </c>
      <c r="AB272">
        <v>1.69</v>
      </c>
      <c r="AC272">
        <v>6</v>
      </c>
      <c r="AD272">
        <v>117</v>
      </c>
      <c r="AE272">
        <v>83</v>
      </c>
      <c r="AF272" t="str">
        <v>Urbana</v>
      </c>
      <c r="AG272" t="str">
        <v>Nao</v>
      </c>
    </row>
    <row r="273" spans="2:33" x14ac:dyDescent="0.45">
      <c r="B273" s="4">
        <v>272</v>
      </c>
      <c r="C273" s="4" t="s">
        <v>31</v>
      </c>
      <c r="D273" s="4" t="s">
        <v>23</v>
      </c>
      <c r="E273" s="4" t="s">
        <v>17</v>
      </c>
      <c r="F273" s="4" t="s">
        <v>24</v>
      </c>
      <c r="G273" s="4" t="s">
        <v>30</v>
      </c>
      <c r="H273" s="4" t="s">
        <v>20</v>
      </c>
      <c r="I273" s="4">
        <v>27</v>
      </c>
      <c r="J273" s="5">
        <v>63.5</v>
      </c>
      <c r="K273" s="6">
        <v>1.76</v>
      </c>
      <c r="L273" s="4">
        <v>6</v>
      </c>
      <c r="M273" s="4">
        <v>120</v>
      </c>
      <c r="N273" s="4">
        <v>85</v>
      </c>
      <c r="O273" s="4" t="s">
        <v>26</v>
      </c>
      <c r="P273" s="7" t="s">
        <v>19</v>
      </c>
      <c r="S273">
        <v>591</v>
      </c>
      <c r="T273" t="str">
        <v>Inhambane</v>
      </c>
      <c r="U273" t="str">
        <v>Masculino</v>
      </c>
      <c r="V273" t="str">
        <v>Casado(a)</v>
      </c>
      <c r="W273" t="str">
        <v>Secundaria</v>
      </c>
      <c r="X273" t="str">
        <v>Sim</v>
      </c>
      <c r="Y273" t="str">
        <v>Malaria</v>
      </c>
      <c r="Z273">
        <v>11</v>
      </c>
      <c r="AA273">
        <v>32.9</v>
      </c>
      <c r="AB273">
        <v>1.38</v>
      </c>
      <c r="AC273">
        <v>2</v>
      </c>
      <c r="AD273">
        <v>97</v>
      </c>
      <c r="AE273">
        <v>101</v>
      </c>
      <c r="AF273" t="str">
        <v>Urbana</v>
      </c>
      <c r="AG273" t="str">
        <v>Nao</v>
      </c>
    </row>
    <row r="274" spans="2:33" x14ac:dyDescent="0.45">
      <c r="B274" s="4">
        <v>273</v>
      </c>
      <c r="C274" s="4" t="s">
        <v>41</v>
      </c>
      <c r="D274" s="4" t="s">
        <v>16</v>
      </c>
      <c r="E274" s="4" t="s">
        <v>37</v>
      </c>
      <c r="F274" s="4" t="s">
        <v>28</v>
      </c>
      <c r="G274" s="4" t="s">
        <v>19</v>
      </c>
      <c r="H274" s="4" t="s">
        <v>36</v>
      </c>
      <c r="I274" s="4">
        <v>5</v>
      </c>
      <c r="J274" s="5">
        <v>22.8</v>
      </c>
      <c r="K274" s="6">
        <v>1.21</v>
      </c>
      <c r="L274" s="4">
        <v>4</v>
      </c>
      <c r="M274" s="4">
        <v>139</v>
      </c>
      <c r="N274" s="4">
        <v>96</v>
      </c>
      <c r="O274" s="4" t="s">
        <v>21</v>
      </c>
      <c r="P274" s="7" t="s">
        <v>19</v>
      </c>
      <c r="S274">
        <v>593</v>
      </c>
      <c r="T274" t="str">
        <v>Maputo Provincia</v>
      </c>
      <c r="U274" t="str">
        <v>Masculino</v>
      </c>
      <c r="V274" t="str">
        <v>Solteiro(a)</v>
      </c>
      <c r="W274" t="str">
        <v>Primaria</v>
      </c>
      <c r="X274" t="str">
        <v>Nao</v>
      </c>
      <c r="Y274" t="str">
        <v>Nenhuma</v>
      </c>
      <c r="Z274">
        <v>5</v>
      </c>
      <c r="AA274">
        <v>34.6</v>
      </c>
      <c r="AB274">
        <v>1.42</v>
      </c>
      <c r="AC274">
        <v>0</v>
      </c>
      <c r="AD274">
        <v>108</v>
      </c>
      <c r="AE274">
        <v>103</v>
      </c>
      <c r="AF274" t="str">
        <v>Rural</v>
      </c>
      <c r="AG274" t="str">
        <v>Nao</v>
      </c>
    </row>
    <row r="275" spans="2:33" x14ac:dyDescent="0.45">
      <c r="B275" s="4">
        <v>274</v>
      </c>
      <c r="C275" s="4" t="s">
        <v>39</v>
      </c>
      <c r="D275" s="4" t="s">
        <v>16</v>
      </c>
      <c r="E275" s="4" t="s">
        <v>35</v>
      </c>
      <c r="F275" s="4" t="s">
        <v>24</v>
      </c>
      <c r="G275" s="4" t="s">
        <v>19</v>
      </c>
      <c r="H275" s="4" t="s">
        <v>28</v>
      </c>
      <c r="I275" s="4">
        <v>17</v>
      </c>
      <c r="J275" s="5">
        <v>49.4</v>
      </c>
      <c r="K275" s="6">
        <v>1.48</v>
      </c>
      <c r="L275" s="4">
        <v>3</v>
      </c>
      <c r="M275" s="4">
        <v>113</v>
      </c>
      <c r="N275" s="4">
        <v>94</v>
      </c>
      <c r="O275" s="4" t="s">
        <v>26</v>
      </c>
      <c r="P275" s="7" t="s">
        <v>30</v>
      </c>
      <c r="S275">
        <v>594</v>
      </c>
      <c r="T275" t="str">
        <v>Inhambane</v>
      </c>
      <c r="U275" t="str">
        <v>Masculino</v>
      </c>
      <c r="V275" t="str">
        <v>Solteiro(a)</v>
      </c>
      <c r="W275" t="str">
        <v>Primaria</v>
      </c>
      <c r="X275" t="str">
        <v>Nao</v>
      </c>
      <c r="Y275" t="str">
        <v>Nenhuma</v>
      </c>
      <c r="Z275">
        <v>71</v>
      </c>
      <c r="AA275">
        <v>92.1</v>
      </c>
      <c r="AB275">
        <v>1.55</v>
      </c>
      <c r="AC275">
        <v>4</v>
      </c>
      <c r="AD275">
        <v>136</v>
      </c>
      <c r="AE275">
        <v>75</v>
      </c>
      <c r="AF275" t="str">
        <v>Urbana</v>
      </c>
      <c r="AG275" t="str">
        <v>Sim</v>
      </c>
    </row>
    <row r="276" spans="2:33" x14ac:dyDescent="0.45">
      <c r="B276" s="4">
        <v>275</v>
      </c>
      <c r="C276" s="4" t="s">
        <v>22</v>
      </c>
      <c r="D276" s="4" t="s">
        <v>23</v>
      </c>
      <c r="E276" s="4" t="s">
        <v>17</v>
      </c>
      <c r="F276" s="4" t="s">
        <v>24</v>
      </c>
      <c r="G276" s="4" t="s">
        <v>19</v>
      </c>
      <c r="H276" s="4" t="s">
        <v>20</v>
      </c>
      <c r="I276" s="4">
        <v>21</v>
      </c>
      <c r="J276" s="5">
        <v>49.9</v>
      </c>
      <c r="K276" s="6">
        <v>1.77</v>
      </c>
      <c r="L276" s="4">
        <v>1</v>
      </c>
      <c r="M276" s="4">
        <v>105</v>
      </c>
      <c r="N276" s="4">
        <v>93</v>
      </c>
      <c r="O276" s="4" t="s">
        <v>26</v>
      </c>
      <c r="P276" s="7" t="s">
        <v>19</v>
      </c>
      <c r="S276">
        <v>595</v>
      </c>
      <c r="T276" t="str">
        <v>Niassa</v>
      </c>
      <c r="U276" t="str">
        <v>Masculino</v>
      </c>
      <c r="V276" t="str">
        <v>Divorciado(a)</v>
      </c>
      <c r="W276" t="str">
        <v>Nenhuma</v>
      </c>
      <c r="X276" t="str">
        <v>Nao</v>
      </c>
      <c r="Y276" t="str">
        <v>Diarreia</v>
      </c>
      <c r="Z276">
        <v>14</v>
      </c>
      <c r="AA276">
        <v>55.4</v>
      </c>
      <c r="AB276">
        <v>1.72</v>
      </c>
      <c r="AC276">
        <v>4</v>
      </c>
      <c r="AD276">
        <v>107</v>
      </c>
      <c r="AE276">
        <v>94</v>
      </c>
      <c r="AF276" t="str">
        <v>Rural</v>
      </c>
      <c r="AG276" t="str">
        <v>Nao</v>
      </c>
    </row>
    <row r="277" spans="2:33" x14ac:dyDescent="0.45">
      <c r="B277" s="4">
        <v>276</v>
      </c>
      <c r="C277" s="4" t="s">
        <v>15</v>
      </c>
      <c r="D277" s="4" t="s">
        <v>16</v>
      </c>
      <c r="E277" s="4" t="s">
        <v>35</v>
      </c>
      <c r="F277" s="4" t="s">
        <v>18</v>
      </c>
      <c r="G277" s="4" t="s">
        <v>30</v>
      </c>
      <c r="H277" s="4" t="s">
        <v>34</v>
      </c>
      <c r="I277" s="4">
        <v>22</v>
      </c>
      <c r="J277" s="5">
        <v>90.3</v>
      </c>
      <c r="K277" s="6">
        <v>1.88</v>
      </c>
      <c r="L277" s="4">
        <v>1</v>
      </c>
      <c r="M277" s="4">
        <v>111</v>
      </c>
      <c r="N277" s="4">
        <v>70</v>
      </c>
      <c r="O277" s="4" t="s">
        <v>21</v>
      </c>
      <c r="P277" s="7" t="s">
        <v>19</v>
      </c>
      <c r="S277">
        <v>600</v>
      </c>
      <c r="T277" t="str">
        <v>Niassa</v>
      </c>
      <c r="U277" t="str">
        <v>Masculino</v>
      </c>
      <c r="V277" t="str">
        <v>Casado(a)</v>
      </c>
      <c r="W277" t="str">
        <v>Primaria</v>
      </c>
      <c r="X277" t="str">
        <v>Nao</v>
      </c>
      <c r="Y277" t="str">
        <v>Pneumonia</v>
      </c>
      <c r="Z277">
        <v>3</v>
      </c>
      <c r="AA277">
        <v>7.8</v>
      </c>
      <c r="AB277">
        <v>0.92</v>
      </c>
      <c r="AC277">
        <v>2</v>
      </c>
      <c r="AD277">
        <v>111</v>
      </c>
      <c r="AE277">
        <v>78</v>
      </c>
      <c r="AF277" t="str">
        <v>Rural</v>
      </c>
      <c r="AG277" t="str">
        <v>Nao</v>
      </c>
    </row>
    <row r="278" spans="2:33" x14ac:dyDescent="0.45">
      <c r="B278" s="4">
        <v>277</v>
      </c>
      <c r="C278" s="4" t="s">
        <v>33</v>
      </c>
      <c r="D278" s="4" t="s">
        <v>23</v>
      </c>
      <c r="E278" s="4" t="s">
        <v>17</v>
      </c>
      <c r="F278" s="4" t="s">
        <v>18</v>
      </c>
      <c r="G278" s="4" t="s">
        <v>30</v>
      </c>
      <c r="H278" s="4" t="s">
        <v>34</v>
      </c>
      <c r="I278" s="4">
        <v>5</v>
      </c>
      <c r="J278" s="5">
        <v>23.3</v>
      </c>
      <c r="K278" s="6">
        <v>1.19</v>
      </c>
      <c r="L278" s="4">
        <v>1</v>
      </c>
      <c r="M278" s="4">
        <v>93</v>
      </c>
      <c r="N278" s="4">
        <v>92</v>
      </c>
      <c r="O278" s="4" t="s">
        <v>26</v>
      </c>
      <c r="P278" s="7" t="s">
        <v>19</v>
      </c>
      <c r="S278">
        <v>602</v>
      </c>
      <c r="T278" t="str">
        <v>Nampula</v>
      </c>
      <c r="U278" t="str">
        <v>Masculino</v>
      </c>
      <c r="V278" t="str">
        <v>Casado(a)</v>
      </c>
      <c r="W278" t="str">
        <v>Secundaria</v>
      </c>
      <c r="X278" t="str">
        <v>Nao</v>
      </c>
      <c r="Y278" t="str">
        <v>Tuberculose</v>
      </c>
      <c r="Z278">
        <v>4</v>
      </c>
      <c r="AA278">
        <v>16.899999999999999</v>
      </c>
      <c r="AB278">
        <v>0.88</v>
      </c>
      <c r="AC278">
        <v>2</v>
      </c>
      <c r="AD278">
        <v>102</v>
      </c>
      <c r="AE278">
        <v>96</v>
      </c>
      <c r="AF278" t="str">
        <v>Rural</v>
      </c>
      <c r="AG278" t="str">
        <v>Nao</v>
      </c>
    </row>
    <row r="279" spans="2:33" x14ac:dyDescent="0.45">
      <c r="B279" s="4">
        <v>278</v>
      </c>
      <c r="C279" s="4" t="s">
        <v>31</v>
      </c>
      <c r="D279" s="4" t="s">
        <v>16</v>
      </c>
      <c r="E279" s="4" t="s">
        <v>35</v>
      </c>
      <c r="F279" s="4" t="s">
        <v>24</v>
      </c>
      <c r="G279" s="4" t="s">
        <v>19</v>
      </c>
      <c r="H279" s="4" t="s">
        <v>20</v>
      </c>
      <c r="I279" s="4">
        <v>70</v>
      </c>
      <c r="J279" s="5">
        <v>47.3</v>
      </c>
      <c r="K279" s="6">
        <v>1.48</v>
      </c>
      <c r="L279" s="4">
        <v>6</v>
      </c>
      <c r="M279" s="4">
        <v>124</v>
      </c>
      <c r="N279" s="4">
        <v>104</v>
      </c>
      <c r="O279" s="4" t="s">
        <v>26</v>
      </c>
      <c r="P279" s="7" t="s">
        <v>30</v>
      </c>
      <c r="S279">
        <v>605</v>
      </c>
      <c r="T279" t="str">
        <v>Niassa</v>
      </c>
      <c r="U279" t="str">
        <v>Masculino</v>
      </c>
      <c r="V279" t="str">
        <v>Solteiro(a)</v>
      </c>
      <c r="W279" t="str">
        <v>Secundaria</v>
      </c>
      <c r="X279" t="str">
        <v>Nao</v>
      </c>
      <c r="Y279" t="str">
        <v>Tuberculose</v>
      </c>
      <c r="Z279">
        <v>18</v>
      </c>
      <c r="AA279">
        <v>86.3</v>
      </c>
      <c r="AB279">
        <v>1.71</v>
      </c>
      <c r="AC279">
        <v>0</v>
      </c>
      <c r="AD279">
        <v>114</v>
      </c>
      <c r="AE279">
        <v>94</v>
      </c>
      <c r="AF279" t="str">
        <v>Rural</v>
      </c>
      <c r="AG279" t="str">
        <v>Sim</v>
      </c>
    </row>
    <row r="280" spans="2:33" x14ac:dyDescent="0.45">
      <c r="B280" s="4">
        <v>279</v>
      </c>
      <c r="C280" s="4" t="s">
        <v>39</v>
      </c>
      <c r="D280" s="4" t="s">
        <v>16</v>
      </c>
      <c r="E280" s="4" t="s">
        <v>35</v>
      </c>
      <c r="F280" s="4" t="s">
        <v>24</v>
      </c>
      <c r="G280" s="4" t="s">
        <v>19</v>
      </c>
      <c r="H280" s="4" t="s">
        <v>34</v>
      </c>
      <c r="I280" s="4">
        <v>28</v>
      </c>
      <c r="J280" s="5">
        <v>60.9</v>
      </c>
      <c r="K280" s="6">
        <v>1.71</v>
      </c>
      <c r="L280" s="4">
        <v>3</v>
      </c>
      <c r="M280" s="4">
        <v>120</v>
      </c>
      <c r="N280" s="4">
        <v>99</v>
      </c>
      <c r="O280" s="4" t="s">
        <v>26</v>
      </c>
      <c r="P280" s="7" t="s">
        <v>19</v>
      </c>
      <c r="S280">
        <v>607</v>
      </c>
      <c r="T280" t="str">
        <v>Sofala</v>
      </c>
      <c r="U280" t="str">
        <v>Masculino</v>
      </c>
      <c r="V280" t="str">
        <v>Divorciado(a)</v>
      </c>
      <c r="W280" t="str">
        <v>Secundaria</v>
      </c>
      <c r="X280" t="str">
        <v>Nao</v>
      </c>
      <c r="Y280" t="str">
        <v>Pneumonia</v>
      </c>
      <c r="Z280">
        <v>44</v>
      </c>
      <c r="AA280">
        <v>55.2</v>
      </c>
      <c r="AB280">
        <v>1.64</v>
      </c>
      <c r="AC280">
        <v>5</v>
      </c>
      <c r="AD280">
        <v>120</v>
      </c>
      <c r="AE280">
        <v>96</v>
      </c>
      <c r="AF280" t="str">
        <v>Urbana</v>
      </c>
      <c r="AG280" t="str">
        <v>Sim</v>
      </c>
    </row>
    <row r="281" spans="2:33" x14ac:dyDescent="0.45">
      <c r="B281" s="4">
        <v>280</v>
      </c>
      <c r="C281" s="4" t="s">
        <v>22</v>
      </c>
      <c r="D281" s="4" t="s">
        <v>16</v>
      </c>
      <c r="E281" s="4" t="s">
        <v>35</v>
      </c>
      <c r="F281" s="4" t="s">
        <v>18</v>
      </c>
      <c r="G281" s="4" t="s">
        <v>19</v>
      </c>
      <c r="H281" s="4" t="s">
        <v>28</v>
      </c>
      <c r="I281" s="4">
        <v>32</v>
      </c>
      <c r="J281" s="5">
        <v>76.2</v>
      </c>
      <c r="K281" s="6">
        <v>1.79</v>
      </c>
      <c r="L281" s="4">
        <v>3</v>
      </c>
      <c r="M281" s="4">
        <v>111</v>
      </c>
      <c r="N281" s="4">
        <v>97</v>
      </c>
      <c r="O281" s="4" t="s">
        <v>21</v>
      </c>
      <c r="P281" s="7" t="s">
        <v>19</v>
      </c>
      <c r="S281">
        <v>611</v>
      </c>
      <c r="T281" t="str">
        <v>Cabo Delgado</v>
      </c>
      <c r="U281" t="str">
        <v>Masculino</v>
      </c>
      <c r="V281" t="str">
        <v>Casado(a)</v>
      </c>
      <c r="W281" t="str">
        <v>Primaria</v>
      </c>
      <c r="X281" t="str">
        <v>Nao</v>
      </c>
      <c r="Y281" t="str">
        <v>Nenhuma</v>
      </c>
      <c r="Z281">
        <v>59</v>
      </c>
      <c r="AA281">
        <v>54.5</v>
      </c>
      <c r="AB281">
        <v>1.63</v>
      </c>
      <c r="AC281">
        <v>4</v>
      </c>
      <c r="AD281">
        <v>118</v>
      </c>
      <c r="AE281">
        <v>91</v>
      </c>
      <c r="AF281" t="str">
        <v>Rural</v>
      </c>
      <c r="AG281" t="str">
        <v>Nao</v>
      </c>
    </row>
    <row r="282" spans="2:33" x14ac:dyDescent="0.45">
      <c r="B282" s="4">
        <v>281</v>
      </c>
      <c r="C282" s="4" t="s">
        <v>40</v>
      </c>
      <c r="D282" s="4" t="s">
        <v>23</v>
      </c>
      <c r="E282" s="4" t="s">
        <v>35</v>
      </c>
      <c r="F282" s="4" t="s">
        <v>28</v>
      </c>
      <c r="G282" s="4" t="s">
        <v>19</v>
      </c>
      <c r="H282" s="4" t="s">
        <v>46</v>
      </c>
      <c r="I282" s="4">
        <v>17</v>
      </c>
      <c r="J282" s="5">
        <v>38.5</v>
      </c>
      <c r="K282" s="6">
        <v>1.59</v>
      </c>
      <c r="L282" s="4">
        <v>2</v>
      </c>
      <c r="M282" s="4">
        <v>99</v>
      </c>
      <c r="N282" s="4">
        <v>81</v>
      </c>
      <c r="O282" s="4" t="s">
        <v>26</v>
      </c>
      <c r="P282" s="7" t="s">
        <v>19</v>
      </c>
      <c r="S282">
        <v>614</v>
      </c>
      <c r="T282" t="str">
        <v>Manica</v>
      </c>
      <c r="U282" t="str">
        <v>Masculino</v>
      </c>
      <c r="V282" t="str">
        <v>Solteiro(a)</v>
      </c>
      <c r="W282" t="str">
        <v>Superior</v>
      </c>
      <c r="X282" t="str">
        <v>Nao</v>
      </c>
      <c r="Y282" t="str">
        <v>Nenhuma</v>
      </c>
      <c r="Z282">
        <v>20</v>
      </c>
      <c r="AA282">
        <v>69.900000000000006</v>
      </c>
      <c r="AB282">
        <v>1.52</v>
      </c>
      <c r="AC282">
        <v>4</v>
      </c>
      <c r="AD282">
        <v>106</v>
      </c>
      <c r="AE282">
        <v>95</v>
      </c>
      <c r="AF282" t="str">
        <v>Urbana</v>
      </c>
      <c r="AG282" t="str">
        <v>Nao</v>
      </c>
    </row>
    <row r="283" spans="2:33" x14ac:dyDescent="0.45">
      <c r="B283" s="4">
        <v>282</v>
      </c>
      <c r="C283" s="4" t="s">
        <v>41</v>
      </c>
      <c r="D283" s="4" t="s">
        <v>23</v>
      </c>
      <c r="E283" s="4" t="s">
        <v>35</v>
      </c>
      <c r="F283" s="4" t="s">
        <v>24</v>
      </c>
      <c r="G283" s="4" t="s">
        <v>19</v>
      </c>
      <c r="H283" s="4" t="s">
        <v>34</v>
      </c>
      <c r="I283" s="4">
        <v>35</v>
      </c>
      <c r="J283" s="5">
        <v>58.1</v>
      </c>
      <c r="K283" s="6">
        <v>1.75</v>
      </c>
      <c r="L283" s="4">
        <v>7</v>
      </c>
      <c r="M283" s="4">
        <v>133</v>
      </c>
      <c r="N283" s="4">
        <v>87</v>
      </c>
      <c r="O283" s="4" t="s">
        <v>26</v>
      </c>
      <c r="P283" s="7" t="s">
        <v>30</v>
      </c>
      <c r="S283">
        <v>616</v>
      </c>
      <c r="T283" t="str">
        <v>Zambezia</v>
      </c>
      <c r="U283" t="str">
        <v>Masculino</v>
      </c>
      <c r="V283" t="str">
        <v>Solteiro(a)</v>
      </c>
      <c r="W283" t="str">
        <v>Primaria</v>
      </c>
      <c r="X283" t="str">
        <v>Nao</v>
      </c>
      <c r="Y283" t="str">
        <v>Nenhuma</v>
      </c>
      <c r="Z283">
        <v>0</v>
      </c>
      <c r="AA283">
        <v>10.6</v>
      </c>
      <c r="AB283">
        <v>0.72</v>
      </c>
      <c r="AC283">
        <v>9</v>
      </c>
      <c r="AD283">
        <v>97</v>
      </c>
      <c r="AE283">
        <v>99</v>
      </c>
      <c r="AF283" t="str">
        <v>Rural</v>
      </c>
      <c r="AG283" t="str">
        <v>Nao</v>
      </c>
    </row>
    <row r="284" spans="2:33" x14ac:dyDescent="0.45">
      <c r="B284" s="4">
        <v>283</v>
      </c>
      <c r="C284" s="4" t="s">
        <v>33</v>
      </c>
      <c r="D284" s="4" t="s">
        <v>16</v>
      </c>
      <c r="E284" s="4" t="s">
        <v>35</v>
      </c>
      <c r="F284" s="4" t="s">
        <v>18</v>
      </c>
      <c r="G284" s="4" t="s">
        <v>19</v>
      </c>
      <c r="H284" s="4" t="s">
        <v>20</v>
      </c>
      <c r="I284" s="4">
        <v>58</v>
      </c>
      <c r="J284" s="5">
        <v>68.099999999999994</v>
      </c>
      <c r="K284" s="6">
        <v>1.75</v>
      </c>
      <c r="L284" s="4">
        <v>2</v>
      </c>
      <c r="M284" s="4">
        <v>108</v>
      </c>
      <c r="N284" s="4">
        <v>77</v>
      </c>
      <c r="O284" s="4" t="s">
        <v>21</v>
      </c>
      <c r="P284" s="7" t="s">
        <v>19</v>
      </c>
      <c r="S284">
        <v>618</v>
      </c>
      <c r="T284" t="str">
        <v>Sofala</v>
      </c>
      <c r="U284" t="str">
        <v>Masculino</v>
      </c>
      <c r="V284" t="str">
        <v>Casado(a)</v>
      </c>
      <c r="W284" t="str">
        <v>Primaria</v>
      </c>
      <c r="X284" t="str">
        <v>Nao</v>
      </c>
      <c r="Y284" t="str">
        <v>Nenhuma</v>
      </c>
      <c r="Z284">
        <v>13</v>
      </c>
      <c r="AA284">
        <v>53.7</v>
      </c>
      <c r="AB284">
        <v>1.64</v>
      </c>
      <c r="AC284">
        <v>0</v>
      </c>
      <c r="AD284">
        <v>108</v>
      </c>
      <c r="AE284">
        <v>75</v>
      </c>
      <c r="AF284" t="str">
        <v>Rural</v>
      </c>
      <c r="AG284" t="str">
        <v>Nao</v>
      </c>
    </row>
    <row r="285" spans="2:33" x14ac:dyDescent="0.45">
      <c r="B285" s="4">
        <v>284</v>
      </c>
      <c r="C285" s="4" t="s">
        <v>39</v>
      </c>
      <c r="D285" s="4" t="s">
        <v>23</v>
      </c>
      <c r="E285" s="4" t="s">
        <v>35</v>
      </c>
      <c r="F285" s="4" t="s">
        <v>42</v>
      </c>
      <c r="G285" s="4" t="s">
        <v>19</v>
      </c>
      <c r="H285" s="4" t="s">
        <v>25</v>
      </c>
      <c r="I285" s="4">
        <v>32</v>
      </c>
      <c r="J285" s="5">
        <v>71.099999999999994</v>
      </c>
      <c r="K285" s="6">
        <v>1.79</v>
      </c>
      <c r="L285" s="4">
        <v>3</v>
      </c>
      <c r="M285" s="4">
        <v>114</v>
      </c>
      <c r="N285" s="4">
        <v>97</v>
      </c>
      <c r="O285" s="4" t="s">
        <v>21</v>
      </c>
      <c r="P285" s="7" t="s">
        <v>30</v>
      </c>
      <c r="S285">
        <v>621</v>
      </c>
      <c r="T285" t="str">
        <v>Nampula</v>
      </c>
      <c r="U285" t="str">
        <v>Masculino</v>
      </c>
      <c r="V285" t="str">
        <v>Casado(a)</v>
      </c>
      <c r="W285" t="str">
        <v>Primaria</v>
      </c>
      <c r="X285" t="str">
        <v>Nao</v>
      </c>
      <c r="Y285" t="str">
        <v>Diabetes</v>
      </c>
      <c r="Z285">
        <v>5</v>
      </c>
      <c r="AA285">
        <v>36.1</v>
      </c>
      <c r="AB285">
        <v>1.22</v>
      </c>
      <c r="AC285">
        <v>10</v>
      </c>
      <c r="AD285">
        <v>105</v>
      </c>
      <c r="AE285">
        <v>174</v>
      </c>
      <c r="AF285" t="str">
        <v>Urbana</v>
      </c>
      <c r="AG285" t="str">
        <v>Nao</v>
      </c>
    </row>
    <row r="286" spans="2:33" x14ac:dyDescent="0.45">
      <c r="B286" s="4">
        <v>285</v>
      </c>
      <c r="C286" s="4" t="s">
        <v>39</v>
      </c>
      <c r="D286" s="4" t="s">
        <v>16</v>
      </c>
      <c r="E286" s="4" t="s">
        <v>17</v>
      </c>
      <c r="F286" s="4" t="s">
        <v>42</v>
      </c>
      <c r="G286" s="4" t="s">
        <v>30</v>
      </c>
      <c r="H286" s="4" t="s">
        <v>25</v>
      </c>
      <c r="I286" s="4">
        <v>10</v>
      </c>
      <c r="J286" s="5">
        <v>25.6</v>
      </c>
      <c r="K286" s="6">
        <v>1.39</v>
      </c>
      <c r="L286" s="4">
        <v>2</v>
      </c>
      <c r="M286" s="4">
        <v>98</v>
      </c>
      <c r="N286" s="4">
        <v>98</v>
      </c>
      <c r="O286" s="4" t="s">
        <v>26</v>
      </c>
      <c r="P286" s="7" t="s">
        <v>19</v>
      </c>
      <c r="S286">
        <v>623</v>
      </c>
      <c r="T286" t="str">
        <v>Inhambane</v>
      </c>
      <c r="U286" t="str">
        <v>Masculino</v>
      </c>
      <c r="V286" t="str">
        <v>Solteiro(a)</v>
      </c>
      <c r="W286" t="str">
        <v>Nenhuma</v>
      </c>
      <c r="X286" t="str">
        <v>Nao</v>
      </c>
      <c r="Y286" t="str">
        <v>Malaria</v>
      </c>
      <c r="Z286">
        <v>41</v>
      </c>
      <c r="AA286">
        <v>66</v>
      </c>
      <c r="AB286">
        <v>1.85</v>
      </c>
      <c r="AC286">
        <v>1</v>
      </c>
      <c r="AD286">
        <v>114</v>
      </c>
      <c r="AE286">
        <v>99</v>
      </c>
      <c r="AF286" t="str">
        <v>Rural</v>
      </c>
      <c r="AG286" t="str">
        <v>Nao</v>
      </c>
    </row>
    <row r="287" spans="2:33" x14ac:dyDescent="0.45">
      <c r="B287" s="4">
        <v>286</v>
      </c>
      <c r="C287" s="4" t="s">
        <v>43</v>
      </c>
      <c r="D287" s="4" t="s">
        <v>23</v>
      </c>
      <c r="E287" s="4" t="s">
        <v>17</v>
      </c>
      <c r="F287" s="4" t="s">
        <v>24</v>
      </c>
      <c r="G287" s="4" t="s">
        <v>19</v>
      </c>
      <c r="H287" s="4" t="s">
        <v>46</v>
      </c>
      <c r="I287" s="4">
        <v>68</v>
      </c>
      <c r="J287" s="5">
        <v>76.599999999999994</v>
      </c>
      <c r="K287" s="6">
        <v>1.78</v>
      </c>
      <c r="L287" s="4">
        <v>3</v>
      </c>
      <c r="M287" s="4">
        <v>133</v>
      </c>
      <c r="N287" s="4">
        <v>81</v>
      </c>
      <c r="O287" s="4" t="s">
        <v>21</v>
      </c>
      <c r="P287" s="7" t="s">
        <v>19</v>
      </c>
      <c r="S287">
        <v>624</v>
      </c>
      <c r="T287" t="str">
        <v>Manica</v>
      </c>
      <c r="U287" t="str">
        <v>Masculino</v>
      </c>
      <c r="V287" t="str">
        <v>Solteiro(a)</v>
      </c>
      <c r="W287" t="str">
        <v>Secundaria</v>
      </c>
      <c r="X287" t="str">
        <v>Nao</v>
      </c>
      <c r="Y287" t="str">
        <v>Pneumonia</v>
      </c>
      <c r="Z287">
        <v>18</v>
      </c>
      <c r="AA287">
        <v>78.5</v>
      </c>
      <c r="AB287">
        <v>1.74</v>
      </c>
      <c r="AC287">
        <v>4</v>
      </c>
      <c r="AD287">
        <v>108</v>
      </c>
      <c r="AE287">
        <v>74</v>
      </c>
      <c r="AF287" t="str">
        <v>Urbana</v>
      </c>
      <c r="AG287" t="str">
        <v>Nao</v>
      </c>
    </row>
    <row r="288" spans="2:33" x14ac:dyDescent="0.45">
      <c r="B288" s="4">
        <v>287</v>
      </c>
      <c r="C288" s="4" t="s">
        <v>29</v>
      </c>
      <c r="D288" s="4" t="s">
        <v>16</v>
      </c>
      <c r="E288" s="4" t="s">
        <v>35</v>
      </c>
      <c r="F288" s="4" t="s">
        <v>24</v>
      </c>
      <c r="G288" s="4" t="s">
        <v>19</v>
      </c>
      <c r="H288" s="4" t="s">
        <v>46</v>
      </c>
      <c r="I288" s="4">
        <v>56</v>
      </c>
      <c r="J288" s="5">
        <v>57.9</v>
      </c>
      <c r="K288" s="6">
        <v>1.75</v>
      </c>
      <c r="L288" s="4">
        <v>5</v>
      </c>
      <c r="M288" s="4">
        <v>114</v>
      </c>
      <c r="N288" s="4">
        <v>95</v>
      </c>
      <c r="O288" s="4" t="s">
        <v>21</v>
      </c>
      <c r="P288" s="7" t="s">
        <v>30</v>
      </c>
      <c r="S288">
        <v>630</v>
      </c>
      <c r="T288" t="str">
        <v>Tete</v>
      </c>
      <c r="U288" t="str">
        <v>Masculino</v>
      </c>
      <c r="V288" t="str">
        <v>Casado(a)</v>
      </c>
      <c r="W288" t="str">
        <v>Primaria</v>
      </c>
      <c r="X288" t="str">
        <v>Nao</v>
      </c>
      <c r="Y288" t="str">
        <v>Hipertensao</v>
      </c>
      <c r="Z288">
        <v>1</v>
      </c>
      <c r="AA288">
        <v>17.5</v>
      </c>
      <c r="AB288">
        <v>0.63</v>
      </c>
      <c r="AC288">
        <v>0</v>
      </c>
      <c r="AD288">
        <v>134</v>
      </c>
      <c r="AE288">
        <v>88</v>
      </c>
      <c r="AF288" t="str">
        <v>Rural</v>
      </c>
      <c r="AG288" t="str">
        <v>Nao</v>
      </c>
    </row>
    <row r="289" spans="2:33" x14ac:dyDescent="0.45">
      <c r="B289" s="4">
        <v>288</v>
      </c>
      <c r="C289" s="4" t="s">
        <v>22</v>
      </c>
      <c r="D289" s="4" t="s">
        <v>16</v>
      </c>
      <c r="E289" s="4" t="s">
        <v>35</v>
      </c>
      <c r="F289" s="4" t="s">
        <v>18</v>
      </c>
      <c r="G289" s="4" t="s">
        <v>30</v>
      </c>
      <c r="H289" s="4" t="s">
        <v>28</v>
      </c>
      <c r="I289" s="4">
        <v>36</v>
      </c>
      <c r="J289" s="5">
        <v>93.6</v>
      </c>
      <c r="K289" s="6">
        <v>1.62</v>
      </c>
      <c r="L289" s="4">
        <v>9</v>
      </c>
      <c r="M289" s="4">
        <v>107</v>
      </c>
      <c r="N289" s="4">
        <v>95</v>
      </c>
      <c r="O289" s="4" t="s">
        <v>21</v>
      </c>
      <c r="P289" s="7" t="s">
        <v>30</v>
      </c>
      <c r="S289">
        <v>634</v>
      </c>
      <c r="T289" t="str">
        <v>Maputo Provincia</v>
      </c>
      <c r="U289" t="str">
        <v>Masculino</v>
      </c>
      <c r="V289" t="str">
        <v>Solteiro(a)</v>
      </c>
      <c r="W289" t="str">
        <v>Nenhuma</v>
      </c>
      <c r="X289" t="str">
        <v>Nao</v>
      </c>
      <c r="Y289" t="str">
        <v>Nenhuma</v>
      </c>
      <c r="Z289">
        <v>38</v>
      </c>
      <c r="AA289">
        <v>55</v>
      </c>
      <c r="AB289">
        <v>1.5</v>
      </c>
      <c r="AC289">
        <v>6</v>
      </c>
      <c r="AD289">
        <v>131</v>
      </c>
      <c r="AE289">
        <v>100</v>
      </c>
      <c r="AF289" t="str">
        <v>Urbana</v>
      </c>
      <c r="AG289" t="str">
        <v>Sim</v>
      </c>
    </row>
    <row r="290" spans="2:33" x14ac:dyDescent="0.45">
      <c r="B290" s="4">
        <v>289</v>
      </c>
      <c r="C290" s="4" t="s">
        <v>22</v>
      </c>
      <c r="D290" s="4" t="s">
        <v>16</v>
      </c>
      <c r="E290" s="4" t="s">
        <v>37</v>
      </c>
      <c r="F290" s="4" t="s">
        <v>28</v>
      </c>
      <c r="G290" s="4" t="s">
        <v>19</v>
      </c>
      <c r="H290" s="4" t="s">
        <v>20</v>
      </c>
      <c r="I290" s="4">
        <v>44</v>
      </c>
      <c r="J290" s="5">
        <v>74.900000000000006</v>
      </c>
      <c r="K290" s="6">
        <v>1.64</v>
      </c>
      <c r="L290" s="4">
        <v>4</v>
      </c>
      <c r="M290" s="4">
        <v>115</v>
      </c>
      <c r="N290" s="4">
        <v>94</v>
      </c>
      <c r="O290" s="4" t="s">
        <v>26</v>
      </c>
      <c r="P290" s="7" t="s">
        <v>19</v>
      </c>
      <c r="S290">
        <v>636</v>
      </c>
      <c r="T290" t="str">
        <v>Cabo Delgado</v>
      </c>
      <c r="U290" t="str">
        <v>Masculino</v>
      </c>
      <c r="V290" t="str">
        <v>Divorciado(a)</v>
      </c>
      <c r="W290" t="str">
        <v>Primaria</v>
      </c>
      <c r="X290" t="str">
        <v>Nao</v>
      </c>
      <c r="Y290" t="str">
        <v>Hipertensao</v>
      </c>
      <c r="Z290">
        <v>7</v>
      </c>
      <c r="AA290">
        <v>20.7</v>
      </c>
      <c r="AB290">
        <v>1.28</v>
      </c>
      <c r="AC290">
        <v>4</v>
      </c>
      <c r="AD290">
        <v>117</v>
      </c>
      <c r="AE290">
        <v>81</v>
      </c>
      <c r="AF290" t="str">
        <v>Urbana</v>
      </c>
      <c r="AG290" t="str">
        <v>Nao</v>
      </c>
    </row>
    <row r="291" spans="2:33" x14ac:dyDescent="0.45">
      <c r="B291" s="4">
        <v>290</v>
      </c>
      <c r="C291" s="4" t="s">
        <v>15</v>
      </c>
      <c r="D291" s="4" t="s">
        <v>23</v>
      </c>
      <c r="E291" s="4" t="s">
        <v>35</v>
      </c>
      <c r="F291" s="4" t="s">
        <v>28</v>
      </c>
      <c r="G291" s="4" t="s">
        <v>19</v>
      </c>
      <c r="H291" s="4" t="s">
        <v>28</v>
      </c>
      <c r="I291" s="4">
        <v>21</v>
      </c>
      <c r="J291" s="5">
        <v>74</v>
      </c>
      <c r="K291" s="6">
        <v>1.61</v>
      </c>
      <c r="L291" s="4">
        <v>3</v>
      </c>
      <c r="M291" s="4">
        <v>121</v>
      </c>
      <c r="N291" s="4">
        <v>92</v>
      </c>
      <c r="O291" s="4" t="s">
        <v>21</v>
      </c>
      <c r="P291" s="7" t="s">
        <v>19</v>
      </c>
      <c r="S291">
        <v>637</v>
      </c>
      <c r="T291" t="str">
        <v>Nampula</v>
      </c>
      <c r="U291" t="str">
        <v>Masculino</v>
      </c>
      <c r="V291" t="str">
        <v>Casado(a)</v>
      </c>
      <c r="W291" t="str">
        <v>Secundaria</v>
      </c>
      <c r="X291" t="str">
        <v>Sim</v>
      </c>
      <c r="Y291" t="str">
        <v>Nenhuma</v>
      </c>
      <c r="Z291">
        <v>47</v>
      </c>
      <c r="AA291">
        <v>86.9</v>
      </c>
      <c r="AB291">
        <v>1.63</v>
      </c>
      <c r="AC291">
        <v>1</v>
      </c>
      <c r="AD291">
        <v>132</v>
      </c>
      <c r="AE291">
        <v>98</v>
      </c>
      <c r="AF291" t="str">
        <v>Urbana</v>
      </c>
      <c r="AG291" t="str">
        <v>Sim</v>
      </c>
    </row>
    <row r="292" spans="2:33" x14ac:dyDescent="0.45">
      <c r="B292" s="4">
        <v>291</v>
      </c>
      <c r="C292" s="4" t="s">
        <v>43</v>
      </c>
      <c r="D292" s="4" t="s">
        <v>23</v>
      </c>
      <c r="E292" s="4" t="s">
        <v>35</v>
      </c>
      <c r="F292" s="4" t="s">
        <v>42</v>
      </c>
      <c r="G292" s="4" t="s">
        <v>19</v>
      </c>
      <c r="H292" s="4" t="s">
        <v>20</v>
      </c>
      <c r="I292" s="4">
        <v>23</v>
      </c>
      <c r="J292" s="5">
        <v>87.9</v>
      </c>
      <c r="K292" s="6">
        <v>1.81</v>
      </c>
      <c r="L292" s="4">
        <v>4</v>
      </c>
      <c r="M292" s="4">
        <v>110</v>
      </c>
      <c r="N292" s="4">
        <v>88</v>
      </c>
      <c r="O292" s="4" t="s">
        <v>26</v>
      </c>
      <c r="P292" s="7" t="s">
        <v>30</v>
      </c>
      <c r="S292">
        <v>638</v>
      </c>
      <c r="T292" t="str">
        <v>Nampula</v>
      </c>
      <c r="U292" t="str">
        <v>Masculino</v>
      </c>
      <c r="V292" t="str">
        <v>Casado(a)</v>
      </c>
      <c r="W292" t="str">
        <v>Secundaria</v>
      </c>
      <c r="X292" t="str">
        <v>Sim</v>
      </c>
      <c r="Y292" t="str">
        <v>Nenhuma</v>
      </c>
      <c r="Z292">
        <v>3</v>
      </c>
      <c r="AA292">
        <v>10.1</v>
      </c>
      <c r="AB292">
        <v>0.63</v>
      </c>
      <c r="AC292">
        <v>1</v>
      </c>
      <c r="AD292">
        <v>92</v>
      </c>
      <c r="AE292">
        <v>71</v>
      </c>
      <c r="AF292" t="str">
        <v>Urbana</v>
      </c>
      <c r="AG292" t="str">
        <v>Nao</v>
      </c>
    </row>
    <row r="293" spans="2:33" x14ac:dyDescent="0.45">
      <c r="B293" s="4">
        <v>292</v>
      </c>
      <c r="C293" s="4" t="s">
        <v>43</v>
      </c>
      <c r="D293" s="4" t="s">
        <v>23</v>
      </c>
      <c r="E293" s="4" t="s">
        <v>35</v>
      </c>
      <c r="F293" s="4" t="s">
        <v>18</v>
      </c>
      <c r="G293" s="4" t="s">
        <v>30</v>
      </c>
      <c r="H293" s="4" t="s">
        <v>20</v>
      </c>
      <c r="I293" s="4">
        <v>34</v>
      </c>
      <c r="J293" s="5">
        <v>79</v>
      </c>
      <c r="K293" s="6">
        <v>1.54</v>
      </c>
      <c r="L293" s="4">
        <v>4</v>
      </c>
      <c r="M293" s="4">
        <v>103</v>
      </c>
      <c r="N293" s="4">
        <v>102</v>
      </c>
      <c r="O293" s="4" t="s">
        <v>21</v>
      </c>
      <c r="P293" s="7" t="s">
        <v>19</v>
      </c>
      <c r="S293">
        <v>639</v>
      </c>
      <c r="T293" t="str">
        <v>Gaza</v>
      </c>
      <c r="U293" t="str">
        <v>Masculino</v>
      </c>
      <c r="V293" t="str">
        <v>Solteiro(a)</v>
      </c>
      <c r="W293" t="str">
        <v>Primaria</v>
      </c>
      <c r="X293" t="str">
        <v>Nao</v>
      </c>
      <c r="Y293" t="str">
        <v>Malaria</v>
      </c>
      <c r="Z293">
        <v>16</v>
      </c>
      <c r="AA293">
        <v>61</v>
      </c>
      <c r="AB293">
        <v>1.58</v>
      </c>
      <c r="AC293">
        <v>4</v>
      </c>
      <c r="AD293">
        <v>112</v>
      </c>
      <c r="AE293">
        <v>101</v>
      </c>
      <c r="AF293" t="str">
        <v>Rural</v>
      </c>
      <c r="AG293" t="str">
        <v>Nao</v>
      </c>
    </row>
    <row r="294" spans="2:33" x14ac:dyDescent="0.45">
      <c r="B294" s="4">
        <v>293</v>
      </c>
      <c r="C294" s="4" t="s">
        <v>41</v>
      </c>
      <c r="D294" s="4" t="s">
        <v>23</v>
      </c>
      <c r="E294" s="4" t="s">
        <v>17</v>
      </c>
      <c r="F294" s="4" t="s">
        <v>18</v>
      </c>
      <c r="G294" s="4" t="s">
        <v>19</v>
      </c>
      <c r="H294" s="4" t="s">
        <v>38</v>
      </c>
      <c r="I294" s="4">
        <v>10</v>
      </c>
      <c r="J294" s="5">
        <v>27.5</v>
      </c>
      <c r="K294" s="6">
        <v>1.28</v>
      </c>
      <c r="L294" s="4">
        <v>2</v>
      </c>
      <c r="M294" s="4">
        <v>114</v>
      </c>
      <c r="N294" s="4">
        <v>94</v>
      </c>
      <c r="O294" s="4" t="s">
        <v>26</v>
      </c>
      <c r="P294" s="7" t="s">
        <v>30</v>
      </c>
      <c r="S294">
        <v>643</v>
      </c>
      <c r="T294" t="str">
        <v>Zambezia</v>
      </c>
      <c r="U294" t="str">
        <v>Masculino</v>
      </c>
      <c r="V294" t="str">
        <v>Solteiro(a)</v>
      </c>
      <c r="W294" t="str">
        <v>Secundaria</v>
      </c>
      <c r="X294" t="str">
        <v>Nao</v>
      </c>
      <c r="Y294" t="str">
        <v>Hipertensao</v>
      </c>
      <c r="Z294">
        <v>61</v>
      </c>
      <c r="AA294">
        <v>47.3</v>
      </c>
      <c r="AB294">
        <v>1.58</v>
      </c>
      <c r="AC294">
        <v>9</v>
      </c>
      <c r="AD294">
        <v>136</v>
      </c>
      <c r="AE294">
        <v>76</v>
      </c>
      <c r="AF294" t="str">
        <v>Urbana</v>
      </c>
      <c r="AG294" t="str">
        <v>Nao</v>
      </c>
    </row>
    <row r="295" spans="2:33" x14ac:dyDescent="0.45">
      <c r="B295" s="4">
        <v>294</v>
      </c>
      <c r="C295" s="4" t="s">
        <v>22</v>
      </c>
      <c r="D295" s="4" t="s">
        <v>23</v>
      </c>
      <c r="E295" s="4" t="s">
        <v>44</v>
      </c>
      <c r="F295" s="4" t="s">
        <v>28</v>
      </c>
      <c r="G295" s="4" t="s">
        <v>19</v>
      </c>
      <c r="H295" s="4" t="s">
        <v>20</v>
      </c>
      <c r="I295" s="4">
        <v>31</v>
      </c>
      <c r="J295" s="5">
        <v>93.8</v>
      </c>
      <c r="K295" s="6">
        <v>1.85</v>
      </c>
      <c r="L295" s="4">
        <v>0</v>
      </c>
      <c r="M295" s="4">
        <v>100</v>
      </c>
      <c r="N295" s="4">
        <v>88</v>
      </c>
      <c r="O295" s="4" t="s">
        <v>26</v>
      </c>
      <c r="P295" s="7" t="s">
        <v>19</v>
      </c>
      <c r="S295">
        <v>646</v>
      </c>
      <c r="T295" t="str">
        <v>Zambezia</v>
      </c>
      <c r="U295" t="str">
        <v>Masculino</v>
      </c>
      <c r="V295" t="str">
        <v>Casado(a)</v>
      </c>
      <c r="W295" t="str">
        <v>Primaria</v>
      </c>
      <c r="X295" t="str">
        <v>Nao</v>
      </c>
      <c r="Y295" t="str">
        <v>Malaria</v>
      </c>
      <c r="Z295">
        <v>12</v>
      </c>
      <c r="AA295">
        <v>64</v>
      </c>
      <c r="AB295">
        <v>1.56</v>
      </c>
      <c r="AC295">
        <v>2</v>
      </c>
      <c r="AD295">
        <v>112</v>
      </c>
      <c r="AE295">
        <v>81</v>
      </c>
      <c r="AF295" t="str">
        <v>Rural</v>
      </c>
      <c r="AG295" t="str">
        <v>Nao</v>
      </c>
    </row>
    <row r="296" spans="2:33" x14ac:dyDescent="0.45">
      <c r="B296" s="4">
        <v>295</v>
      </c>
      <c r="C296" s="4" t="s">
        <v>15</v>
      </c>
      <c r="D296" s="4" t="s">
        <v>23</v>
      </c>
      <c r="E296" s="4" t="s">
        <v>35</v>
      </c>
      <c r="F296" s="4" t="s">
        <v>24</v>
      </c>
      <c r="G296" s="4" t="s">
        <v>30</v>
      </c>
      <c r="H296" s="4" t="s">
        <v>46</v>
      </c>
      <c r="I296" s="4">
        <v>63</v>
      </c>
      <c r="J296" s="5">
        <v>77.400000000000006</v>
      </c>
      <c r="K296" s="6">
        <v>1.82</v>
      </c>
      <c r="L296" s="4">
        <v>5</v>
      </c>
      <c r="M296" s="4">
        <v>135</v>
      </c>
      <c r="N296" s="4">
        <v>93</v>
      </c>
      <c r="O296" s="4" t="s">
        <v>26</v>
      </c>
      <c r="P296" s="7" t="s">
        <v>30</v>
      </c>
      <c r="S296">
        <v>647</v>
      </c>
      <c r="T296" t="str">
        <v>Gaza</v>
      </c>
      <c r="U296" t="str">
        <v>Masculino</v>
      </c>
      <c r="V296" t="str">
        <v>Solteiro(a)</v>
      </c>
      <c r="W296" t="str">
        <v>Primaria</v>
      </c>
      <c r="X296" t="str">
        <v>Nao</v>
      </c>
      <c r="Y296" t="str">
        <v>Diarreia</v>
      </c>
      <c r="Z296">
        <v>40</v>
      </c>
      <c r="AA296">
        <v>57.4</v>
      </c>
      <c r="AB296">
        <v>1.88</v>
      </c>
      <c r="AC296">
        <v>2</v>
      </c>
      <c r="AD296">
        <v>110</v>
      </c>
      <c r="AE296">
        <v>96</v>
      </c>
      <c r="AF296" t="str">
        <v>Rural</v>
      </c>
      <c r="AG296" t="str">
        <v>Nao</v>
      </c>
    </row>
    <row r="297" spans="2:33" x14ac:dyDescent="0.45">
      <c r="B297" s="4">
        <v>296</v>
      </c>
      <c r="C297" s="4" t="s">
        <v>27</v>
      </c>
      <c r="D297" s="4" t="s">
        <v>16</v>
      </c>
      <c r="E297" s="4" t="s">
        <v>37</v>
      </c>
      <c r="F297" s="4" t="s">
        <v>18</v>
      </c>
      <c r="G297" s="4" t="s">
        <v>19</v>
      </c>
      <c r="H297" s="4" t="s">
        <v>20</v>
      </c>
      <c r="I297" s="4">
        <v>74</v>
      </c>
      <c r="J297" s="5">
        <v>78.8</v>
      </c>
      <c r="K297" s="6">
        <v>1.61</v>
      </c>
      <c r="L297" s="4">
        <v>0</v>
      </c>
      <c r="M297" s="4">
        <v>133</v>
      </c>
      <c r="N297" s="4">
        <v>99</v>
      </c>
      <c r="O297" s="4" t="s">
        <v>21</v>
      </c>
      <c r="P297" s="7" t="s">
        <v>19</v>
      </c>
      <c r="S297">
        <v>648</v>
      </c>
      <c r="T297" t="str">
        <v>Tete</v>
      </c>
      <c r="U297" t="str">
        <v>Masculino</v>
      </c>
      <c r="V297" t="str">
        <v>Solteiro(a)</v>
      </c>
      <c r="W297" t="str">
        <v>Primaria</v>
      </c>
      <c r="X297" t="str">
        <v>Nao</v>
      </c>
      <c r="Y297" t="str">
        <v>Malaria</v>
      </c>
      <c r="Z297">
        <v>2</v>
      </c>
      <c r="AA297">
        <v>8.3000000000000007</v>
      </c>
      <c r="AB297">
        <v>0.85</v>
      </c>
      <c r="AC297">
        <v>4</v>
      </c>
      <c r="AD297">
        <v>92</v>
      </c>
      <c r="AE297">
        <v>104</v>
      </c>
      <c r="AF297" t="str">
        <v>Rural</v>
      </c>
      <c r="AG297" t="str">
        <v>Nao</v>
      </c>
    </row>
    <row r="298" spans="2:33" x14ac:dyDescent="0.45">
      <c r="B298" s="4">
        <v>297</v>
      </c>
      <c r="C298" s="4" t="s">
        <v>31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s">
        <v>25</v>
      </c>
      <c r="I298" s="4">
        <v>30</v>
      </c>
      <c r="J298" s="5">
        <v>69.8</v>
      </c>
      <c r="K298" s="6">
        <v>1.51</v>
      </c>
      <c r="L298" s="4">
        <v>4</v>
      </c>
      <c r="M298" s="4">
        <v>106</v>
      </c>
      <c r="N298" s="4">
        <v>95</v>
      </c>
      <c r="O298" s="4" t="s">
        <v>26</v>
      </c>
      <c r="P298" s="7" t="s">
        <v>19</v>
      </c>
      <c r="S298">
        <v>649</v>
      </c>
      <c r="T298" t="str">
        <v>Sofala</v>
      </c>
      <c r="U298" t="str">
        <v>Masculino</v>
      </c>
      <c r="V298" t="str">
        <v>Casado(a)</v>
      </c>
      <c r="W298" t="str">
        <v>Primaria</v>
      </c>
      <c r="X298" t="str">
        <v>Nao</v>
      </c>
      <c r="Y298" t="str">
        <v>HIV/SIDA</v>
      </c>
      <c r="Z298">
        <v>55</v>
      </c>
      <c r="AA298">
        <v>75.3</v>
      </c>
      <c r="AB298">
        <v>1.66</v>
      </c>
      <c r="AC298">
        <v>2</v>
      </c>
      <c r="AD298">
        <v>116</v>
      </c>
      <c r="AE298">
        <v>91</v>
      </c>
      <c r="AF298" t="str">
        <v>Urbana</v>
      </c>
      <c r="AG298" t="str">
        <v>Nao</v>
      </c>
    </row>
    <row r="299" spans="2:33" x14ac:dyDescent="0.45">
      <c r="B299" s="4">
        <v>298</v>
      </c>
      <c r="C299" s="4" t="s">
        <v>43</v>
      </c>
      <c r="D299" s="4" t="s">
        <v>16</v>
      </c>
      <c r="E299" s="4" t="s">
        <v>17</v>
      </c>
      <c r="F299" s="4" t="s">
        <v>24</v>
      </c>
      <c r="G299" s="4" t="s">
        <v>19</v>
      </c>
      <c r="H299" s="4" t="s">
        <v>34</v>
      </c>
      <c r="I299" s="4">
        <v>15</v>
      </c>
      <c r="J299" s="5">
        <v>46.9</v>
      </c>
      <c r="K299" s="6">
        <v>1.69</v>
      </c>
      <c r="L299" s="4">
        <v>2</v>
      </c>
      <c r="M299" s="4">
        <v>116</v>
      </c>
      <c r="N299" s="4">
        <v>85</v>
      </c>
      <c r="O299" s="4" t="s">
        <v>21</v>
      </c>
      <c r="P299" s="7" t="s">
        <v>19</v>
      </c>
      <c r="S299">
        <v>656</v>
      </c>
      <c r="T299" t="str">
        <v>Cabo Delgado</v>
      </c>
      <c r="U299" t="str">
        <v>Masculino</v>
      </c>
      <c r="V299" t="str">
        <v>Solteiro(a)</v>
      </c>
      <c r="W299" t="str">
        <v>Primaria</v>
      </c>
      <c r="X299" t="str">
        <v>Nao</v>
      </c>
      <c r="Y299" t="str">
        <v>Malaria</v>
      </c>
      <c r="Z299">
        <v>19</v>
      </c>
      <c r="AA299">
        <v>78.7</v>
      </c>
      <c r="AB299">
        <v>1.68</v>
      </c>
      <c r="AC299">
        <v>2</v>
      </c>
      <c r="AD299">
        <v>99</v>
      </c>
      <c r="AE299">
        <v>85</v>
      </c>
      <c r="AF299" t="str">
        <v>Urbana</v>
      </c>
      <c r="AG299" t="str">
        <v>Nao</v>
      </c>
    </row>
    <row r="300" spans="2:33" x14ac:dyDescent="0.45">
      <c r="B300" s="4">
        <v>299</v>
      </c>
      <c r="C300" s="4" t="s">
        <v>15</v>
      </c>
      <c r="D300" s="4" t="s">
        <v>23</v>
      </c>
      <c r="E300" s="4" t="s">
        <v>35</v>
      </c>
      <c r="F300" s="4" t="s">
        <v>24</v>
      </c>
      <c r="G300" s="4" t="s">
        <v>19</v>
      </c>
      <c r="H300" s="4" t="s">
        <v>34</v>
      </c>
      <c r="I300" s="4">
        <v>5</v>
      </c>
      <c r="J300" s="5">
        <v>28.7</v>
      </c>
      <c r="K300" s="6">
        <v>1.1399999999999999</v>
      </c>
      <c r="L300" s="4">
        <v>3</v>
      </c>
      <c r="M300" s="4">
        <v>109</v>
      </c>
      <c r="N300" s="4">
        <v>90</v>
      </c>
      <c r="O300" s="4" t="s">
        <v>21</v>
      </c>
      <c r="P300" s="7" t="s">
        <v>19</v>
      </c>
      <c r="S300">
        <v>660</v>
      </c>
      <c r="T300" t="str">
        <v>Inhambane</v>
      </c>
      <c r="U300" t="str">
        <v>Masculino</v>
      </c>
      <c r="V300" t="str">
        <v>Casado(a)</v>
      </c>
      <c r="W300" t="str">
        <v>Nenhuma</v>
      </c>
      <c r="X300" t="str">
        <v>Nao</v>
      </c>
      <c r="Y300" t="str">
        <v>Nenhuma</v>
      </c>
      <c r="Z300">
        <v>7</v>
      </c>
      <c r="AA300">
        <v>18.600000000000001</v>
      </c>
      <c r="AB300">
        <v>1.37</v>
      </c>
      <c r="AC300">
        <v>1</v>
      </c>
      <c r="AD300">
        <v>99</v>
      </c>
      <c r="AE300">
        <v>75</v>
      </c>
      <c r="AF300" t="str">
        <v>Urbana</v>
      </c>
      <c r="AG300" t="str">
        <v>Nao</v>
      </c>
    </row>
    <row r="301" spans="2:33" x14ac:dyDescent="0.45">
      <c r="B301" s="4">
        <v>300</v>
      </c>
      <c r="C301" s="4" t="s">
        <v>40</v>
      </c>
      <c r="D301" s="4" t="s">
        <v>23</v>
      </c>
      <c r="E301" s="4" t="s">
        <v>35</v>
      </c>
      <c r="F301" s="4" t="s">
        <v>24</v>
      </c>
      <c r="G301" s="4" t="s">
        <v>19</v>
      </c>
      <c r="H301" s="4" t="s">
        <v>28</v>
      </c>
      <c r="I301" s="4">
        <v>21</v>
      </c>
      <c r="J301" s="5">
        <v>92.4</v>
      </c>
      <c r="K301" s="6">
        <v>1.72</v>
      </c>
      <c r="L301" s="4">
        <v>4</v>
      </c>
      <c r="M301" s="4">
        <v>114</v>
      </c>
      <c r="N301" s="4">
        <v>96</v>
      </c>
      <c r="O301" s="4" t="s">
        <v>26</v>
      </c>
      <c r="P301" s="7" t="s">
        <v>19</v>
      </c>
      <c r="S301">
        <v>661</v>
      </c>
      <c r="T301" t="str">
        <v>Inhambane</v>
      </c>
      <c r="U301" t="str">
        <v>Masculino</v>
      </c>
      <c r="V301" t="str">
        <v>Solteiro(a)</v>
      </c>
      <c r="W301" t="str">
        <v>Nenhuma</v>
      </c>
      <c r="X301" t="str">
        <v>Sim</v>
      </c>
      <c r="Y301" t="str">
        <v>Malaria</v>
      </c>
      <c r="Z301">
        <v>22</v>
      </c>
      <c r="AA301">
        <v>60.7</v>
      </c>
      <c r="AB301">
        <v>1.63</v>
      </c>
      <c r="AC301">
        <v>2</v>
      </c>
      <c r="AD301">
        <v>100</v>
      </c>
      <c r="AE301">
        <v>84</v>
      </c>
      <c r="AF301" t="str">
        <v>Urbana</v>
      </c>
      <c r="AG301" t="str">
        <v>Nao</v>
      </c>
    </row>
    <row r="302" spans="2:33" x14ac:dyDescent="0.45">
      <c r="B302" s="4">
        <v>301</v>
      </c>
      <c r="C302" s="4" t="s">
        <v>31</v>
      </c>
      <c r="D302" s="4" t="s">
        <v>23</v>
      </c>
      <c r="E302" s="4" t="s">
        <v>17</v>
      </c>
      <c r="F302" s="4" t="s">
        <v>24</v>
      </c>
      <c r="G302" s="4" t="s">
        <v>30</v>
      </c>
      <c r="H302" s="4" t="s">
        <v>28</v>
      </c>
      <c r="I302" s="4">
        <v>10</v>
      </c>
      <c r="J302" s="5">
        <v>19.100000000000001</v>
      </c>
      <c r="K302" s="6">
        <v>1.06</v>
      </c>
      <c r="L302" s="4">
        <v>8</v>
      </c>
      <c r="M302" s="4">
        <v>95</v>
      </c>
      <c r="N302" s="4">
        <v>92</v>
      </c>
      <c r="O302" s="4" t="s">
        <v>21</v>
      </c>
      <c r="P302" s="7" t="s">
        <v>19</v>
      </c>
      <c r="S302">
        <v>662</v>
      </c>
      <c r="T302" t="str">
        <v>Nampula</v>
      </c>
      <c r="U302" t="str">
        <v>Masculino</v>
      </c>
      <c r="V302" t="str">
        <v>Casado(a)</v>
      </c>
      <c r="W302" t="str">
        <v>Secundaria</v>
      </c>
      <c r="X302" t="str">
        <v>Nao</v>
      </c>
      <c r="Y302" t="str">
        <v>HIV/SIDA</v>
      </c>
      <c r="Z302">
        <v>3</v>
      </c>
      <c r="AA302">
        <v>8.1999999999999993</v>
      </c>
      <c r="AB302">
        <v>0.9</v>
      </c>
      <c r="AC302">
        <v>1</v>
      </c>
      <c r="AD302">
        <v>96</v>
      </c>
      <c r="AE302">
        <v>95</v>
      </c>
      <c r="AF302" t="str">
        <v>Urbana</v>
      </c>
      <c r="AG302" t="str">
        <v>Nao</v>
      </c>
    </row>
    <row r="303" spans="2:33" x14ac:dyDescent="0.45">
      <c r="B303" s="4">
        <v>302</v>
      </c>
      <c r="C303" s="4" t="s">
        <v>22</v>
      </c>
      <c r="D303" s="4" t="s">
        <v>16</v>
      </c>
      <c r="E303" s="4" t="s">
        <v>35</v>
      </c>
      <c r="F303" s="4" t="s">
        <v>28</v>
      </c>
      <c r="G303" s="4" t="s">
        <v>19</v>
      </c>
      <c r="H303" s="4" t="s">
        <v>46</v>
      </c>
      <c r="I303" s="4">
        <v>29</v>
      </c>
      <c r="J303" s="5">
        <v>77.8</v>
      </c>
      <c r="K303" s="6">
        <v>1.82</v>
      </c>
      <c r="L303" s="4">
        <v>2</v>
      </c>
      <c r="M303" s="4">
        <v>123</v>
      </c>
      <c r="N303" s="4">
        <v>94</v>
      </c>
      <c r="O303" s="4" t="s">
        <v>26</v>
      </c>
      <c r="P303" s="7" t="s">
        <v>19</v>
      </c>
      <c r="S303">
        <v>666</v>
      </c>
      <c r="T303" t="str">
        <v>Gaza</v>
      </c>
      <c r="U303" t="str">
        <v>Masculino</v>
      </c>
      <c r="V303" t="str">
        <v>Casado(a)</v>
      </c>
      <c r="W303" t="str">
        <v>Primaria</v>
      </c>
      <c r="X303" t="str">
        <v>Nao</v>
      </c>
      <c r="Y303" t="str">
        <v>HIV/SIDA</v>
      </c>
      <c r="Z303">
        <v>16</v>
      </c>
      <c r="AA303">
        <v>53</v>
      </c>
      <c r="AB303">
        <v>1.49</v>
      </c>
      <c r="AC303">
        <v>3</v>
      </c>
      <c r="AD303">
        <v>109</v>
      </c>
      <c r="AE303">
        <v>94</v>
      </c>
      <c r="AF303" t="str">
        <v>Urbana</v>
      </c>
      <c r="AG303" t="str">
        <v>Nao</v>
      </c>
    </row>
    <row r="304" spans="2:33" x14ac:dyDescent="0.45">
      <c r="B304" s="4">
        <v>303</v>
      </c>
      <c r="C304" s="4" t="s">
        <v>41</v>
      </c>
      <c r="D304" s="4" t="s">
        <v>23</v>
      </c>
      <c r="E304" s="4" t="s">
        <v>17</v>
      </c>
      <c r="F304" s="4" t="s">
        <v>18</v>
      </c>
      <c r="G304" s="4" t="s">
        <v>19</v>
      </c>
      <c r="H304" s="4" t="s">
        <v>46</v>
      </c>
      <c r="I304" s="4">
        <v>51</v>
      </c>
      <c r="J304" s="5">
        <v>85.3</v>
      </c>
      <c r="K304" s="6">
        <v>1.53</v>
      </c>
      <c r="L304" s="4">
        <v>2</v>
      </c>
      <c r="M304" s="4">
        <v>120</v>
      </c>
      <c r="N304" s="4">
        <v>76</v>
      </c>
      <c r="O304" s="4" t="s">
        <v>21</v>
      </c>
      <c r="P304" s="7" t="s">
        <v>30</v>
      </c>
      <c r="S304">
        <v>669</v>
      </c>
      <c r="T304" t="str">
        <v>Zambezia</v>
      </c>
      <c r="U304" t="str">
        <v>Masculino</v>
      </c>
      <c r="V304" t="str">
        <v>Casado(a)</v>
      </c>
      <c r="W304" t="str">
        <v>Secundaria</v>
      </c>
      <c r="X304" t="str">
        <v>Nao</v>
      </c>
      <c r="Y304" t="str">
        <v>Nenhuma</v>
      </c>
      <c r="Z304">
        <v>56</v>
      </c>
      <c r="AA304">
        <v>76.599999999999994</v>
      </c>
      <c r="AB304">
        <v>1.71</v>
      </c>
      <c r="AC304">
        <v>4</v>
      </c>
      <c r="AD304">
        <v>115</v>
      </c>
      <c r="AE304">
        <v>87</v>
      </c>
      <c r="AF304" t="str">
        <v>Rural</v>
      </c>
      <c r="AG304" t="str">
        <v>Nao</v>
      </c>
    </row>
    <row r="305" spans="2:33" x14ac:dyDescent="0.45">
      <c r="B305" s="4">
        <v>304</v>
      </c>
      <c r="C305" s="4" t="s">
        <v>27</v>
      </c>
      <c r="D305" s="4" t="s">
        <v>16</v>
      </c>
      <c r="E305" s="4" t="s">
        <v>35</v>
      </c>
      <c r="F305" s="4" t="s">
        <v>24</v>
      </c>
      <c r="G305" s="4" t="s">
        <v>19</v>
      </c>
      <c r="H305" s="4" t="s">
        <v>20</v>
      </c>
      <c r="I305" s="4">
        <v>0</v>
      </c>
      <c r="J305" s="5">
        <v>7.4</v>
      </c>
      <c r="K305" s="6">
        <v>0.68</v>
      </c>
      <c r="L305" s="4">
        <v>4</v>
      </c>
      <c r="M305" s="4">
        <v>97</v>
      </c>
      <c r="N305" s="4">
        <v>77</v>
      </c>
      <c r="O305" s="4" t="s">
        <v>21</v>
      </c>
      <c r="P305" s="7" t="s">
        <v>19</v>
      </c>
      <c r="S305">
        <v>675</v>
      </c>
      <c r="T305" t="str">
        <v>Maputo Cidade</v>
      </c>
      <c r="U305" t="str">
        <v>Masculino</v>
      </c>
      <c r="V305" t="str">
        <v>Viuvo(a)</v>
      </c>
      <c r="W305" t="str">
        <v>Nenhuma</v>
      </c>
      <c r="X305" t="str">
        <v>Nao</v>
      </c>
      <c r="Y305" t="str">
        <v>Diarreia</v>
      </c>
      <c r="Z305">
        <v>18</v>
      </c>
      <c r="AA305">
        <v>67.900000000000006</v>
      </c>
      <c r="AB305">
        <v>1.83</v>
      </c>
      <c r="AC305">
        <v>0</v>
      </c>
      <c r="AD305">
        <v>107</v>
      </c>
      <c r="AE305">
        <v>92</v>
      </c>
      <c r="AF305" t="str">
        <v>Rural</v>
      </c>
      <c r="AG305" t="str">
        <v>Nao</v>
      </c>
    </row>
    <row r="306" spans="2:33" x14ac:dyDescent="0.45">
      <c r="B306" s="4">
        <v>305</v>
      </c>
      <c r="C306" s="4" t="s">
        <v>39</v>
      </c>
      <c r="D306" s="4" t="s">
        <v>23</v>
      </c>
      <c r="E306" s="4" t="s">
        <v>17</v>
      </c>
      <c r="F306" s="4" t="s">
        <v>18</v>
      </c>
      <c r="G306" s="4" t="s">
        <v>30</v>
      </c>
      <c r="H306" s="4" t="s">
        <v>32</v>
      </c>
      <c r="I306" s="4">
        <v>64</v>
      </c>
      <c r="J306" s="5">
        <v>86.4</v>
      </c>
      <c r="K306" s="6">
        <v>1.76</v>
      </c>
      <c r="L306" s="4">
        <v>4</v>
      </c>
      <c r="M306" s="4">
        <v>128</v>
      </c>
      <c r="N306" s="4">
        <v>132</v>
      </c>
      <c r="O306" s="4" t="s">
        <v>21</v>
      </c>
      <c r="P306" s="7" t="s">
        <v>19</v>
      </c>
      <c r="S306">
        <v>676</v>
      </c>
      <c r="T306" t="str">
        <v>Nampula</v>
      </c>
      <c r="U306" t="str">
        <v>Masculino</v>
      </c>
      <c r="V306" t="str">
        <v>Solteiro(a)</v>
      </c>
      <c r="W306" t="str">
        <v>Secundaria</v>
      </c>
      <c r="X306" t="str">
        <v>Nao</v>
      </c>
      <c r="Y306" t="str">
        <v>Hipertensao</v>
      </c>
      <c r="Z306">
        <v>33</v>
      </c>
      <c r="AA306">
        <v>48.3</v>
      </c>
      <c r="AB306">
        <v>1.54</v>
      </c>
      <c r="AC306">
        <v>6</v>
      </c>
      <c r="AD306">
        <v>119</v>
      </c>
      <c r="AE306">
        <v>77</v>
      </c>
      <c r="AF306" t="str">
        <v>Urbana</v>
      </c>
      <c r="AG306" t="str">
        <v>Nao</v>
      </c>
    </row>
    <row r="307" spans="2:33" x14ac:dyDescent="0.45">
      <c r="B307" s="4">
        <v>306</v>
      </c>
      <c r="C307" s="4" t="s">
        <v>40</v>
      </c>
      <c r="D307" s="4" t="s">
        <v>23</v>
      </c>
      <c r="E307" s="4" t="s">
        <v>35</v>
      </c>
      <c r="F307" s="4" t="s">
        <v>24</v>
      </c>
      <c r="G307" s="4" t="s">
        <v>30</v>
      </c>
      <c r="H307" s="4" t="s">
        <v>34</v>
      </c>
      <c r="I307" s="4">
        <v>4</v>
      </c>
      <c r="J307" s="5">
        <v>13.6</v>
      </c>
      <c r="K307" s="6">
        <v>0.73</v>
      </c>
      <c r="L307" s="4">
        <v>1</v>
      </c>
      <c r="M307" s="4">
        <v>99</v>
      </c>
      <c r="N307" s="4">
        <v>71</v>
      </c>
      <c r="O307" s="4" t="s">
        <v>21</v>
      </c>
      <c r="P307" s="7" t="s">
        <v>19</v>
      </c>
      <c r="S307">
        <v>678</v>
      </c>
      <c r="T307" t="str">
        <v>Cabo Delgado</v>
      </c>
      <c r="U307" t="str">
        <v>Masculino</v>
      </c>
      <c r="V307" t="str">
        <v>Divorciado(a)</v>
      </c>
      <c r="W307" t="str">
        <v>Primaria</v>
      </c>
      <c r="X307" t="str">
        <v>Nao</v>
      </c>
      <c r="Y307" t="str">
        <v>Malaria</v>
      </c>
      <c r="Z307">
        <v>18</v>
      </c>
      <c r="AA307">
        <v>94.9</v>
      </c>
      <c r="AB307">
        <v>1.73</v>
      </c>
      <c r="AC307">
        <v>8</v>
      </c>
      <c r="AD307">
        <v>104</v>
      </c>
      <c r="AE307">
        <v>79</v>
      </c>
      <c r="AF307" t="str">
        <v>Rural</v>
      </c>
      <c r="AG307" t="str">
        <v>Nao</v>
      </c>
    </row>
    <row r="308" spans="2:33" x14ac:dyDescent="0.45">
      <c r="B308" s="4">
        <v>307</v>
      </c>
      <c r="C308" s="4" t="s">
        <v>27</v>
      </c>
      <c r="D308" s="4" t="s">
        <v>23</v>
      </c>
      <c r="E308" s="4" t="s">
        <v>17</v>
      </c>
      <c r="F308" s="4" t="s">
        <v>18</v>
      </c>
      <c r="G308" s="4" t="s">
        <v>19</v>
      </c>
      <c r="H308" s="4" t="s">
        <v>34</v>
      </c>
      <c r="I308" s="4">
        <v>29</v>
      </c>
      <c r="J308" s="5">
        <v>92.1</v>
      </c>
      <c r="K308" s="6">
        <v>1.71</v>
      </c>
      <c r="L308" s="4">
        <v>6</v>
      </c>
      <c r="M308" s="4">
        <v>100</v>
      </c>
      <c r="N308" s="4">
        <v>95</v>
      </c>
      <c r="O308" s="4" t="s">
        <v>21</v>
      </c>
      <c r="P308" s="7" t="s">
        <v>19</v>
      </c>
      <c r="S308">
        <v>679</v>
      </c>
      <c r="T308" t="str">
        <v>Tete</v>
      </c>
      <c r="U308" t="str">
        <v>Masculino</v>
      </c>
      <c r="V308" t="str">
        <v>Solteiro(a)</v>
      </c>
      <c r="W308" t="str">
        <v>Primaria</v>
      </c>
      <c r="X308" t="str">
        <v>Nao</v>
      </c>
      <c r="Y308" t="str">
        <v>Diabetes</v>
      </c>
      <c r="Z308">
        <v>16</v>
      </c>
      <c r="AA308">
        <v>47.4</v>
      </c>
      <c r="AB308">
        <v>1.68</v>
      </c>
      <c r="AC308">
        <v>6</v>
      </c>
      <c r="AD308">
        <v>102</v>
      </c>
      <c r="AE308">
        <v>163</v>
      </c>
      <c r="AF308" t="str">
        <v>Rural</v>
      </c>
      <c r="AG308" t="str">
        <v>Nao</v>
      </c>
    </row>
    <row r="309" spans="2:33" x14ac:dyDescent="0.45">
      <c r="B309" s="4">
        <v>308</v>
      </c>
      <c r="C309" s="4" t="s">
        <v>15</v>
      </c>
      <c r="D309" s="4" t="s">
        <v>23</v>
      </c>
      <c r="E309" s="4" t="s">
        <v>35</v>
      </c>
      <c r="F309" s="4" t="s">
        <v>18</v>
      </c>
      <c r="G309" s="4" t="s">
        <v>19</v>
      </c>
      <c r="H309" s="4" t="s">
        <v>28</v>
      </c>
      <c r="I309" s="4">
        <v>24</v>
      </c>
      <c r="J309" s="5">
        <v>62.8</v>
      </c>
      <c r="K309" s="6">
        <v>1.7</v>
      </c>
      <c r="L309" s="4">
        <v>1</v>
      </c>
      <c r="M309" s="4">
        <v>120</v>
      </c>
      <c r="N309" s="4">
        <v>83</v>
      </c>
      <c r="O309" s="4" t="s">
        <v>26</v>
      </c>
      <c r="P309" s="7" t="s">
        <v>19</v>
      </c>
      <c r="S309">
        <v>682</v>
      </c>
      <c r="T309" t="str">
        <v>Tete</v>
      </c>
      <c r="U309" t="str">
        <v>Masculino</v>
      </c>
      <c r="V309" t="str">
        <v>Solteiro(a)</v>
      </c>
      <c r="W309" t="str">
        <v>Primaria</v>
      </c>
      <c r="X309" t="str">
        <v>Nao</v>
      </c>
      <c r="Y309" t="str">
        <v>HIV/SIDA</v>
      </c>
      <c r="Z309">
        <v>14</v>
      </c>
      <c r="AA309">
        <v>58.3</v>
      </c>
      <c r="AB309">
        <v>1.68</v>
      </c>
      <c r="AC309">
        <v>9</v>
      </c>
      <c r="AD309">
        <v>126</v>
      </c>
      <c r="AE309">
        <v>72</v>
      </c>
      <c r="AF309" t="str">
        <v>Urbana</v>
      </c>
      <c r="AG309" t="str">
        <v>Sim</v>
      </c>
    </row>
    <row r="310" spans="2:33" x14ac:dyDescent="0.45">
      <c r="B310" s="4">
        <v>309</v>
      </c>
      <c r="C310" s="4" t="s">
        <v>45</v>
      </c>
      <c r="D310" s="4" t="s">
        <v>23</v>
      </c>
      <c r="E310" s="4" t="s">
        <v>17</v>
      </c>
      <c r="F310" s="4" t="s">
        <v>18</v>
      </c>
      <c r="G310" s="4" t="s">
        <v>30</v>
      </c>
      <c r="H310" s="4" t="s">
        <v>28</v>
      </c>
      <c r="I310" s="4">
        <v>40</v>
      </c>
      <c r="J310" s="5">
        <v>50.5</v>
      </c>
      <c r="K310" s="6">
        <v>1.83</v>
      </c>
      <c r="L310" s="4">
        <v>5</v>
      </c>
      <c r="M310" s="4">
        <v>131</v>
      </c>
      <c r="N310" s="4">
        <v>92</v>
      </c>
      <c r="O310" s="4" t="s">
        <v>26</v>
      </c>
      <c r="P310" s="7" t="s">
        <v>30</v>
      </c>
      <c r="S310">
        <v>684</v>
      </c>
      <c r="T310" t="str">
        <v>Nampula</v>
      </c>
      <c r="U310" t="str">
        <v>Masculino</v>
      </c>
      <c r="V310" t="str">
        <v>Casado(a)</v>
      </c>
      <c r="W310" t="str">
        <v>Nenhuma</v>
      </c>
      <c r="X310" t="str">
        <v>Nao</v>
      </c>
      <c r="Y310" t="str">
        <v>Malaria</v>
      </c>
      <c r="Z310">
        <v>4</v>
      </c>
      <c r="AA310">
        <v>14</v>
      </c>
      <c r="AB310">
        <v>0.63</v>
      </c>
      <c r="AC310">
        <v>4</v>
      </c>
      <c r="AD310">
        <v>115</v>
      </c>
      <c r="AE310">
        <v>102</v>
      </c>
      <c r="AF310" t="str">
        <v>Urbana</v>
      </c>
      <c r="AG310" t="str">
        <v>Nao</v>
      </c>
    </row>
    <row r="311" spans="2:33" x14ac:dyDescent="0.45">
      <c r="B311" s="4">
        <v>310</v>
      </c>
      <c r="C311" s="4" t="s">
        <v>27</v>
      </c>
      <c r="D311" s="4" t="s">
        <v>23</v>
      </c>
      <c r="E311" s="4" t="s">
        <v>17</v>
      </c>
      <c r="F311" s="4" t="s">
        <v>24</v>
      </c>
      <c r="G311" s="4" t="s">
        <v>19</v>
      </c>
      <c r="H311" s="4" t="s">
        <v>38</v>
      </c>
      <c r="I311" s="4">
        <v>50</v>
      </c>
      <c r="J311" s="5">
        <v>62</v>
      </c>
      <c r="K311" s="6">
        <v>1.68</v>
      </c>
      <c r="L311" s="4">
        <v>9</v>
      </c>
      <c r="M311" s="4">
        <v>115</v>
      </c>
      <c r="N311" s="4">
        <v>74</v>
      </c>
      <c r="O311" s="4" t="s">
        <v>21</v>
      </c>
      <c r="P311" s="7" t="s">
        <v>19</v>
      </c>
      <c r="S311">
        <v>690</v>
      </c>
      <c r="T311" t="str">
        <v>Niassa</v>
      </c>
      <c r="U311" t="str">
        <v>Masculino</v>
      </c>
      <c r="V311" t="str">
        <v>Casado(a)</v>
      </c>
      <c r="W311" t="str">
        <v>Primaria</v>
      </c>
      <c r="X311" t="str">
        <v>Nao</v>
      </c>
      <c r="Y311" t="str">
        <v>HIV/SIDA</v>
      </c>
      <c r="Z311">
        <v>9</v>
      </c>
      <c r="AA311">
        <v>18.600000000000001</v>
      </c>
      <c r="AB311">
        <v>1.18</v>
      </c>
      <c r="AC311">
        <v>10</v>
      </c>
      <c r="AD311">
        <v>103</v>
      </c>
      <c r="AE311">
        <v>74</v>
      </c>
      <c r="AF311" t="str">
        <v>Rural</v>
      </c>
      <c r="AG311" t="str">
        <v>Nao</v>
      </c>
    </row>
    <row r="312" spans="2:33" x14ac:dyDescent="0.45">
      <c r="B312" s="4">
        <v>311</v>
      </c>
      <c r="C312" s="4" t="s">
        <v>45</v>
      </c>
      <c r="D312" s="4" t="s">
        <v>23</v>
      </c>
      <c r="E312" s="4" t="s">
        <v>44</v>
      </c>
      <c r="F312" s="4" t="s">
        <v>18</v>
      </c>
      <c r="G312" s="4" t="s">
        <v>19</v>
      </c>
      <c r="H312" s="4" t="s">
        <v>20</v>
      </c>
      <c r="I312" s="4">
        <v>10</v>
      </c>
      <c r="J312" s="5">
        <v>37.1</v>
      </c>
      <c r="K312" s="6">
        <v>1.23</v>
      </c>
      <c r="L312" s="4">
        <v>3</v>
      </c>
      <c r="M312" s="4">
        <v>114</v>
      </c>
      <c r="N312" s="4">
        <v>72</v>
      </c>
      <c r="O312" s="4" t="s">
        <v>26</v>
      </c>
      <c r="P312" s="7" t="s">
        <v>19</v>
      </c>
      <c r="S312">
        <v>691</v>
      </c>
      <c r="T312" t="str">
        <v>Manica</v>
      </c>
      <c r="U312" t="str">
        <v>Masculino</v>
      </c>
      <c r="V312" t="str">
        <v>Casado(a)</v>
      </c>
      <c r="W312" t="str">
        <v>Primaria</v>
      </c>
      <c r="X312" t="str">
        <v>Nao</v>
      </c>
      <c r="Y312" t="str">
        <v>Diabetes</v>
      </c>
      <c r="Z312">
        <v>39</v>
      </c>
      <c r="AA312">
        <v>66.400000000000006</v>
      </c>
      <c r="AB312">
        <v>1.52</v>
      </c>
      <c r="AC312">
        <v>3</v>
      </c>
      <c r="AD312">
        <v>127</v>
      </c>
      <c r="AE312">
        <v>137</v>
      </c>
      <c r="AF312" t="str">
        <v>Urbana</v>
      </c>
      <c r="AG312" t="str">
        <v>Sim</v>
      </c>
    </row>
    <row r="313" spans="2:33" x14ac:dyDescent="0.45">
      <c r="B313" s="4">
        <v>312</v>
      </c>
      <c r="C313" s="4" t="s">
        <v>43</v>
      </c>
      <c r="D313" s="4" t="s">
        <v>23</v>
      </c>
      <c r="E313" s="4" t="s">
        <v>35</v>
      </c>
      <c r="F313" s="4" t="s">
        <v>18</v>
      </c>
      <c r="G313" s="4" t="s">
        <v>19</v>
      </c>
      <c r="H313" s="4" t="s">
        <v>36</v>
      </c>
      <c r="I313" s="4">
        <v>29</v>
      </c>
      <c r="J313" s="5">
        <v>78.400000000000006</v>
      </c>
      <c r="K313" s="6">
        <v>1.61</v>
      </c>
      <c r="L313" s="4">
        <v>4</v>
      </c>
      <c r="M313" s="4">
        <v>118</v>
      </c>
      <c r="N313" s="4">
        <v>102</v>
      </c>
      <c r="O313" s="4" t="s">
        <v>26</v>
      </c>
      <c r="P313" s="7" t="s">
        <v>19</v>
      </c>
      <c r="S313">
        <v>699</v>
      </c>
      <c r="T313" t="str">
        <v>Zambezia</v>
      </c>
      <c r="U313" t="str">
        <v>Masculino</v>
      </c>
      <c r="V313" t="str">
        <v>Casado(a)</v>
      </c>
      <c r="W313" t="str">
        <v>Nenhuma</v>
      </c>
      <c r="X313" t="str">
        <v>Nao</v>
      </c>
      <c r="Y313" t="str">
        <v>Malaria</v>
      </c>
      <c r="Z313">
        <v>4</v>
      </c>
      <c r="AA313">
        <v>13</v>
      </c>
      <c r="AB313">
        <v>1.04</v>
      </c>
      <c r="AC313">
        <v>1</v>
      </c>
      <c r="AD313">
        <v>96</v>
      </c>
      <c r="AE313">
        <v>103</v>
      </c>
      <c r="AF313" t="str">
        <v>Urbana</v>
      </c>
      <c r="AG313" t="str">
        <v>Nao</v>
      </c>
    </row>
    <row r="314" spans="2:33" x14ac:dyDescent="0.45">
      <c r="B314" s="4">
        <v>313</v>
      </c>
      <c r="C314" s="4" t="s">
        <v>22</v>
      </c>
      <c r="D314" s="4" t="s">
        <v>16</v>
      </c>
      <c r="E314" s="4" t="s">
        <v>35</v>
      </c>
      <c r="F314" s="4" t="s">
        <v>24</v>
      </c>
      <c r="G314" s="4" t="s">
        <v>19</v>
      </c>
      <c r="H314" s="4" t="s">
        <v>28</v>
      </c>
      <c r="I314" s="4">
        <v>24</v>
      </c>
      <c r="J314" s="5">
        <v>59.3</v>
      </c>
      <c r="K314" s="6">
        <v>1.59</v>
      </c>
      <c r="L314" s="4">
        <v>9</v>
      </c>
      <c r="M314" s="4">
        <v>114</v>
      </c>
      <c r="N314" s="4">
        <v>103</v>
      </c>
      <c r="O314" s="4" t="s">
        <v>26</v>
      </c>
      <c r="P314" s="7" t="s">
        <v>19</v>
      </c>
      <c r="S314">
        <v>702</v>
      </c>
      <c r="T314" t="str">
        <v>Nampula</v>
      </c>
      <c r="U314" t="str">
        <v>Masculino</v>
      </c>
      <c r="V314" t="str">
        <v>Casado(a)</v>
      </c>
      <c r="W314" t="str">
        <v>Primaria</v>
      </c>
      <c r="X314" t="str">
        <v>Nao</v>
      </c>
      <c r="Y314" t="str">
        <v>Nenhuma</v>
      </c>
      <c r="Z314">
        <v>29</v>
      </c>
      <c r="AA314">
        <v>75.5</v>
      </c>
      <c r="AB314">
        <v>1.68</v>
      </c>
      <c r="AC314">
        <v>3</v>
      </c>
      <c r="AD314">
        <v>110</v>
      </c>
      <c r="AE314">
        <v>100</v>
      </c>
      <c r="AF314" t="str">
        <v>Rural</v>
      </c>
      <c r="AG314" t="str">
        <v>Sim</v>
      </c>
    </row>
    <row r="315" spans="2:33" x14ac:dyDescent="0.45">
      <c r="B315" s="4">
        <v>314</v>
      </c>
      <c r="C315" s="4" t="s">
        <v>22</v>
      </c>
      <c r="D315" s="4" t="s">
        <v>16</v>
      </c>
      <c r="E315" s="4" t="s">
        <v>37</v>
      </c>
      <c r="F315" s="4" t="s">
        <v>24</v>
      </c>
      <c r="G315" s="4" t="s">
        <v>30</v>
      </c>
      <c r="H315" s="4" t="s">
        <v>28</v>
      </c>
      <c r="I315" s="4">
        <v>28</v>
      </c>
      <c r="J315" s="5">
        <v>49.6</v>
      </c>
      <c r="K315" s="6">
        <v>1.73</v>
      </c>
      <c r="L315" s="4">
        <v>10</v>
      </c>
      <c r="M315" s="4">
        <v>112</v>
      </c>
      <c r="N315" s="4">
        <v>86</v>
      </c>
      <c r="O315" s="4" t="s">
        <v>26</v>
      </c>
      <c r="P315" s="7" t="s">
        <v>19</v>
      </c>
      <c r="S315">
        <v>703</v>
      </c>
      <c r="T315" t="str">
        <v>Zambezia</v>
      </c>
      <c r="U315" t="str">
        <v>Masculino</v>
      </c>
      <c r="V315" t="str">
        <v>Divorciado(a)</v>
      </c>
      <c r="W315" t="str">
        <v>Primaria</v>
      </c>
      <c r="X315" t="str">
        <v>Nao</v>
      </c>
      <c r="Y315" t="str">
        <v>Nenhuma</v>
      </c>
      <c r="Z315">
        <v>10</v>
      </c>
      <c r="AA315">
        <v>19.3</v>
      </c>
      <c r="AB315">
        <v>1.22</v>
      </c>
      <c r="AC315">
        <v>3</v>
      </c>
      <c r="AD315">
        <v>99</v>
      </c>
      <c r="AE315">
        <v>78</v>
      </c>
      <c r="AF315" t="str">
        <v>Rural</v>
      </c>
      <c r="AG315" t="str">
        <v>Nao</v>
      </c>
    </row>
    <row r="316" spans="2:33" x14ac:dyDescent="0.45">
      <c r="B316" s="4">
        <v>315</v>
      </c>
      <c r="C316" s="4" t="s">
        <v>43</v>
      </c>
      <c r="D316" s="4" t="s">
        <v>16</v>
      </c>
      <c r="E316" s="4" t="s">
        <v>35</v>
      </c>
      <c r="F316" s="4" t="s">
        <v>18</v>
      </c>
      <c r="G316" s="4" t="s">
        <v>19</v>
      </c>
      <c r="H316" s="4" t="s">
        <v>20</v>
      </c>
      <c r="I316" s="4">
        <v>8</v>
      </c>
      <c r="J316" s="5">
        <v>30</v>
      </c>
      <c r="K316" s="6">
        <v>1.35</v>
      </c>
      <c r="L316" s="4">
        <v>3</v>
      </c>
      <c r="M316" s="4">
        <v>116</v>
      </c>
      <c r="N316" s="4">
        <v>103</v>
      </c>
      <c r="O316" s="4" t="s">
        <v>26</v>
      </c>
      <c r="P316" s="7" t="s">
        <v>19</v>
      </c>
      <c r="S316">
        <v>704</v>
      </c>
      <c r="T316" t="str">
        <v>Maputo Provincia</v>
      </c>
      <c r="U316" t="str">
        <v>Masculino</v>
      </c>
      <c r="V316" t="str">
        <v>Solteiro(a)</v>
      </c>
      <c r="W316" t="str">
        <v>Secundaria</v>
      </c>
      <c r="X316" t="str">
        <v>Nao</v>
      </c>
      <c r="Y316" t="str">
        <v>Pneumonia</v>
      </c>
      <c r="Z316">
        <v>4</v>
      </c>
      <c r="AA316">
        <v>14.5</v>
      </c>
      <c r="AB316">
        <v>0.73</v>
      </c>
      <c r="AC316">
        <v>2</v>
      </c>
      <c r="AD316">
        <v>110</v>
      </c>
      <c r="AE316">
        <v>77</v>
      </c>
      <c r="AF316" t="str">
        <v>Rural</v>
      </c>
      <c r="AG316" t="str">
        <v>Nao</v>
      </c>
    </row>
    <row r="317" spans="2:33" x14ac:dyDescent="0.45">
      <c r="B317" s="4">
        <v>316</v>
      </c>
      <c r="C317" s="4" t="s">
        <v>39</v>
      </c>
      <c r="D317" s="4" t="s">
        <v>23</v>
      </c>
      <c r="E317" s="4" t="s">
        <v>44</v>
      </c>
      <c r="F317" s="4" t="s">
        <v>24</v>
      </c>
      <c r="G317" s="4" t="s">
        <v>19</v>
      </c>
      <c r="H317" s="4" t="s">
        <v>28</v>
      </c>
      <c r="I317" s="4">
        <v>21</v>
      </c>
      <c r="J317" s="5">
        <v>47.5</v>
      </c>
      <c r="K317" s="6">
        <v>1.77</v>
      </c>
      <c r="L317" s="4">
        <v>6</v>
      </c>
      <c r="M317" s="4">
        <v>108</v>
      </c>
      <c r="N317" s="4">
        <v>70</v>
      </c>
      <c r="O317" s="4" t="s">
        <v>26</v>
      </c>
      <c r="P317" s="7" t="s">
        <v>19</v>
      </c>
      <c r="S317">
        <v>707</v>
      </c>
      <c r="T317" t="str">
        <v>Zambezia</v>
      </c>
      <c r="U317" t="str">
        <v>Masculino</v>
      </c>
      <c r="V317" t="str">
        <v>Divorciado(a)</v>
      </c>
      <c r="W317" t="str">
        <v>Secundaria</v>
      </c>
      <c r="X317" t="str">
        <v>Nao</v>
      </c>
      <c r="Y317" t="str">
        <v>Nenhuma</v>
      </c>
      <c r="Z317">
        <v>5</v>
      </c>
      <c r="AA317">
        <v>28.1</v>
      </c>
      <c r="AB317">
        <v>1.37</v>
      </c>
      <c r="AC317">
        <v>2</v>
      </c>
      <c r="AD317">
        <v>104</v>
      </c>
      <c r="AE317">
        <v>94</v>
      </c>
      <c r="AF317" t="str">
        <v>Urbana</v>
      </c>
      <c r="AG317" t="str">
        <v>Sim</v>
      </c>
    </row>
    <row r="318" spans="2:33" x14ac:dyDescent="0.45">
      <c r="B318" s="4">
        <v>317</v>
      </c>
      <c r="C318" s="4" t="s">
        <v>22</v>
      </c>
      <c r="D318" s="4" t="s">
        <v>16</v>
      </c>
      <c r="E318" s="4" t="s">
        <v>17</v>
      </c>
      <c r="F318" s="4" t="s">
        <v>18</v>
      </c>
      <c r="G318" s="4" t="s">
        <v>30</v>
      </c>
      <c r="H318" s="4" t="s">
        <v>28</v>
      </c>
      <c r="I318" s="4">
        <v>5</v>
      </c>
      <c r="J318" s="5">
        <v>19.2</v>
      </c>
      <c r="K318" s="6">
        <v>1.38</v>
      </c>
      <c r="L318" s="4">
        <v>9</v>
      </c>
      <c r="M318" s="4">
        <v>116</v>
      </c>
      <c r="N318" s="4">
        <v>90</v>
      </c>
      <c r="O318" s="4" t="s">
        <v>21</v>
      </c>
      <c r="P318" s="7" t="s">
        <v>19</v>
      </c>
      <c r="S318">
        <v>708</v>
      </c>
      <c r="T318" t="str">
        <v>Nampula</v>
      </c>
      <c r="U318" t="str">
        <v>Masculino</v>
      </c>
      <c r="V318" t="str">
        <v>Solteiro(a)</v>
      </c>
      <c r="W318" t="str">
        <v>Primaria</v>
      </c>
      <c r="X318" t="str">
        <v>Nao</v>
      </c>
      <c r="Y318" t="str">
        <v>Nenhuma</v>
      </c>
      <c r="Z318">
        <v>3</v>
      </c>
      <c r="AA318">
        <v>8.4</v>
      </c>
      <c r="AB318">
        <v>0.86</v>
      </c>
      <c r="AC318">
        <v>10</v>
      </c>
      <c r="AD318">
        <v>116</v>
      </c>
      <c r="AE318">
        <v>83</v>
      </c>
      <c r="AF318" t="str">
        <v>Urbana</v>
      </c>
      <c r="AG318" t="str">
        <v>Sim</v>
      </c>
    </row>
    <row r="319" spans="2:33" x14ac:dyDescent="0.45">
      <c r="B319" s="4">
        <v>318</v>
      </c>
      <c r="C319" s="4" t="s">
        <v>22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s">
        <v>20</v>
      </c>
      <c r="I319" s="4">
        <v>3</v>
      </c>
      <c r="J319" s="5">
        <v>15.2</v>
      </c>
      <c r="K319" s="6">
        <v>0.83</v>
      </c>
      <c r="L319" s="4">
        <v>1</v>
      </c>
      <c r="M319" s="4">
        <v>103</v>
      </c>
      <c r="N319" s="4">
        <v>76</v>
      </c>
      <c r="O319" s="4" t="s">
        <v>21</v>
      </c>
      <c r="P319" s="7" t="s">
        <v>19</v>
      </c>
      <c r="S319">
        <v>710</v>
      </c>
      <c r="T319" t="str">
        <v>Zambezia</v>
      </c>
      <c r="U319" t="str">
        <v>Masculino</v>
      </c>
      <c r="V319" t="str">
        <v>Solteiro(a)</v>
      </c>
      <c r="W319" t="str">
        <v>Secundaria</v>
      </c>
      <c r="X319" t="str">
        <v>Nao</v>
      </c>
      <c r="Y319" t="str">
        <v>Diarreia</v>
      </c>
      <c r="Z319">
        <v>43</v>
      </c>
      <c r="AA319">
        <v>69</v>
      </c>
      <c r="AB319">
        <v>1.71</v>
      </c>
      <c r="AC319">
        <v>2</v>
      </c>
      <c r="AD319">
        <v>110</v>
      </c>
      <c r="AE319">
        <v>96</v>
      </c>
      <c r="AF319" t="str">
        <v>Rural</v>
      </c>
      <c r="AG319" t="str">
        <v>Nao</v>
      </c>
    </row>
    <row r="320" spans="2:33" x14ac:dyDescent="0.45">
      <c r="B320" s="4">
        <v>319</v>
      </c>
      <c r="C320" s="4" t="s">
        <v>31</v>
      </c>
      <c r="D320" s="4" t="s">
        <v>23</v>
      </c>
      <c r="E320" s="4" t="s">
        <v>35</v>
      </c>
      <c r="F320" s="4" t="s">
        <v>28</v>
      </c>
      <c r="G320" s="4" t="s">
        <v>19</v>
      </c>
      <c r="H320" s="4" t="s">
        <v>25</v>
      </c>
      <c r="I320" s="4">
        <v>39</v>
      </c>
      <c r="J320" s="5">
        <v>79.7</v>
      </c>
      <c r="K320" s="6">
        <v>1.82</v>
      </c>
      <c r="L320" s="4">
        <v>7</v>
      </c>
      <c r="M320" s="4">
        <v>120</v>
      </c>
      <c r="N320" s="4">
        <v>101</v>
      </c>
      <c r="O320" s="4" t="s">
        <v>26</v>
      </c>
      <c r="P320" s="7" t="s">
        <v>19</v>
      </c>
      <c r="S320">
        <v>711</v>
      </c>
      <c r="T320" t="str">
        <v>Maputo Provincia</v>
      </c>
      <c r="U320" t="str">
        <v>Masculino</v>
      </c>
      <c r="V320" t="str">
        <v>Solteiro(a)</v>
      </c>
      <c r="W320" t="str">
        <v>Nenhuma</v>
      </c>
      <c r="X320" t="str">
        <v>Nao</v>
      </c>
      <c r="Y320" t="str">
        <v>Malaria</v>
      </c>
      <c r="Z320">
        <v>16</v>
      </c>
      <c r="AA320">
        <v>55.9</v>
      </c>
      <c r="AB320">
        <v>1.69</v>
      </c>
      <c r="AC320">
        <v>2</v>
      </c>
      <c r="AD320">
        <v>96</v>
      </c>
      <c r="AE320">
        <v>104</v>
      </c>
      <c r="AF320" t="str">
        <v>Rural</v>
      </c>
      <c r="AG320" t="str">
        <v>Nao</v>
      </c>
    </row>
    <row r="321" spans="2:33" x14ac:dyDescent="0.45">
      <c r="B321" s="4">
        <v>320</v>
      </c>
      <c r="C321" s="4" t="s">
        <v>27</v>
      </c>
      <c r="D321" s="4" t="s">
        <v>16</v>
      </c>
      <c r="E321" s="4" t="s">
        <v>35</v>
      </c>
      <c r="F321" s="4" t="s">
        <v>28</v>
      </c>
      <c r="G321" s="4" t="s">
        <v>19</v>
      </c>
      <c r="H321" s="4" t="s">
        <v>28</v>
      </c>
      <c r="I321" s="4">
        <v>0</v>
      </c>
      <c r="J321" s="5">
        <v>11.5</v>
      </c>
      <c r="K321" s="6">
        <v>0.65</v>
      </c>
      <c r="L321" s="4">
        <v>4</v>
      </c>
      <c r="M321" s="4">
        <v>120</v>
      </c>
      <c r="N321" s="4">
        <v>73</v>
      </c>
      <c r="O321" s="4" t="s">
        <v>26</v>
      </c>
      <c r="P321" s="7" t="s">
        <v>30</v>
      </c>
      <c r="S321">
        <v>712</v>
      </c>
      <c r="T321" t="str">
        <v>Inhambane</v>
      </c>
      <c r="U321" t="str">
        <v>Masculino</v>
      </c>
      <c r="V321" t="str">
        <v>Solteiro(a)</v>
      </c>
      <c r="W321" t="str">
        <v>Superior</v>
      </c>
      <c r="X321" t="str">
        <v>Sim</v>
      </c>
      <c r="Y321" t="str">
        <v>Tuberculose</v>
      </c>
      <c r="Z321">
        <v>21</v>
      </c>
      <c r="AA321">
        <v>65.2</v>
      </c>
      <c r="AB321">
        <v>1.58</v>
      </c>
      <c r="AC321">
        <v>1</v>
      </c>
      <c r="AD321">
        <v>129</v>
      </c>
      <c r="AE321">
        <v>92</v>
      </c>
      <c r="AF321" t="str">
        <v>Rural</v>
      </c>
      <c r="AG321" t="str">
        <v>Sim</v>
      </c>
    </row>
    <row r="322" spans="2:33" x14ac:dyDescent="0.45">
      <c r="B322" s="4">
        <v>321</v>
      </c>
      <c r="C322" s="4" t="s">
        <v>27</v>
      </c>
      <c r="D322" s="4" t="s">
        <v>16</v>
      </c>
      <c r="E322" s="4" t="s">
        <v>35</v>
      </c>
      <c r="F322" s="4" t="s">
        <v>18</v>
      </c>
      <c r="G322" s="4" t="s">
        <v>19</v>
      </c>
      <c r="H322" s="4" t="s">
        <v>36</v>
      </c>
      <c r="I322" s="4">
        <v>16</v>
      </c>
      <c r="J322" s="5">
        <v>38.9</v>
      </c>
      <c r="K322" s="6">
        <v>1.75</v>
      </c>
      <c r="L322" s="4">
        <v>5</v>
      </c>
      <c r="M322" s="4">
        <v>132</v>
      </c>
      <c r="N322" s="4">
        <v>80</v>
      </c>
      <c r="O322" s="4" t="s">
        <v>21</v>
      </c>
      <c r="P322" s="7" t="s">
        <v>19</v>
      </c>
      <c r="S322">
        <v>714</v>
      </c>
      <c r="T322" t="str">
        <v>Sofala</v>
      </c>
      <c r="U322" t="str">
        <v>Masculino</v>
      </c>
      <c r="V322" t="str">
        <v>Solteiro(a)</v>
      </c>
      <c r="W322" t="str">
        <v>Primaria</v>
      </c>
      <c r="X322" t="str">
        <v>Sim</v>
      </c>
      <c r="Y322" t="str">
        <v>Hipertensao</v>
      </c>
      <c r="Z322">
        <v>51</v>
      </c>
      <c r="AA322">
        <v>83.5</v>
      </c>
      <c r="AB322">
        <v>1.72</v>
      </c>
      <c r="AC322">
        <v>5</v>
      </c>
      <c r="AD322">
        <v>138</v>
      </c>
      <c r="AE322">
        <v>88</v>
      </c>
      <c r="AF322" t="str">
        <v>Urbana</v>
      </c>
      <c r="AG322" t="str">
        <v>Nao</v>
      </c>
    </row>
    <row r="323" spans="2:33" x14ac:dyDescent="0.45">
      <c r="B323" s="4">
        <v>322</v>
      </c>
      <c r="C323" s="4" t="s">
        <v>45</v>
      </c>
      <c r="D323" s="4" t="s">
        <v>16</v>
      </c>
      <c r="E323" s="4" t="s">
        <v>37</v>
      </c>
      <c r="F323" s="4" t="s">
        <v>28</v>
      </c>
      <c r="G323" s="4" t="s">
        <v>19</v>
      </c>
      <c r="H323" s="4" t="s">
        <v>34</v>
      </c>
      <c r="I323" s="4">
        <v>42</v>
      </c>
      <c r="J323" s="5">
        <v>79.599999999999994</v>
      </c>
      <c r="K323" s="6">
        <v>1.55</v>
      </c>
      <c r="L323" s="4">
        <v>5</v>
      </c>
      <c r="M323" s="4">
        <v>122</v>
      </c>
      <c r="N323" s="4">
        <v>72</v>
      </c>
      <c r="O323" s="4" t="s">
        <v>21</v>
      </c>
      <c r="P323" s="7" t="s">
        <v>30</v>
      </c>
      <c r="S323">
        <v>715</v>
      </c>
      <c r="T323" t="str">
        <v>Zambezia</v>
      </c>
      <c r="U323" t="str">
        <v>Masculino</v>
      </c>
      <c r="V323" t="str">
        <v>Casado(a)</v>
      </c>
      <c r="W323" t="str">
        <v>Secundaria</v>
      </c>
      <c r="X323" t="str">
        <v>Nao</v>
      </c>
      <c r="Y323" t="str">
        <v>Nenhuma</v>
      </c>
      <c r="Z323">
        <v>43</v>
      </c>
      <c r="AA323">
        <v>77.599999999999994</v>
      </c>
      <c r="AB323">
        <v>1.62</v>
      </c>
      <c r="AC323">
        <v>7</v>
      </c>
      <c r="AD323">
        <v>127</v>
      </c>
      <c r="AE323">
        <v>76</v>
      </c>
      <c r="AF323" t="str">
        <v>Rural</v>
      </c>
      <c r="AG323" t="str">
        <v>Sim</v>
      </c>
    </row>
    <row r="324" spans="2:33" x14ac:dyDescent="0.45">
      <c r="B324" s="4">
        <v>323</v>
      </c>
      <c r="C324" s="4" t="s">
        <v>43</v>
      </c>
      <c r="D324" s="4" t="s">
        <v>23</v>
      </c>
      <c r="E324" s="4" t="s">
        <v>17</v>
      </c>
      <c r="F324" s="4" t="s">
        <v>18</v>
      </c>
      <c r="G324" s="4" t="s">
        <v>19</v>
      </c>
      <c r="H324" s="4" t="s">
        <v>32</v>
      </c>
      <c r="I324" s="4">
        <v>11</v>
      </c>
      <c r="J324" s="5">
        <v>24.8</v>
      </c>
      <c r="K324" s="6">
        <v>1.1200000000000001</v>
      </c>
      <c r="L324" s="4">
        <v>2</v>
      </c>
      <c r="M324" s="4">
        <v>115</v>
      </c>
      <c r="N324" s="4">
        <v>160</v>
      </c>
      <c r="O324" s="4" t="s">
        <v>21</v>
      </c>
      <c r="P324" s="7" t="s">
        <v>30</v>
      </c>
      <c r="S324">
        <v>716</v>
      </c>
      <c r="T324" t="str">
        <v>Manica</v>
      </c>
      <c r="U324" t="str">
        <v>Masculino</v>
      </c>
      <c r="V324" t="str">
        <v>Solteiro(a)</v>
      </c>
      <c r="W324" t="str">
        <v>Nenhuma</v>
      </c>
      <c r="X324" t="str">
        <v>Nao</v>
      </c>
      <c r="Y324" t="str">
        <v>Nenhuma</v>
      </c>
      <c r="Z324">
        <v>15</v>
      </c>
      <c r="AA324">
        <v>52</v>
      </c>
      <c r="AB324">
        <v>1.55</v>
      </c>
      <c r="AC324">
        <v>3</v>
      </c>
      <c r="AD324">
        <v>99</v>
      </c>
      <c r="AE324">
        <v>72</v>
      </c>
      <c r="AF324" t="str">
        <v>Urbana</v>
      </c>
      <c r="AG324" t="str">
        <v>Nao</v>
      </c>
    </row>
    <row r="325" spans="2:33" x14ac:dyDescent="0.45">
      <c r="B325" s="4">
        <v>324</v>
      </c>
      <c r="C325" s="4" t="s">
        <v>27</v>
      </c>
      <c r="D325" s="4" t="s">
        <v>23</v>
      </c>
      <c r="E325" s="4" t="s">
        <v>37</v>
      </c>
      <c r="F325" s="4" t="s">
        <v>18</v>
      </c>
      <c r="G325" s="4" t="s">
        <v>19</v>
      </c>
      <c r="H325" s="4" t="s">
        <v>36</v>
      </c>
      <c r="I325" s="4">
        <v>1</v>
      </c>
      <c r="J325" s="5">
        <v>8.5</v>
      </c>
      <c r="K325" s="6">
        <v>1.03</v>
      </c>
      <c r="L325" s="4">
        <v>3</v>
      </c>
      <c r="M325" s="4">
        <v>137</v>
      </c>
      <c r="N325" s="4">
        <v>73</v>
      </c>
      <c r="O325" s="4" t="s">
        <v>26</v>
      </c>
      <c r="P325" s="7" t="s">
        <v>30</v>
      </c>
      <c r="S325">
        <v>717</v>
      </c>
      <c r="T325" t="str">
        <v>Nampula</v>
      </c>
      <c r="U325" t="str">
        <v>Masculino</v>
      </c>
      <c r="V325" t="str">
        <v>Solteiro(a)</v>
      </c>
      <c r="W325" t="str">
        <v>Secundaria</v>
      </c>
      <c r="X325" t="str">
        <v>Nao</v>
      </c>
      <c r="Y325" t="str">
        <v>Nenhuma</v>
      </c>
      <c r="Z325">
        <v>55</v>
      </c>
      <c r="AA325">
        <v>89.2</v>
      </c>
      <c r="AB325">
        <v>1.53</v>
      </c>
      <c r="AC325">
        <v>1</v>
      </c>
      <c r="AD325">
        <v>121</v>
      </c>
      <c r="AE325">
        <v>74</v>
      </c>
      <c r="AF325" t="str">
        <v>Rural</v>
      </c>
      <c r="AG325" t="str">
        <v>Sim</v>
      </c>
    </row>
    <row r="326" spans="2:33" x14ac:dyDescent="0.45">
      <c r="B326" s="4">
        <v>325</v>
      </c>
      <c r="C326" s="4" t="s">
        <v>22</v>
      </c>
      <c r="D326" s="4" t="s">
        <v>23</v>
      </c>
      <c r="E326" s="4" t="s">
        <v>44</v>
      </c>
      <c r="F326" s="4" t="s">
        <v>24</v>
      </c>
      <c r="G326" s="4" t="s">
        <v>19</v>
      </c>
      <c r="H326" s="4" t="s">
        <v>20</v>
      </c>
      <c r="I326" s="4">
        <v>47</v>
      </c>
      <c r="J326" s="5">
        <v>76.2</v>
      </c>
      <c r="K326" s="6">
        <v>1.57</v>
      </c>
      <c r="L326" s="4">
        <v>1</v>
      </c>
      <c r="M326" s="4">
        <v>113</v>
      </c>
      <c r="N326" s="4">
        <v>98</v>
      </c>
      <c r="O326" s="4" t="s">
        <v>26</v>
      </c>
      <c r="P326" s="7" t="s">
        <v>19</v>
      </c>
      <c r="S326">
        <v>718</v>
      </c>
      <c r="T326" t="str">
        <v>Nampula</v>
      </c>
      <c r="U326" t="str">
        <v>Masculino</v>
      </c>
      <c r="V326" t="str">
        <v>Solteiro(a)</v>
      </c>
      <c r="W326" t="str">
        <v>Nenhuma</v>
      </c>
      <c r="X326" t="str">
        <v>Nao</v>
      </c>
      <c r="Y326" t="str">
        <v>Hipertensao</v>
      </c>
      <c r="Z326">
        <v>42</v>
      </c>
      <c r="AA326">
        <v>67.400000000000006</v>
      </c>
      <c r="AB326">
        <v>1.68</v>
      </c>
      <c r="AC326">
        <v>7</v>
      </c>
      <c r="AD326">
        <v>141</v>
      </c>
      <c r="AE326">
        <v>100</v>
      </c>
      <c r="AF326" t="str">
        <v>Rural</v>
      </c>
      <c r="AG326" t="str">
        <v>Nao</v>
      </c>
    </row>
    <row r="327" spans="2:33" x14ac:dyDescent="0.45">
      <c r="B327" s="4">
        <v>326</v>
      </c>
      <c r="C327" s="4" t="s">
        <v>27</v>
      </c>
      <c r="D327" s="4" t="s">
        <v>16</v>
      </c>
      <c r="E327" s="4" t="s">
        <v>35</v>
      </c>
      <c r="F327" s="4" t="s">
        <v>42</v>
      </c>
      <c r="G327" s="4" t="s">
        <v>19</v>
      </c>
      <c r="H327" s="4" t="s">
        <v>32</v>
      </c>
      <c r="I327" s="4">
        <v>57</v>
      </c>
      <c r="J327" s="5">
        <v>85.6</v>
      </c>
      <c r="K327" s="6">
        <v>1.68</v>
      </c>
      <c r="L327" s="4">
        <v>2</v>
      </c>
      <c r="M327" s="4">
        <v>125</v>
      </c>
      <c r="N327" s="4">
        <v>174</v>
      </c>
      <c r="O327" s="4" t="s">
        <v>26</v>
      </c>
      <c r="P327" s="7" t="s">
        <v>19</v>
      </c>
      <c r="S327">
        <v>719</v>
      </c>
      <c r="T327" t="str">
        <v>Cabo Delgado</v>
      </c>
      <c r="U327" t="str">
        <v>Masculino</v>
      </c>
      <c r="V327" t="str">
        <v>Casado(a)</v>
      </c>
      <c r="W327" t="str">
        <v>Primaria</v>
      </c>
      <c r="X327" t="str">
        <v>Nao</v>
      </c>
      <c r="Y327" t="str">
        <v>Pneumonia</v>
      </c>
      <c r="Z327">
        <v>27</v>
      </c>
      <c r="AA327">
        <v>74.400000000000006</v>
      </c>
      <c r="AB327">
        <v>1.85</v>
      </c>
      <c r="AC327">
        <v>1</v>
      </c>
      <c r="AD327">
        <v>116</v>
      </c>
      <c r="AE327">
        <v>84</v>
      </c>
      <c r="AF327" t="str">
        <v>Urbana</v>
      </c>
      <c r="AG327" t="str">
        <v>Nao</v>
      </c>
    </row>
    <row r="328" spans="2:33" x14ac:dyDescent="0.45">
      <c r="B328" s="4">
        <v>327</v>
      </c>
      <c r="C328" s="4" t="s">
        <v>39</v>
      </c>
      <c r="D328" s="4" t="s">
        <v>23</v>
      </c>
      <c r="E328" s="4" t="s">
        <v>35</v>
      </c>
      <c r="F328" s="4" t="s">
        <v>28</v>
      </c>
      <c r="G328" s="4" t="s">
        <v>19</v>
      </c>
      <c r="H328" s="4" t="s">
        <v>20</v>
      </c>
      <c r="I328" s="4">
        <v>2</v>
      </c>
      <c r="J328" s="5">
        <v>9.8000000000000007</v>
      </c>
      <c r="K328" s="6">
        <v>0.93</v>
      </c>
      <c r="L328" s="4">
        <v>10</v>
      </c>
      <c r="M328" s="4">
        <v>103</v>
      </c>
      <c r="N328" s="4">
        <v>97</v>
      </c>
      <c r="O328" s="4" t="s">
        <v>21</v>
      </c>
      <c r="P328" s="7" t="s">
        <v>19</v>
      </c>
      <c r="S328">
        <v>720</v>
      </c>
      <c r="T328" t="str">
        <v>Inhambane</v>
      </c>
      <c r="U328" t="str">
        <v>Masculino</v>
      </c>
      <c r="V328" t="str">
        <v>Solteiro(a)</v>
      </c>
      <c r="W328" t="str">
        <v>Primaria</v>
      </c>
      <c r="X328" t="str">
        <v>Nao</v>
      </c>
      <c r="Y328" t="str">
        <v>Nenhuma</v>
      </c>
      <c r="Z328">
        <v>48</v>
      </c>
      <c r="AA328">
        <v>83.1</v>
      </c>
      <c r="AB328">
        <v>1.63</v>
      </c>
      <c r="AC328">
        <v>3</v>
      </c>
      <c r="AD328">
        <v>120</v>
      </c>
      <c r="AE328">
        <v>89</v>
      </c>
      <c r="AF328" t="str">
        <v>Urbana</v>
      </c>
      <c r="AG328" t="str">
        <v>Sim</v>
      </c>
    </row>
    <row r="329" spans="2:33" x14ac:dyDescent="0.45">
      <c r="B329" s="4">
        <v>328</v>
      </c>
      <c r="C329" s="4" t="s">
        <v>33</v>
      </c>
      <c r="D329" s="4" t="s">
        <v>16</v>
      </c>
      <c r="E329" s="4" t="s">
        <v>17</v>
      </c>
      <c r="F329" s="4" t="s">
        <v>18</v>
      </c>
      <c r="G329" s="4" t="s">
        <v>30</v>
      </c>
      <c r="H329" s="4" t="s">
        <v>20</v>
      </c>
      <c r="I329" s="4">
        <v>44</v>
      </c>
      <c r="J329" s="5">
        <v>94.5</v>
      </c>
      <c r="K329" s="6">
        <v>1.86</v>
      </c>
      <c r="L329" s="4">
        <v>4</v>
      </c>
      <c r="M329" s="4">
        <v>119</v>
      </c>
      <c r="N329" s="4">
        <v>93</v>
      </c>
      <c r="O329" s="4" t="s">
        <v>26</v>
      </c>
      <c r="P329" s="7" t="s">
        <v>30</v>
      </c>
      <c r="S329">
        <v>721</v>
      </c>
      <c r="T329" t="str">
        <v>Maputo Cidade</v>
      </c>
      <c r="U329" t="str">
        <v>Masculino</v>
      </c>
      <c r="V329" t="str">
        <v>Casado(a)</v>
      </c>
      <c r="W329" t="str">
        <v>Primaria</v>
      </c>
      <c r="X329" t="str">
        <v>Nao</v>
      </c>
      <c r="Y329" t="str">
        <v>Hipertensao</v>
      </c>
      <c r="Z329">
        <v>11</v>
      </c>
      <c r="AA329">
        <v>21.4</v>
      </c>
      <c r="AB329">
        <v>1.33</v>
      </c>
      <c r="AC329">
        <v>4</v>
      </c>
      <c r="AD329">
        <v>119</v>
      </c>
      <c r="AE329">
        <v>78</v>
      </c>
      <c r="AF329" t="str">
        <v>Rural</v>
      </c>
      <c r="AG329" t="str">
        <v>Nao</v>
      </c>
    </row>
    <row r="330" spans="2:33" x14ac:dyDescent="0.45">
      <c r="B330" s="4">
        <v>329</v>
      </c>
      <c r="C330" s="4" t="s">
        <v>45</v>
      </c>
      <c r="D330" s="4" t="s">
        <v>23</v>
      </c>
      <c r="E330" s="4" t="s">
        <v>17</v>
      </c>
      <c r="F330" s="4" t="s">
        <v>24</v>
      </c>
      <c r="G330" s="4" t="s">
        <v>19</v>
      </c>
      <c r="H330" s="4" t="s">
        <v>28</v>
      </c>
      <c r="I330" s="4">
        <v>3</v>
      </c>
      <c r="J330" s="5">
        <v>12.5</v>
      </c>
      <c r="K330" s="6">
        <v>0.82</v>
      </c>
      <c r="L330" s="4">
        <v>7</v>
      </c>
      <c r="M330" s="4">
        <v>96</v>
      </c>
      <c r="N330" s="4">
        <v>85</v>
      </c>
      <c r="O330" s="4" t="s">
        <v>26</v>
      </c>
      <c r="P330" s="7" t="s">
        <v>19</v>
      </c>
      <c r="S330">
        <v>723</v>
      </c>
      <c r="T330" t="str">
        <v>Nampula</v>
      </c>
      <c r="U330" t="str">
        <v>Masculino</v>
      </c>
      <c r="V330" t="str">
        <v>Viuvo(a)</v>
      </c>
      <c r="W330" t="str">
        <v>Secundaria</v>
      </c>
      <c r="X330" t="str">
        <v>Sim</v>
      </c>
      <c r="Y330" t="str">
        <v>Tuberculose</v>
      </c>
      <c r="Z330">
        <v>9</v>
      </c>
      <c r="AA330">
        <v>29.6</v>
      </c>
      <c r="AB330">
        <v>1.33</v>
      </c>
      <c r="AC330">
        <v>2</v>
      </c>
      <c r="AD330">
        <v>118</v>
      </c>
      <c r="AE330">
        <v>86</v>
      </c>
      <c r="AF330" t="str">
        <v>Urbana</v>
      </c>
      <c r="AG330" t="str">
        <v>Sim</v>
      </c>
    </row>
    <row r="331" spans="2:33" x14ac:dyDescent="0.45">
      <c r="B331" s="4">
        <v>330</v>
      </c>
      <c r="C331" s="4" t="s">
        <v>33</v>
      </c>
      <c r="D331" s="4" t="s">
        <v>16</v>
      </c>
      <c r="E331" s="4" t="s">
        <v>17</v>
      </c>
      <c r="F331" s="4" t="s">
        <v>28</v>
      </c>
      <c r="G331" s="4" t="s">
        <v>19</v>
      </c>
      <c r="H331" s="4" t="s">
        <v>25</v>
      </c>
      <c r="I331" s="4">
        <v>19</v>
      </c>
      <c r="J331" s="5">
        <v>53.7</v>
      </c>
      <c r="K331" s="6">
        <v>1.55</v>
      </c>
      <c r="L331" s="4">
        <v>7</v>
      </c>
      <c r="M331" s="4">
        <v>111</v>
      </c>
      <c r="N331" s="4">
        <v>95</v>
      </c>
      <c r="O331" s="4" t="s">
        <v>26</v>
      </c>
      <c r="P331" s="7" t="s">
        <v>19</v>
      </c>
      <c r="S331">
        <v>724</v>
      </c>
      <c r="T331" t="str">
        <v>Sofala</v>
      </c>
      <c r="U331" t="str">
        <v>Masculino</v>
      </c>
      <c r="V331" t="str">
        <v>Solteiro(a)</v>
      </c>
      <c r="W331" t="str">
        <v>Primaria</v>
      </c>
      <c r="X331" t="str">
        <v>Nao</v>
      </c>
      <c r="Y331" t="str">
        <v>Malaria</v>
      </c>
      <c r="Z331">
        <v>18</v>
      </c>
      <c r="AA331">
        <v>79.400000000000006</v>
      </c>
      <c r="AB331">
        <v>1.82</v>
      </c>
      <c r="AC331">
        <v>2</v>
      </c>
      <c r="AD331">
        <v>119</v>
      </c>
      <c r="AE331">
        <v>100</v>
      </c>
      <c r="AF331" t="str">
        <v>Urbana</v>
      </c>
      <c r="AG331" t="str">
        <v>Nao</v>
      </c>
    </row>
    <row r="332" spans="2:33" x14ac:dyDescent="0.45">
      <c r="B332" s="4">
        <v>331</v>
      </c>
      <c r="C332" s="4" t="s">
        <v>27</v>
      </c>
      <c r="D332" s="4" t="s">
        <v>16</v>
      </c>
      <c r="E332" s="4" t="s">
        <v>35</v>
      </c>
      <c r="F332" s="4" t="s">
        <v>18</v>
      </c>
      <c r="G332" s="4" t="s">
        <v>30</v>
      </c>
      <c r="H332" s="4" t="s">
        <v>20</v>
      </c>
      <c r="I332" s="4">
        <v>3</v>
      </c>
      <c r="J332" s="5">
        <v>11.3</v>
      </c>
      <c r="K332" s="6">
        <v>0.87</v>
      </c>
      <c r="L332" s="4">
        <v>2</v>
      </c>
      <c r="M332" s="4">
        <v>102</v>
      </c>
      <c r="N332" s="4">
        <v>92</v>
      </c>
      <c r="O332" s="4" t="s">
        <v>21</v>
      </c>
      <c r="P332" s="7" t="s">
        <v>19</v>
      </c>
      <c r="S332">
        <v>728</v>
      </c>
      <c r="T332" t="str">
        <v>Zambezia</v>
      </c>
      <c r="U332" t="str">
        <v>Masculino</v>
      </c>
      <c r="V332" t="str">
        <v>Casado(a)</v>
      </c>
      <c r="W332" t="str">
        <v>Nenhuma</v>
      </c>
      <c r="X332" t="str">
        <v>Nao</v>
      </c>
      <c r="Y332" t="str">
        <v>Hipertensao</v>
      </c>
      <c r="Z332">
        <v>16</v>
      </c>
      <c r="AA332">
        <v>51</v>
      </c>
      <c r="AB332">
        <v>1.49</v>
      </c>
      <c r="AC332">
        <v>2</v>
      </c>
      <c r="AD332">
        <v>124</v>
      </c>
      <c r="AE332">
        <v>104</v>
      </c>
      <c r="AF332" t="str">
        <v>Rural</v>
      </c>
      <c r="AG332" t="str">
        <v>Nao</v>
      </c>
    </row>
    <row r="333" spans="2:33" x14ac:dyDescent="0.45">
      <c r="B333" s="4">
        <v>332</v>
      </c>
      <c r="C333" s="4" t="s">
        <v>29</v>
      </c>
      <c r="D333" s="4" t="s">
        <v>16</v>
      </c>
      <c r="E333" s="4" t="s">
        <v>35</v>
      </c>
      <c r="F333" s="4" t="s">
        <v>24</v>
      </c>
      <c r="G333" s="4" t="s">
        <v>19</v>
      </c>
      <c r="H333" s="4" t="s">
        <v>28</v>
      </c>
      <c r="I333" s="4">
        <v>24</v>
      </c>
      <c r="J333" s="5">
        <v>67.099999999999994</v>
      </c>
      <c r="K333" s="6">
        <v>1.65</v>
      </c>
      <c r="L333" s="4">
        <v>1</v>
      </c>
      <c r="M333" s="4">
        <v>116</v>
      </c>
      <c r="N333" s="4">
        <v>98</v>
      </c>
      <c r="O333" s="4" t="s">
        <v>26</v>
      </c>
      <c r="P333" s="7" t="s">
        <v>19</v>
      </c>
      <c r="S333">
        <v>729</v>
      </c>
      <c r="T333" t="str">
        <v>Maputo Cidade</v>
      </c>
      <c r="U333" t="str">
        <v>Masculino</v>
      </c>
      <c r="V333" t="str">
        <v>Viuvo(a)</v>
      </c>
      <c r="W333" t="str">
        <v>Primaria</v>
      </c>
      <c r="X333" t="str">
        <v>Nao</v>
      </c>
      <c r="Y333" t="str">
        <v>Diarreia</v>
      </c>
      <c r="Z333">
        <v>13</v>
      </c>
      <c r="AA333">
        <v>60.7</v>
      </c>
      <c r="AB333">
        <v>1.68</v>
      </c>
      <c r="AC333">
        <v>9</v>
      </c>
      <c r="AD333">
        <v>112</v>
      </c>
      <c r="AE333">
        <v>92</v>
      </c>
      <c r="AF333" t="str">
        <v>Rural</v>
      </c>
      <c r="AG333" t="str">
        <v>Nao</v>
      </c>
    </row>
    <row r="334" spans="2:33" x14ac:dyDescent="0.45">
      <c r="B334" s="4">
        <v>333</v>
      </c>
      <c r="C334" s="4" t="s">
        <v>39</v>
      </c>
      <c r="D334" s="4" t="s">
        <v>16</v>
      </c>
      <c r="E334" s="4" t="s">
        <v>35</v>
      </c>
      <c r="F334" s="4" t="s">
        <v>42</v>
      </c>
      <c r="G334" s="4" t="s">
        <v>30</v>
      </c>
      <c r="H334" s="4" t="s">
        <v>20</v>
      </c>
      <c r="I334" s="4">
        <v>52</v>
      </c>
      <c r="J334" s="5">
        <v>88</v>
      </c>
      <c r="K334" s="6">
        <v>1.53</v>
      </c>
      <c r="L334" s="4">
        <v>10</v>
      </c>
      <c r="M334" s="4">
        <v>127</v>
      </c>
      <c r="N334" s="4">
        <v>92</v>
      </c>
      <c r="O334" s="4" t="s">
        <v>26</v>
      </c>
      <c r="P334" s="7" t="s">
        <v>19</v>
      </c>
      <c r="S334">
        <v>730</v>
      </c>
      <c r="T334" t="str">
        <v>Zambezia</v>
      </c>
      <c r="U334" t="str">
        <v>Masculino</v>
      </c>
      <c r="V334" t="str">
        <v>Casado(a)</v>
      </c>
      <c r="W334" t="str">
        <v>Primaria</v>
      </c>
      <c r="X334" t="str">
        <v>Nao</v>
      </c>
      <c r="Y334" t="str">
        <v>Malaria</v>
      </c>
      <c r="Z334">
        <v>24</v>
      </c>
      <c r="AA334">
        <v>49.2</v>
      </c>
      <c r="AB334">
        <v>1.71</v>
      </c>
      <c r="AC334">
        <v>6</v>
      </c>
      <c r="AD334">
        <v>110</v>
      </c>
      <c r="AE334">
        <v>86</v>
      </c>
      <c r="AF334" t="str">
        <v>Urbana</v>
      </c>
      <c r="AG334" t="str">
        <v>Nao</v>
      </c>
    </row>
    <row r="335" spans="2:33" x14ac:dyDescent="0.45">
      <c r="B335" s="4">
        <v>334</v>
      </c>
      <c r="C335" s="4" t="s">
        <v>43</v>
      </c>
      <c r="D335" s="4" t="s">
        <v>16</v>
      </c>
      <c r="E335" s="4" t="s">
        <v>35</v>
      </c>
      <c r="F335" s="4" t="s">
        <v>18</v>
      </c>
      <c r="G335" s="4" t="s">
        <v>30</v>
      </c>
      <c r="H335" s="4" t="s">
        <v>34</v>
      </c>
      <c r="I335" s="4">
        <v>14</v>
      </c>
      <c r="J335" s="5">
        <v>49.9</v>
      </c>
      <c r="K335" s="6">
        <v>1.65</v>
      </c>
      <c r="L335" s="4">
        <v>2</v>
      </c>
      <c r="M335" s="4">
        <v>120</v>
      </c>
      <c r="N335" s="4">
        <v>85</v>
      </c>
      <c r="O335" s="4" t="s">
        <v>21</v>
      </c>
      <c r="P335" s="7" t="s">
        <v>30</v>
      </c>
      <c r="S335">
        <v>731</v>
      </c>
      <c r="T335" t="str">
        <v>Nampula</v>
      </c>
      <c r="U335" t="str">
        <v>Masculino</v>
      </c>
      <c r="V335" t="str">
        <v>Divorciado(a)</v>
      </c>
      <c r="W335" t="str">
        <v>Secundaria</v>
      </c>
      <c r="X335" t="str">
        <v>Nao</v>
      </c>
      <c r="Y335" t="str">
        <v>HIV/SIDA</v>
      </c>
      <c r="Z335">
        <v>90</v>
      </c>
      <c r="AA335">
        <v>74.900000000000006</v>
      </c>
      <c r="AB335">
        <v>1.89</v>
      </c>
      <c r="AC335">
        <v>1</v>
      </c>
      <c r="AD335">
        <v>124</v>
      </c>
      <c r="AE335">
        <v>82</v>
      </c>
      <c r="AF335" t="str">
        <v>Rural</v>
      </c>
      <c r="AG335" t="str">
        <v>Nao</v>
      </c>
    </row>
    <row r="336" spans="2:33" x14ac:dyDescent="0.45">
      <c r="B336" s="4">
        <v>335</v>
      </c>
      <c r="C336" s="4" t="s">
        <v>29</v>
      </c>
      <c r="D336" s="4" t="s">
        <v>16</v>
      </c>
      <c r="E336" s="4" t="s">
        <v>17</v>
      </c>
      <c r="F336" s="4" t="s">
        <v>24</v>
      </c>
      <c r="G336" s="4" t="s">
        <v>19</v>
      </c>
      <c r="H336" s="4" t="s">
        <v>32</v>
      </c>
      <c r="I336" s="4">
        <v>35</v>
      </c>
      <c r="J336" s="5">
        <v>90</v>
      </c>
      <c r="K336" s="6">
        <v>1.56</v>
      </c>
      <c r="L336" s="4">
        <v>5</v>
      </c>
      <c r="M336" s="4">
        <v>117</v>
      </c>
      <c r="N336" s="4">
        <v>117</v>
      </c>
      <c r="O336" s="4" t="s">
        <v>21</v>
      </c>
      <c r="P336" s="7" t="s">
        <v>19</v>
      </c>
      <c r="S336">
        <v>733</v>
      </c>
      <c r="T336" t="str">
        <v>Sofala</v>
      </c>
      <c r="U336" t="str">
        <v>Masculino</v>
      </c>
      <c r="V336" t="str">
        <v>Solteiro(a)</v>
      </c>
      <c r="W336" t="str">
        <v>Secundaria</v>
      </c>
      <c r="X336" t="str">
        <v>Nao</v>
      </c>
      <c r="Y336" t="str">
        <v>Nenhuma</v>
      </c>
      <c r="Z336">
        <v>0</v>
      </c>
      <c r="AA336">
        <v>11.5</v>
      </c>
      <c r="AB336">
        <v>1.03</v>
      </c>
      <c r="AC336">
        <v>0</v>
      </c>
      <c r="AD336">
        <v>106</v>
      </c>
      <c r="AE336">
        <v>83</v>
      </c>
      <c r="AF336" t="str">
        <v>Rural</v>
      </c>
      <c r="AG336" t="str">
        <v>Nao</v>
      </c>
    </row>
    <row r="337" spans="2:33" x14ac:dyDescent="0.45">
      <c r="B337" s="4">
        <v>336</v>
      </c>
      <c r="C337" s="4" t="s">
        <v>40</v>
      </c>
      <c r="D337" s="4" t="s">
        <v>23</v>
      </c>
      <c r="E337" s="4" t="s">
        <v>17</v>
      </c>
      <c r="F337" s="4" t="s">
        <v>18</v>
      </c>
      <c r="G337" s="4" t="s">
        <v>19</v>
      </c>
      <c r="H337" s="4" t="s">
        <v>34</v>
      </c>
      <c r="I337" s="4">
        <v>0</v>
      </c>
      <c r="J337" s="5">
        <v>15.6</v>
      </c>
      <c r="K337" s="6">
        <v>0.96</v>
      </c>
      <c r="L337" s="4">
        <v>6</v>
      </c>
      <c r="M337" s="4">
        <v>105</v>
      </c>
      <c r="N337" s="4">
        <v>94</v>
      </c>
      <c r="O337" s="4" t="s">
        <v>26</v>
      </c>
      <c r="P337" s="7" t="s">
        <v>19</v>
      </c>
      <c r="S337">
        <v>734</v>
      </c>
      <c r="T337" t="str">
        <v>Maputo Provincia</v>
      </c>
      <c r="U337" t="str">
        <v>Masculino</v>
      </c>
      <c r="V337" t="str">
        <v>Solteiro(a)</v>
      </c>
      <c r="W337" t="str">
        <v>Primaria</v>
      </c>
      <c r="X337" t="str">
        <v>Sim</v>
      </c>
      <c r="Y337" t="str">
        <v>HIV/SIDA</v>
      </c>
      <c r="Z337">
        <v>3</v>
      </c>
      <c r="AA337">
        <v>17.600000000000001</v>
      </c>
      <c r="AB337">
        <v>0.8</v>
      </c>
      <c r="AC337">
        <v>2</v>
      </c>
      <c r="AD337">
        <v>109</v>
      </c>
      <c r="AE337">
        <v>90</v>
      </c>
      <c r="AF337" t="str">
        <v>Urbana</v>
      </c>
      <c r="AG337" t="str">
        <v>Nao</v>
      </c>
    </row>
    <row r="338" spans="2:33" x14ac:dyDescent="0.45">
      <c r="B338" s="4">
        <v>337</v>
      </c>
      <c r="C338" s="4" t="s">
        <v>41</v>
      </c>
      <c r="D338" s="4" t="s">
        <v>23</v>
      </c>
      <c r="E338" s="4" t="s">
        <v>35</v>
      </c>
      <c r="F338" s="4" t="s">
        <v>18</v>
      </c>
      <c r="G338" s="4" t="s">
        <v>30</v>
      </c>
      <c r="H338" s="4" t="s">
        <v>25</v>
      </c>
      <c r="I338" s="4">
        <v>5</v>
      </c>
      <c r="J338" s="5">
        <v>30.2</v>
      </c>
      <c r="K338" s="6">
        <v>1.06</v>
      </c>
      <c r="L338" s="4">
        <v>2</v>
      </c>
      <c r="M338" s="4">
        <v>94</v>
      </c>
      <c r="N338" s="4">
        <v>76</v>
      </c>
      <c r="O338" s="4" t="s">
        <v>26</v>
      </c>
      <c r="P338" s="7" t="s">
        <v>19</v>
      </c>
      <c r="S338">
        <v>737</v>
      </c>
      <c r="T338" t="str">
        <v>Gaza</v>
      </c>
      <c r="U338" t="str">
        <v>Masculino</v>
      </c>
      <c r="V338" t="str">
        <v>Solteiro(a)</v>
      </c>
      <c r="W338" t="str">
        <v>Nenhuma</v>
      </c>
      <c r="X338" t="str">
        <v>Nao</v>
      </c>
      <c r="Y338" t="str">
        <v>Tuberculose</v>
      </c>
      <c r="Z338">
        <v>20</v>
      </c>
      <c r="AA338">
        <v>56.4</v>
      </c>
      <c r="AB338">
        <v>1.5</v>
      </c>
      <c r="AC338">
        <v>6</v>
      </c>
      <c r="AD338">
        <v>121</v>
      </c>
      <c r="AE338">
        <v>94</v>
      </c>
      <c r="AF338" t="str">
        <v>Rural</v>
      </c>
      <c r="AG338" t="str">
        <v>Nao</v>
      </c>
    </row>
    <row r="339" spans="2:33" x14ac:dyDescent="0.45">
      <c r="B339" s="4">
        <v>338</v>
      </c>
      <c r="C339" s="4" t="s">
        <v>33</v>
      </c>
      <c r="D339" s="4" t="s">
        <v>23</v>
      </c>
      <c r="E339" s="4" t="s">
        <v>37</v>
      </c>
      <c r="F339" s="4" t="s">
        <v>24</v>
      </c>
      <c r="G339" s="4" t="s">
        <v>19</v>
      </c>
      <c r="H339" s="4" t="s">
        <v>28</v>
      </c>
      <c r="I339" s="4">
        <v>6</v>
      </c>
      <c r="J339" s="5">
        <v>31.5</v>
      </c>
      <c r="K339" s="6">
        <v>1.35</v>
      </c>
      <c r="L339" s="4">
        <v>8</v>
      </c>
      <c r="M339" s="4">
        <v>113</v>
      </c>
      <c r="N339" s="4">
        <v>92</v>
      </c>
      <c r="O339" s="4" t="s">
        <v>26</v>
      </c>
      <c r="P339" s="7" t="s">
        <v>19</v>
      </c>
      <c r="S339">
        <v>742</v>
      </c>
      <c r="T339" t="str">
        <v>Nampula</v>
      </c>
      <c r="U339" t="str">
        <v>Masculino</v>
      </c>
      <c r="V339" t="str">
        <v>Solteiro(a)</v>
      </c>
      <c r="W339" t="str">
        <v>Superior</v>
      </c>
      <c r="X339" t="str">
        <v>Sim</v>
      </c>
      <c r="Y339" t="str">
        <v>Nenhuma</v>
      </c>
      <c r="Z339">
        <v>37</v>
      </c>
      <c r="AA339">
        <v>93.5</v>
      </c>
      <c r="AB339">
        <v>1.67</v>
      </c>
      <c r="AC339">
        <v>5</v>
      </c>
      <c r="AD339">
        <v>108</v>
      </c>
      <c r="AE339">
        <v>70</v>
      </c>
      <c r="AF339" t="str">
        <v>Urbana</v>
      </c>
      <c r="AG339" t="str">
        <v>Nao</v>
      </c>
    </row>
    <row r="340" spans="2:33" x14ac:dyDescent="0.45">
      <c r="B340" s="4">
        <v>339</v>
      </c>
      <c r="C340" s="4" t="s">
        <v>43</v>
      </c>
      <c r="D340" s="4" t="s">
        <v>23</v>
      </c>
      <c r="E340" s="4" t="s">
        <v>44</v>
      </c>
      <c r="F340" s="4" t="s">
        <v>28</v>
      </c>
      <c r="G340" s="4" t="s">
        <v>19</v>
      </c>
      <c r="H340" s="4" t="s">
        <v>25</v>
      </c>
      <c r="I340" s="4">
        <v>1</v>
      </c>
      <c r="J340" s="5">
        <v>16.100000000000001</v>
      </c>
      <c r="K340" s="6">
        <v>1.05</v>
      </c>
      <c r="L340" s="4">
        <v>3</v>
      </c>
      <c r="M340" s="4">
        <v>101</v>
      </c>
      <c r="N340" s="4">
        <v>90</v>
      </c>
      <c r="O340" s="4" t="s">
        <v>26</v>
      </c>
      <c r="P340" s="7" t="s">
        <v>19</v>
      </c>
      <c r="S340">
        <v>743</v>
      </c>
      <c r="T340" t="str">
        <v>Nampula</v>
      </c>
      <c r="U340" t="str">
        <v>Masculino</v>
      </c>
      <c r="V340" t="str">
        <v>Solteiro(a)</v>
      </c>
      <c r="W340" t="str">
        <v>Primaria</v>
      </c>
      <c r="X340" t="str">
        <v>Sim</v>
      </c>
      <c r="Y340" t="str">
        <v>Nenhuma</v>
      </c>
      <c r="Z340">
        <v>32</v>
      </c>
      <c r="AA340">
        <v>71.2</v>
      </c>
      <c r="AB340">
        <v>1.73</v>
      </c>
      <c r="AC340">
        <v>2</v>
      </c>
      <c r="AD340">
        <v>116</v>
      </c>
      <c r="AE340">
        <v>72</v>
      </c>
      <c r="AF340" t="str">
        <v>Urbana</v>
      </c>
      <c r="AG340" t="str">
        <v>Nao</v>
      </c>
    </row>
    <row r="341" spans="2:33" x14ac:dyDescent="0.45">
      <c r="B341" s="4">
        <v>340</v>
      </c>
      <c r="C341" s="4" t="s">
        <v>31</v>
      </c>
      <c r="D341" s="4" t="s">
        <v>23</v>
      </c>
      <c r="E341" s="4" t="s">
        <v>35</v>
      </c>
      <c r="F341" s="4" t="s">
        <v>18</v>
      </c>
      <c r="G341" s="4" t="s">
        <v>19</v>
      </c>
      <c r="H341" s="4" t="s">
        <v>28</v>
      </c>
      <c r="I341" s="4">
        <v>7</v>
      </c>
      <c r="J341" s="5">
        <v>36.6</v>
      </c>
      <c r="K341" s="6">
        <v>1.0900000000000001</v>
      </c>
      <c r="L341" s="4">
        <v>4</v>
      </c>
      <c r="M341" s="4">
        <v>97</v>
      </c>
      <c r="N341" s="4">
        <v>103</v>
      </c>
      <c r="O341" s="4" t="s">
        <v>21</v>
      </c>
      <c r="P341" s="7" t="s">
        <v>19</v>
      </c>
      <c r="S341">
        <v>744</v>
      </c>
      <c r="T341" t="str">
        <v>Sofala</v>
      </c>
      <c r="U341" t="str">
        <v>Masculino</v>
      </c>
      <c r="V341" t="str">
        <v>Casado(a)</v>
      </c>
      <c r="W341" t="str">
        <v>Secundaria</v>
      </c>
      <c r="X341" t="str">
        <v>Sim</v>
      </c>
      <c r="Y341" t="str">
        <v>Diarreia</v>
      </c>
      <c r="Z341">
        <v>1</v>
      </c>
      <c r="AA341">
        <v>15.8</v>
      </c>
      <c r="AB341">
        <v>0.67</v>
      </c>
      <c r="AC341">
        <v>4</v>
      </c>
      <c r="AD341">
        <v>101</v>
      </c>
      <c r="AE341">
        <v>97</v>
      </c>
      <c r="AF341" t="str">
        <v>Rural</v>
      </c>
      <c r="AG341" t="str">
        <v>Nao</v>
      </c>
    </row>
    <row r="342" spans="2:33" x14ac:dyDescent="0.45">
      <c r="B342" s="4">
        <v>341</v>
      </c>
      <c r="C342" s="4" t="s">
        <v>41</v>
      </c>
      <c r="D342" s="4" t="s">
        <v>16</v>
      </c>
      <c r="E342" s="4" t="s">
        <v>37</v>
      </c>
      <c r="F342" s="4" t="s">
        <v>18</v>
      </c>
      <c r="G342" s="4" t="s">
        <v>19</v>
      </c>
      <c r="H342" s="4" t="s">
        <v>28</v>
      </c>
      <c r="I342" s="4">
        <v>76</v>
      </c>
      <c r="J342" s="5">
        <v>54</v>
      </c>
      <c r="K342" s="6">
        <v>1.73</v>
      </c>
      <c r="L342" s="4">
        <v>5</v>
      </c>
      <c r="M342" s="4">
        <v>134</v>
      </c>
      <c r="N342" s="4">
        <v>100</v>
      </c>
      <c r="O342" s="4" t="s">
        <v>26</v>
      </c>
      <c r="P342" s="7" t="s">
        <v>30</v>
      </c>
      <c r="S342">
        <v>745</v>
      </c>
      <c r="T342" t="str">
        <v>Zambezia</v>
      </c>
      <c r="U342" t="str">
        <v>Masculino</v>
      </c>
      <c r="V342" t="str">
        <v>Solteiro(a)</v>
      </c>
      <c r="W342" t="str">
        <v>Nenhuma</v>
      </c>
      <c r="X342" t="str">
        <v>Nao</v>
      </c>
      <c r="Y342" t="str">
        <v>Malaria</v>
      </c>
      <c r="Z342">
        <v>4</v>
      </c>
      <c r="AA342">
        <v>11.2</v>
      </c>
      <c r="AB342">
        <v>0.6</v>
      </c>
      <c r="AC342">
        <v>3</v>
      </c>
      <c r="AD342">
        <v>102</v>
      </c>
      <c r="AE342">
        <v>79</v>
      </c>
      <c r="AF342" t="str">
        <v>Urbana</v>
      </c>
      <c r="AG342" t="str">
        <v>Sim</v>
      </c>
    </row>
    <row r="343" spans="2:33" x14ac:dyDescent="0.45">
      <c r="B343" s="4">
        <v>342</v>
      </c>
      <c r="C343" s="4" t="s">
        <v>45</v>
      </c>
      <c r="D343" s="4" t="s">
        <v>16</v>
      </c>
      <c r="E343" s="4" t="s">
        <v>44</v>
      </c>
      <c r="F343" s="4" t="s">
        <v>24</v>
      </c>
      <c r="G343" s="4" t="s">
        <v>19</v>
      </c>
      <c r="H343" s="4" t="s">
        <v>38</v>
      </c>
      <c r="I343" s="4">
        <v>24</v>
      </c>
      <c r="J343" s="5">
        <v>84.1</v>
      </c>
      <c r="K343" s="6">
        <v>1.65</v>
      </c>
      <c r="L343" s="4">
        <v>6</v>
      </c>
      <c r="M343" s="4">
        <v>118</v>
      </c>
      <c r="N343" s="4">
        <v>97</v>
      </c>
      <c r="O343" s="4" t="s">
        <v>26</v>
      </c>
      <c r="P343" s="7" t="s">
        <v>19</v>
      </c>
      <c r="S343">
        <v>746</v>
      </c>
      <c r="T343" t="str">
        <v>Zambezia</v>
      </c>
      <c r="U343" t="str">
        <v>Masculino</v>
      </c>
      <c r="V343" t="str">
        <v>Casado(a)</v>
      </c>
      <c r="W343" t="str">
        <v>Secundaria</v>
      </c>
      <c r="X343" t="str">
        <v>Sim</v>
      </c>
      <c r="Y343" t="str">
        <v>Diabetes</v>
      </c>
      <c r="Z343">
        <v>74</v>
      </c>
      <c r="AA343">
        <v>54.3</v>
      </c>
      <c r="AB343">
        <v>1.81</v>
      </c>
      <c r="AC343">
        <v>4</v>
      </c>
      <c r="AD343">
        <v>139</v>
      </c>
      <c r="AE343">
        <v>161</v>
      </c>
      <c r="AF343" t="str">
        <v>Rural</v>
      </c>
      <c r="AG343" t="str">
        <v>Sim</v>
      </c>
    </row>
    <row r="344" spans="2:33" x14ac:dyDescent="0.45">
      <c r="B344" s="4">
        <v>343</v>
      </c>
      <c r="C344" s="4" t="s">
        <v>27</v>
      </c>
      <c r="D344" s="4" t="s">
        <v>16</v>
      </c>
      <c r="E344" s="4" t="s">
        <v>37</v>
      </c>
      <c r="F344" s="4" t="s">
        <v>18</v>
      </c>
      <c r="G344" s="4" t="s">
        <v>19</v>
      </c>
      <c r="H344" s="4" t="s">
        <v>32</v>
      </c>
      <c r="I344" s="4">
        <v>16</v>
      </c>
      <c r="J344" s="5">
        <v>38.6</v>
      </c>
      <c r="K344" s="6">
        <v>1.52</v>
      </c>
      <c r="L344" s="4">
        <v>1</v>
      </c>
      <c r="M344" s="4">
        <v>109</v>
      </c>
      <c r="N344" s="4">
        <v>158</v>
      </c>
      <c r="O344" s="4" t="s">
        <v>26</v>
      </c>
      <c r="P344" s="7" t="s">
        <v>19</v>
      </c>
      <c r="S344">
        <v>749</v>
      </c>
      <c r="T344" t="str">
        <v>Zambezia</v>
      </c>
      <c r="U344" t="str">
        <v>Masculino</v>
      </c>
      <c r="V344" t="str">
        <v>Casado(a)</v>
      </c>
      <c r="W344" t="str">
        <v>Secundaria</v>
      </c>
      <c r="X344" t="str">
        <v>Nao</v>
      </c>
      <c r="Y344" t="str">
        <v>Tuberculose</v>
      </c>
      <c r="Z344">
        <v>38</v>
      </c>
      <c r="AA344">
        <v>60.1</v>
      </c>
      <c r="AB344">
        <v>1.75</v>
      </c>
      <c r="AC344">
        <v>6</v>
      </c>
      <c r="AD344">
        <v>101</v>
      </c>
      <c r="AE344">
        <v>104</v>
      </c>
      <c r="AF344" t="str">
        <v>Rural</v>
      </c>
      <c r="AG344" t="str">
        <v>Nao</v>
      </c>
    </row>
    <row r="345" spans="2:33" x14ac:dyDescent="0.45">
      <c r="B345" s="4">
        <v>344</v>
      </c>
      <c r="C345" s="4" t="s">
        <v>43</v>
      </c>
      <c r="D345" s="4" t="s">
        <v>23</v>
      </c>
      <c r="E345" s="4" t="s">
        <v>35</v>
      </c>
      <c r="F345" s="4" t="s">
        <v>28</v>
      </c>
      <c r="G345" s="4" t="s">
        <v>19</v>
      </c>
      <c r="H345" s="4" t="s">
        <v>25</v>
      </c>
      <c r="I345" s="4">
        <v>39</v>
      </c>
      <c r="J345" s="5">
        <v>85.9</v>
      </c>
      <c r="K345" s="6">
        <v>1.79</v>
      </c>
      <c r="L345" s="4">
        <v>0</v>
      </c>
      <c r="M345" s="4">
        <v>109</v>
      </c>
      <c r="N345" s="4">
        <v>104</v>
      </c>
      <c r="O345" s="4" t="s">
        <v>26</v>
      </c>
      <c r="P345" s="7" t="s">
        <v>19</v>
      </c>
      <c r="S345">
        <v>751</v>
      </c>
      <c r="T345" t="str">
        <v>Tete</v>
      </c>
      <c r="U345" t="str">
        <v>Masculino</v>
      </c>
      <c r="V345" t="str">
        <v>Casado(a)</v>
      </c>
      <c r="W345" t="str">
        <v>Nenhuma</v>
      </c>
      <c r="X345" t="str">
        <v>Nao</v>
      </c>
      <c r="Y345" t="str">
        <v>HIV/SIDA</v>
      </c>
      <c r="Z345">
        <v>73</v>
      </c>
      <c r="AA345">
        <v>66.599999999999994</v>
      </c>
      <c r="AB345">
        <v>1.85</v>
      </c>
      <c r="AC345">
        <v>0</v>
      </c>
      <c r="AD345">
        <v>128</v>
      </c>
      <c r="AE345">
        <v>103</v>
      </c>
      <c r="AF345" t="str">
        <v>Urbana</v>
      </c>
      <c r="AG345" t="str">
        <v>Nao</v>
      </c>
    </row>
    <row r="346" spans="2:33" x14ac:dyDescent="0.45">
      <c r="B346" s="4">
        <v>345</v>
      </c>
      <c r="C346" s="4" t="s">
        <v>27</v>
      </c>
      <c r="D346" s="4" t="s">
        <v>16</v>
      </c>
      <c r="E346" s="4" t="s">
        <v>35</v>
      </c>
      <c r="F346" s="4" t="s">
        <v>18</v>
      </c>
      <c r="G346" s="4" t="s">
        <v>19</v>
      </c>
      <c r="H346" s="4" t="s">
        <v>28</v>
      </c>
      <c r="I346" s="4">
        <v>24</v>
      </c>
      <c r="J346" s="5">
        <v>71.400000000000006</v>
      </c>
      <c r="K346" s="6">
        <v>1.56</v>
      </c>
      <c r="L346" s="4">
        <v>2</v>
      </c>
      <c r="M346" s="4">
        <v>120</v>
      </c>
      <c r="N346" s="4">
        <v>88</v>
      </c>
      <c r="O346" s="4" t="s">
        <v>21</v>
      </c>
      <c r="P346" s="7" t="s">
        <v>19</v>
      </c>
      <c r="S346">
        <v>755</v>
      </c>
      <c r="T346" t="str">
        <v>Maputo Cidade</v>
      </c>
      <c r="U346" t="str">
        <v>Masculino</v>
      </c>
      <c r="V346" t="str">
        <v>Solteiro(a)</v>
      </c>
      <c r="W346" t="str">
        <v>Primaria</v>
      </c>
      <c r="X346" t="str">
        <v>Sim</v>
      </c>
      <c r="Y346" t="str">
        <v>Nenhuma</v>
      </c>
      <c r="Z346">
        <v>2</v>
      </c>
      <c r="AA346">
        <v>15.9</v>
      </c>
      <c r="AB346">
        <v>1.03</v>
      </c>
      <c r="AC346">
        <v>2</v>
      </c>
      <c r="AD346">
        <v>100</v>
      </c>
      <c r="AE346">
        <v>75</v>
      </c>
      <c r="AF346" t="str">
        <v>Urbana</v>
      </c>
      <c r="AG346" t="str">
        <v>Nao</v>
      </c>
    </row>
    <row r="347" spans="2:33" x14ac:dyDescent="0.45">
      <c r="B347" s="4">
        <v>346</v>
      </c>
      <c r="C347" s="4" t="s">
        <v>27</v>
      </c>
      <c r="D347" s="4" t="s">
        <v>23</v>
      </c>
      <c r="E347" s="4" t="s">
        <v>44</v>
      </c>
      <c r="F347" s="4" t="s">
        <v>24</v>
      </c>
      <c r="G347" s="4" t="s">
        <v>19</v>
      </c>
      <c r="H347" s="4" t="s">
        <v>20</v>
      </c>
      <c r="I347" s="4">
        <v>18</v>
      </c>
      <c r="J347" s="5">
        <v>61.8</v>
      </c>
      <c r="K347" s="6">
        <v>1.83</v>
      </c>
      <c r="L347" s="4">
        <v>1</v>
      </c>
      <c r="M347" s="4">
        <v>107</v>
      </c>
      <c r="N347" s="4">
        <v>83</v>
      </c>
      <c r="O347" s="4" t="s">
        <v>26</v>
      </c>
      <c r="P347" s="7" t="s">
        <v>19</v>
      </c>
      <c r="S347">
        <v>757</v>
      </c>
      <c r="T347" t="str">
        <v>Zambezia</v>
      </c>
      <c r="U347" t="str">
        <v>Masculino</v>
      </c>
      <c r="V347" t="str">
        <v>Solteiro(a)</v>
      </c>
      <c r="W347" t="str">
        <v>Secundaria</v>
      </c>
      <c r="X347" t="str">
        <v>Nao</v>
      </c>
      <c r="Y347" t="str">
        <v>Nenhuma</v>
      </c>
      <c r="Z347">
        <v>22</v>
      </c>
      <c r="AA347">
        <v>84.1</v>
      </c>
      <c r="AB347">
        <v>1.71</v>
      </c>
      <c r="AC347">
        <v>3</v>
      </c>
      <c r="AD347">
        <v>114</v>
      </c>
      <c r="AE347">
        <v>75</v>
      </c>
      <c r="AF347" t="str">
        <v>Rural</v>
      </c>
      <c r="AG347" t="str">
        <v>Nao</v>
      </c>
    </row>
    <row r="348" spans="2:33" x14ac:dyDescent="0.45">
      <c r="B348" s="4">
        <v>347</v>
      </c>
      <c r="C348" s="4" t="s">
        <v>27</v>
      </c>
      <c r="D348" s="4" t="s">
        <v>16</v>
      </c>
      <c r="E348" s="4" t="s">
        <v>17</v>
      </c>
      <c r="F348" s="4" t="s">
        <v>28</v>
      </c>
      <c r="G348" s="4" t="s">
        <v>30</v>
      </c>
      <c r="H348" s="4" t="s">
        <v>25</v>
      </c>
      <c r="I348" s="4">
        <v>49</v>
      </c>
      <c r="J348" s="5">
        <v>90.4</v>
      </c>
      <c r="K348" s="6">
        <v>1.56</v>
      </c>
      <c r="L348" s="4">
        <v>6</v>
      </c>
      <c r="M348" s="4">
        <v>114</v>
      </c>
      <c r="N348" s="4">
        <v>71</v>
      </c>
      <c r="O348" s="4" t="s">
        <v>21</v>
      </c>
      <c r="P348" s="7" t="s">
        <v>30</v>
      </c>
      <c r="S348">
        <v>760</v>
      </c>
      <c r="T348" t="str">
        <v>Nampula</v>
      </c>
      <c r="U348" t="str">
        <v>Masculino</v>
      </c>
      <c r="V348" t="str">
        <v>Solteiro(a)</v>
      </c>
      <c r="W348" t="str">
        <v>Nenhuma</v>
      </c>
      <c r="X348" t="str">
        <v>Nao</v>
      </c>
      <c r="Y348" t="str">
        <v>Malaria</v>
      </c>
      <c r="Z348">
        <v>14</v>
      </c>
      <c r="AA348">
        <v>60.3</v>
      </c>
      <c r="AB348">
        <v>1.54</v>
      </c>
      <c r="AC348">
        <v>3</v>
      </c>
      <c r="AD348">
        <v>104</v>
      </c>
      <c r="AE348">
        <v>101</v>
      </c>
      <c r="AF348" t="str">
        <v>Urbana</v>
      </c>
      <c r="AG348" t="str">
        <v>Nao</v>
      </c>
    </row>
    <row r="349" spans="2:33" x14ac:dyDescent="0.45">
      <c r="B349" s="4">
        <v>348</v>
      </c>
      <c r="C349" s="4" t="s">
        <v>40</v>
      </c>
      <c r="D349" s="4" t="s">
        <v>16</v>
      </c>
      <c r="E349" s="4" t="s">
        <v>17</v>
      </c>
      <c r="F349" s="4" t="s">
        <v>18</v>
      </c>
      <c r="G349" s="4" t="s">
        <v>19</v>
      </c>
      <c r="H349" s="4" t="s">
        <v>38</v>
      </c>
      <c r="I349" s="4">
        <v>50</v>
      </c>
      <c r="J349" s="5">
        <v>63.8</v>
      </c>
      <c r="K349" s="6">
        <v>1.7</v>
      </c>
      <c r="L349" s="4">
        <v>1</v>
      </c>
      <c r="M349" s="4">
        <v>111</v>
      </c>
      <c r="N349" s="4">
        <v>94</v>
      </c>
      <c r="O349" s="4" t="s">
        <v>26</v>
      </c>
      <c r="P349" s="7" t="s">
        <v>19</v>
      </c>
      <c r="S349">
        <v>762</v>
      </c>
      <c r="T349" t="str">
        <v>Gaza</v>
      </c>
      <c r="U349" t="str">
        <v>Masculino</v>
      </c>
      <c r="V349" t="str">
        <v>Casado(a)</v>
      </c>
      <c r="W349" t="str">
        <v>Secundaria</v>
      </c>
      <c r="X349" t="str">
        <v>Sim</v>
      </c>
      <c r="Y349" t="str">
        <v>Pneumonia</v>
      </c>
      <c r="Z349">
        <v>43</v>
      </c>
      <c r="AA349">
        <v>64</v>
      </c>
      <c r="AB349">
        <v>1.83</v>
      </c>
      <c r="AC349">
        <v>3</v>
      </c>
      <c r="AD349">
        <v>114</v>
      </c>
      <c r="AE349">
        <v>104</v>
      </c>
      <c r="AF349" t="str">
        <v>Rural</v>
      </c>
      <c r="AG349" t="str">
        <v>Sim</v>
      </c>
    </row>
    <row r="350" spans="2:33" x14ac:dyDescent="0.45">
      <c r="B350" s="4">
        <v>349</v>
      </c>
      <c r="C350" s="4" t="s">
        <v>43</v>
      </c>
      <c r="D350" s="4" t="s">
        <v>23</v>
      </c>
      <c r="E350" s="4" t="s">
        <v>35</v>
      </c>
      <c r="F350" s="4" t="s">
        <v>24</v>
      </c>
      <c r="G350" s="4" t="s">
        <v>19</v>
      </c>
      <c r="H350" s="4" t="s">
        <v>28</v>
      </c>
      <c r="I350" s="4">
        <v>12</v>
      </c>
      <c r="J350" s="5">
        <v>53.4</v>
      </c>
      <c r="K350" s="6">
        <v>1.69</v>
      </c>
      <c r="L350" s="4">
        <v>0</v>
      </c>
      <c r="M350" s="4">
        <v>108</v>
      </c>
      <c r="N350" s="4">
        <v>83</v>
      </c>
      <c r="O350" s="4" t="s">
        <v>26</v>
      </c>
      <c r="P350" s="7" t="s">
        <v>19</v>
      </c>
      <c r="S350">
        <v>764</v>
      </c>
      <c r="T350" t="str">
        <v>Sofala</v>
      </c>
      <c r="U350" t="str">
        <v>Masculino</v>
      </c>
      <c r="V350" t="str">
        <v>Viuvo(a)</v>
      </c>
      <c r="W350" t="str">
        <v>Nenhuma</v>
      </c>
      <c r="X350" t="str">
        <v>Nao</v>
      </c>
      <c r="Y350" t="str">
        <v>Malaria</v>
      </c>
      <c r="Z350">
        <v>22</v>
      </c>
      <c r="AA350">
        <v>70.599999999999994</v>
      </c>
      <c r="AB350">
        <v>1.82</v>
      </c>
      <c r="AC350">
        <v>0</v>
      </c>
      <c r="AD350">
        <v>117</v>
      </c>
      <c r="AE350">
        <v>86</v>
      </c>
      <c r="AF350" t="str">
        <v>Rural</v>
      </c>
      <c r="AG350" t="str">
        <v>Nao</v>
      </c>
    </row>
    <row r="351" spans="2:33" x14ac:dyDescent="0.45">
      <c r="B351" s="4">
        <v>350</v>
      </c>
      <c r="C351" s="4" t="s">
        <v>29</v>
      </c>
      <c r="D351" s="4" t="s">
        <v>23</v>
      </c>
      <c r="E351" s="4" t="s">
        <v>17</v>
      </c>
      <c r="F351" s="4" t="s">
        <v>24</v>
      </c>
      <c r="G351" s="4" t="s">
        <v>19</v>
      </c>
      <c r="H351" s="4" t="s">
        <v>46</v>
      </c>
      <c r="I351" s="4">
        <v>56</v>
      </c>
      <c r="J351" s="5">
        <v>50.4</v>
      </c>
      <c r="K351" s="6">
        <v>1.9</v>
      </c>
      <c r="L351" s="4">
        <v>2</v>
      </c>
      <c r="M351" s="4">
        <v>117</v>
      </c>
      <c r="N351" s="4">
        <v>76</v>
      </c>
      <c r="O351" s="4" t="s">
        <v>21</v>
      </c>
      <c r="P351" s="7" t="s">
        <v>30</v>
      </c>
      <c r="S351">
        <v>765</v>
      </c>
      <c r="T351" t="str">
        <v>Niassa</v>
      </c>
      <c r="U351" t="str">
        <v>Masculino</v>
      </c>
      <c r="V351" t="str">
        <v>Casado(a)</v>
      </c>
      <c r="W351" t="str">
        <v>Nenhuma</v>
      </c>
      <c r="X351" t="str">
        <v>Sim</v>
      </c>
      <c r="Y351" t="str">
        <v>Diabetes</v>
      </c>
      <c r="Z351">
        <v>58</v>
      </c>
      <c r="AA351">
        <v>91.3</v>
      </c>
      <c r="AB351">
        <v>1.87</v>
      </c>
      <c r="AC351">
        <v>7</v>
      </c>
      <c r="AD351">
        <v>130</v>
      </c>
      <c r="AE351">
        <v>139</v>
      </c>
      <c r="AF351" t="str">
        <v>Urbana</v>
      </c>
      <c r="AG351" t="str">
        <v>Nao</v>
      </c>
    </row>
    <row r="352" spans="2:33" x14ac:dyDescent="0.45">
      <c r="B352" s="4">
        <v>351</v>
      </c>
      <c r="C352" s="4" t="s">
        <v>27</v>
      </c>
      <c r="D352" s="4" t="s">
        <v>16</v>
      </c>
      <c r="E352" s="4" t="s">
        <v>17</v>
      </c>
      <c r="F352" s="4" t="s">
        <v>18</v>
      </c>
      <c r="G352" s="4" t="s">
        <v>19</v>
      </c>
      <c r="H352" s="4" t="s">
        <v>34</v>
      </c>
      <c r="I352" s="4">
        <v>6</v>
      </c>
      <c r="J352" s="5">
        <v>20.5</v>
      </c>
      <c r="K352" s="6">
        <v>1.44</v>
      </c>
      <c r="L352" s="4">
        <v>5</v>
      </c>
      <c r="M352" s="4">
        <v>100</v>
      </c>
      <c r="N352" s="4">
        <v>100</v>
      </c>
      <c r="O352" s="4" t="s">
        <v>26</v>
      </c>
      <c r="P352" s="7" t="s">
        <v>19</v>
      </c>
      <c r="S352">
        <v>766</v>
      </c>
      <c r="T352" t="str">
        <v>Nampula</v>
      </c>
      <c r="U352" t="str">
        <v>Masculino</v>
      </c>
      <c r="V352" t="str">
        <v>Solteiro(a)</v>
      </c>
      <c r="W352" t="str">
        <v>Secundaria</v>
      </c>
      <c r="X352" t="str">
        <v>Nao</v>
      </c>
      <c r="Y352" t="str">
        <v>Malaria</v>
      </c>
      <c r="Z352">
        <v>14</v>
      </c>
      <c r="AA352">
        <v>56.4</v>
      </c>
      <c r="AB352">
        <v>1.5</v>
      </c>
      <c r="AC352">
        <v>0</v>
      </c>
      <c r="AD352">
        <v>98</v>
      </c>
      <c r="AE352">
        <v>70</v>
      </c>
      <c r="AF352" t="str">
        <v>Urbana</v>
      </c>
      <c r="AG352" t="str">
        <v>Sim</v>
      </c>
    </row>
    <row r="353" spans="2:33" x14ac:dyDescent="0.45">
      <c r="B353" s="4">
        <v>352</v>
      </c>
      <c r="C353" s="4" t="s">
        <v>27</v>
      </c>
      <c r="D353" s="4" t="s">
        <v>23</v>
      </c>
      <c r="E353" s="4" t="s">
        <v>35</v>
      </c>
      <c r="F353" s="4" t="s">
        <v>42</v>
      </c>
      <c r="G353" s="4" t="s">
        <v>30</v>
      </c>
      <c r="H353" s="4" t="s">
        <v>46</v>
      </c>
      <c r="I353" s="4">
        <v>32</v>
      </c>
      <c r="J353" s="5">
        <v>62.4</v>
      </c>
      <c r="K353" s="6">
        <v>1.67</v>
      </c>
      <c r="L353" s="4">
        <v>1</v>
      </c>
      <c r="M353" s="4">
        <v>111</v>
      </c>
      <c r="N353" s="4">
        <v>102</v>
      </c>
      <c r="O353" s="4" t="s">
        <v>26</v>
      </c>
      <c r="P353" s="7" t="s">
        <v>30</v>
      </c>
      <c r="S353">
        <v>768</v>
      </c>
      <c r="T353" t="str">
        <v>Zambezia</v>
      </c>
      <c r="U353" t="str">
        <v>Masculino</v>
      </c>
      <c r="V353" t="str">
        <v>Divorciado(a)</v>
      </c>
      <c r="W353" t="str">
        <v>Nenhuma</v>
      </c>
      <c r="X353" t="str">
        <v>Nao</v>
      </c>
      <c r="Y353" t="str">
        <v>Nenhuma</v>
      </c>
      <c r="Z353">
        <v>15</v>
      </c>
      <c r="AA353">
        <v>41.1</v>
      </c>
      <c r="AB353">
        <v>1.64</v>
      </c>
      <c r="AC353">
        <v>3</v>
      </c>
      <c r="AD353">
        <v>107</v>
      </c>
      <c r="AE353">
        <v>80</v>
      </c>
      <c r="AF353" t="str">
        <v>Rural</v>
      </c>
      <c r="AG353" t="str">
        <v>Nao</v>
      </c>
    </row>
    <row r="354" spans="2:33" x14ac:dyDescent="0.45">
      <c r="B354" s="4">
        <v>353</v>
      </c>
      <c r="C354" s="4" t="s">
        <v>41</v>
      </c>
      <c r="D354" s="4" t="s">
        <v>16</v>
      </c>
      <c r="E354" s="4" t="s">
        <v>35</v>
      </c>
      <c r="F354" s="4" t="s">
        <v>24</v>
      </c>
      <c r="G354" s="4" t="s">
        <v>19</v>
      </c>
      <c r="H354" s="4" t="s">
        <v>20</v>
      </c>
      <c r="I354" s="4">
        <v>47</v>
      </c>
      <c r="J354" s="5">
        <v>67</v>
      </c>
      <c r="K354" s="6">
        <v>1.88</v>
      </c>
      <c r="L354" s="4">
        <v>4</v>
      </c>
      <c r="M354" s="4">
        <v>108</v>
      </c>
      <c r="N354" s="4">
        <v>75</v>
      </c>
      <c r="O354" s="4" t="s">
        <v>26</v>
      </c>
      <c r="P354" s="7" t="s">
        <v>19</v>
      </c>
      <c r="S354">
        <v>770</v>
      </c>
      <c r="T354" t="str">
        <v>Niassa</v>
      </c>
      <c r="U354" t="str">
        <v>Masculino</v>
      </c>
      <c r="V354" t="str">
        <v>Solteiro(a)</v>
      </c>
      <c r="W354" t="str">
        <v>Superior</v>
      </c>
      <c r="X354" t="str">
        <v>Nao</v>
      </c>
      <c r="Y354" t="str">
        <v>Hipertensao</v>
      </c>
      <c r="Z354">
        <v>22</v>
      </c>
      <c r="AA354">
        <v>76.7</v>
      </c>
      <c r="AB354">
        <v>1.5</v>
      </c>
      <c r="AC354">
        <v>0</v>
      </c>
      <c r="AD354">
        <v>145</v>
      </c>
      <c r="AE354">
        <v>98</v>
      </c>
      <c r="AF354" t="str">
        <v>Rural</v>
      </c>
      <c r="AG354" t="str">
        <v>Sim</v>
      </c>
    </row>
    <row r="355" spans="2:33" x14ac:dyDescent="0.45">
      <c r="B355" s="4">
        <v>354</v>
      </c>
      <c r="C355" s="4" t="s">
        <v>41</v>
      </c>
      <c r="D355" s="4" t="s">
        <v>16</v>
      </c>
      <c r="E355" s="4" t="s">
        <v>44</v>
      </c>
      <c r="F355" s="4" t="s">
        <v>24</v>
      </c>
      <c r="G355" s="4" t="s">
        <v>19</v>
      </c>
      <c r="H355" s="4" t="s">
        <v>28</v>
      </c>
      <c r="I355" s="4">
        <v>66</v>
      </c>
      <c r="J355" s="5">
        <v>46.5</v>
      </c>
      <c r="K355" s="6">
        <v>1.7</v>
      </c>
      <c r="L355" s="4">
        <v>0</v>
      </c>
      <c r="M355" s="4">
        <v>114</v>
      </c>
      <c r="N355" s="4">
        <v>83</v>
      </c>
      <c r="O355" s="4" t="s">
        <v>26</v>
      </c>
      <c r="P355" s="7" t="s">
        <v>19</v>
      </c>
      <c r="S355">
        <v>772</v>
      </c>
      <c r="T355" t="str">
        <v>Sofala</v>
      </c>
      <c r="U355" t="str">
        <v>Masculino</v>
      </c>
      <c r="V355" t="str">
        <v>Solteiro(a)</v>
      </c>
      <c r="W355" t="str">
        <v>Primaria</v>
      </c>
      <c r="X355" t="str">
        <v>Nao</v>
      </c>
      <c r="Y355" t="str">
        <v>Malaria</v>
      </c>
      <c r="Z355">
        <v>9</v>
      </c>
      <c r="AA355">
        <v>21.1</v>
      </c>
      <c r="AB355">
        <v>1.25</v>
      </c>
      <c r="AC355">
        <v>10</v>
      </c>
      <c r="AD355">
        <v>115</v>
      </c>
      <c r="AE355">
        <v>93</v>
      </c>
      <c r="AF355" t="str">
        <v>Rural</v>
      </c>
      <c r="AG355" t="str">
        <v>Sim</v>
      </c>
    </row>
    <row r="356" spans="2:33" x14ac:dyDescent="0.45">
      <c r="B356" s="4">
        <v>355</v>
      </c>
      <c r="C356" s="4" t="s">
        <v>39</v>
      </c>
      <c r="D356" s="4" t="s">
        <v>16</v>
      </c>
      <c r="E356" s="4" t="s">
        <v>35</v>
      </c>
      <c r="F356" s="4" t="s">
        <v>24</v>
      </c>
      <c r="G356" s="4" t="s">
        <v>19</v>
      </c>
      <c r="H356" s="4" t="s">
        <v>38</v>
      </c>
      <c r="I356" s="4">
        <v>18</v>
      </c>
      <c r="J356" s="5">
        <v>70.3</v>
      </c>
      <c r="K356" s="6">
        <v>1.73</v>
      </c>
      <c r="L356" s="4">
        <v>5</v>
      </c>
      <c r="M356" s="4">
        <v>100</v>
      </c>
      <c r="N356" s="4">
        <v>83</v>
      </c>
      <c r="O356" s="4" t="s">
        <v>26</v>
      </c>
      <c r="P356" s="7" t="s">
        <v>19</v>
      </c>
      <c r="S356">
        <v>773</v>
      </c>
      <c r="T356" t="str">
        <v>Tete</v>
      </c>
      <c r="U356" t="str">
        <v>Masculino</v>
      </c>
      <c r="V356" t="str">
        <v>Solteiro(a)</v>
      </c>
      <c r="W356" t="str">
        <v>Nenhuma</v>
      </c>
      <c r="X356" t="str">
        <v>Nao</v>
      </c>
      <c r="Y356" t="str">
        <v>Nenhuma</v>
      </c>
      <c r="Z356">
        <v>19</v>
      </c>
      <c r="AA356">
        <v>65.7</v>
      </c>
      <c r="AB356">
        <v>1.82</v>
      </c>
      <c r="AC356">
        <v>2</v>
      </c>
      <c r="AD356">
        <v>113</v>
      </c>
      <c r="AE356">
        <v>78</v>
      </c>
      <c r="AF356" t="str">
        <v>Rural</v>
      </c>
      <c r="AG356" t="str">
        <v>Nao</v>
      </c>
    </row>
    <row r="357" spans="2:33" x14ac:dyDescent="0.45">
      <c r="B357" s="4">
        <v>356</v>
      </c>
      <c r="C357" s="4" t="s">
        <v>22</v>
      </c>
      <c r="D357" s="4" t="s">
        <v>23</v>
      </c>
      <c r="E357" s="4" t="s">
        <v>17</v>
      </c>
      <c r="F357" s="4" t="s">
        <v>18</v>
      </c>
      <c r="G357" s="4" t="s">
        <v>19</v>
      </c>
      <c r="H357" s="4" t="s">
        <v>38</v>
      </c>
      <c r="I357" s="4">
        <v>36</v>
      </c>
      <c r="J357" s="5">
        <v>93</v>
      </c>
      <c r="K357" s="6">
        <v>1.56</v>
      </c>
      <c r="L357" s="4">
        <v>10</v>
      </c>
      <c r="M357" s="4">
        <v>114</v>
      </c>
      <c r="N357" s="4">
        <v>80</v>
      </c>
      <c r="O357" s="4" t="s">
        <v>26</v>
      </c>
      <c r="P357" s="7" t="s">
        <v>19</v>
      </c>
      <c r="S357">
        <v>776</v>
      </c>
      <c r="T357" t="str">
        <v>Niassa</v>
      </c>
      <c r="U357" t="str">
        <v>Masculino</v>
      </c>
      <c r="V357" t="str">
        <v>Casado(a)</v>
      </c>
      <c r="W357" t="str">
        <v>Primaria</v>
      </c>
      <c r="X357" t="str">
        <v>Sim</v>
      </c>
      <c r="Y357" t="str">
        <v>HIV/SIDA</v>
      </c>
      <c r="Z357">
        <v>16</v>
      </c>
      <c r="AA357">
        <v>62.4</v>
      </c>
      <c r="AB357">
        <v>1.5</v>
      </c>
      <c r="AC357">
        <v>4</v>
      </c>
      <c r="AD357">
        <v>110</v>
      </c>
      <c r="AE357">
        <v>94</v>
      </c>
      <c r="AF357" t="str">
        <v>Rural</v>
      </c>
      <c r="AG357" t="str">
        <v>Nao</v>
      </c>
    </row>
    <row r="358" spans="2:33" x14ac:dyDescent="0.45">
      <c r="B358" s="4">
        <v>357</v>
      </c>
      <c r="C358" s="4" t="s">
        <v>22</v>
      </c>
      <c r="D358" s="4" t="s">
        <v>16</v>
      </c>
      <c r="E358" s="4" t="s">
        <v>44</v>
      </c>
      <c r="F358" s="4" t="s">
        <v>18</v>
      </c>
      <c r="G358" s="4" t="s">
        <v>19</v>
      </c>
      <c r="H358" s="4" t="s">
        <v>34</v>
      </c>
      <c r="I358" s="4">
        <v>12</v>
      </c>
      <c r="J358" s="5">
        <v>38</v>
      </c>
      <c r="K358" s="6">
        <v>1.72</v>
      </c>
      <c r="L358" s="4">
        <v>5</v>
      </c>
      <c r="M358" s="4">
        <v>101</v>
      </c>
      <c r="N358" s="4">
        <v>87</v>
      </c>
      <c r="O358" s="4" t="s">
        <v>26</v>
      </c>
      <c r="P358" s="7" t="s">
        <v>19</v>
      </c>
      <c r="S358">
        <v>778</v>
      </c>
      <c r="T358" t="str">
        <v>Cabo Delgado</v>
      </c>
      <c r="U358" t="str">
        <v>Masculino</v>
      </c>
      <c r="V358" t="str">
        <v>Divorciado(a)</v>
      </c>
      <c r="W358" t="str">
        <v>Nenhuma</v>
      </c>
      <c r="X358" t="str">
        <v>Nao</v>
      </c>
      <c r="Y358" t="str">
        <v>Nenhuma</v>
      </c>
      <c r="Z358">
        <v>11</v>
      </c>
      <c r="AA358">
        <v>36</v>
      </c>
      <c r="AB358">
        <v>1.43</v>
      </c>
      <c r="AC358">
        <v>1</v>
      </c>
      <c r="AD358">
        <v>99</v>
      </c>
      <c r="AE358">
        <v>77</v>
      </c>
      <c r="AF358" t="str">
        <v>Urbana</v>
      </c>
      <c r="AG358" t="str">
        <v>Nao</v>
      </c>
    </row>
    <row r="359" spans="2:33" x14ac:dyDescent="0.45">
      <c r="B359" s="4">
        <v>358</v>
      </c>
      <c r="C359" s="4" t="s">
        <v>22</v>
      </c>
      <c r="D359" s="4" t="s">
        <v>16</v>
      </c>
      <c r="E359" s="4" t="s">
        <v>17</v>
      </c>
      <c r="F359" s="4" t="s">
        <v>42</v>
      </c>
      <c r="G359" s="4" t="s">
        <v>30</v>
      </c>
      <c r="H359" s="4" t="s">
        <v>28</v>
      </c>
      <c r="I359" s="4">
        <v>56</v>
      </c>
      <c r="J359" s="5">
        <v>63.9</v>
      </c>
      <c r="K359" s="6">
        <v>1.66</v>
      </c>
      <c r="L359" s="4">
        <v>4</v>
      </c>
      <c r="M359" s="4">
        <v>112</v>
      </c>
      <c r="N359" s="4">
        <v>104</v>
      </c>
      <c r="O359" s="4" t="s">
        <v>21</v>
      </c>
      <c r="P359" s="7" t="s">
        <v>19</v>
      </c>
      <c r="S359">
        <v>781</v>
      </c>
      <c r="T359" t="str">
        <v>Nampula</v>
      </c>
      <c r="U359" t="str">
        <v>Masculino</v>
      </c>
      <c r="V359" t="str">
        <v>Solteiro(a)</v>
      </c>
      <c r="W359" t="str">
        <v>Primaria</v>
      </c>
      <c r="X359" t="str">
        <v>Nao</v>
      </c>
      <c r="Y359" t="str">
        <v>Nenhuma</v>
      </c>
      <c r="Z359">
        <v>40</v>
      </c>
      <c r="AA359">
        <v>59</v>
      </c>
      <c r="AB359">
        <v>1.5</v>
      </c>
      <c r="AC359">
        <v>2</v>
      </c>
      <c r="AD359">
        <v>116</v>
      </c>
      <c r="AE359">
        <v>80</v>
      </c>
      <c r="AF359" t="str">
        <v>Urbana</v>
      </c>
      <c r="AG359" t="str">
        <v>Nao</v>
      </c>
    </row>
    <row r="360" spans="2:33" x14ac:dyDescent="0.45">
      <c r="B360" s="4">
        <v>359</v>
      </c>
      <c r="C360" s="4" t="s">
        <v>45</v>
      </c>
      <c r="D360" s="4" t="s">
        <v>23</v>
      </c>
      <c r="E360" s="4" t="s">
        <v>35</v>
      </c>
      <c r="F360" s="4" t="s">
        <v>28</v>
      </c>
      <c r="G360" s="4" t="s">
        <v>30</v>
      </c>
      <c r="H360" s="4" t="s">
        <v>20</v>
      </c>
      <c r="I360" s="4">
        <v>2</v>
      </c>
      <c r="J360" s="5">
        <v>9.6</v>
      </c>
      <c r="K360" s="6">
        <v>1.03</v>
      </c>
      <c r="L360" s="4">
        <v>3</v>
      </c>
      <c r="M360" s="4">
        <v>103</v>
      </c>
      <c r="N360" s="4">
        <v>73</v>
      </c>
      <c r="O360" s="4" t="s">
        <v>26</v>
      </c>
      <c r="P360" s="7" t="s">
        <v>19</v>
      </c>
      <c r="S360">
        <v>784</v>
      </c>
      <c r="T360" t="str">
        <v>Nampula</v>
      </c>
      <c r="U360" t="str">
        <v>Masculino</v>
      </c>
      <c r="V360" t="str">
        <v>Solteiro(a)</v>
      </c>
      <c r="W360" t="str">
        <v>Nenhuma</v>
      </c>
      <c r="X360" t="str">
        <v>Nao</v>
      </c>
      <c r="Y360" t="str">
        <v>Nenhuma</v>
      </c>
      <c r="Z360">
        <v>28</v>
      </c>
      <c r="AA360">
        <v>85.1</v>
      </c>
      <c r="AB360">
        <v>1.85</v>
      </c>
      <c r="AC360">
        <v>7</v>
      </c>
      <c r="AD360">
        <v>109</v>
      </c>
      <c r="AE360">
        <v>80</v>
      </c>
      <c r="AF360" t="str">
        <v>Urbana</v>
      </c>
      <c r="AG360" t="str">
        <v>Nao</v>
      </c>
    </row>
    <row r="361" spans="2:33" x14ac:dyDescent="0.45">
      <c r="B361" s="4">
        <v>360</v>
      </c>
      <c r="C361" s="4" t="s">
        <v>27</v>
      </c>
      <c r="D361" s="4" t="s">
        <v>23</v>
      </c>
      <c r="E361" s="4" t="s">
        <v>35</v>
      </c>
      <c r="F361" s="4" t="s">
        <v>24</v>
      </c>
      <c r="G361" s="4" t="s">
        <v>19</v>
      </c>
      <c r="H361" s="4" t="s">
        <v>25</v>
      </c>
      <c r="I361" s="4">
        <v>22</v>
      </c>
      <c r="J361" s="5">
        <v>56.7</v>
      </c>
      <c r="K361" s="6">
        <v>1.66</v>
      </c>
      <c r="L361" s="4">
        <v>2</v>
      </c>
      <c r="M361" s="4">
        <v>102</v>
      </c>
      <c r="N361" s="4">
        <v>77</v>
      </c>
      <c r="O361" s="4" t="s">
        <v>21</v>
      </c>
      <c r="P361" s="7" t="s">
        <v>19</v>
      </c>
      <c r="S361">
        <v>785</v>
      </c>
      <c r="T361" t="str">
        <v>Cabo Delgado</v>
      </c>
      <c r="U361" t="str">
        <v>Masculino</v>
      </c>
      <c r="V361" t="str">
        <v>Solteiro(a)</v>
      </c>
      <c r="W361" t="str">
        <v>Primaria</v>
      </c>
      <c r="X361" t="str">
        <v>Nao</v>
      </c>
      <c r="Y361" t="str">
        <v>Diarreia</v>
      </c>
      <c r="Z361">
        <v>29</v>
      </c>
      <c r="AA361">
        <v>70.3</v>
      </c>
      <c r="AB361">
        <v>1.65</v>
      </c>
      <c r="AC361">
        <v>4</v>
      </c>
      <c r="AD361">
        <v>111</v>
      </c>
      <c r="AE361">
        <v>80</v>
      </c>
      <c r="AF361" t="str">
        <v>Rural</v>
      </c>
      <c r="AG361" t="str">
        <v>Sim</v>
      </c>
    </row>
    <row r="362" spans="2:33" x14ac:dyDescent="0.45">
      <c r="B362" s="4">
        <v>361</v>
      </c>
      <c r="C362" s="4" t="s">
        <v>43</v>
      </c>
      <c r="D362" s="4" t="s">
        <v>23</v>
      </c>
      <c r="E362" s="4" t="s">
        <v>17</v>
      </c>
      <c r="F362" s="4" t="s">
        <v>24</v>
      </c>
      <c r="G362" s="4" t="s">
        <v>19</v>
      </c>
      <c r="H362" s="4" t="s">
        <v>20</v>
      </c>
      <c r="I362" s="4">
        <v>13</v>
      </c>
      <c r="J362" s="5">
        <v>56.7</v>
      </c>
      <c r="K362" s="6">
        <v>1.67</v>
      </c>
      <c r="L362" s="4">
        <v>1</v>
      </c>
      <c r="M362" s="4">
        <v>122</v>
      </c>
      <c r="N362" s="4">
        <v>100</v>
      </c>
      <c r="O362" s="4" t="s">
        <v>26</v>
      </c>
      <c r="P362" s="7" t="s">
        <v>30</v>
      </c>
      <c r="S362">
        <v>789</v>
      </c>
      <c r="T362" t="str">
        <v>Tete</v>
      </c>
      <c r="U362" t="str">
        <v>Masculino</v>
      </c>
      <c r="V362" t="str">
        <v>Viuvo(a)</v>
      </c>
      <c r="W362" t="str">
        <v>Secundaria</v>
      </c>
      <c r="X362" t="str">
        <v>Sim</v>
      </c>
      <c r="Y362" t="str">
        <v>Nenhuma</v>
      </c>
      <c r="Z362">
        <v>10</v>
      </c>
      <c r="AA362">
        <v>26.9</v>
      </c>
      <c r="AB362">
        <v>1.29</v>
      </c>
      <c r="AC362">
        <v>5</v>
      </c>
      <c r="AD362">
        <v>117</v>
      </c>
      <c r="AE362">
        <v>71</v>
      </c>
      <c r="AF362" t="str">
        <v>Rural</v>
      </c>
      <c r="AG362" t="str">
        <v>Nao</v>
      </c>
    </row>
    <row r="363" spans="2:33" x14ac:dyDescent="0.45">
      <c r="B363" s="4">
        <v>362</v>
      </c>
      <c r="C363" s="4" t="s">
        <v>27</v>
      </c>
      <c r="D363" s="4" t="s">
        <v>23</v>
      </c>
      <c r="E363" s="4" t="s">
        <v>35</v>
      </c>
      <c r="F363" s="4" t="s">
        <v>24</v>
      </c>
      <c r="G363" s="4" t="s">
        <v>19</v>
      </c>
      <c r="H363" s="4" t="s">
        <v>20</v>
      </c>
      <c r="I363" s="4">
        <v>18</v>
      </c>
      <c r="J363" s="5">
        <v>77.599999999999994</v>
      </c>
      <c r="K363" s="6">
        <v>1.9</v>
      </c>
      <c r="L363" s="4">
        <v>1</v>
      </c>
      <c r="M363" s="4">
        <v>106</v>
      </c>
      <c r="N363" s="4">
        <v>88</v>
      </c>
      <c r="O363" s="4" t="s">
        <v>21</v>
      </c>
      <c r="P363" s="7" t="s">
        <v>19</v>
      </c>
      <c r="S363">
        <v>791</v>
      </c>
      <c r="T363" t="str">
        <v>Cabo Delgado</v>
      </c>
      <c r="U363" t="str">
        <v>Masculino</v>
      </c>
      <c r="V363" t="str">
        <v>Solteiro(a)</v>
      </c>
      <c r="W363" t="str">
        <v>Primaria</v>
      </c>
      <c r="X363" t="str">
        <v>Nao</v>
      </c>
      <c r="Y363" t="str">
        <v>Nenhuma</v>
      </c>
      <c r="Z363">
        <v>40</v>
      </c>
      <c r="AA363">
        <v>54.5</v>
      </c>
      <c r="AB363">
        <v>1.8</v>
      </c>
      <c r="AC363">
        <v>2</v>
      </c>
      <c r="AD363">
        <v>120</v>
      </c>
      <c r="AE363">
        <v>73</v>
      </c>
      <c r="AF363" t="str">
        <v>Urbana</v>
      </c>
      <c r="AG363" t="str">
        <v>Nao</v>
      </c>
    </row>
    <row r="364" spans="2:33" x14ac:dyDescent="0.45">
      <c r="B364" s="4">
        <v>363</v>
      </c>
      <c r="C364" s="4" t="s">
        <v>22</v>
      </c>
      <c r="D364" s="4" t="s">
        <v>23</v>
      </c>
      <c r="E364" s="4" t="s">
        <v>44</v>
      </c>
      <c r="F364" s="4" t="s">
        <v>18</v>
      </c>
      <c r="G364" s="4" t="s">
        <v>19</v>
      </c>
      <c r="H364" s="4" t="s">
        <v>20</v>
      </c>
      <c r="I364" s="4">
        <v>4</v>
      </c>
      <c r="J364" s="5">
        <v>8.8000000000000007</v>
      </c>
      <c r="K364" s="6">
        <v>0.83</v>
      </c>
      <c r="L364" s="4">
        <v>2</v>
      </c>
      <c r="M364" s="4">
        <v>93</v>
      </c>
      <c r="N364" s="4">
        <v>99</v>
      </c>
      <c r="O364" s="4" t="s">
        <v>26</v>
      </c>
      <c r="P364" s="7" t="s">
        <v>19</v>
      </c>
      <c r="S364">
        <v>793</v>
      </c>
      <c r="T364" t="str">
        <v>Maputo Provincia</v>
      </c>
      <c r="U364" t="str">
        <v>Masculino</v>
      </c>
      <c r="V364" t="str">
        <v>Solteiro(a)</v>
      </c>
      <c r="W364" t="str">
        <v>Primaria</v>
      </c>
      <c r="X364" t="str">
        <v>Nao</v>
      </c>
      <c r="Y364" t="str">
        <v>HIV/SIDA</v>
      </c>
      <c r="Z364">
        <v>16</v>
      </c>
      <c r="AA364">
        <v>41.5</v>
      </c>
      <c r="AB364">
        <v>1.74</v>
      </c>
      <c r="AC364">
        <v>1</v>
      </c>
      <c r="AD364">
        <v>116</v>
      </c>
      <c r="AE364">
        <v>85</v>
      </c>
      <c r="AF364" t="str">
        <v>Urbana</v>
      </c>
      <c r="AG364" t="str">
        <v>Nao</v>
      </c>
    </row>
    <row r="365" spans="2:33" x14ac:dyDescent="0.45">
      <c r="B365" s="4">
        <v>364</v>
      </c>
      <c r="C365" s="4" t="s">
        <v>33</v>
      </c>
      <c r="D365" s="4" t="s">
        <v>23</v>
      </c>
      <c r="E365" s="4" t="s">
        <v>35</v>
      </c>
      <c r="F365" s="4" t="s">
        <v>24</v>
      </c>
      <c r="G365" s="4" t="s">
        <v>19</v>
      </c>
      <c r="H365" s="4" t="s">
        <v>28</v>
      </c>
      <c r="I365" s="4">
        <v>38</v>
      </c>
      <c r="J365" s="5">
        <v>91.6</v>
      </c>
      <c r="K365" s="6">
        <v>1.65</v>
      </c>
      <c r="L365" s="4">
        <v>2</v>
      </c>
      <c r="M365" s="4">
        <v>110</v>
      </c>
      <c r="N365" s="4">
        <v>91</v>
      </c>
      <c r="O365" s="4" t="s">
        <v>21</v>
      </c>
      <c r="P365" s="7" t="s">
        <v>19</v>
      </c>
      <c r="S365">
        <v>795</v>
      </c>
      <c r="T365" t="str">
        <v>Nampula</v>
      </c>
      <c r="U365" t="str">
        <v>Masculino</v>
      </c>
      <c r="V365" t="str">
        <v>Solteiro(a)</v>
      </c>
      <c r="W365" t="str">
        <v>Primaria</v>
      </c>
      <c r="X365" t="str">
        <v>Nao</v>
      </c>
      <c r="Y365" t="str">
        <v>Malaria</v>
      </c>
      <c r="Z365">
        <v>20</v>
      </c>
      <c r="AA365">
        <v>49.2</v>
      </c>
      <c r="AB365">
        <v>1.49</v>
      </c>
      <c r="AC365">
        <v>1</v>
      </c>
      <c r="AD365">
        <v>121</v>
      </c>
      <c r="AE365">
        <v>75</v>
      </c>
      <c r="AF365" t="str">
        <v>Rural</v>
      </c>
      <c r="AG365" t="str">
        <v>Sim</v>
      </c>
    </row>
    <row r="366" spans="2:33" x14ac:dyDescent="0.45">
      <c r="B366" s="4">
        <v>365</v>
      </c>
      <c r="C366" s="4" t="s">
        <v>29</v>
      </c>
      <c r="D366" s="4" t="s">
        <v>23</v>
      </c>
      <c r="E366" s="4" t="s">
        <v>35</v>
      </c>
      <c r="F366" s="4" t="s">
        <v>18</v>
      </c>
      <c r="G366" s="4" t="s">
        <v>19</v>
      </c>
      <c r="H366" s="4" t="s">
        <v>20</v>
      </c>
      <c r="I366" s="4">
        <v>27</v>
      </c>
      <c r="J366" s="5">
        <v>75.599999999999994</v>
      </c>
      <c r="K366" s="6">
        <v>1.76</v>
      </c>
      <c r="L366" s="4">
        <v>3</v>
      </c>
      <c r="M366" s="4">
        <v>111</v>
      </c>
      <c r="N366" s="4">
        <v>97</v>
      </c>
      <c r="O366" s="4" t="s">
        <v>26</v>
      </c>
      <c r="P366" s="7" t="s">
        <v>19</v>
      </c>
      <c r="S366">
        <v>796</v>
      </c>
      <c r="T366" t="str">
        <v>Manica</v>
      </c>
      <c r="U366" t="str">
        <v>Masculino</v>
      </c>
      <c r="V366" t="str">
        <v>Casado(a)</v>
      </c>
      <c r="W366" t="str">
        <v>Primaria</v>
      </c>
      <c r="X366" t="str">
        <v>Nao</v>
      </c>
      <c r="Y366" t="str">
        <v>Malaria</v>
      </c>
      <c r="Z366">
        <v>19</v>
      </c>
      <c r="AA366">
        <v>81.900000000000006</v>
      </c>
      <c r="AB366">
        <v>1.54</v>
      </c>
      <c r="AC366">
        <v>4</v>
      </c>
      <c r="AD366">
        <v>109</v>
      </c>
      <c r="AE366">
        <v>85</v>
      </c>
      <c r="AF366" t="str">
        <v>Urbana</v>
      </c>
      <c r="AG366" t="str">
        <v>Sim</v>
      </c>
    </row>
    <row r="367" spans="2:33" x14ac:dyDescent="0.45">
      <c r="B367" s="4">
        <v>366</v>
      </c>
      <c r="C367" s="4" t="s">
        <v>22</v>
      </c>
      <c r="D367" s="4" t="s">
        <v>16</v>
      </c>
      <c r="E367" s="4" t="s">
        <v>35</v>
      </c>
      <c r="F367" s="4" t="s">
        <v>24</v>
      </c>
      <c r="G367" s="4" t="s">
        <v>19</v>
      </c>
      <c r="H367" s="4" t="s">
        <v>34</v>
      </c>
      <c r="I367" s="4">
        <v>26</v>
      </c>
      <c r="J367" s="5">
        <v>58.6</v>
      </c>
      <c r="K367" s="6">
        <v>1.71</v>
      </c>
      <c r="L367" s="4">
        <v>7</v>
      </c>
      <c r="M367" s="4">
        <v>115</v>
      </c>
      <c r="N367" s="4">
        <v>86</v>
      </c>
      <c r="O367" s="4" t="s">
        <v>26</v>
      </c>
      <c r="P367" s="7" t="s">
        <v>19</v>
      </c>
      <c r="S367">
        <v>797</v>
      </c>
      <c r="T367" t="str">
        <v>Tete</v>
      </c>
      <c r="U367" t="str">
        <v>Masculino</v>
      </c>
      <c r="V367" t="str">
        <v>Divorciado(a)</v>
      </c>
      <c r="W367" t="str">
        <v>Nenhuma</v>
      </c>
      <c r="X367" t="str">
        <v>Nao</v>
      </c>
      <c r="Y367" t="str">
        <v>Hipertensao</v>
      </c>
      <c r="Z367">
        <v>4</v>
      </c>
      <c r="AA367">
        <v>11.6</v>
      </c>
      <c r="AB367">
        <v>0.75</v>
      </c>
      <c r="AC367">
        <v>1</v>
      </c>
      <c r="AD367">
        <v>119</v>
      </c>
      <c r="AE367">
        <v>70</v>
      </c>
      <c r="AF367" t="str">
        <v>Rural</v>
      </c>
      <c r="AG367" t="str">
        <v>Sim</v>
      </c>
    </row>
    <row r="368" spans="2:33" x14ac:dyDescent="0.45">
      <c r="B368" s="4">
        <v>367</v>
      </c>
      <c r="C368" s="4" t="s">
        <v>15</v>
      </c>
      <c r="D368" s="4" t="s">
        <v>16</v>
      </c>
      <c r="E368" s="4" t="s">
        <v>44</v>
      </c>
      <c r="F368" s="4" t="s">
        <v>24</v>
      </c>
      <c r="G368" s="4" t="s">
        <v>19</v>
      </c>
      <c r="H368" s="4" t="s">
        <v>20</v>
      </c>
      <c r="I368" s="4">
        <v>4</v>
      </c>
      <c r="J368" s="5">
        <v>15.1</v>
      </c>
      <c r="K368" s="6">
        <v>0.94</v>
      </c>
      <c r="L368" s="4">
        <v>7</v>
      </c>
      <c r="M368" s="4">
        <v>108</v>
      </c>
      <c r="N368" s="4">
        <v>77</v>
      </c>
      <c r="O368" s="4" t="s">
        <v>26</v>
      </c>
      <c r="P368" s="7" t="s">
        <v>19</v>
      </c>
      <c r="S368">
        <v>798</v>
      </c>
      <c r="T368" t="str">
        <v>Inhambane</v>
      </c>
      <c r="U368" t="str">
        <v>Masculino</v>
      </c>
      <c r="V368" t="str">
        <v>Casado(a)</v>
      </c>
      <c r="W368" t="str">
        <v>Nenhuma</v>
      </c>
      <c r="X368" t="str">
        <v>Nao</v>
      </c>
      <c r="Y368" t="str">
        <v>Tuberculose</v>
      </c>
      <c r="Z368">
        <v>56</v>
      </c>
      <c r="AA368">
        <v>55.3</v>
      </c>
      <c r="AB368">
        <v>1.62</v>
      </c>
      <c r="AC368">
        <v>4</v>
      </c>
      <c r="AD368">
        <v>117</v>
      </c>
      <c r="AE368">
        <v>101</v>
      </c>
      <c r="AF368" t="str">
        <v>Rural</v>
      </c>
      <c r="AG368" t="str">
        <v>Nao</v>
      </c>
    </row>
    <row r="369" spans="2:33" x14ac:dyDescent="0.45">
      <c r="B369" s="4">
        <v>368</v>
      </c>
      <c r="C369" s="4" t="s">
        <v>40</v>
      </c>
      <c r="D369" s="4" t="s">
        <v>23</v>
      </c>
      <c r="E369" s="4" t="s">
        <v>17</v>
      </c>
      <c r="F369" s="4" t="s">
        <v>24</v>
      </c>
      <c r="G369" s="4" t="s">
        <v>19</v>
      </c>
      <c r="H369" s="4" t="s">
        <v>36</v>
      </c>
      <c r="I369" s="4">
        <v>12</v>
      </c>
      <c r="J369" s="5">
        <v>42.1</v>
      </c>
      <c r="K369" s="6">
        <v>1.59</v>
      </c>
      <c r="L369" s="4">
        <v>3</v>
      </c>
      <c r="M369" s="4">
        <v>122</v>
      </c>
      <c r="N369" s="4">
        <v>81</v>
      </c>
      <c r="O369" s="4" t="s">
        <v>26</v>
      </c>
      <c r="P369" s="7" t="s">
        <v>19</v>
      </c>
      <c r="S369">
        <v>800</v>
      </c>
      <c r="T369" t="str">
        <v>Cabo Delgado</v>
      </c>
      <c r="U369" t="str">
        <v>Masculino</v>
      </c>
      <c r="V369" t="str">
        <v>Solteiro(a)</v>
      </c>
      <c r="W369" t="str">
        <v>Primaria</v>
      </c>
      <c r="X369" t="str">
        <v>Nao</v>
      </c>
      <c r="Y369" t="str">
        <v>HIV/SIDA</v>
      </c>
      <c r="Z369">
        <v>37</v>
      </c>
      <c r="AA369">
        <v>63.6</v>
      </c>
      <c r="AB369">
        <v>1.72</v>
      </c>
      <c r="AC369">
        <v>1</v>
      </c>
      <c r="AD369">
        <v>116</v>
      </c>
      <c r="AE369">
        <v>87</v>
      </c>
      <c r="AF369" t="str">
        <v>Rural</v>
      </c>
      <c r="AG369" t="str">
        <v>Nao</v>
      </c>
    </row>
    <row r="370" spans="2:33" x14ac:dyDescent="0.45">
      <c r="B370" s="4">
        <v>369</v>
      </c>
      <c r="C370" s="4" t="s">
        <v>27</v>
      </c>
      <c r="D370" s="4" t="s">
        <v>16</v>
      </c>
      <c r="E370" s="4" t="s">
        <v>17</v>
      </c>
      <c r="F370" s="4" t="s">
        <v>18</v>
      </c>
      <c r="G370" s="4" t="s">
        <v>19</v>
      </c>
      <c r="H370" s="4" t="s">
        <v>34</v>
      </c>
      <c r="I370" s="4">
        <v>44</v>
      </c>
      <c r="J370" s="5">
        <v>49</v>
      </c>
      <c r="K370" s="6">
        <v>1.53</v>
      </c>
      <c r="L370" s="4">
        <v>5</v>
      </c>
      <c r="M370" s="4">
        <v>115</v>
      </c>
      <c r="N370" s="4">
        <v>104</v>
      </c>
      <c r="O370" s="4" t="s">
        <v>26</v>
      </c>
      <c r="P370" s="7" t="s">
        <v>19</v>
      </c>
      <c r="S370">
        <v>801</v>
      </c>
      <c r="T370" t="str">
        <v>Sofala</v>
      </c>
      <c r="U370" t="str">
        <v>Masculino</v>
      </c>
      <c r="V370" t="str">
        <v>Solteiro(a)</v>
      </c>
      <c r="W370" t="str">
        <v>Primaria</v>
      </c>
      <c r="X370" t="str">
        <v>Nao</v>
      </c>
      <c r="Y370" t="str">
        <v>Tuberculose</v>
      </c>
      <c r="Z370">
        <v>21</v>
      </c>
      <c r="AA370">
        <v>59.3</v>
      </c>
      <c r="AB370">
        <v>1.53</v>
      </c>
      <c r="AC370">
        <v>2</v>
      </c>
      <c r="AD370">
        <v>104</v>
      </c>
      <c r="AE370">
        <v>104</v>
      </c>
      <c r="AF370" t="str">
        <v>Rural</v>
      </c>
      <c r="AG370" t="str">
        <v>Sim</v>
      </c>
    </row>
    <row r="371" spans="2:33" x14ac:dyDescent="0.45">
      <c r="B371" s="4">
        <v>370</v>
      </c>
      <c r="C371" s="4" t="s">
        <v>45</v>
      </c>
      <c r="D371" s="4" t="s">
        <v>23</v>
      </c>
      <c r="E371" s="4" t="s">
        <v>35</v>
      </c>
      <c r="F371" s="4" t="s">
        <v>24</v>
      </c>
      <c r="G371" s="4" t="s">
        <v>19</v>
      </c>
      <c r="H371" s="4" t="s">
        <v>20</v>
      </c>
      <c r="I371" s="4">
        <v>30</v>
      </c>
      <c r="J371" s="5">
        <v>83.3</v>
      </c>
      <c r="K371" s="6">
        <v>1.85</v>
      </c>
      <c r="L371" s="4">
        <v>2</v>
      </c>
      <c r="M371" s="4">
        <v>129</v>
      </c>
      <c r="N371" s="4">
        <v>97</v>
      </c>
      <c r="O371" s="4" t="s">
        <v>21</v>
      </c>
      <c r="P371" s="7" t="s">
        <v>30</v>
      </c>
      <c r="S371">
        <v>802</v>
      </c>
      <c r="T371" t="str">
        <v>Nampula</v>
      </c>
      <c r="U371" t="str">
        <v>Masculino</v>
      </c>
      <c r="V371" t="str">
        <v>Solteiro(a)</v>
      </c>
      <c r="W371" t="str">
        <v>Secundaria</v>
      </c>
      <c r="X371" t="str">
        <v>Nao</v>
      </c>
      <c r="Y371" t="str">
        <v>Malaria</v>
      </c>
      <c r="Z371">
        <v>4</v>
      </c>
      <c r="AA371">
        <v>7.4</v>
      </c>
      <c r="AB371">
        <v>1.04</v>
      </c>
      <c r="AC371">
        <v>3</v>
      </c>
      <c r="AD371">
        <v>105</v>
      </c>
      <c r="AE371">
        <v>96</v>
      </c>
      <c r="AF371" t="str">
        <v>Rural</v>
      </c>
      <c r="AG371" t="str">
        <v>Nao</v>
      </c>
    </row>
    <row r="372" spans="2:33" x14ac:dyDescent="0.45">
      <c r="B372" s="4">
        <v>371</v>
      </c>
      <c r="C372" s="4" t="s">
        <v>27</v>
      </c>
      <c r="D372" s="4" t="s">
        <v>23</v>
      </c>
      <c r="E372" s="4" t="s">
        <v>35</v>
      </c>
      <c r="F372" s="4" t="s">
        <v>24</v>
      </c>
      <c r="G372" s="4" t="s">
        <v>19</v>
      </c>
      <c r="H372" s="4" t="s">
        <v>38</v>
      </c>
      <c r="I372" s="4">
        <v>46</v>
      </c>
      <c r="J372" s="5">
        <v>58.6</v>
      </c>
      <c r="K372" s="6">
        <v>1.89</v>
      </c>
      <c r="L372" s="4">
        <v>1</v>
      </c>
      <c r="M372" s="4">
        <v>113</v>
      </c>
      <c r="N372" s="4">
        <v>79</v>
      </c>
      <c r="O372" s="4" t="s">
        <v>21</v>
      </c>
      <c r="P372" s="7" t="s">
        <v>30</v>
      </c>
      <c r="S372">
        <v>808</v>
      </c>
      <c r="T372" t="str">
        <v>Inhambane</v>
      </c>
      <c r="U372" t="str">
        <v>Masculino</v>
      </c>
      <c r="V372" t="str">
        <v>Viuvo(a)</v>
      </c>
      <c r="W372" t="str">
        <v>Secundaria</v>
      </c>
      <c r="X372" t="str">
        <v>Sim</v>
      </c>
      <c r="Y372" t="str">
        <v>Hipertensao</v>
      </c>
      <c r="Z372">
        <v>50</v>
      </c>
      <c r="AA372">
        <v>77.5</v>
      </c>
      <c r="AB372">
        <v>1.57</v>
      </c>
      <c r="AC372">
        <v>4</v>
      </c>
      <c r="AD372">
        <v>145</v>
      </c>
      <c r="AE372">
        <v>92</v>
      </c>
      <c r="AF372" t="str">
        <v>Rural</v>
      </c>
      <c r="AG372" t="str">
        <v>Nao</v>
      </c>
    </row>
    <row r="373" spans="2:33" x14ac:dyDescent="0.45">
      <c r="B373" s="4">
        <v>372</v>
      </c>
      <c r="C373" s="4" t="s">
        <v>29</v>
      </c>
      <c r="D373" s="4" t="s">
        <v>16</v>
      </c>
      <c r="E373" s="4" t="s">
        <v>17</v>
      </c>
      <c r="F373" s="4" t="s">
        <v>24</v>
      </c>
      <c r="G373" s="4" t="s">
        <v>19</v>
      </c>
      <c r="H373" s="4" t="s">
        <v>36</v>
      </c>
      <c r="I373" s="4">
        <v>66</v>
      </c>
      <c r="J373" s="5">
        <v>48.5</v>
      </c>
      <c r="K373" s="6">
        <v>1.71</v>
      </c>
      <c r="L373" s="4">
        <v>4</v>
      </c>
      <c r="M373" s="4">
        <v>134</v>
      </c>
      <c r="N373" s="4">
        <v>79</v>
      </c>
      <c r="O373" s="4" t="s">
        <v>21</v>
      </c>
      <c r="P373" s="7" t="s">
        <v>19</v>
      </c>
      <c r="S373">
        <v>811</v>
      </c>
      <c r="T373" t="str">
        <v>Sofala</v>
      </c>
      <c r="U373" t="str">
        <v>Masculino</v>
      </c>
      <c r="V373" t="str">
        <v>Solteiro(a)</v>
      </c>
      <c r="W373" t="str">
        <v>Primaria</v>
      </c>
      <c r="X373" t="str">
        <v>Nao</v>
      </c>
      <c r="Y373" t="str">
        <v>Nenhuma</v>
      </c>
      <c r="Z373">
        <v>1</v>
      </c>
      <c r="AA373">
        <v>10.7</v>
      </c>
      <c r="AB373">
        <v>0.83</v>
      </c>
      <c r="AC373">
        <v>4</v>
      </c>
      <c r="AD373">
        <v>97</v>
      </c>
      <c r="AE373">
        <v>82</v>
      </c>
      <c r="AF373" t="str">
        <v>Rural</v>
      </c>
      <c r="AG373" t="str">
        <v>Nao</v>
      </c>
    </row>
    <row r="374" spans="2:33" x14ac:dyDescent="0.45">
      <c r="B374" s="4">
        <v>373</v>
      </c>
      <c r="C374" s="4" t="s">
        <v>33</v>
      </c>
      <c r="D374" s="4" t="s">
        <v>16</v>
      </c>
      <c r="E374" s="4" t="s">
        <v>17</v>
      </c>
      <c r="F374" s="4" t="s">
        <v>24</v>
      </c>
      <c r="G374" s="4" t="s">
        <v>19</v>
      </c>
      <c r="H374" s="4" t="s">
        <v>25</v>
      </c>
      <c r="I374" s="4">
        <v>29</v>
      </c>
      <c r="J374" s="5">
        <v>73.400000000000006</v>
      </c>
      <c r="K374" s="6">
        <v>1.53</v>
      </c>
      <c r="L374" s="4">
        <v>4</v>
      </c>
      <c r="M374" s="4">
        <v>119</v>
      </c>
      <c r="N374" s="4">
        <v>99</v>
      </c>
      <c r="O374" s="4" t="s">
        <v>26</v>
      </c>
      <c r="P374" s="7" t="s">
        <v>30</v>
      </c>
      <c r="S374">
        <v>812</v>
      </c>
      <c r="T374" t="str">
        <v>Maputo Provincia</v>
      </c>
      <c r="U374" t="str">
        <v>Masculino</v>
      </c>
      <c r="V374" t="str">
        <v>Casado(a)</v>
      </c>
      <c r="W374" t="str">
        <v>Secundaria</v>
      </c>
      <c r="X374" t="str">
        <v>Nao</v>
      </c>
      <c r="Y374" t="str">
        <v>Nenhuma</v>
      </c>
      <c r="Z374">
        <v>7</v>
      </c>
      <c r="AA374">
        <v>27.4</v>
      </c>
      <c r="AB374">
        <v>1.1399999999999999</v>
      </c>
      <c r="AC374">
        <v>2</v>
      </c>
      <c r="AD374">
        <v>122</v>
      </c>
      <c r="AE374">
        <v>78</v>
      </c>
      <c r="AF374" t="str">
        <v>Urbana</v>
      </c>
      <c r="AG374" t="str">
        <v>Sim</v>
      </c>
    </row>
    <row r="375" spans="2:33" x14ac:dyDescent="0.45">
      <c r="B375" s="4">
        <v>374</v>
      </c>
      <c r="C375" s="4" t="s">
        <v>29</v>
      </c>
      <c r="D375" s="4" t="s">
        <v>23</v>
      </c>
      <c r="E375" s="4" t="s">
        <v>17</v>
      </c>
      <c r="F375" s="4" t="s">
        <v>24</v>
      </c>
      <c r="G375" s="4" t="s">
        <v>19</v>
      </c>
      <c r="H375" s="4" t="s">
        <v>28</v>
      </c>
      <c r="I375" s="4">
        <v>3</v>
      </c>
      <c r="J375" s="5">
        <v>12.1</v>
      </c>
      <c r="K375" s="6">
        <v>0.78</v>
      </c>
      <c r="L375" s="4">
        <v>6</v>
      </c>
      <c r="M375" s="4">
        <v>104</v>
      </c>
      <c r="N375" s="4">
        <v>80</v>
      </c>
      <c r="O375" s="4" t="s">
        <v>26</v>
      </c>
      <c r="P375" s="7" t="s">
        <v>19</v>
      </c>
      <c r="S375">
        <v>814</v>
      </c>
      <c r="T375" t="str">
        <v>Maputo Cidade</v>
      </c>
      <c r="U375" t="str">
        <v>Masculino</v>
      </c>
      <c r="V375" t="str">
        <v>Viuvo(a)</v>
      </c>
      <c r="W375" t="str">
        <v>Primaria</v>
      </c>
      <c r="X375" t="str">
        <v>Nao</v>
      </c>
      <c r="Y375" t="str">
        <v>Malaria</v>
      </c>
      <c r="Z375">
        <v>55</v>
      </c>
      <c r="AA375">
        <v>93.7</v>
      </c>
      <c r="AB375">
        <v>1.59</v>
      </c>
      <c r="AC375">
        <v>1</v>
      </c>
      <c r="AD375">
        <v>117</v>
      </c>
      <c r="AE375">
        <v>84</v>
      </c>
      <c r="AF375" t="str">
        <v>Rural</v>
      </c>
      <c r="AG375" t="str">
        <v>Sim</v>
      </c>
    </row>
    <row r="376" spans="2:33" x14ac:dyDescent="0.45">
      <c r="B376" s="4">
        <v>375</v>
      </c>
      <c r="C376" s="4" t="s">
        <v>43</v>
      </c>
      <c r="D376" s="4" t="s">
        <v>16</v>
      </c>
      <c r="E376" s="4" t="s">
        <v>17</v>
      </c>
      <c r="F376" s="4" t="s">
        <v>42</v>
      </c>
      <c r="G376" s="4" t="s">
        <v>19</v>
      </c>
      <c r="H376" s="4" t="s">
        <v>28</v>
      </c>
      <c r="I376" s="4">
        <v>33</v>
      </c>
      <c r="J376" s="5">
        <v>92.2</v>
      </c>
      <c r="K376" s="6">
        <v>1.67</v>
      </c>
      <c r="L376" s="4">
        <v>1</v>
      </c>
      <c r="M376" s="4">
        <v>112</v>
      </c>
      <c r="N376" s="4">
        <v>76</v>
      </c>
      <c r="O376" s="4" t="s">
        <v>26</v>
      </c>
      <c r="P376" s="7" t="s">
        <v>19</v>
      </c>
      <c r="S376">
        <v>819</v>
      </c>
      <c r="T376" t="str">
        <v>Manica</v>
      </c>
      <c r="U376" t="str">
        <v>Masculino</v>
      </c>
      <c r="V376" t="str">
        <v>Casado(a)</v>
      </c>
      <c r="W376" t="str">
        <v>Secundaria</v>
      </c>
      <c r="X376" t="str">
        <v>Nao</v>
      </c>
      <c r="Y376" t="str">
        <v>Tuberculose</v>
      </c>
      <c r="Z376">
        <v>27</v>
      </c>
      <c r="AA376">
        <v>59.3</v>
      </c>
      <c r="AB376">
        <v>1.58</v>
      </c>
      <c r="AC376">
        <v>6</v>
      </c>
      <c r="AD376">
        <v>117</v>
      </c>
      <c r="AE376">
        <v>78</v>
      </c>
      <c r="AF376" t="str">
        <v>Rural</v>
      </c>
      <c r="AG376" t="str">
        <v>Sim</v>
      </c>
    </row>
    <row r="377" spans="2:33" x14ac:dyDescent="0.45">
      <c r="B377" s="4">
        <v>376</v>
      </c>
      <c r="C377" s="4" t="s">
        <v>31</v>
      </c>
      <c r="D377" s="4" t="s">
        <v>23</v>
      </c>
      <c r="E377" s="4" t="s">
        <v>35</v>
      </c>
      <c r="F377" s="4" t="s">
        <v>18</v>
      </c>
      <c r="G377" s="4" t="s">
        <v>30</v>
      </c>
      <c r="H377" s="4" t="s">
        <v>20</v>
      </c>
      <c r="I377" s="4">
        <v>17</v>
      </c>
      <c r="J377" s="5">
        <v>48.8</v>
      </c>
      <c r="K377" s="6">
        <v>1.51</v>
      </c>
      <c r="L377" s="4">
        <v>2</v>
      </c>
      <c r="M377" s="4">
        <v>115</v>
      </c>
      <c r="N377" s="4">
        <v>96</v>
      </c>
      <c r="O377" s="4" t="s">
        <v>21</v>
      </c>
      <c r="P377" s="7" t="s">
        <v>19</v>
      </c>
      <c r="S377">
        <v>820</v>
      </c>
      <c r="T377" t="str">
        <v>Cabo Delgado</v>
      </c>
      <c r="U377" t="str">
        <v>Masculino</v>
      </c>
      <c r="V377" t="str">
        <v>Solteiro(a)</v>
      </c>
      <c r="W377" t="str">
        <v>Nenhuma</v>
      </c>
      <c r="X377" t="str">
        <v>Nao</v>
      </c>
      <c r="Y377" t="str">
        <v>Diabetes</v>
      </c>
      <c r="Z377">
        <v>55</v>
      </c>
      <c r="AA377">
        <v>76.099999999999994</v>
      </c>
      <c r="AB377">
        <v>1.84</v>
      </c>
      <c r="AC377">
        <v>7</v>
      </c>
      <c r="AD377">
        <v>117</v>
      </c>
      <c r="AE377">
        <v>162</v>
      </c>
      <c r="AF377" t="str">
        <v>Urbana</v>
      </c>
      <c r="AG377" t="str">
        <v>Nao</v>
      </c>
    </row>
    <row r="378" spans="2:33" x14ac:dyDescent="0.45">
      <c r="B378" s="4">
        <v>377</v>
      </c>
      <c r="C378" s="4" t="s">
        <v>43</v>
      </c>
      <c r="D378" s="4" t="s">
        <v>23</v>
      </c>
      <c r="E378" s="4" t="s">
        <v>44</v>
      </c>
      <c r="F378" s="4" t="s">
        <v>24</v>
      </c>
      <c r="G378" s="4" t="s">
        <v>19</v>
      </c>
      <c r="H378" s="4" t="s">
        <v>20</v>
      </c>
      <c r="I378" s="4">
        <v>40</v>
      </c>
      <c r="J378" s="5">
        <v>83.1</v>
      </c>
      <c r="K378" s="6">
        <v>1.78</v>
      </c>
      <c r="L378" s="4">
        <v>5</v>
      </c>
      <c r="M378" s="4">
        <v>105</v>
      </c>
      <c r="N378" s="4">
        <v>73</v>
      </c>
      <c r="O378" s="4" t="s">
        <v>26</v>
      </c>
      <c r="P378" s="7" t="s">
        <v>19</v>
      </c>
      <c r="S378">
        <v>821</v>
      </c>
      <c r="T378" t="str">
        <v>Inhambane</v>
      </c>
      <c r="U378" t="str">
        <v>Masculino</v>
      </c>
      <c r="V378" t="str">
        <v>Casado(a)</v>
      </c>
      <c r="W378" t="str">
        <v>Primaria</v>
      </c>
      <c r="X378" t="str">
        <v>Nao</v>
      </c>
      <c r="Y378" t="str">
        <v>Tuberculose</v>
      </c>
      <c r="Z378">
        <v>21</v>
      </c>
      <c r="AA378">
        <v>85.3</v>
      </c>
      <c r="AB378">
        <v>1.6</v>
      </c>
      <c r="AC378">
        <v>2</v>
      </c>
      <c r="AD378">
        <v>127</v>
      </c>
      <c r="AE378">
        <v>94</v>
      </c>
      <c r="AF378" t="str">
        <v>Urbana</v>
      </c>
      <c r="AG378" t="str">
        <v>Sim</v>
      </c>
    </row>
    <row r="379" spans="2:33" x14ac:dyDescent="0.45">
      <c r="B379" s="4">
        <v>378</v>
      </c>
      <c r="C379" s="4" t="s">
        <v>33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s">
        <v>38</v>
      </c>
      <c r="I379" s="4">
        <v>8</v>
      </c>
      <c r="J379" s="5">
        <v>23.3</v>
      </c>
      <c r="K379" s="6">
        <v>1.34</v>
      </c>
      <c r="L379" s="4">
        <v>1</v>
      </c>
      <c r="M379" s="4">
        <v>106</v>
      </c>
      <c r="N379" s="4">
        <v>74</v>
      </c>
      <c r="O379" s="4" t="s">
        <v>21</v>
      </c>
      <c r="P379" s="7" t="s">
        <v>19</v>
      </c>
      <c r="S379">
        <v>822</v>
      </c>
      <c r="T379" t="str">
        <v>Maputo Cidade</v>
      </c>
      <c r="U379" t="str">
        <v>Masculino</v>
      </c>
      <c r="V379" t="str">
        <v>Casado(a)</v>
      </c>
      <c r="W379" t="str">
        <v>Secundaria</v>
      </c>
      <c r="X379" t="str">
        <v>Nao</v>
      </c>
      <c r="Y379" t="str">
        <v>Diarreia</v>
      </c>
      <c r="Z379">
        <v>8</v>
      </c>
      <c r="AA379">
        <v>24.4</v>
      </c>
      <c r="AB379">
        <v>1.25</v>
      </c>
      <c r="AC379">
        <v>1</v>
      </c>
      <c r="AD379">
        <v>104</v>
      </c>
      <c r="AE379">
        <v>78</v>
      </c>
      <c r="AF379" t="str">
        <v>Urbana</v>
      </c>
      <c r="AG379" t="str">
        <v>Nao</v>
      </c>
    </row>
    <row r="380" spans="2:33" x14ac:dyDescent="0.45">
      <c r="B380" s="4">
        <v>379</v>
      </c>
      <c r="C380" s="4" t="s">
        <v>39</v>
      </c>
      <c r="D380" s="4" t="s">
        <v>23</v>
      </c>
      <c r="E380" s="4" t="s">
        <v>35</v>
      </c>
      <c r="F380" s="4" t="s">
        <v>18</v>
      </c>
      <c r="G380" s="4" t="s">
        <v>19</v>
      </c>
      <c r="H380" s="4" t="s">
        <v>25</v>
      </c>
      <c r="I380" s="4">
        <v>5</v>
      </c>
      <c r="J380" s="5">
        <v>20</v>
      </c>
      <c r="K380" s="6">
        <v>1.1100000000000001</v>
      </c>
      <c r="L380" s="4">
        <v>3</v>
      </c>
      <c r="M380" s="4">
        <v>104</v>
      </c>
      <c r="N380" s="4">
        <v>79</v>
      </c>
      <c r="O380" s="4" t="s">
        <v>21</v>
      </c>
      <c r="P380" s="7" t="s">
        <v>30</v>
      </c>
      <c r="S380">
        <v>823</v>
      </c>
      <c r="T380" t="str">
        <v>Manica</v>
      </c>
      <c r="U380" t="str">
        <v>Masculino</v>
      </c>
      <c r="V380" t="str">
        <v>Casado(a)</v>
      </c>
      <c r="W380" t="str">
        <v>Primaria</v>
      </c>
      <c r="X380" t="str">
        <v>Nao</v>
      </c>
      <c r="Y380" t="str">
        <v>HIV/SIDA</v>
      </c>
      <c r="Z380">
        <v>69</v>
      </c>
      <c r="AA380">
        <v>61.3</v>
      </c>
      <c r="AB380">
        <v>1.78</v>
      </c>
      <c r="AC380">
        <v>1</v>
      </c>
      <c r="AD380">
        <v>115</v>
      </c>
      <c r="AE380">
        <v>77</v>
      </c>
      <c r="AF380" t="str">
        <v>Rural</v>
      </c>
      <c r="AG380" t="str">
        <v>Nao</v>
      </c>
    </row>
    <row r="381" spans="2:33" x14ac:dyDescent="0.45">
      <c r="B381" s="4">
        <v>380</v>
      </c>
      <c r="C381" s="4" t="s">
        <v>15</v>
      </c>
      <c r="D381" s="4" t="s">
        <v>16</v>
      </c>
      <c r="E381" s="4" t="s">
        <v>17</v>
      </c>
      <c r="F381" s="4" t="s">
        <v>28</v>
      </c>
      <c r="G381" s="4" t="s">
        <v>19</v>
      </c>
      <c r="H381" s="4" t="s">
        <v>20</v>
      </c>
      <c r="I381" s="4">
        <v>61</v>
      </c>
      <c r="J381" s="5">
        <v>94</v>
      </c>
      <c r="K381" s="6">
        <v>1.83</v>
      </c>
      <c r="L381" s="4">
        <v>5</v>
      </c>
      <c r="M381" s="4">
        <v>115</v>
      </c>
      <c r="N381" s="4">
        <v>92</v>
      </c>
      <c r="O381" s="4" t="s">
        <v>21</v>
      </c>
      <c r="P381" s="7" t="s">
        <v>19</v>
      </c>
      <c r="S381">
        <v>826</v>
      </c>
      <c r="T381" t="str">
        <v>Inhambane</v>
      </c>
      <c r="U381" t="str">
        <v>Masculino</v>
      </c>
      <c r="V381" t="str">
        <v>Solteiro(a)</v>
      </c>
      <c r="W381" t="str">
        <v>Secundaria</v>
      </c>
      <c r="X381" t="str">
        <v>Nao</v>
      </c>
      <c r="Y381" t="str">
        <v>Hipertensao</v>
      </c>
      <c r="Z381">
        <v>90</v>
      </c>
      <c r="AA381">
        <v>89.1</v>
      </c>
      <c r="AB381">
        <v>1.53</v>
      </c>
      <c r="AC381">
        <v>10</v>
      </c>
      <c r="AD381">
        <v>155</v>
      </c>
      <c r="AE381">
        <v>74</v>
      </c>
      <c r="AF381" t="str">
        <v>Rural</v>
      </c>
      <c r="AG381" t="str">
        <v>Nao</v>
      </c>
    </row>
    <row r="382" spans="2:33" x14ac:dyDescent="0.45">
      <c r="B382" s="4">
        <v>381</v>
      </c>
      <c r="C382" s="4" t="s">
        <v>39</v>
      </c>
      <c r="D382" s="4" t="s">
        <v>16</v>
      </c>
      <c r="E382" s="4" t="s">
        <v>17</v>
      </c>
      <c r="F382" s="4" t="s">
        <v>24</v>
      </c>
      <c r="G382" s="4" t="s">
        <v>19</v>
      </c>
      <c r="H382" s="4" t="s">
        <v>25</v>
      </c>
      <c r="I382" s="4">
        <v>18</v>
      </c>
      <c r="J382" s="5">
        <v>45.3</v>
      </c>
      <c r="K382" s="6">
        <v>1.56</v>
      </c>
      <c r="L382" s="4">
        <v>1</v>
      </c>
      <c r="M382" s="4">
        <v>118</v>
      </c>
      <c r="N382" s="4">
        <v>79</v>
      </c>
      <c r="O382" s="4" t="s">
        <v>26</v>
      </c>
      <c r="P382" s="7" t="s">
        <v>30</v>
      </c>
      <c r="S382">
        <v>827</v>
      </c>
      <c r="T382" t="str">
        <v>Inhambane</v>
      </c>
      <c r="U382" t="str">
        <v>Masculino</v>
      </c>
      <c r="V382" t="str">
        <v>Casado(a)</v>
      </c>
      <c r="W382" t="str">
        <v>Secundaria</v>
      </c>
      <c r="X382" t="str">
        <v>Sim</v>
      </c>
      <c r="Y382" t="str">
        <v>Pneumonia</v>
      </c>
      <c r="Z382">
        <v>1</v>
      </c>
      <c r="AA382">
        <v>7.4</v>
      </c>
      <c r="AB382">
        <v>0.85</v>
      </c>
      <c r="AC382">
        <v>5</v>
      </c>
      <c r="AD382">
        <v>112</v>
      </c>
      <c r="AE382">
        <v>98</v>
      </c>
      <c r="AF382" t="str">
        <v>Urbana</v>
      </c>
      <c r="AG382" t="str">
        <v>Nao</v>
      </c>
    </row>
    <row r="383" spans="2:33" x14ac:dyDescent="0.45">
      <c r="B383" s="4">
        <v>382</v>
      </c>
      <c r="C383" s="4" t="s">
        <v>41</v>
      </c>
      <c r="D383" s="4" t="s">
        <v>23</v>
      </c>
      <c r="E383" s="4" t="s">
        <v>17</v>
      </c>
      <c r="F383" s="4" t="s">
        <v>24</v>
      </c>
      <c r="G383" s="4" t="s">
        <v>30</v>
      </c>
      <c r="H383" s="4" t="s">
        <v>38</v>
      </c>
      <c r="I383" s="4">
        <v>84</v>
      </c>
      <c r="J383" s="5">
        <v>75.2</v>
      </c>
      <c r="K383" s="6">
        <v>1.84</v>
      </c>
      <c r="L383" s="4">
        <v>6</v>
      </c>
      <c r="M383" s="4">
        <v>125</v>
      </c>
      <c r="N383" s="4">
        <v>102</v>
      </c>
      <c r="O383" s="4" t="s">
        <v>21</v>
      </c>
      <c r="P383" s="7" t="s">
        <v>19</v>
      </c>
      <c r="S383">
        <v>828</v>
      </c>
      <c r="T383" t="str">
        <v>Cabo Delgado</v>
      </c>
      <c r="U383" t="str">
        <v>Masculino</v>
      </c>
      <c r="V383" t="str">
        <v>Solteiro(a)</v>
      </c>
      <c r="W383" t="str">
        <v>Secundaria</v>
      </c>
      <c r="X383" t="str">
        <v>Nao</v>
      </c>
      <c r="Y383" t="str">
        <v>Hipertensao</v>
      </c>
      <c r="Z383">
        <v>9</v>
      </c>
      <c r="AA383">
        <v>21.9</v>
      </c>
      <c r="AB383">
        <v>1.23</v>
      </c>
      <c r="AC383">
        <v>2</v>
      </c>
      <c r="AD383">
        <v>118</v>
      </c>
      <c r="AE383">
        <v>103</v>
      </c>
      <c r="AF383" t="str">
        <v>Rural</v>
      </c>
      <c r="AG383" t="str">
        <v>Nao</v>
      </c>
    </row>
    <row r="384" spans="2:33" x14ac:dyDescent="0.45">
      <c r="B384" s="4">
        <v>383</v>
      </c>
      <c r="C384" s="4" t="s">
        <v>43</v>
      </c>
      <c r="D384" s="4" t="s">
        <v>23</v>
      </c>
      <c r="E384" s="4" t="s">
        <v>17</v>
      </c>
      <c r="F384" s="4" t="s">
        <v>18</v>
      </c>
      <c r="G384" s="4" t="s">
        <v>19</v>
      </c>
      <c r="H384" s="4" t="s">
        <v>20</v>
      </c>
      <c r="I384" s="4">
        <v>6</v>
      </c>
      <c r="J384" s="5">
        <v>36.799999999999997</v>
      </c>
      <c r="K384" s="6">
        <v>1.08</v>
      </c>
      <c r="L384" s="4">
        <v>3</v>
      </c>
      <c r="M384" s="4">
        <v>96</v>
      </c>
      <c r="N384" s="4">
        <v>84</v>
      </c>
      <c r="O384" s="4" t="s">
        <v>21</v>
      </c>
      <c r="P384" s="7" t="s">
        <v>19</v>
      </c>
      <c r="S384">
        <v>829</v>
      </c>
      <c r="T384" t="str">
        <v>Manica</v>
      </c>
      <c r="U384" t="str">
        <v>Masculino</v>
      </c>
      <c r="V384" t="str">
        <v>Solteiro(a)</v>
      </c>
      <c r="W384" t="str">
        <v>Primaria</v>
      </c>
      <c r="X384" t="str">
        <v>Nao</v>
      </c>
      <c r="Y384" t="str">
        <v>Nenhuma</v>
      </c>
      <c r="Z384">
        <v>20</v>
      </c>
      <c r="AA384">
        <v>79.8</v>
      </c>
      <c r="AB384">
        <v>1.56</v>
      </c>
      <c r="AC384">
        <v>3</v>
      </c>
      <c r="AD384">
        <v>99</v>
      </c>
      <c r="AE384">
        <v>99</v>
      </c>
      <c r="AF384" t="str">
        <v>Rural</v>
      </c>
      <c r="AG384" t="str">
        <v>Nao</v>
      </c>
    </row>
    <row r="385" spans="2:33" x14ac:dyDescent="0.45">
      <c r="B385" s="4">
        <v>384</v>
      </c>
      <c r="C385" s="4" t="s">
        <v>41</v>
      </c>
      <c r="D385" s="4" t="s">
        <v>23</v>
      </c>
      <c r="E385" s="4" t="s">
        <v>35</v>
      </c>
      <c r="F385" s="4" t="s">
        <v>28</v>
      </c>
      <c r="G385" s="4" t="s">
        <v>19</v>
      </c>
      <c r="H385" s="4" t="s">
        <v>20</v>
      </c>
      <c r="I385" s="4">
        <v>54</v>
      </c>
      <c r="J385" s="5">
        <v>81.099999999999994</v>
      </c>
      <c r="K385" s="6">
        <v>1.56</v>
      </c>
      <c r="L385" s="4">
        <v>2</v>
      </c>
      <c r="M385" s="4">
        <v>114</v>
      </c>
      <c r="N385" s="4">
        <v>87</v>
      </c>
      <c r="O385" s="4" t="s">
        <v>21</v>
      </c>
      <c r="P385" s="7" t="s">
        <v>19</v>
      </c>
      <c r="S385">
        <v>832</v>
      </c>
      <c r="T385" t="str">
        <v>Inhambane</v>
      </c>
      <c r="U385" t="str">
        <v>Masculino</v>
      </c>
      <c r="V385" t="str">
        <v>Solteiro(a)</v>
      </c>
      <c r="W385" t="str">
        <v>Nenhuma</v>
      </c>
      <c r="X385" t="str">
        <v>Nao</v>
      </c>
      <c r="Y385" t="str">
        <v>Pneumonia</v>
      </c>
      <c r="Z385">
        <v>41</v>
      </c>
      <c r="AA385">
        <v>65.900000000000006</v>
      </c>
      <c r="AB385">
        <v>1.65</v>
      </c>
      <c r="AC385">
        <v>2</v>
      </c>
      <c r="AD385">
        <v>108</v>
      </c>
      <c r="AE385">
        <v>81</v>
      </c>
      <c r="AF385" t="str">
        <v>Rural</v>
      </c>
      <c r="AG385" t="str">
        <v>Nao</v>
      </c>
    </row>
    <row r="386" spans="2:33" x14ac:dyDescent="0.45">
      <c r="B386" s="4">
        <v>385</v>
      </c>
      <c r="C386" s="4" t="s">
        <v>27</v>
      </c>
      <c r="D386" s="4" t="s">
        <v>23</v>
      </c>
      <c r="E386" s="4" t="s">
        <v>35</v>
      </c>
      <c r="F386" s="4" t="s">
        <v>42</v>
      </c>
      <c r="G386" s="4" t="s">
        <v>19</v>
      </c>
      <c r="H386" s="4" t="s">
        <v>25</v>
      </c>
      <c r="I386" s="4">
        <v>14</v>
      </c>
      <c r="J386" s="5">
        <v>62.4</v>
      </c>
      <c r="K386" s="6">
        <v>1.48</v>
      </c>
      <c r="L386" s="4">
        <v>4</v>
      </c>
      <c r="M386" s="4">
        <v>102</v>
      </c>
      <c r="N386" s="4">
        <v>76</v>
      </c>
      <c r="O386" s="4" t="s">
        <v>26</v>
      </c>
      <c r="P386" s="7" t="s">
        <v>19</v>
      </c>
      <c r="S386">
        <v>835</v>
      </c>
      <c r="T386" t="str">
        <v>Zambezia</v>
      </c>
      <c r="U386" t="str">
        <v>Masculino</v>
      </c>
      <c r="V386" t="str">
        <v>Solteiro(a)</v>
      </c>
      <c r="W386" t="str">
        <v>Primaria</v>
      </c>
      <c r="X386" t="str">
        <v>Nao</v>
      </c>
      <c r="Y386" t="str">
        <v>Malaria</v>
      </c>
      <c r="Z386">
        <v>40</v>
      </c>
      <c r="AA386">
        <v>48.3</v>
      </c>
      <c r="AB386">
        <v>1.8</v>
      </c>
      <c r="AC386">
        <v>10</v>
      </c>
      <c r="AD386">
        <v>124</v>
      </c>
      <c r="AE386">
        <v>91</v>
      </c>
      <c r="AF386" t="str">
        <v>Urbana</v>
      </c>
      <c r="AG386" t="str">
        <v>Nao</v>
      </c>
    </row>
    <row r="387" spans="2:33" x14ac:dyDescent="0.45">
      <c r="B387" s="4">
        <v>386</v>
      </c>
      <c r="C387" s="4" t="s">
        <v>15</v>
      </c>
      <c r="D387" s="4" t="s">
        <v>23</v>
      </c>
      <c r="E387" s="4" t="s">
        <v>17</v>
      </c>
      <c r="F387" s="4" t="s">
        <v>18</v>
      </c>
      <c r="G387" s="4" t="s">
        <v>19</v>
      </c>
      <c r="H387" s="4" t="s">
        <v>25</v>
      </c>
      <c r="I387" s="4">
        <v>55</v>
      </c>
      <c r="J387" s="5">
        <v>55.9</v>
      </c>
      <c r="K387" s="6">
        <v>1.48</v>
      </c>
      <c r="L387" s="4">
        <v>3</v>
      </c>
      <c r="M387" s="4">
        <v>130</v>
      </c>
      <c r="N387" s="4">
        <v>100</v>
      </c>
      <c r="O387" s="4" t="s">
        <v>26</v>
      </c>
      <c r="P387" s="7" t="s">
        <v>30</v>
      </c>
      <c r="S387">
        <v>836</v>
      </c>
      <c r="T387" t="str">
        <v>Sofala</v>
      </c>
      <c r="U387" t="str">
        <v>Masculino</v>
      </c>
      <c r="V387" t="str">
        <v>Casado(a)</v>
      </c>
      <c r="W387" t="str">
        <v>Secundaria</v>
      </c>
      <c r="X387" t="str">
        <v>Nao</v>
      </c>
      <c r="Y387" t="str">
        <v>Hipertensao</v>
      </c>
      <c r="Z387">
        <v>37</v>
      </c>
      <c r="AA387">
        <v>66.5</v>
      </c>
      <c r="AB387">
        <v>1.49</v>
      </c>
      <c r="AC387">
        <v>5</v>
      </c>
      <c r="AD387">
        <v>139</v>
      </c>
      <c r="AE387">
        <v>81</v>
      </c>
      <c r="AF387" t="str">
        <v>Rural</v>
      </c>
      <c r="AG387" t="str">
        <v>Nao</v>
      </c>
    </row>
    <row r="388" spans="2:33" x14ac:dyDescent="0.45">
      <c r="B388" s="4">
        <v>387</v>
      </c>
      <c r="C388" s="4" t="s">
        <v>22</v>
      </c>
      <c r="D388" s="4" t="s">
        <v>23</v>
      </c>
      <c r="E388" s="4" t="s">
        <v>37</v>
      </c>
      <c r="F388" s="4" t="s">
        <v>24</v>
      </c>
      <c r="G388" s="4" t="s">
        <v>19</v>
      </c>
      <c r="H388" s="4" t="s">
        <v>28</v>
      </c>
      <c r="I388" s="4">
        <v>20</v>
      </c>
      <c r="J388" s="5">
        <v>62.7</v>
      </c>
      <c r="K388" s="6">
        <v>1.48</v>
      </c>
      <c r="L388" s="4">
        <v>3</v>
      </c>
      <c r="M388" s="4">
        <v>111</v>
      </c>
      <c r="N388" s="4">
        <v>70</v>
      </c>
      <c r="O388" s="4" t="s">
        <v>26</v>
      </c>
      <c r="P388" s="7" t="s">
        <v>30</v>
      </c>
      <c r="S388">
        <v>837</v>
      </c>
      <c r="T388" t="str">
        <v>Niassa</v>
      </c>
      <c r="U388" t="str">
        <v>Masculino</v>
      </c>
      <c r="V388" t="str">
        <v>Solteiro(a)</v>
      </c>
      <c r="W388" t="str">
        <v>Primaria</v>
      </c>
      <c r="X388" t="str">
        <v>Sim</v>
      </c>
      <c r="Y388" t="str">
        <v>Tuberculose</v>
      </c>
      <c r="Z388">
        <v>45</v>
      </c>
      <c r="AA388">
        <v>59.4</v>
      </c>
      <c r="AB388">
        <v>1.89</v>
      </c>
      <c r="AC388">
        <v>7</v>
      </c>
      <c r="AD388">
        <v>124</v>
      </c>
      <c r="AE388">
        <v>94</v>
      </c>
      <c r="AF388" t="str">
        <v>Rural</v>
      </c>
      <c r="AG388" t="str">
        <v>Nao</v>
      </c>
    </row>
    <row r="389" spans="2:33" x14ac:dyDescent="0.45">
      <c r="B389" s="4">
        <v>388</v>
      </c>
      <c r="C389" s="4" t="s">
        <v>43</v>
      </c>
      <c r="D389" s="4" t="s">
        <v>23</v>
      </c>
      <c r="E389" s="4" t="s">
        <v>35</v>
      </c>
      <c r="F389" s="4" t="s">
        <v>18</v>
      </c>
      <c r="G389" s="4" t="s">
        <v>19</v>
      </c>
      <c r="H389" s="4" t="s">
        <v>38</v>
      </c>
      <c r="I389" s="4">
        <v>23</v>
      </c>
      <c r="J389" s="5">
        <v>63.1</v>
      </c>
      <c r="K389" s="6">
        <v>1.5</v>
      </c>
      <c r="L389" s="4">
        <v>3</v>
      </c>
      <c r="M389" s="4">
        <v>105</v>
      </c>
      <c r="N389" s="4">
        <v>74</v>
      </c>
      <c r="O389" s="4" t="s">
        <v>26</v>
      </c>
      <c r="P389" s="7" t="s">
        <v>30</v>
      </c>
      <c r="S389">
        <v>839</v>
      </c>
      <c r="T389" t="str">
        <v>Gaza</v>
      </c>
      <c r="U389" t="str">
        <v>Masculino</v>
      </c>
      <c r="V389" t="str">
        <v>Solteiro(a)</v>
      </c>
      <c r="W389" t="str">
        <v>Secundaria</v>
      </c>
      <c r="X389" t="str">
        <v>Nao</v>
      </c>
      <c r="Y389" t="str">
        <v>Nenhuma</v>
      </c>
      <c r="Z389">
        <v>0</v>
      </c>
      <c r="AA389">
        <v>9.6</v>
      </c>
      <c r="AB389">
        <v>0.95</v>
      </c>
      <c r="AC389">
        <v>5</v>
      </c>
      <c r="AD389">
        <v>111</v>
      </c>
      <c r="AE389">
        <v>98</v>
      </c>
      <c r="AF389" t="str">
        <v>Rural</v>
      </c>
      <c r="AG389" t="str">
        <v>Nao</v>
      </c>
    </row>
    <row r="390" spans="2:33" x14ac:dyDescent="0.45">
      <c r="B390" s="4">
        <v>389</v>
      </c>
      <c r="C390" s="4" t="s">
        <v>33</v>
      </c>
      <c r="D390" s="4" t="s">
        <v>16</v>
      </c>
      <c r="E390" s="4" t="s">
        <v>44</v>
      </c>
      <c r="F390" s="4" t="s">
        <v>24</v>
      </c>
      <c r="G390" s="4" t="s">
        <v>19</v>
      </c>
      <c r="H390" s="4" t="s">
        <v>28</v>
      </c>
      <c r="I390" s="4">
        <v>38</v>
      </c>
      <c r="J390" s="5">
        <v>94.6</v>
      </c>
      <c r="K390" s="6">
        <v>1.79</v>
      </c>
      <c r="L390" s="4">
        <v>2</v>
      </c>
      <c r="M390" s="4">
        <v>123</v>
      </c>
      <c r="N390" s="4">
        <v>89</v>
      </c>
      <c r="O390" s="4" t="s">
        <v>26</v>
      </c>
      <c r="P390" s="7" t="s">
        <v>19</v>
      </c>
      <c r="S390">
        <v>840</v>
      </c>
      <c r="T390" t="str">
        <v>Niassa</v>
      </c>
      <c r="U390" t="str">
        <v>Masculino</v>
      </c>
      <c r="V390" t="str">
        <v>Solteiro(a)</v>
      </c>
      <c r="W390" t="str">
        <v>Nenhuma</v>
      </c>
      <c r="X390" t="str">
        <v>Nao</v>
      </c>
      <c r="Y390" t="str">
        <v>Hipertensao</v>
      </c>
      <c r="Z390">
        <v>5</v>
      </c>
      <c r="AA390">
        <v>32</v>
      </c>
      <c r="AB390">
        <v>1.26</v>
      </c>
      <c r="AC390">
        <v>2</v>
      </c>
      <c r="AD390">
        <v>123</v>
      </c>
      <c r="AE390">
        <v>80</v>
      </c>
      <c r="AF390" t="str">
        <v>Rural</v>
      </c>
      <c r="AG390" t="str">
        <v>Nao</v>
      </c>
    </row>
    <row r="391" spans="2:33" x14ac:dyDescent="0.45">
      <c r="B391" s="4">
        <v>390</v>
      </c>
      <c r="C391" s="4" t="s">
        <v>39</v>
      </c>
      <c r="D391" s="4" t="s">
        <v>23</v>
      </c>
      <c r="E391" s="4" t="s">
        <v>35</v>
      </c>
      <c r="F391" s="4" t="s">
        <v>18</v>
      </c>
      <c r="G391" s="4" t="s">
        <v>19</v>
      </c>
      <c r="H391" s="4" t="s">
        <v>34</v>
      </c>
      <c r="I391" s="4">
        <v>0</v>
      </c>
      <c r="J391" s="5">
        <v>14.2</v>
      </c>
      <c r="K391" s="6">
        <v>0.68</v>
      </c>
      <c r="L391" s="4">
        <v>4</v>
      </c>
      <c r="M391" s="4">
        <v>97</v>
      </c>
      <c r="N391" s="4">
        <v>73</v>
      </c>
      <c r="O391" s="4" t="s">
        <v>26</v>
      </c>
      <c r="P391" s="7" t="s">
        <v>19</v>
      </c>
      <c r="S391">
        <v>842</v>
      </c>
      <c r="T391" t="str">
        <v>Nampula</v>
      </c>
      <c r="U391" t="str">
        <v>Masculino</v>
      </c>
      <c r="V391" t="str">
        <v>Viuvo(a)</v>
      </c>
      <c r="W391" t="str">
        <v>Primaria</v>
      </c>
      <c r="X391" t="str">
        <v>Nao</v>
      </c>
      <c r="Y391" t="str">
        <v>Hipertensao</v>
      </c>
      <c r="Z391">
        <v>31</v>
      </c>
      <c r="AA391">
        <v>81.3</v>
      </c>
      <c r="AB391">
        <v>1.88</v>
      </c>
      <c r="AC391">
        <v>8</v>
      </c>
      <c r="AD391">
        <v>140</v>
      </c>
      <c r="AE391">
        <v>89</v>
      </c>
      <c r="AF391" t="str">
        <v>Urbana</v>
      </c>
      <c r="AG391" t="str">
        <v>Sim</v>
      </c>
    </row>
    <row r="392" spans="2:33" x14ac:dyDescent="0.45">
      <c r="B392" s="4">
        <v>391</v>
      </c>
      <c r="C392" s="4" t="s">
        <v>29</v>
      </c>
      <c r="D392" s="4" t="s">
        <v>16</v>
      </c>
      <c r="E392" s="4" t="s">
        <v>35</v>
      </c>
      <c r="F392" s="4" t="s">
        <v>24</v>
      </c>
      <c r="G392" s="4" t="s">
        <v>19</v>
      </c>
      <c r="H392" s="4" t="s">
        <v>32</v>
      </c>
      <c r="I392" s="4">
        <v>4</v>
      </c>
      <c r="J392" s="5">
        <v>11.9</v>
      </c>
      <c r="K392" s="6">
        <v>1</v>
      </c>
      <c r="L392" s="4">
        <v>2</v>
      </c>
      <c r="M392" s="4">
        <v>110</v>
      </c>
      <c r="N392" s="4">
        <v>151</v>
      </c>
      <c r="O392" s="4" t="s">
        <v>26</v>
      </c>
      <c r="P392" s="7" t="s">
        <v>19</v>
      </c>
      <c r="S392">
        <v>849</v>
      </c>
      <c r="T392" t="str">
        <v>Maputo Cidade</v>
      </c>
      <c r="U392" t="str">
        <v>Masculino</v>
      </c>
      <c r="V392" t="str">
        <v>Solteiro(a)</v>
      </c>
      <c r="W392" t="str">
        <v>Nenhuma</v>
      </c>
      <c r="X392" t="str">
        <v>Nao</v>
      </c>
      <c r="Y392" t="str">
        <v>Nenhuma</v>
      </c>
      <c r="Z392">
        <v>7</v>
      </c>
      <c r="AA392">
        <v>37.799999999999997</v>
      </c>
      <c r="AB392">
        <v>1.37</v>
      </c>
      <c r="AC392">
        <v>8</v>
      </c>
      <c r="AD392">
        <v>105</v>
      </c>
      <c r="AE392">
        <v>99</v>
      </c>
      <c r="AF392" t="str">
        <v>Rural</v>
      </c>
      <c r="AG392" t="str">
        <v>Nao</v>
      </c>
    </row>
    <row r="393" spans="2:33" x14ac:dyDescent="0.45">
      <c r="B393" s="4">
        <v>392</v>
      </c>
      <c r="C393" s="4" t="s">
        <v>15</v>
      </c>
      <c r="D393" s="4" t="s">
        <v>16</v>
      </c>
      <c r="E393" s="4" t="s">
        <v>44</v>
      </c>
      <c r="F393" s="4" t="s">
        <v>24</v>
      </c>
      <c r="G393" s="4" t="s">
        <v>19</v>
      </c>
      <c r="H393" s="4" t="s">
        <v>28</v>
      </c>
      <c r="I393" s="4">
        <v>51</v>
      </c>
      <c r="J393" s="5">
        <v>79.400000000000006</v>
      </c>
      <c r="K393" s="6">
        <v>1.69</v>
      </c>
      <c r="L393" s="4">
        <v>1</v>
      </c>
      <c r="M393" s="4">
        <v>106</v>
      </c>
      <c r="N393" s="4">
        <v>84</v>
      </c>
      <c r="O393" s="4" t="s">
        <v>26</v>
      </c>
      <c r="P393" s="7" t="s">
        <v>19</v>
      </c>
      <c r="S393">
        <v>854</v>
      </c>
      <c r="T393" t="str">
        <v>Sofala</v>
      </c>
      <c r="U393" t="str">
        <v>Masculino</v>
      </c>
      <c r="V393" t="str">
        <v>Solteiro(a)</v>
      </c>
      <c r="W393" t="str">
        <v>Secundaria</v>
      </c>
      <c r="X393" t="str">
        <v>Nao</v>
      </c>
      <c r="Y393" t="str">
        <v>Nenhuma</v>
      </c>
      <c r="Z393">
        <v>7</v>
      </c>
      <c r="AA393">
        <v>18.8</v>
      </c>
      <c r="AB393">
        <v>1.19</v>
      </c>
      <c r="AC393">
        <v>6</v>
      </c>
      <c r="AD393">
        <v>121</v>
      </c>
      <c r="AE393">
        <v>101</v>
      </c>
      <c r="AF393" t="str">
        <v>Urbana</v>
      </c>
      <c r="AG393" t="str">
        <v>Sim</v>
      </c>
    </row>
    <row r="394" spans="2:33" x14ac:dyDescent="0.45">
      <c r="B394" s="4">
        <v>393</v>
      </c>
      <c r="C394" s="4" t="s">
        <v>39</v>
      </c>
      <c r="D394" s="4" t="s">
        <v>16</v>
      </c>
      <c r="E394" s="4" t="s">
        <v>17</v>
      </c>
      <c r="F394" s="4" t="s">
        <v>24</v>
      </c>
      <c r="G394" s="4" t="s">
        <v>19</v>
      </c>
      <c r="H394" s="4" t="s">
        <v>20</v>
      </c>
      <c r="I394" s="4">
        <v>34</v>
      </c>
      <c r="J394" s="5">
        <v>48.9</v>
      </c>
      <c r="K394" s="6">
        <v>1.68</v>
      </c>
      <c r="L394" s="4">
        <v>1</v>
      </c>
      <c r="M394" s="4">
        <v>109</v>
      </c>
      <c r="N394" s="4">
        <v>94</v>
      </c>
      <c r="O394" s="4" t="s">
        <v>26</v>
      </c>
      <c r="P394" s="7" t="s">
        <v>30</v>
      </c>
      <c r="S394">
        <v>855</v>
      </c>
      <c r="T394" t="str">
        <v>Niassa</v>
      </c>
      <c r="U394" t="str">
        <v>Masculino</v>
      </c>
      <c r="V394" t="str">
        <v>Casado(a)</v>
      </c>
      <c r="W394" t="str">
        <v>Nenhuma</v>
      </c>
      <c r="X394" t="str">
        <v>Sim</v>
      </c>
      <c r="Y394" t="str">
        <v>Nenhuma</v>
      </c>
      <c r="Z394">
        <v>7</v>
      </c>
      <c r="AA394">
        <v>19.3</v>
      </c>
      <c r="AB394">
        <v>1.1599999999999999</v>
      </c>
      <c r="AC394">
        <v>4</v>
      </c>
      <c r="AD394">
        <v>108</v>
      </c>
      <c r="AE394">
        <v>72</v>
      </c>
      <c r="AF394" t="str">
        <v>Urbana</v>
      </c>
      <c r="AG394" t="str">
        <v>Nao</v>
      </c>
    </row>
    <row r="395" spans="2:33" x14ac:dyDescent="0.45">
      <c r="B395" s="4">
        <v>394</v>
      </c>
      <c r="C395" s="4" t="s">
        <v>33</v>
      </c>
      <c r="D395" s="4" t="s">
        <v>16</v>
      </c>
      <c r="E395" s="4" t="s">
        <v>35</v>
      </c>
      <c r="F395" s="4" t="s">
        <v>24</v>
      </c>
      <c r="G395" s="4" t="s">
        <v>19</v>
      </c>
      <c r="H395" s="4" t="s">
        <v>38</v>
      </c>
      <c r="I395" s="4">
        <v>65</v>
      </c>
      <c r="J395" s="5">
        <v>93.7</v>
      </c>
      <c r="K395" s="6">
        <v>1.77</v>
      </c>
      <c r="L395" s="4">
        <v>2</v>
      </c>
      <c r="M395" s="4">
        <v>117</v>
      </c>
      <c r="N395" s="4">
        <v>82</v>
      </c>
      <c r="O395" s="4" t="s">
        <v>21</v>
      </c>
      <c r="P395" s="7" t="s">
        <v>19</v>
      </c>
      <c r="S395">
        <v>864</v>
      </c>
      <c r="T395" t="str">
        <v>Gaza</v>
      </c>
      <c r="U395" t="str">
        <v>Masculino</v>
      </c>
      <c r="V395" t="str">
        <v>Casado(a)</v>
      </c>
      <c r="W395" t="str">
        <v>Primaria</v>
      </c>
      <c r="X395" t="str">
        <v>Nao</v>
      </c>
      <c r="Y395" t="str">
        <v>HIV/SIDA</v>
      </c>
      <c r="Z395">
        <v>58</v>
      </c>
      <c r="AA395">
        <v>55.7</v>
      </c>
      <c r="AB395">
        <v>1.54</v>
      </c>
      <c r="AC395">
        <v>8</v>
      </c>
      <c r="AD395">
        <v>130</v>
      </c>
      <c r="AE395">
        <v>87</v>
      </c>
      <c r="AF395" t="str">
        <v>Urbana</v>
      </c>
      <c r="AG395" t="str">
        <v>Nao</v>
      </c>
    </row>
    <row r="396" spans="2:33" x14ac:dyDescent="0.45">
      <c r="B396" s="4">
        <v>395</v>
      </c>
      <c r="C396" s="4" t="s">
        <v>27</v>
      </c>
      <c r="D396" s="4" t="s">
        <v>16</v>
      </c>
      <c r="E396" s="4" t="s">
        <v>37</v>
      </c>
      <c r="F396" s="4" t="s">
        <v>24</v>
      </c>
      <c r="G396" s="4" t="s">
        <v>19</v>
      </c>
      <c r="H396" s="4" t="s">
        <v>28</v>
      </c>
      <c r="I396" s="4">
        <v>17</v>
      </c>
      <c r="J396" s="5">
        <v>53.3</v>
      </c>
      <c r="K396" s="6">
        <v>1.47</v>
      </c>
      <c r="L396" s="4">
        <v>8</v>
      </c>
      <c r="M396" s="4">
        <v>116</v>
      </c>
      <c r="N396" s="4">
        <v>94</v>
      </c>
      <c r="O396" s="4" t="s">
        <v>26</v>
      </c>
      <c r="P396" s="7" t="s">
        <v>19</v>
      </c>
      <c r="S396">
        <v>865</v>
      </c>
      <c r="T396" t="str">
        <v>Inhambane</v>
      </c>
      <c r="U396" t="str">
        <v>Masculino</v>
      </c>
      <c r="V396" t="str">
        <v>Divorciado(a)</v>
      </c>
      <c r="W396" t="str">
        <v>Primaria</v>
      </c>
      <c r="X396" t="str">
        <v>Nao</v>
      </c>
      <c r="Y396" t="str">
        <v>Malaria</v>
      </c>
      <c r="Z396">
        <v>17</v>
      </c>
      <c r="AA396">
        <v>45.5</v>
      </c>
      <c r="AB396">
        <v>1.7</v>
      </c>
      <c r="AC396">
        <v>4</v>
      </c>
      <c r="AD396">
        <v>99</v>
      </c>
      <c r="AE396">
        <v>96</v>
      </c>
      <c r="AF396" t="str">
        <v>Rural</v>
      </c>
      <c r="AG396" t="str">
        <v>Nao</v>
      </c>
    </row>
    <row r="397" spans="2:33" x14ac:dyDescent="0.45">
      <c r="B397" s="4">
        <v>396</v>
      </c>
      <c r="C397" s="4" t="s">
        <v>45</v>
      </c>
      <c r="D397" s="4" t="s">
        <v>16</v>
      </c>
      <c r="E397" s="4" t="s">
        <v>35</v>
      </c>
      <c r="F397" s="4" t="s">
        <v>28</v>
      </c>
      <c r="G397" s="4" t="s">
        <v>19</v>
      </c>
      <c r="H397" s="4" t="s">
        <v>20</v>
      </c>
      <c r="I397" s="4">
        <v>56</v>
      </c>
      <c r="J397" s="5">
        <v>87.7</v>
      </c>
      <c r="K397" s="6">
        <v>1.55</v>
      </c>
      <c r="L397" s="4">
        <v>2</v>
      </c>
      <c r="M397" s="4">
        <v>126</v>
      </c>
      <c r="N397" s="4">
        <v>91</v>
      </c>
      <c r="O397" s="4" t="s">
        <v>21</v>
      </c>
      <c r="P397" s="7" t="s">
        <v>19</v>
      </c>
      <c r="S397">
        <v>870</v>
      </c>
      <c r="T397" t="str">
        <v>Inhambane</v>
      </c>
      <c r="U397" t="str">
        <v>Masculino</v>
      </c>
      <c r="V397" t="str">
        <v>Casado(a)</v>
      </c>
      <c r="W397" t="str">
        <v>Primaria</v>
      </c>
      <c r="X397" t="str">
        <v>Sim</v>
      </c>
      <c r="Y397" t="str">
        <v>Nenhuma</v>
      </c>
      <c r="Z397">
        <v>12</v>
      </c>
      <c r="AA397">
        <v>53.9</v>
      </c>
      <c r="AB397">
        <v>1.47</v>
      </c>
      <c r="AC397">
        <v>4</v>
      </c>
      <c r="AD397">
        <v>98</v>
      </c>
      <c r="AE397">
        <v>96</v>
      </c>
      <c r="AF397" t="str">
        <v>Urbana</v>
      </c>
      <c r="AG397" t="str">
        <v>Nao</v>
      </c>
    </row>
    <row r="398" spans="2:33" x14ac:dyDescent="0.45">
      <c r="B398" s="4">
        <v>397</v>
      </c>
      <c r="C398" s="4" t="s">
        <v>22</v>
      </c>
      <c r="D398" s="4" t="s">
        <v>23</v>
      </c>
      <c r="E398" s="4" t="s">
        <v>35</v>
      </c>
      <c r="F398" s="4" t="s">
        <v>18</v>
      </c>
      <c r="G398" s="4" t="s">
        <v>30</v>
      </c>
      <c r="H398" s="4" t="s">
        <v>20</v>
      </c>
      <c r="I398" s="4">
        <v>3</v>
      </c>
      <c r="J398" s="5">
        <v>9.8000000000000007</v>
      </c>
      <c r="K398" s="6">
        <v>0.61</v>
      </c>
      <c r="L398" s="4">
        <v>0</v>
      </c>
      <c r="M398" s="4">
        <v>103</v>
      </c>
      <c r="N398" s="4">
        <v>75</v>
      </c>
      <c r="O398" s="4" t="s">
        <v>21</v>
      </c>
      <c r="P398" s="7" t="s">
        <v>19</v>
      </c>
      <c r="S398">
        <v>872</v>
      </c>
      <c r="T398" t="str">
        <v>Tete</v>
      </c>
      <c r="U398" t="str">
        <v>Masculino</v>
      </c>
      <c r="V398" t="str">
        <v>Viuvo(a)</v>
      </c>
      <c r="W398" t="str">
        <v>Secundaria</v>
      </c>
      <c r="X398" t="str">
        <v>Nao</v>
      </c>
      <c r="Y398" t="str">
        <v>Nenhuma</v>
      </c>
      <c r="Z398">
        <v>4</v>
      </c>
      <c r="AA398">
        <v>6.1</v>
      </c>
      <c r="AB398">
        <v>0.95</v>
      </c>
      <c r="AC398">
        <v>1</v>
      </c>
      <c r="AD398">
        <v>120</v>
      </c>
      <c r="AE398">
        <v>97</v>
      </c>
      <c r="AF398" t="str">
        <v>Rural</v>
      </c>
      <c r="AG398" t="str">
        <v>Sim</v>
      </c>
    </row>
    <row r="399" spans="2:33" x14ac:dyDescent="0.45">
      <c r="B399" s="4">
        <v>398</v>
      </c>
      <c r="C399" s="4" t="s">
        <v>27</v>
      </c>
      <c r="D399" s="4" t="s">
        <v>16</v>
      </c>
      <c r="E399" s="4" t="s">
        <v>17</v>
      </c>
      <c r="F399" s="4" t="s">
        <v>28</v>
      </c>
      <c r="G399" s="4" t="s">
        <v>19</v>
      </c>
      <c r="H399" s="4" t="s">
        <v>28</v>
      </c>
      <c r="I399" s="4">
        <v>11</v>
      </c>
      <c r="J399" s="5">
        <v>35.799999999999997</v>
      </c>
      <c r="K399" s="6">
        <v>1.1100000000000001</v>
      </c>
      <c r="L399" s="4">
        <v>3</v>
      </c>
      <c r="M399" s="4">
        <v>99</v>
      </c>
      <c r="N399" s="4">
        <v>93</v>
      </c>
      <c r="O399" s="4" t="s">
        <v>26</v>
      </c>
      <c r="P399" s="7" t="s">
        <v>19</v>
      </c>
      <c r="S399">
        <v>873</v>
      </c>
      <c r="T399" t="str">
        <v>Niassa</v>
      </c>
      <c r="U399" t="str">
        <v>Masculino</v>
      </c>
      <c r="V399" t="str">
        <v>Solteiro(a)</v>
      </c>
      <c r="W399" t="str">
        <v>Superior</v>
      </c>
      <c r="X399" t="str">
        <v>Nao</v>
      </c>
      <c r="Y399" t="str">
        <v>HIV/SIDA</v>
      </c>
      <c r="Z399">
        <v>38</v>
      </c>
      <c r="AA399">
        <v>74.400000000000006</v>
      </c>
      <c r="AB399">
        <v>1.54</v>
      </c>
      <c r="AC399">
        <v>9</v>
      </c>
      <c r="AD399">
        <v>113</v>
      </c>
      <c r="AE399">
        <v>100</v>
      </c>
      <c r="AF399" t="str">
        <v>Urbana</v>
      </c>
      <c r="AG399" t="str">
        <v>Nao</v>
      </c>
    </row>
    <row r="400" spans="2:33" x14ac:dyDescent="0.45">
      <c r="B400" s="4">
        <v>399</v>
      </c>
      <c r="C400" s="4" t="s">
        <v>31</v>
      </c>
      <c r="D400" s="4" t="s">
        <v>23</v>
      </c>
      <c r="E400" s="4" t="s">
        <v>37</v>
      </c>
      <c r="F400" s="4" t="s">
        <v>24</v>
      </c>
      <c r="G400" s="4" t="s">
        <v>30</v>
      </c>
      <c r="H400" s="4" t="s">
        <v>28</v>
      </c>
      <c r="I400" s="4">
        <v>17</v>
      </c>
      <c r="J400" s="5">
        <v>54.1</v>
      </c>
      <c r="K400" s="6">
        <v>1.64</v>
      </c>
      <c r="L400" s="4">
        <v>6</v>
      </c>
      <c r="M400" s="4">
        <v>118</v>
      </c>
      <c r="N400" s="4">
        <v>87</v>
      </c>
      <c r="O400" s="4" t="s">
        <v>21</v>
      </c>
      <c r="P400" s="7" t="s">
        <v>19</v>
      </c>
      <c r="S400">
        <v>874</v>
      </c>
      <c r="T400" t="str">
        <v>Zambezia</v>
      </c>
      <c r="U400" t="str">
        <v>Masculino</v>
      </c>
      <c r="V400" t="str">
        <v>Viuvo(a)</v>
      </c>
      <c r="W400" t="str">
        <v>Nenhuma</v>
      </c>
      <c r="X400" t="str">
        <v>Nao</v>
      </c>
      <c r="Y400" t="str">
        <v>Nenhuma</v>
      </c>
      <c r="Z400">
        <v>28</v>
      </c>
      <c r="AA400">
        <v>58.8</v>
      </c>
      <c r="AB400">
        <v>1.84</v>
      </c>
      <c r="AC400">
        <v>0</v>
      </c>
      <c r="AD400">
        <v>113</v>
      </c>
      <c r="AE400">
        <v>86</v>
      </c>
      <c r="AF400" t="str">
        <v>Rural</v>
      </c>
      <c r="AG400" t="str">
        <v>Nao</v>
      </c>
    </row>
    <row r="401" spans="2:33" x14ac:dyDescent="0.45">
      <c r="B401" s="4">
        <v>400</v>
      </c>
      <c r="C401" s="4" t="s">
        <v>33</v>
      </c>
      <c r="D401" s="4" t="s">
        <v>16</v>
      </c>
      <c r="E401" s="4" t="s">
        <v>17</v>
      </c>
      <c r="F401" s="4" t="s">
        <v>28</v>
      </c>
      <c r="G401" s="4" t="s">
        <v>19</v>
      </c>
      <c r="H401" s="4" t="s">
        <v>20</v>
      </c>
      <c r="I401" s="4">
        <v>31</v>
      </c>
      <c r="J401" s="5">
        <v>63.1</v>
      </c>
      <c r="K401" s="6">
        <v>1.73</v>
      </c>
      <c r="L401" s="4">
        <v>6</v>
      </c>
      <c r="M401" s="4">
        <v>114</v>
      </c>
      <c r="N401" s="4">
        <v>72</v>
      </c>
      <c r="O401" s="4" t="s">
        <v>26</v>
      </c>
      <c r="P401" s="7" t="s">
        <v>19</v>
      </c>
      <c r="S401">
        <v>875</v>
      </c>
      <c r="T401" t="str">
        <v>Niassa</v>
      </c>
      <c r="U401" t="str">
        <v>Masculino</v>
      </c>
      <c r="V401" t="str">
        <v>Solteiro(a)</v>
      </c>
      <c r="W401" t="str">
        <v>Primaria</v>
      </c>
      <c r="X401" t="str">
        <v>Nao</v>
      </c>
      <c r="Y401" t="str">
        <v>Hipertensao</v>
      </c>
      <c r="Z401">
        <v>61</v>
      </c>
      <c r="AA401">
        <v>58.9</v>
      </c>
      <c r="AB401">
        <v>1.55</v>
      </c>
      <c r="AC401">
        <v>2</v>
      </c>
      <c r="AD401">
        <v>148</v>
      </c>
      <c r="AE401">
        <v>90</v>
      </c>
      <c r="AF401" t="str">
        <v>Rural</v>
      </c>
      <c r="AG401" t="str">
        <v>Nao</v>
      </c>
    </row>
    <row r="402" spans="2:33" x14ac:dyDescent="0.45">
      <c r="B402" s="4">
        <v>401</v>
      </c>
      <c r="C402" s="4" t="s">
        <v>33</v>
      </c>
      <c r="D402" s="4" t="s">
        <v>23</v>
      </c>
      <c r="E402" s="4" t="s">
        <v>35</v>
      </c>
      <c r="F402" s="4" t="s">
        <v>28</v>
      </c>
      <c r="G402" s="4" t="s">
        <v>30</v>
      </c>
      <c r="H402" s="4" t="s">
        <v>20</v>
      </c>
      <c r="I402" s="4">
        <v>22</v>
      </c>
      <c r="J402" s="5">
        <v>46.7</v>
      </c>
      <c r="K402" s="6">
        <v>1.83</v>
      </c>
      <c r="L402" s="4">
        <v>7</v>
      </c>
      <c r="M402" s="4">
        <v>98</v>
      </c>
      <c r="N402" s="4">
        <v>96</v>
      </c>
      <c r="O402" s="4" t="s">
        <v>21</v>
      </c>
      <c r="P402" s="7" t="s">
        <v>19</v>
      </c>
      <c r="S402">
        <v>876</v>
      </c>
      <c r="T402" t="str">
        <v>Zambezia</v>
      </c>
      <c r="U402" t="str">
        <v>Masculino</v>
      </c>
      <c r="V402" t="str">
        <v>Solteiro(a)</v>
      </c>
      <c r="W402" t="str">
        <v>Superior</v>
      </c>
      <c r="X402" t="str">
        <v>Nao</v>
      </c>
      <c r="Y402" t="str">
        <v>Nenhuma</v>
      </c>
      <c r="Z402">
        <v>57</v>
      </c>
      <c r="AA402">
        <v>46.9</v>
      </c>
      <c r="AB402">
        <v>1.49</v>
      </c>
      <c r="AC402">
        <v>3</v>
      </c>
      <c r="AD402">
        <v>124</v>
      </c>
      <c r="AE402">
        <v>82</v>
      </c>
      <c r="AF402" t="str">
        <v>Rural</v>
      </c>
      <c r="AG402" t="str">
        <v>Sim</v>
      </c>
    </row>
    <row r="403" spans="2:33" x14ac:dyDescent="0.45">
      <c r="B403" s="4">
        <v>402</v>
      </c>
      <c r="C403" s="4" t="s">
        <v>27</v>
      </c>
      <c r="D403" s="4" t="s">
        <v>16</v>
      </c>
      <c r="E403" s="4" t="s">
        <v>17</v>
      </c>
      <c r="F403" s="4" t="s">
        <v>24</v>
      </c>
      <c r="G403" s="4" t="s">
        <v>19</v>
      </c>
      <c r="H403" s="4" t="s">
        <v>28</v>
      </c>
      <c r="I403" s="4">
        <v>69</v>
      </c>
      <c r="J403" s="5">
        <v>81.8</v>
      </c>
      <c r="K403" s="6">
        <v>1.72</v>
      </c>
      <c r="L403" s="4">
        <v>8</v>
      </c>
      <c r="M403" s="4">
        <v>128</v>
      </c>
      <c r="N403" s="4">
        <v>74</v>
      </c>
      <c r="O403" s="4" t="s">
        <v>21</v>
      </c>
      <c r="P403" s="7" t="s">
        <v>19</v>
      </c>
      <c r="S403">
        <v>877</v>
      </c>
      <c r="T403" t="str">
        <v>Inhambane</v>
      </c>
      <c r="U403" t="str">
        <v>Masculino</v>
      </c>
      <c r="V403" t="str">
        <v>Solteiro(a)</v>
      </c>
      <c r="W403" t="str">
        <v>Primaria</v>
      </c>
      <c r="X403" t="str">
        <v>Nao</v>
      </c>
      <c r="Y403" t="str">
        <v>Pneumonia</v>
      </c>
      <c r="Z403">
        <v>29</v>
      </c>
      <c r="AA403">
        <v>78.3</v>
      </c>
      <c r="AB403">
        <v>1.6</v>
      </c>
      <c r="AC403">
        <v>3</v>
      </c>
      <c r="AD403">
        <v>100</v>
      </c>
      <c r="AE403">
        <v>102</v>
      </c>
      <c r="AF403" t="str">
        <v>Rural</v>
      </c>
      <c r="AG403" t="str">
        <v>Nao</v>
      </c>
    </row>
    <row r="404" spans="2:33" x14ac:dyDescent="0.45">
      <c r="B404" s="4">
        <v>403</v>
      </c>
      <c r="C404" s="4" t="s">
        <v>40</v>
      </c>
      <c r="D404" s="4" t="s">
        <v>16</v>
      </c>
      <c r="E404" s="4" t="s">
        <v>17</v>
      </c>
      <c r="F404" s="4" t="s">
        <v>18</v>
      </c>
      <c r="G404" s="4" t="s">
        <v>19</v>
      </c>
      <c r="H404" s="4" t="s">
        <v>20</v>
      </c>
      <c r="I404" s="4">
        <v>2</v>
      </c>
      <c r="J404" s="5">
        <v>15.9</v>
      </c>
      <c r="K404" s="6">
        <v>0.93</v>
      </c>
      <c r="L404" s="4">
        <v>9</v>
      </c>
      <c r="M404" s="4">
        <v>112</v>
      </c>
      <c r="N404" s="4">
        <v>80</v>
      </c>
      <c r="O404" s="4" t="s">
        <v>26</v>
      </c>
      <c r="P404" s="7" t="s">
        <v>19</v>
      </c>
      <c r="S404">
        <v>878</v>
      </c>
      <c r="T404" t="str">
        <v>Maputo Cidade</v>
      </c>
      <c r="U404" t="str">
        <v>Masculino</v>
      </c>
      <c r="V404" t="str">
        <v>Casado(a)</v>
      </c>
      <c r="W404" t="str">
        <v>Nenhuma</v>
      </c>
      <c r="X404" t="str">
        <v>Nao</v>
      </c>
      <c r="Y404" t="str">
        <v>Hipertensao</v>
      </c>
      <c r="Z404">
        <v>17</v>
      </c>
      <c r="AA404">
        <v>53.6</v>
      </c>
      <c r="AB404">
        <v>1.74</v>
      </c>
      <c r="AC404">
        <v>2</v>
      </c>
      <c r="AD404">
        <v>119</v>
      </c>
      <c r="AE404">
        <v>71</v>
      </c>
      <c r="AF404" t="str">
        <v>Urbana</v>
      </c>
      <c r="AG404" t="str">
        <v>Nao</v>
      </c>
    </row>
    <row r="405" spans="2:33" x14ac:dyDescent="0.45">
      <c r="B405" s="4">
        <v>404</v>
      </c>
      <c r="C405" s="4" t="s">
        <v>29</v>
      </c>
      <c r="D405" s="4" t="s">
        <v>23</v>
      </c>
      <c r="E405" s="4" t="s">
        <v>17</v>
      </c>
      <c r="F405" s="4" t="s">
        <v>24</v>
      </c>
      <c r="G405" s="4" t="s">
        <v>19</v>
      </c>
      <c r="H405" s="4" t="s">
        <v>34</v>
      </c>
      <c r="I405" s="4">
        <v>17</v>
      </c>
      <c r="J405" s="5">
        <v>38</v>
      </c>
      <c r="K405" s="6">
        <v>1.58</v>
      </c>
      <c r="L405" s="4">
        <v>1</v>
      </c>
      <c r="M405" s="4">
        <v>113</v>
      </c>
      <c r="N405" s="4">
        <v>82</v>
      </c>
      <c r="O405" s="4" t="s">
        <v>26</v>
      </c>
      <c r="P405" s="7" t="s">
        <v>30</v>
      </c>
      <c r="S405">
        <v>879</v>
      </c>
      <c r="T405" t="str">
        <v>Maputo Provincia</v>
      </c>
      <c r="U405" t="str">
        <v>Masculino</v>
      </c>
      <c r="V405" t="str">
        <v>Viuvo(a)</v>
      </c>
      <c r="W405" t="str">
        <v>Secundaria</v>
      </c>
      <c r="X405" t="str">
        <v>Sim</v>
      </c>
      <c r="Y405" t="str">
        <v>Nenhuma</v>
      </c>
      <c r="Z405">
        <v>0</v>
      </c>
      <c r="AA405">
        <v>12.7</v>
      </c>
      <c r="AB405">
        <v>0.61</v>
      </c>
      <c r="AC405">
        <v>0</v>
      </c>
      <c r="AD405">
        <v>113</v>
      </c>
      <c r="AE405">
        <v>78</v>
      </c>
      <c r="AF405" t="str">
        <v>Rural</v>
      </c>
      <c r="AG405" t="str">
        <v>Nao</v>
      </c>
    </row>
    <row r="406" spans="2:33" x14ac:dyDescent="0.45">
      <c r="B406" s="4">
        <v>405</v>
      </c>
      <c r="C406" s="4" t="s">
        <v>33</v>
      </c>
      <c r="D406" s="4" t="s">
        <v>23</v>
      </c>
      <c r="E406" s="4" t="s">
        <v>17</v>
      </c>
      <c r="F406" s="4" t="s">
        <v>28</v>
      </c>
      <c r="G406" s="4" t="s">
        <v>19</v>
      </c>
      <c r="H406" s="4" t="s">
        <v>38</v>
      </c>
      <c r="I406" s="4">
        <v>14</v>
      </c>
      <c r="J406" s="5">
        <v>41.2</v>
      </c>
      <c r="K406" s="6">
        <v>1.63</v>
      </c>
      <c r="L406" s="4">
        <v>3</v>
      </c>
      <c r="M406" s="4">
        <v>99</v>
      </c>
      <c r="N406" s="4">
        <v>105</v>
      </c>
      <c r="O406" s="4" t="s">
        <v>26</v>
      </c>
      <c r="P406" s="7" t="s">
        <v>19</v>
      </c>
      <c r="S406">
        <v>881</v>
      </c>
      <c r="T406" t="str">
        <v>Sofala</v>
      </c>
      <c r="U406" t="str">
        <v>Masculino</v>
      </c>
      <c r="V406" t="str">
        <v>Casado(a)</v>
      </c>
      <c r="W406" t="str">
        <v>Primaria</v>
      </c>
      <c r="X406" t="str">
        <v>Nao</v>
      </c>
      <c r="Y406" t="str">
        <v>Hipertensao</v>
      </c>
      <c r="Z406">
        <v>30</v>
      </c>
      <c r="AA406">
        <v>48.2</v>
      </c>
      <c r="AB406">
        <v>1.79</v>
      </c>
      <c r="AC406">
        <v>7</v>
      </c>
      <c r="AD406">
        <v>143</v>
      </c>
      <c r="AE406">
        <v>96</v>
      </c>
      <c r="AF406" t="str">
        <v>Urbana</v>
      </c>
      <c r="AG406" t="str">
        <v>Sim</v>
      </c>
    </row>
    <row r="407" spans="2:33" x14ac:dyDescent="0.45">
      <c r="B407" s="4">
        <v>406</v>
      </c>
      <c r="C407" s="4" t="s">
        <v>41</v>
      </c>
      <c r="D407" s="4" t="s">
        <v>16</v>
      </c>
      <c r="E407" s="4" t="s">
        <v>35</v>
      </c>
      <c r="F407" s="4" t="s">
        <v>18</v>
      </c>
      <c r="G407" s="4" t="s">
        <v>19</v>
      </c>
      <c r="H407" s="4" t="s">
        <v>20</v>
      </c>
      <c r="I407" s="4">
        <v>73</v>
      </c>
      <c r="J407" s="5">
        <v>70</v>
      </c>
      <c r="K407" s="6">
        <v>1.7</v>
      </c>
      <c r="L407" s="4">
        <v>5</v>
      </c>
      <c r="M407" s="4">
        <v>114</v>
      </c>
      <c r="N407" s="4">
        <v>80</v>
      </c>
      <c r="O407" s="4" t="s">
        <v>21</v>
      </c>
      <c r="P407" s="7" t="s">
        <v>19</v>
      </c>
      <c r="S407">
        <v>883</v>
      </c>
      <c r="T407" t="str">
        <v>Zambezia</v>
      </c>
      <c r="U407" t="str">
        <v>Masculino</v>
      </c>
      <c r="V407" t="str">
        <v>Viuvo(a)</v>
      </c>
      <c r="W407" t="str">
        <v>Primaria</v>
      </c>
      <c r="X407" t="str">
        <v>Nao</v>
      </c>
      <c r="Y407" t="str">
        <v>Malaria</v>
      </c>
      <c r="Z407">
        <v>16</v>
      </c>
      <c r="AA407">
        <v>64.900000000000006</v>
      </c>
      <c r="AB407">
        <v>1.75</v>
      </c>
      <c r="AC407">
        <v>1</v>
      </c>
      <c r="AD407">
        <v>116</v>
      </c>
      <c r="AE407">
        <v>98</v>
      </c>
      <c r="AF407" t="str">
        <v>Urbana</v>
      </c>
      <c r="AG407" t="str">
        <v>Sim</v>
      </c>
    </row>
    <row r="408" spans="2:33" x14ac:dyDescent="0.45">
      <c r="B408" s="4">
        <v>407</v>
      </c>
      <c r="C408" s="4" t="s">
        <v>27</v>
      </c>
      <c r="D408" s="4" t="s">
        <v>23</v>
      </c>
      <c r="E408" s="4" t="s">
        <v>35</v>
      </c>
      <c r="F408" s="4" t="s">
        <v>24</v>
      </c>
      <c r="G408" s="4" t="s">
        <v>19</v>
      </c>
      <c r="H408" s="4" t="s">
        <v>36</v>
      </c>
      <c r="I408" s="4">
        <v>36</v>
      </c>
      <c r="J408" s="5">
        <v>82</v>
      </c>
      <c r="K408" s="6">
        <v>1.83</v>
      </c>
      <c r="L408" s="4">
        <v>3</v>
      </c>
      <c r="M408" s="4">
        <v>119</v>
      </c>
      <c r="N408" s="4">
        <v>86</v>
      </c>
      <c r="O408" s="4" t="s">
        <v>21</v>
      </c>
      <c r="P408" s="7" t="s">
        <v>19</v>
      </c>
      <c r="S408">
        <v>889</v>
      </c>
      <c r="T408" t="str">
        <v>Zambezia</v>
      </c>
      <c r="U408" t="str">
        <v>Masculino</v>
      </c>
      <c r="V408" t="str">
        <v>Solteiro(a)</v>
      </c>
      <c r="W408" t="str">
        <v>Primaria</v>
      </c>
      <c r="X408" t="str">
        <v>Nao</v>
      </c>
      <c r="Y408" t="str">
        <v>Malaria</v>
      </c>
      <c r="Z408">
        <v>26</v>
      </c>
      <c r="AA408">
        <v>58.2</v>
      </c>
      <c r="AB408">
        <v>1.79</v>
      </c>
      <c r="AC408">
        <v>3</v>
      </c>
      <c r="AD408">
        <v>122</v>
      </c>
      <c r="AE408">
        <v>99</v>
      </c>
      <c r="AF408" t="str">
        <v>Rural</v>
      </c>
      <c r="AG408" t="str">
        <v>Nao</v>
      </c>
    </row>
    <row r="409" spans="2:33" x14ac:dyDescent="0.45">
      <c r="B409" s="4">
        <v>408</v>
      </c>
      <c r="C409" s="4" t="s">
        <v>45</v>
      </c>
      <c r="D409" s="4" t="s">
        <v>16</v>
      </c>
      <c r="E409" s="4" t="s">
        <v>35</v>
      </c>
      <c r="F409" s="4" t="s">
        <v>28</v>
      </c>
      <c r="G409" s="4" t="s">
        <v>19</v>
      </c>
      <c r="H409" s="4" t="s">
        <v>20</v>
      </c>
      <c r="I409" s="4">
        <v>22</v>
      </c>
      <c r="J409" s="5">
        <v>92.4</v>
      </c>
      <c r="K409" s="6">
        <v>1.69</v>
      </c>
      <c r="L409" s="4">
        <v>4</v>
      </c>
      <c r="M409" s="4">
        <v>118</v>
      </c>
      <c r="N409" s="4">
        <v>89</v>
      </c>
      <c r="O409" s="4" t="s">
        <v>26</v>
      </c>
      <c r="P409" s="7" t="s">
        <v>19</v>
      </c>
      <c r="S409">
        <v>892</v>
      </c>
      <c r="T409" t="str">
        <v>Tete</v>
      </c>
      <c r="U409" t="str">
        <v>Masculino</v>
      </c>
      <c r="V409" t="str">
        <v>Solteiro(a)</v>
      </c>
      <c r="W409" t="str">
        <v>Superior</v>
      </c>
      <c r="X409" t="str">
        <v>Nao</v>
      </c>
      <c r="Y409" t="str">
        <v>Hipertensao</v>
      </c>
      <c r="Z409">
        <v>17</v>
      </c>
      <c r="AA409">
        <v>46.3</v>
      </c>
      <c r="AB409">
        <v>1.66</v>
      </c>
      <c r="AC409">
        <v>1</v>
      </c>
      <c r="AD409">
        <v>139</v>
      </c>
      <c r="AE409">
        <v>87</v>
      </c>
      <c r="AF409" t="str">
        <v>Rural</v>
      </c>
      <c r="AG409" t="str">
        <v>Sim</v>
      </c>
    </row>
    <row r="410" spans="2:33" x14ac:dyDescent="0.45">
      <c r="B410" s="4">
        <v>409</v>
      </c>
      <c r="C410" s="4" t="s">
        <v>41</v>
      </c>
      <c r="D410" s="4" t="s">
        <v>23</v>
      </c>
      <c r="E410" s="4" t="s">
        <v>35</v>
      </c>
      <c r="F410" s="4" t="s">
        <v>42</v>
      </c>
      <c r="G410" s="4" t="s">
        <v>19</v>
      </c>
      <c r="H410" s="4" t="s">
        <v>34</v>
      </c>
      <c r="I410" s="4">
        <v>90</v>
      </c>
      <c r="J410" s="5">
        <v>71.2</v>
      </c>
      <c r="K410" s="6">
        <v>1.83</v>
      </c>
      <c r="L410" s="4">
        <v>4</v>
      </c>
      <c r="M410" s="4">
        <v>129</v>
      </c>
      <c r="N410" s="4">
        <v>89</v>
      </c>
      <c r="O410" s="4" t="s">
        <v>26</v>
      </c>
      <c r="P410" s="7" t="s">
        <v>30</v>
      </c>
      <c r="S410">
        <v>894</v>
      </c>
      <c r="T410" t="str">
        <v>Manica</v>
      </c>
      <c r="U410" t="str">
        <v>Masculino</v>
      </c>
      <c r="V410" t="str">
        <v>Casado(a)</v>
      </c>
      <c r="W410" t="str">
        <v>Secundaria</v>
      </c>
      <c r="X410" t="str">
        <v>Nao</v>
      </c>
      <c r="Y410" t="str">
        <v>Diabetes</v>
      </c>
      <c r="Z410">
        <v>74</v>
      </c>
      <c r="AA410">
        <v>60</v>
      </c>
      <c r="AB410">
        <v>1.74</v>
      </c>
      <c r="AC410">
        <v>1</v>
      </c>
      <c r="AD410">
        <v>135</v>
      </c>
      <c r="AE410">
        <v>159</v>
      </c>
      <c r="AF410" t="str">
        <v>Rural</v>
      </c>
      <c r="AG410" t="str">
        <v>Nao</v>
      </c>
    </row>
    <row r="411" spans="2:33" x14ac:dyDescent="0.45">
      <c r="B411" s="4">
        <v>410</v>
      </c>
      <c r="C411" s="4" t="s">
        <v>41</v>
      </c>
      <c r="D411" s="4" t="s">
        <v>23</v>
      </c>
      <c r="E411" s="4" t="s">
        <v>17</v>
      </c>
      <c r="F411" s="4" t="s">
        <v>18</v>
      </c>
      <c r="G411" s="4" t="s">
        <v>19</v>
      </c>
      <c r="H411" s="4" t="s">
        <v>34</v>
      </c>
      <c r="I411" s="4">
        <v>17</v>
      </c>
      <c r="J411" s="5">
        <v>42.1</v>
      </c>
      <c r="K411" s="6">
        <v>1.49</v>
      </c>
      <c r="L411" s="4">
        <v>4</v>
      </c>
      <c r="M411" s="4">
        <v>99</v>
      </c>
      <c r="N411" s="4">
        <v>81</v>
      </c>
      <c r="O411" s="4" t="s">
        <v>26</v>
      </c>
      <c r="P411" s="7" t="s">
        <v>19</v>
      </c>
      <c r="S411">
        <v>895</v>
      </c>
      <c r="T411" t="str">
        <v>Manica</v>
      </c>
      <c r="U411" t="str">
        <v>Masculino</v>
      </c>
      <c r="V411" t="str">
        <v>Solteiro(a)</v>
      </c>
      <c r="W411" t="str">
        <v>Secundaria</v>
      </c>
      <c r="X411" t="str">
        <v>Sim</v>
      </c>
      <c r="Y411" t="str">
        <v>Malaria</v>
      </c>
      <c r="Z411">
        <v>17</v>
      </c>
      <c r="AA411">
        <v>52.1</v>
      </c>
      <c r="AB411">
        <v>1.66</v>
      </c>
      <c r="AC411">
        <v>3</v>
      </c>
      <c r="AD411">
        <v>105</v>
      </c>
      <c r="AE411">
        <v>82</v>
      </c>
      <c r="AF411" t="str">
        <v>Rural</v>
      </c>
      <c r="AG411" t="str">
        <v>Nao</v>
      </c>
    </row>
    <row r="412" spans="2:33" x14ac:dyDescent="0.45">
      <c r="B412" s="4">
        <v>411</v>
      </c>
      <c r="C412" s="4" t="s">
        <v>29</v>
      </c>
      <c r="D412" s="4" t="s">
        <v>16</v>
      </c>
      <c r="E412" s="4" t="s">
        <v>17</v>
      </c>
      <c r="F412" s="4" t="s">
        <v>18</v>
      </c>
      <c r="G412" s="4" t="s">
        <v>19</v>
      </c>
      <c r="H412" s="4" t="s">
        <v>20</v>
      </c>
      <c r="I412" s="4">
        <v>0</v>
      </c>
      <c r="J412" s="5">
        <v>13.3</v>
      </c>
      <c r="K412" s="6">
        <v>0.89</v>
      </c>
      <c r="L412" s="4">
        <v>3</v>
      </c>
      <c r="M412" s="4">
        <v>115</v>
      </c>
      <c r="N412" s="4">
        <v>102</v>
      </c>
      <c r="O412" s="4" t="s">
        <v>26</v>
      </c>
      <c r="P412" s="7" t="s">
        <v>19</v>
      </c>
      <c r="S412">
        <v>896</v>
      </c>
      <c r="T412" t="str">
        <v>Sofala</v>
      </c>
      <c r="U412" t="str">
        <v>Masculino</v>
      </c>
      <c r="V412" t="str">
        <v>Solteiro(a)</v>
      </c>
      <c r="W412" t="str">
        <v>Primaria</v>
      </c>
      <c r="X412" t="str">
        <v>Nao</v>
      </c>
      <c r="Y412" t="str">
        <v>Nenhuma</v>
      </c>
      <c r="Z412">
        <v>66</v>
      </c>
      <c r="AA412">
        <v>54.7</v>
      </c>
      <c r="AB412">
        <v>1.89</v>
      </c>
      <c r="AC412">
        <v>1</v>
      </c>
      <c r="AD412">
        <v>115</v>
      </c>
      <c r="AE412">
        <v>91</v>
      </c>
      <c r="AF412" t="str">
        <v>Urbana</v>
      </c>
      <c r="AG412" t="str">
        <v>Nao</v>
      </c>
    </row>
    <row r="413" spans="2:33" x14ac:dyDescent="0.45">
      <c r="B413" s="4">
        <v>412</v>
      </c>
      <c r="C413" s="4" t="s">
        <v>43</v>
      </c>
      <c r="D413" s="4" t="s">
        <v>23</v>
      </c>
      <c r="E413" s="4" t="s">
        <v>17</v>
      </c>
      <c r="F413" s="4" t="s">
        <v>24</v>
      </c>
      <c r="G413" s="4" t="s">
        <v>19</v>
      </c>
      <c r="H413" s="4" t="s">
        <v>34</v>
      </c>
      <c r="I413" s="4">
        <v>51</v>
      </c>
      <c r="J413" s="5">
        <v>65.3</v>
      </c>
      <c r="K413" s="6">
        <v>1.66</v>
      </c>
      <c r="L413" s="4">
        <v>4</v>
      </c>
      <c r="M413" s="4">
        <v>127</v>
      </c>
      <c r="N413" s="4">
        <v>77</v>
      </c>
      <c r="O413" s="4" t="s">
        <v>26</v>
      </c>
      <c r="P413" s="7" t="s">
        <v>19</v>
      </c>
      <c r="S413">
        <v>898</v>
      </c>
      <c r="T413" t="str">
        <v>Cabo Delgado</v>
      </c>
      <c r="U413" t="str">
        <v>Masculino</v>
      </c>
      <c r="V413" t="str">
        <v>Solteiro(a)</v>
      </c>
      <c r="W413" t="str">
        <v>Primaria</v>
      </c>
      <c r="X413" t="str">
        <v>Nao</v>
      </c>
      <c r="Y413" t="str">
        <v>Hipertensao</v>
      </c>
      <c r="Z413">
        <v>5</v>
      </c>
      <c r="AA413">
        <v>23.6</v>
      </c>
      <c r="AB413">
        <v>1.1299999999999999</v>
      </c>
      <c r="AC413">
        <v>9</v>
      </c>
      <c r="AD413">
        <v>127</v>
      </c>
      <c r="AE413">
        <v>103</v>
      </c>
      <c r="AF413" t="str">
        <v>Rural</v>
      </c>
      <c r="AG413" t="str">
        <v>Nao</v>
      </c>
    </row>
    <row r="414" spans="2:33" x14ac:dyDescent="0.45">
      <c r="B414" s="4">
        <v>413</v>
      </c>
      <c r="C414" s="4" t="s">
        <v>40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s">
        <v>28</v>
      </c>
      <c r="I414" s="4">
        <v>18</v>
      </c>
      <c r="J414" s="5">
        <v>53.1</v>
      </c>
      <c r="K414" s="6">
        <v>1.57</v>
      </c>
      <c r="L414" s="4">
        <v>3</v>
      </c>
      <c r="M414" s="4">
        <v>109</v>
      </c>
      <c r="N414" s="4">
        <v>96</v>
      </c>
      <c r="O414" s="4" t="s">
        <v>21</v>
      </c>
      <c r="P414" s="7" t="s">
        <v>19</v>
      </c>
      <c r="S414">
        <v>899</v>
      </c>
      <c r="T414" t="str">
        <v>Cabo Delgado</v>
      </c>
      <c r="U414" t="str">
        <v>Masculino</v>
      </c>
      <c r="V414" t="str">
        <v>Casado(a)</v>
      </c>
      <c r="W414" t="str">
        <v>Secundaria</v>
      </c>
      <c r="X414" t="str">
        <v>Nao</v>
      </c>
      <c r="Y414" t="str">
        <v>Malaria</v>
      </c>
      <c r="Z414">
        <v>0</v>
      </c>
      <c r="AA414">
        <v>13.8</v>
      </c>
      <c r="AB414">
        <v>0.76</v>
      </c>
      <c r="AC414">
        <v>1</v>
      </c>
      <c r="AD414">
        <v>111</v>
      </c>
      <c r="AE414">
        <v>77</v>
      </c>
      <c r="AF414" t="str">
        <v>Rural</v>
      </c>
      <c r="AG414" t="str">
        <v>Nao</v>
      </c>
    </row>
    <row r="415" spans="2:33" x14ac:dyDescent="0.45">
      <c r="B415" s="4">
        <v>414</v>
      </c>
      <c r="C415" s="4" t="s">
        <v>27</v>
      </c>
      <c r="D415" s="4" t="s">
        <v>23</v>
      </c>
      <c r="E415" s="4" t="s">
        <v>35</v>
      </c>
      <c r="F415" s="4" t="s">
        <v>42</v>
      </c>
      <c r="G415" s="4" t="s">
        <v>19</v>
      </c>
      <c r="H415" s="4" t="s">
        <v>34</v>
      </c>
      <c r="I415" s="4">
        <v>51</v>
      </c>
      <c r="J415" s="5">
        <v>59.2</v>
      </c>
      <c r="K415" s="6">
        <v>1.53</v>
      </c>
      <c r="L415" s="4">
        <v>4</v>
      </c>
      <c r="M415" s="4">
        <v>106</v>
      </c>
      <c r="N415" s="4">
        <v>104</v>
      </c>
      <c r="O415" s="4" t="s">
        <v>21</v>
      </c>
      <c r="P415" s="7" t="s">
        <v>19</v>
      </c>
      <c r="S415">
        <v>900</v>
      </c>
      <c r="T415" t="str">
        <v>Tete</v>
      </c>
      <c r="U415" t="str">
        <v>Masculino</v>
      </c>
      <c r="V415" t="str">
        <v>Casado(a)</v>
      </c>
      <c r="W415" t="str">
        <v>Superior</v>
      </c>
      <c r="X415" t="str">
        <v>Nao</v>
      </c>
      <c r="Y415" t="str">
        <v>Nenhuma</v>
      </c>
      <c r="Z415">
        <v>55</v>
      </c>
      <c r="AA415">
        <v>91.5</v>
      </c>
      <c r="AB415">
        <v>1.72</v>
      </c>
      <c r="AC415">
        <v>10</v>
      </c>
      <c r="AD415">
        <v>111</v>
      </c>
      <c r="AE415">
        <v>84</v>
      </c>
      <c r="AF415" t="str">
        <v>Rural</v>
      </c>
      <c r="AG415" t="str">
        <v>Nao</v>
      </c>
    </row>
    <row r="416" spans="2:33" x14ac:dyDescent="0.45">
      <c r="B416" s="4">
        <v>415</v>
      </c>
      <c r="C416" s="4" t="s">
        <v>41</v>
      </c>
      <c r="D416" s="4" t="s">
        <v>23</v>
      </c>
      <c r="E416" s="4" t="s">
        <v>35</v>
      </c>
      <c r="F416" s="4" t="s">
        <v>24</v>
      </c>
      <c r="G416" s="4" t="s">
        <v>19</v>
      </c>
      <c r="H416" s="4" t="s">
        <v>32</v>
      </c>
      <c r="I416" s="4">
        <v>38</v>
      </c>
      <c r="J416" s="5">
        <v>53</v>
      </c>
      <c r="K416" s="6">
        <v>1.65</v>
      </c>
      <c r="L416" s="4">
        <v>2</v>
      </c>
      <c r="M416" s="4">
        <v>118</v>
      </c>
      <c r="N416" s="4">
        <v>148</v>
      </c>
      <c r="O416" s="4" t="s">
        <v>26</v>
      </c>
      <c r="P416" s="7" t="s">
        <v>19</v>
      </c>
      <c r="S416">
        <v>901</v>
      </c>
      <c r="T416" t="str">
        <v>Maputo Cidade</v>
      </c>
      <c r="U416" t="str">
        <v>Masculino</v>
      </c>
      <c r="V416" t="str">
        <v>Casado(a)</v>
      </c>
      <c r="W416" t="str">
        <v>Primaria</v>
      </c>
      <c r="X416" t="str">
        <v>Nao</v>
      </c>
      <c r="Y416" t="str">
        <v>Hipertensao</v>
      </c>
      <c r="Z416">
        <v>53</v>
      </c>
      <c r="AA416">
        <v>93.5</v>
      </c>
      <c r="AB416">
        <v>1.57</v>
      </c>
      <c r="AC416">
        <v>1</v>
      </c>
      <c r="AD416">
        <v>131</v>
      </c>
      <c r="AE416">
        <v>91</v>
      </c>
      <c r="AF416" t="str">
        <v>Urbana</v>
      </c>
      <c r="AG416" t="str">
        <v>Nao</v>
      </c>
    </row>
    <row r="417" spans="2:33" x14ac:dyDescent="0.45">
      <c r="B417" s="4">
        <v>416</v>
      </c>
      <c r="C417" s="4" t="s">
        <v>43</v>
      </c>
      <c r="D417" s="4" t="s">
        <v>16</v>
      </c>
      <c r="E417" s="4" t="s">
        <v>17</v>
      </c>
      <c r="F417" s="4" t="s">
        <v>28</v>
      </c>
      <c r="G417" s="4" t="s">
        <v>30</v>
      </c>
      <c r="H417" s="4" t="s">
        <v>28</v>
      </c>
      <c r="I417" s="4">
        <v>0</v>
      </c>
      <c r="J417" s="5">
        <v>9.4</v>
      </c>
      <c r="K417" s="6">
        <v>0.91</v>
      </c>
      <c r="L417" s="4">
        <v>4</v>
      </c>
      <c r="M417" s="4">
        <v>106</v>
      </c>
      <c r="N417" s="4">
        <v>73</v>
      </c>
      <c r="O417" s="4" t="s">
        <v>21</v>
      </c>
      <c r="P417" s="7" t="s">
        <v>19</v>
      </c>
      <c r="S417">
        <v>903</v>
      </c>
      <c r="T417" t="str">
        <v>Tete</v>
      </c>
      <c r="U417" t="str">
        <v>Masculino</v>
      </c>
      <c r="V417" t="str">
        <v>Solteiro(a)</v>
      </c>
      <c r="W417" t="str">
        <v>Superior</v>
      </c>
      <c r="X417" t="str">
        <v>Sim</v>
      </c>
      <c r="Y417" t="str">
        <v>Pneumonia</v>
      </c>
      <c r="Z417">
        <v>38</v>
      </c>
      <c r="AA417">
        <v>81.8</v>
      </c>
      <c r="AB417">
        <v>1.66</v>
      </c>
      <c r="AC417">
        <v>2</v>
      </c>
      <c r="AD417">
        <v>122</v>
      </c>
      <c r="AE417">
        <v>91</v>
      </c>
      <c r="AF417" t="str">
        <v>Rural</v>
      </c>
      <c r="AG417" t="str">
        <v>Nao</v>
      </c>
    </row>
    <row r="418" spans="2:33" x14ac:dyDescent="0.45">
      <c r="B418" s="4">
        <v>417</v>
      </c>
      <c r="C418" s="4" t="s">
        <v>33</v>
      </c>
      <c r="D418" s="4" t="s">
        <v>16</v>
      </c>
      <c r="E418" s="4" t="s">
        <v>35</v>
      </c>
      <c r="F418" s="4" t="s">
        <v>24</v>
      </c>
      <c r="G418" s="4" t="s">
        <v>19</v>
      </c>
      <c r="H418" s="4" t="s">
        <v>36</v>
      </c>
      <c r="I418" s="4">
        <v>20</v>
      </c>
      <c r="J418" s="5">
        <v>84.6</v>
      </c>
      <c r="K418" s="6">
        <v>1.73</v>
      </c>
      <c r="L418" s="4">
        <v>1</v>
      </c>
      <c r="M418" s="4">
        <v>120</v>
      </c>
      <c r="N418" s="4">
        <v>83</v>
      </c>
      <c r="O418" s="4" t="s">
        <v>21</v>
      </c>
      <c r="P418" s="7" t="s">
        <v>19</v>
      </c>
      <c r="S418">
        <v>907</v>
      </c>
      <c r="T418" t="str">
        <v>Nampula</v>
      </c>
      <c r="U418" t="str">
        <v>Masculino</v>
      </c>
      <c r="V418" t="str">
        <v>Solteiro(a)</v>
      </c>
      <c r="W418" t="str">
        <v>Primaria</v>
      </c>
      <c r="X418" t="str">
        <v>Nao</v>
      </c>
      <c r="Y418" t="str">
        <v>Diarreia</v>
      </c>
      <c r="Z418">
        <v>2</v>
      </c>
      <c r="AA418">
        <v>17.7</v>
      </c>
      <c r="AB418">
        <v>1.01</v>
      </c>
      <c r="AC418">
        <v>5</v>
      </c>
      <c r="AD418">
        <v>99</v>
      </c>
      <c r="AE418">
        <v>76</v>
      </c>
      <c r="AF418" t="str">
        <v>Rural</v>
      </c>
      <c r="AG418" t="str">
        <v>Nao</v>
      </c>
    </row>
    <row r="419" spans="2:33" x14ac:dyDescent="0.45">
      <c r="B419" s="4">
        <v>418</v>
      </c>
      <c r="C419" s="4" t="s">
        <v>41</v>
      </c>
      <c r="D419" s="4" t="s">
        <v>16</v>
      </c>
      <c r="E419" s="4" t="s">
        <v>17</v>
      </c>
      <c r="F419" s="4" t="s">
        <v>18</v>
      </c>
      <c r="G419" s="4" t="s">
        <v>19</v>
      </c>
      <c r="H419" s="4" t="s">
        <v>28</v>
      </c>
      <c r="I419" s="4">
        <v>3</v>
      </c>
      <c r="J419" s="5">
        <v>8.6</v>
      </c>
      <c r="K419" s="6">
        <v>0.66</v>
      </c>
      <c r="L419" s="4">
        <v>5</v>
      </c>
      <c r="M419" s="4">
        <v>94</v>
      </c>
      <c r="N419" s="4">
        <v>94</v>
      </c>
      <c r="O419" s="4" t="s">
        <v>21</v>
      </c>
      <c r="P419" s="7" t="s">
        <v>19</v>
      </c>
      <c r="S419">
        <v>914</v>
      </c>
      <c r="T419" t="str">
        <v>Zambezia</v>
      </c>
      <c r="U419" t="str">
        <v>Masculino</v>
      </c>
      <c r="V419" t="str">
        <v>Solteiro(a)</v>
      </c>
      <c r="W419" t="str">
        <v>Secundaria</v>
      </c>
      <c r="X419" t="str">
        <v>Nao</v>
      </c>
      <c r="Y419" t="str">
        <v>Malaria</v>
      </c>
      <c r="Z419">
        <v>42</v>
      </c>
      <c r="AA419">
        <v>87.5</v>
      </c>
      <c r="AB419">
        <v>1.66</v>
      </c>
      <c r="AC419">
        <v>4</v>
      </c>
      <c r="AD419">
        <v>111</v>
      </c>
      <c r="AE419">
        <v>70</v>
      </c>
      <c r="AF419" t="str">
        <v>Rural</v>
      </c>
      <c r="AG419" t="str">
        <v>Nao</v>
      </c>
    </row>
    <row r="420" spans="2:33" x14ac:dyDescent="0.45">
      <c r="B420" s="4">
        <v>419</v>
      </c>
      <c r="C420" s="4" t="s">
        <v>31</v>
      </c>
      <c r="D420" s="4" t="s">
        <v>16</v>
      </c>
      <c r="E420" s="4" t="s">
        <v>35</v>
      </c>
      <c r="F420" s="4" t="s">
        <v>18</v>
      </c>
      <c r="G420" s="4" t="s">
        <v>30</v>
      </c>
      <c r="H420" s="4" t="s">
        <v>46</v>
      </c>
      <c r="I420" s="4">
        <v>40</v>
      </c>
      <c r="J420" s="5">
        <v>58.3</v>
      </c>
      <c r="K420" s="6">
        <v>1.63</v>
      </c>
      <c r="L420" s="4">
        <v>2</v>
      </c>
      <c r="M420" s="4">
        <v>103</v>
      </c>
      <c r="N420" s="4">
        <v>72</v>
      </c>
      <c r="O420" s="4" t="s">
        <v>26</v>
      </c>
      <c r="P420" s="7" t="s">
        <v>19</v>
      </c>
      <c r="S420">
        <v>915</v>
      </c>
      <c r="T420" t="str">
        <v>Maputo Provincia</v>
      </c>
      <c r="U420" t="str">
        <v>Masculino</v>
      </c>
      <c r="V420" t="str">
        <v>Solteiro(a)</v>
      </c>
      <c r="W420" t="str">
        <v>Primaria</v>
      </c>
      <c r="X420" t="str">
        <v>Sim</v>
      </c>
      <c r="Y420" t="str">
        <v>Pneumonia</v>
      </c>
      <c r="Z420">
        <v>37</v>
      </c>
      <c r="AA420">
        <v>68.7</v>
      </c>
      <c r="AB420">
        <v>1.55</v>
      </c>
      <c r="AC420">
        <v>3</v>
      </c>
      <c r="AD420">
        <v>109</v>
      </c>
      <c r="AE420">
        <v>103</v>
      </c>
      <c r="AF420" t="str">
        <v>Urbana</v>
      </c>
      <c r="AG420" t="str">
        <v>Nao</v>
      </c>
    </row>
    <row r="421" spans="2:33" x14ac:dyDescent="0.45">
      <c r="B421" s="4">
        <v>420</v>
      </c>
      <c r="C421" s="4" t="s">
        <v>45</v>
      </c>
      <c r="D421" s="4" t="s">
        <v>23</v>
      </c>
      <c r="E421" s="4" t="s">
        <v>35</v>
      </c>
      <c r="F421" s="4" t="s">
        <v>24</v>
      </c>
      <c r="G421" s="4" t="s">
        <v>19</v>
      </c>
      <c r="H421" s="4" t="s">
        <v>28</v>
      </c>
      <c r="I421" s="4">
        <v>53</v>
      </c>
      <c r="J421" s="5">
        <v>90.6</v>
      </c>
      <c r="K421" s="6">
        <v>1.51</v>
      </c>
      <c r="L421" s="4">
        <v>1</v>
      </c>
      <c r="M421" s="4">
        <v>136</v>
      </c>
      <c r="N421" s="4">
        <v>103</v>
      </c>
      <c r="O421" s="4" t="s">
        <v>26</v>
      </c>
      <c r="P421" s="7" t="s">
        <v>30</v>
      </c>
      <c r="S421">
        <v>916</v>
      </c>
      <c r="T421" t="str">
        <v>Zambezia</v>
      </c>
      <c r="U421" t="str">
        <v>Masculino</v>
      </c>
      <c r="V421" t="str">
        <v>Divorciado(a)</v>
      </c>
      <c r="W421" t="str">
        <v>Secundaria</v>
      </c>
      <c r="X421" t="str">
        <v>Nao</v>
      </c>
      <c r="Y421" t="str">
        <v>Hipertensao</v>
      </c>
      <c r="Z421">
        <v>16</v>
      </c>
      <c r="AA421">
        <v>42.6</v>
      </c>
      <c r="AB421">
        <v>1.63</v>
      </c>
      <c r="AC421">
        <v>2</v>
      </c>
      <c r="AD421">
        <v>124</v>
      </c>
      <c r="AE421">
        <v>71</v>
      </c>
      <c r="AF421" t="str">
        <v>Rural</v>
      </c>
      <c r="AG421" t="str">
        <v>Nao</v>
      </c>
    </row>
    <row r="422" spans="2:33" x14ac:dyDescent="0.45">
      <c r="B422" s="4">
        <v>421</v>
      </c>
      <c r="C422" s="4" t="s">
        <v>40</v>
      </c>
      <c r="D422" s="4" t="s">
        <v>23</v>
      </c>
      <c r="E422" s="4" t="s">
        <v>37</v>
      </c>
      <c r="F422" s="4" t="s">
        <v>28</v>
      </c>
      <c r="G422" s="4" t="s">
        <v>19</v>
      </c>
      <c r="H422" s="4" t="s">
        <v>38</v>
      </c>
      <c r="I422" s="4">
        <v>19</v>
      </c>
      <c r="J422" s="5">
        <v>66</v>
      </c>
      <c r="K422" s="6">
        <v>1.9</v>
      </c>
      <c r="L422" s="4">
        <v>3</v>
      </c>
      <c r="M422" s="4">
        <v>114</v>
      </c>
      <c r="N422" s="4">
        <v>74</v>
      </c>
      <c r="O422" s="4" t="s">
        <v>21</v>
      </c>
      <c r="P422" s="7" t="s">
        <v>30</v>
      </c>
      <c r="S422">
        <v>917</v>
      </c>
      <c r="T422" t="str">
        <v>Gaza</v>
      </c>
      <c r="U422" t="str">
        <v>Masculino</v>
      </c>
      <c r="V422" t="str">
        <v>Solteiro(a)</v>
      </c>
      <c r="W422" t="str">
        <v>Primaria</v>
      </c>
      <c r="X422" t="str">
        <v>Sim</v>
      </c>
      <c r="Y422" t="str">
        <v>Nenhuma</v>
      </c>
      <c r="Z422">
        <v>43</v>
      </c>
      <c r="AA422">
        <v>78.8</v>
      </c>
      <c r="AB422">
        <v>1.71</v>
      </c>
      <c r="AC422">
        <v>3</v>
      </c>
      <c r="AD422">
        <v>113</v>
      </c>
      <c r="AE422">
        <v>101</v>
      </c>
      <c r="AF422" t="str">
        <v>Urbana</v>
      </c>
      <c r="AG422" t="str">
        <v>Sim</v>
      </c>
    </row>
    <row r="423" spans="2:33" x14ac:dyDescent="0.45">
      <c r="B423" s="4">
        <v>422</v>
      </c>
      <c r="C423" s="4" t="s">
        <v>15</v>
      </c>
      <c r="D423" s="4" t="s">
        <v>16</v>
      </c>
      <c r="E423" s="4" t="s">
        <v>35</v>
      </c>
      <c r="F423" s="4" t="s">
        <v>24</v>
      </c>
      <c r="G423" s="4" t="s">
        <v>19</v>
      </c>
      <c r="H423" s="4" t="s">
        <v>36</v>
      </c>
      <c r="I423" s="4">
        <v>85</v>
      </c>
      <c r="J423" s="5">
        <v>86.1</v>
      </c>
      <c r="K423" s="6">
        <v>1.78</v>
      </c>
      <c r="L423" s="4">
        <v>3</v>
      </c>
      <c r="M423" s="4">
        <v>140</v>
      </c>
      <c r="N423" s="4">
        <v>76</v>
      </c>
      <c r="O423" s="4" t="s">
        <v>26</v>
      </c>
      <c r="P423" s="7" t="s">
        <v>19</v>
      </c>
      <c r="S423">
        <v>918</v>
      </c>
      <c r="T423" t="str">
        <v>Nampula</v>
      </c>
      <c r="U423" t="str">
        <v>Masculino</v>
      </c>
      <c r="V423" t="str">
        <v>Solteiro(a)</v>
      </c>
      <c r="W423" t="str">
        <v>Superior</v>
      </c>
      <c r="X423" t="str">
        <v>Sim</v>
      </c>
      <c r="Y423" t="str">
        <v>HIV/SIDA</v>
      </c>
      <c r="Z423">
        <v>19</v>
      </c>
      <c r="AA423">
        <v>90.5</v>
      </c>
      <c r="AB423">
        <v>1.59</v>
      </c>
      <c r="AC423">
        <v>0</v>
      </c>
      <c r="AD423">
        <v>98</v>
      </c>
      <c r="AE423">
        <v>92</v>
      </c>
      <c r="AF423" t="str">
        <v>Urbana</v>
      </c>
      <c r="AG423" t="str">
        <v>Nao</v>
      </c>
    </row>
    <row r="424" spans="2:33" x14ac:dyDescent="0.45">
      <c r="B424" s="4">
        <v>423</v>
      </c>
      <c r="C424" s="4" t="s">
        <v>33</v>
      </c>
      <c r="D424" s="4" t="s">
        <v>23</v>
      </c>
      <c r="E424" s="4" t="s">
        <v>17</v>
      </c>
      <c r="F424" s="4" t="s">
        <v>24</v>
      </c>
      <c r="G424" s="4" t="s">
        <v>19</v>
      </c>
      <c r="H424" s="4" t="s">
        <v>20</v>
      </c>
      <c r="I424" s="4">
        <v>4</v>
      </c>
      <c r="J424" s="5">
        <v>9.3000000000000007</v>
      </c>
      <c r="K424" s="6">
        <v>0.64</v>
      </c>
      <c r="L424" s="4">
        <v>4</v>
      </c>
      <c r="M424" s="4">
        <v>107</v>
      </c>
      <c r="N424" s="4">
        <v>94</v>
      </c>
      <c r="O424" s="4" t="s">
        <v>26</v>
      </c>
      <c r="P424" s="7" t="s">
        <v>19</v>
      </c>
      <c r="S424">
        <v>919</v>
      </c>
      <c r="T424" t="str">
        <v>Niassa</v>
      </c>
      <c r="U424" t="str">
        <v>Masculino</v>
      </c>
      <c r="V424" t="str">
        <v>Casado(a)</v>
      </c>
      <c r="W424" t="str">
        <v>Secundaria</v>
      </c>
      <c r="X424" t="str">
        <v>Nao</v>
      </c>
      <c r="Y424" t="str">
        <v>Hipertensao</v>
      </c>
      <c r="Z424">
        <v>44</v>
      </c>
      <c r="AA424">
        <v>67.7</v>
      </c>
      <c r="AB424">
        <v>1.49</v>
      </c>
      <c r="AC424">
        <v>1</v>
      </c>
      <c r="AD424">
        <v>147</v>
      </c>
      <c r="AE424">
        <v>93</v>
      </c>
      <c r="AF424" t="str">
        <v>Rural</v>
      </c>
      <c r="AG424" t="str">
        <v>Sim</v>
      </c>
    </row>
    <row r="425" spans="2:33" x14ac:dyDescent="0.45">
      <c r="B425" s="4">
        <v>424</v>
      </c>
      <c r="C425" s="4" t="s">
        <v>22</v>
      </c>
      <c r="D425" s="4" t="s">
        <v>23</v>
      </c>
      <c r="E425" s="4" t="s">
        <v>17</v>
      </c>
      <c r="F425" s="4" t="s">
        <v>24</v>
      </c>
      <c r="G425" s="4" t="s">
        <v>19</v>
      </c>
      <c r="H425" s="4" t="s">
        <v>25</v>
      </c>
      <c r="I425" s="4">
        <v>4</v>
      </c>
      <c r="J425" s="5">
        <v>9.4</v>
      </c>
      <c r="K425" s="6">
        <v>0.66</v>
      </c>
      <c r="L425" s="4">
        <v>5</v>
      </c>
      <c r="M425" s="4">
        <v>101</v>
      </c>
      <c r="N425" s="4">
        <v>99</v>
      </c>
      <c r="O425" s="4" t="s">
        <v>26</v>
      </c>
      <c r="P425" s="7" t="s">
        <v>19</v>
      </c>
      <c r="S425">
        <v>921</v>
      </c>
      <c r="T425" t="str">
        <v>Nampula</v>
      </c>
      <c r="U425" t="str">
        <v>Masculino</v>
      </c>
      <c r="V425" t="str">
        <v>Casado(a)</v>
      </c>
      <c r="W425" t="str">
        <v>Superior</v>
      </c>
      <c r="X425" t="str">
        <v>Nao</v>
      </c>
      <c r="Y425" t="str">
        <v>Malaria</v>
      </c>
      <c r="Z425">
        <v>34</v>
      </c>
      <c r="AA425">
        <v>45.9</v>
      </c>
      <c r="AB425">
        <v>1.66</v>
      </c>
      <c r="AC425">
        <v>5</v>
      </c>
      <c r="AD425">
        <v>107</v>
      </c>
      <c r="AE425">
        <v>98</v>
      </c>
      <c r="AF425" t="str">
        <v>Rural</v>
      </c>
      <c r="AG425" t="str">
        <v>Sim</v>
      </c>
    </row>
    <row r="426" spans="2:33" x14ac:dyDescent="0.45">
      <c r="B426" s="4">
        <v>425</v>
      </c>
      <c r="C426" s="4" t="s">
        <v>45</v>
      </c>
      <c r="D426" s="4" t="s">
        <v>16</v>
      </c>
      <c r="E426" s="4" t="s">
        <v>35</v>
      </c>
      <c r="F426" s="4" t="s">
        <v>24</v>
      </c>
      <c r="G426" s="4" t="s">
        <v>19</v>
      </c>
      <c r="H426" s="4" t="s">
        <v>28</v>
      </c>
      <c r="I426" s="4">
        <v>26</v>
      </c>
      <c r="J426" s="5">
        <v>87.8</v>
      </c>
      <c r="K426" s="6">
        <v>1.78</v>
      </c>
      <c r="L426" s="4">
        <v>1</v>
      </c>
      <c r="M426" s="4">
        <v>104</v>
      </c>
      <c r="N426" s="4">
        <v>88</v>
      </c>
      <c r="O426" s="4" t="s">
        <v>26</v>
      </c>
      <c r="P426" s="7" t="s">
        <v>19</v>
      </c>
      <c r="S426">
        <v>922</v>
      </c>
      <c r="T426" t="str">
        <v>Sofala</v>
      </c>
      <c r="U426" t="str">
        <v>Masculino</v>
      </c>
      <c r="V426" t="str">
        <v>Casado(a)</v>
      </c>
      <c r="W426" t="str">
        <v>Primaria</v>
      </c>
      <c r="X426" t="str">
        <v>Nao</v>
      </c>
      <c r="Y426" t="str">
        <v>Nenhuma</v>
      </c>
      <c r="Z426">
        <v>6</v>
      </c>
      <c r="AA426">
        <v>30.2</v>
      </c>
      <c r="AB426">
        <v>1.36</v>
      </c>
      <c r="AC426">
        <v>2</v>
      </c>
      <c r="AD426">
        <v>110</v>
      </c>
      <c r="AE426">
        <v>82</v>
      </c>
      <c r="AF426" t="str">
        <v>Urbana</v>
      </c>
      <c r="AG426" t="str">
        <v>Sim</v>
      </c>
    </row>
    <row r="427" spans="2:33" x14ac:dyDescent="0.45">
      <c r="B427" s="4">
        <v>426</v>
      </c>
      <c r="C427" s="4" t="s">
        <v>22</v>
      </c>
      <c r="D427" s="4" t="s">
        <v>23</v>
      </c>
      <c r="E427" s="4" t="s">
        <v>17</v>
      </c>
      <c r="F427" s="4" t="s">
        <v>18</v>
      </c>
      <c r="G427" s="4" t="s">
        <v>19</v>
      </c>
      <c r="H427" s="4" t="s">
        <v>34</v>
      </c>
      <c r="I427" s="4">
        <v>8</v>
      </c>
      <c r="J427" s="5">
        <v>27</v>
      </c>
      <c r="K427" s="6">
        <v>1.31</v>
      </c>
      <c r="L427" s="4">
        <v>2</v>
      </c>
      <c r="M427" s="4">
        <v>109</v>
      </c>
      <c r="N427" s="4">
        <v>93</v>
      </c>
      <c r="O427" s="4" t="s">
        <v>21</v>
      </c>
      <c r="P427" s="7" t="s">
        <v>30</v>
      </c>
      <c r="S427">
        <v>924</v>
      </c>
      <c r="T427" t="str">
        <v>Maputo Cidade</v>
      </c>
      <c r="U427" t="str">
        <v>Masculino</v>
      </c>
      <c r="V427" t="str">
        <v>Casado(a)</v>
      </c>
      <c r="W427" t="str">
        <v>Primaria</v>
      </c>
      <c r="X427" t="str">
        <v>Nao</v>
      </c>
      <c r="Y427" t="str">
        <v>Pneumonia</v>
      </c>
      <c r="Z427">
        <v>16</v>
      </c>
      <c r="AA427">
        <v>56.5</v>
      </c>
      <c r="AB427">
        <v>1.73</v>
      </c>
      <c r="AC427">
        <v>0</v>
      </c>
      <c r="AD427">
        <v>95</v>
      </c>
      <c r="AE427">
        <v>71</v>
      </c>
      <c r="AF427" t="str">
        <v>Urbana</v>
      </c>
      <c r="AG427" t="str">
        <v>Nao</v>
      </c>
    </row>
    <row r="428" spans="2:33" x14ac:dyDescent="0.45">
      <c r="B428" s="4">
        <v>427</v>
      </c>
      <c r="C428" s="4" t="s">
        <v>41</v>
      </c>
      <c r="D428" s="4" t="s">
        <v>16</v>
      </c>
      <c r="E428" s="4" t="s">
        <v>17</v>
      </c>
      <c r="F428" s="4" t="s">
        <v>24</v>
      </c>
      <c r="G428" s="4" t="s">
        <v>19</v>
      </c>
      <c r="H428" s="4" t="s">
        <v>36</v>
      </c>
      <c r="I428" s="4">
        <v>63</v>
      </c>
      <c r="J428" s="5">
        <v>65.8</v>
      </c>
      <c r="K428" s="6">
        <v>1.79</v>
      </c>
      <c r="L428" s="4">
        <v>1</v>
      </c>
      <c r="M428" s="4">
        <v>149</v>
      </c>
      <c r="N428" s="4">
        <v>97</v>
      </c>
      <c r="O428" s="4" t="s">
        <v>21</v>
      </c>
      <c r="P428" s="7" t="s">
        <v>19</v>
      </c>
      <c r="S428">
        <v>925</v>
      </c>
      <c r="T428" t="str">
        <v>Zambezia</v>
      </c>
      <c r="U428" t="str">
        <v>Masculino</v>
      </c>
      <c r="V428" t="str">
        <v>Casado(a)</v>
      </c>
      <c r="W428" t="str">
        <v>Secundaria</v>
      </c>
      <c r="X428" t="str">
        <v>Nao</v>
      </c>
      <c r="Y428" t="str">
        <v>Diarreia</v>
      </c>
      <c r="Z428">
        <v>26</v>
      </c>
      <c r="AA428">
        <v>76.900000000000006</v>
      </c>
      <c r="AB428">
        <v>1.6</v>
      </c>
      <c r="AC428">
        <v>0</v>
      </c>
      <c r="AD428">
        <v>120</v>
      </c>
      <c r="AE428">
        <v>82</v>
      </c>
      <c r="AF428" t="str">
        <v>Rural</v>
      </c>
      <c r="AG428" t="str">
        <v>Nao</v>
      </c>
    </row>
    <row r="429" spans="2:33" x14ac:dyDescent="0.45">
      <c r="B429" s="4">
        <v>428</v>
      </c>
      <c r="C429" s="4" t="s">
        <v>29</v>
      </c>
      <c r="D429" s="4" t="s">
        <v>23</v>
      </c>
      <c r="E429" s="4" t="s">
        <v>44</v>
      </c>
      <c r="F429" s="4" t="s">
        <v>18</v>
      </c>
      <c r="G429" s="4" t="s">
        <v>19</v>
      </c>
      <c r="H429" s="4" t="s">
        <v>32</v>
      </c>
      <c r="I429" s="4">
        <v>19</v>
      </c>
      <c r="J429" s="5">
        <v>64.7</v>
      </c>
      <c r="K429" s="6">
        <v>1.7</v>
      </c>
      <c r="L429" s="4">
        <v>3</v>
      </c>
      <c r="M429" s="4">
        <v>120</v>
      </c>
      <c r="N429" s="4">
        <v>164</v>
      </c>
      <c r="O429" s="4" t="s">
        <v>21</v>
      </c>
      <c r="P429" s="7" t="s">
        <v>30</v>
      </c>
      <c r="S429">
        <v>928</v>
      </c>
      <c r="T429" t="str">
        <v>Manica</v>
      </c>
      <c r="U429" t="str">
        <v>Masculino</v>
      </c>
      <c r="V429" t="str">
        <v>Divorciado(a)</v>
      </c>
      <c r="W429" t="str">
        <v>Secundaria</v>
      </c>
      <c r="X429" t="str">
        <v>Sim</v>
      </c>
      <c r="Y429" t="str">
        <v>Malaria</v>
      </c>
      <c r="Z429">
        <v>13</v>
      </c>
      <c r="AA429">
        <v>48.3</v>
      </c>
      <c r="AB429">
        <v>1.62</v>
      </c>
      <c r="AC429">
        <v>3</v>
      </c>
      <c r="AD429">
        <v>112</v>
      </c>
      <c r="AE429">
        <v>102</v>
      </c>
      <c r="AF429" t="str">
        <v>Urbana</v>
      </c>
      <c r="AG429" t="str">
        <v>Sim</v>
      </c>
    </row>
    <row r="430" spans="2:33" x14ac:dyDescent="0.45">
      <c r="B430" s="4">
        <v>429</v>
      </c>
      <c r="C430" s="4" t="s">
        <v>22</v>
      </c>
      <c r="D430" s="4" t="s">
        <v>23</v>
      </c>
      <c r="E430" s="4" t="s">
        <v>17</v>
      </c>
      <c r="F430" s="4" t="s">
        <v>28</v>
      </c>
      <c r="G430" s="4" t="s">
        <v>19</v>
      </c>
      <c r="H430" s="4" t="s">
        <v>34</v>
      </c>
      <c r="I430" s="4">
        <v>5</v>
      </c>
      <c r="J430" s="5">
        <v>33.6</v>
      </c>
      <c r="K430" s="6">
        <v>1.41</v>
      </c>
      <c r="L430" s="4">
        <v>3</v>
      </c>
      <c r="M430" s="4">
        <v>116</v>
      </c>
      <c r="N430" s="4">
        <v>99</v>
      </c>
      <c r="O430" s="4" t="s">
        <v>26</v>
      </c>
      <c r="P430" s="7" t="s">
        <v>19</v>
      </c>
      <c r="S430">
        <v>929</v>
      </c>
      <c r="T430" t="str">
        <v>Nampula</v>
      </c>
      <c r="U430" t="str">
        <v>Masculino</v>
      </c>
      <c r="V430" t="str">
        <v>Casado(a)</v>
      </c>
      <c r="W430" t="str">
        <v>Primaria</v>
      </c>
      <c r="X430" t="str">
        <v>Sim</v>
      </c>
      <c r="Y430" t="str">
        <v>Diarreia</v>
      </c>
      <c r="Z430">
        <v>2</v>
      </c>
      <c r="AA430">
        <v>15.5</v>
      </c>
      <c r="AB430">
        <v>1.02</v>
      </c>
      <c r="AC430">
        <v>9</v>
      </c>
      <c r="AD430">
        <v>106</v>
      </c>
      <c r="AE430">
        <v>90</v>
      </c>
      <c r="AF430" t="str">
        <v>Urbana</v>
      </c>
      <c r="AG430" t="str">
        <v>Sim</v>
      </c>
    </row>
    <row r="431" spans="2:33" x14ac:dyDescent="0.45">
      <c r="B431" s="4">
        <v>430</v>
      </c>
      <c r="C431" s="4" t="s">
        <v>22</v>
      </c>
      <c r="D431" s="4" t="s">
        <v>23</v>
      </c>
      <c r="E431" s="4" t="s">
        <v>44</v>
      </c>
      <c r="F431" s="4" t="s">
        <v>24</v>
      </c>
      <c r="G431" s="4" t="s">
        <v>19</v>
      </c>
      <c r="H431" s="4" t="s">
        <v>28</v>
      </c>
      <c r="I431" s="4">
        <v>61</v>
      </c>
      <c r="J431" s="5">
        <v>49.4</v>
      </c>
      <c r="K431" s="6">
        <v>1.71</v>
      </c>
      <c r="L431" s="4">
        <v>1</v>
      </c>
      <c r="M431" s="4">
        <v>127</v>
      </c>
      <c r="N431" s="4">
        <v>88</v>
      </c>
      <c r="O431" s="4" t="s">
        <v>21</v>
      </c>
      <c r="P431" s="7" t="s">
        <v>19</v>
      </c>
      <c r="S431">
        <v>934</v>
      </c>
      <c r="T431" t="str">
        <v>Maputo Cidade</v>
      </c>
      <c r="U431" t="str">
        <v>Masculino</v>
      </c>
      <c r="V431" t="str">
        <v>Casado(a)</v>
      </c>
      <c r="W431" t="str">
        <v>Superior</v>
      </c>
      <c r="X431" t="str">
        <v>Nao</v>
      </c>
      <c r="Y431" t="str">
        <v>Nenhuma</v>
      </c>
      <c r="Z431">
        <v>5</v>
      </c>
      <c r="AA431">
        <v>27.9</v>
      </c>
      <c r="AB431">
        <v>1.1399999999999999</v>
      </c>
      <c r="AC431">
        <v>0</v>
      </c>
      <c r="AD431">
        <v>111</v>
      </c>
      <c r="AE431">
        <v>84</v>
      </c>
      <c r="AF431" t="str">
        <v>Rural</v>
      </c>
      <c r="AG431" t="str">
        <v>Nao</v>
      </c>
    </row>
    <row r="432" spans="2:33" x14ac:dyDescent="0.45">
      <c r="B432" s="4">
        <v>431</v>
      </c>
      <c r="C432" s="4" t="s">
        <v>33</v>
      </c>
      <c r="D432" s="4" t="s">
        <v>23</v>
      </c>
      <c r="E432" s="4" t="s">
        <v>17</v>
      </c>
      <c r="F432" s="4" t="s">
        <v>28</v>
      </c>
      <c r="G432" s="4" t="s">
        <v>30</v>
      </c>
      <c r="H432" s="4" t="s">
        <v>38</v>
      </c>
      <c r="I432" s="4">
        <v>40</v>
      </c>
      <c r="J432" s="5">
        <v>82.2</v>
      </c>
      <c r="K432" s="6">
        <v>1.81</v>
      </c>
      <c r="L432" s="4">
        <v>2</v>
      </c>
      <c r="M432" s="4">
        <v>111</v>
      </c>
      <c r="N432" s="4">
        <v>80</v>
      </c>
      <c r="O432" s="4" t="s">
        <v>26</v>
      </c>
      <c r="P432" s="7" t="s">
        <v>19</v>
      </c>
      <c r="S432">
        <v>935</v>
      </c>
      <c r="T432" t="str">
        <v>Nampula</v>
      </c>
      <c r="U432" t="str">
        <v>Masculino</v>
      </c>
      <c r="V432" t="str">
        <v>Casado(a)</v>
      </c>
      <c r="W432" t="str">
        <v>Secundaria</v>
      </c>
      <c r="X432" t="str">
        <v>Nao</v>
      </c>
      <c r="Y432" t="str">
        <v>HIV/SIDA</v>
      </c>
      <c r="Z432">
        <v>0</v>
      </c>
      <c r="AA432">
        <v>17.600000000000001</v>
      </c>
      <c r="AB432">
        <v>0.97</v>
      </c>
      <c r="AC432">
        <v>6</v>
      </c>
      <c r="AD432">
        <v>103</v>
      </c>
      <c r="AE432">
        <v>75</v>
      </c>
      <c r="AF432" t="str">
        <v>Urbana</v>
      </c>
      <c r="AG432" t="str">
        <v>Nao</v>
      </c>
    </row>
    <row r="433" spans="2:33" x14ac:dyDescent="0.45">
      <c r="B433" s="4">
        <v>432</v>
      </c>
      <c r="C433" s="4" t="s">
        <v>27</v>
      </c>
      <c r="D433" s="4" t="s">
        <v>16</v>
      </c>
      <c r="E433" s="4" t="s">
        <v>17</v>
      </c>
      <c r="F433" s="4" t="s">
        <v>24</v>
      </c>
      <c r="G433" s="4" t="s">
        <v>19</v>
      </c>
      <c r="H433" s="4" t="s">
        <v>20</v>
      </c>
      <c r="I433" s="4">
        <v>2</v>
      </c>
      <c r="J433" s="5">
        <v>17.100000000000001</v>
      </c>
      <c r="K433" s="6">
        <v>0.77</v>
      </c>
      <c r="L433" s="4">
        <v>5</v>
      </c>
      <c r="M433" s="4">
        <v>104</v>
      </c>
      <c r="N433" s="4">
        <v>79</v>
      </c>
      <c r="O433" s="4" t="s">
        <v>21</v>
      </c>
      <c r="P433" s="7" t="s">
        <v>30</v>
      </c>
      <c r="S433">
        <v>937</v>
      </c>
      <c r="T433" t="str">
        <v>Inhambane</v>
      </c>
      <c r="U433" t="str">
        <v>Masculino</v>
      </c>
      <c r="V433" t="str">
        <v>Casado(a)</v>
      </c>
      <c r="W433" t="str">
        <v>Primaria</v>
      </c>
      <c r="X433" t="str">
        <v>Nao</v>
      </c>
      <c r="Y433" t="str">
        <v>Diarreia</v>
      </c>
      <c r="Z433">
        <v>14</v>
      </c>
      <c r="AA433">
        <v>64</v>
      </c>
      <c r="AB433">
        <v>1.49</v>
      </c>
      <c r="AC433">
        <v>8</v>
      </c>
      <c r="AD433">
        <v>118</v>
      </c>
      <c r="AE433">
        <v>104</v>
      </c>
      <c r="AF433" t="str">
        <v>Rural</v>
      </c>
      <c r="AG433" t="str">
        <v>Sim</v>
      </c>
    </row>
    <row r="434" spans="2:33" x14ac:dyDescent="0.45">
      <c r="B434" s="4">
        <v>433</v>
      </c>
      <c r="C434" s="4" t="s">
        <v>41</v>
      </c>
      <c r="D434" s="4" t="s">
        <v>16</v>
      </c>
      <c r="E434" s="4" t="s">
        <v>17</v>
      </c>
      <c r="F434" s="4" t="s">
        <v>24</v>
      </c>
      <c r="G434" s="4" t="s">
        <v>19</v>
      </c>
      <c r="H434" s="4" t="s">
        <v>34</v>
      </c>
      <c r="I434" s="4">
        <v>40</v>
      </c>
      <c r="J434" s="5">
        <v>70</v>
      </c>
      <c r="K434" s="6">
        <v>1.76</v>
      </c>
      <c r="L434" s="4">
        <v>9</v>
      </c>
      <c r="M434" s="4">
        <v>117</v>
      </c>
      <c r="N434" s="4">
        <v>79</v>
      </c>
      <c r="O434" s="4" t="s">
        <v>26</v>
      </c>
      <c r="P434" s="7" t="s">
        <v>19</v>
      </c>
      <c r="S434">
        <v>938</v>
      </c>
      <c r="T434" t="str">
        <v>Cabo Delgado</v>
      </c>
      <c r="U434" t="str">
        <v>Masculino</v>
      </c>
      <c r="V434" t="str">
        <v>Viuvo(a)</v>
      </c>
      <c r="W434" t="str">
        <v>Primaria</v>
      </c>
      <c r="X434" t="str">
        <v>Nao</v>
      </c>
      <c r="Y434" t="str">
        <v>Nenhuma</v>
      </c>
      <c r="Z434">
        <v>13</v>
      </c>
      <c r="AA434">
        <v>52.9</v>
      </c>
      <c r="AB434">
        <v>1.48</v>
      </c>
      <c r="AC434">
        <v>2</v>
      </c>
      <c r="AD434">
        <v>117</v>
      </c>
      <c r="AE434">
        <v>102</v>
      </c>
      <c r="AF434" t="str">
        <v>Rural</v>
      </c>
      <c r="AG434" t="str">
        <v>Nao</v>
      </c>
    </row>
    <row r="435" spans="2:33" x14ac:dyDescent="0.45">
      <c r="B435" s="4">
        <v>434</v>
      </c>
      <c r="C435" s="4" t="s">
        <v>41</v>
      </c>
      <c r="D435" s="4" t="s">
        <v>16</v>
      </c>
      <c r="E435" s="4" t="s">
        <v>17</v>
      </c>
      <c r="F435" s="4" t="s">
        <v>24</v>
      </c>
      <c r="G435" s="4" t="s">
        <v>30</v>
      </c>
      <c r="H435" s="4" t="s">
        <v>32</v>
      </c>
      <c r="I435" s="4">
        <v>5</v>
      </c>
      <c r="J435" s="5">
        <v>21.5</v>
      </c>
      <c r="K435" s="6">
        <v>1.39</v>
      </c>
      <c r="L435" s="4">
        <v>6</v>
      </c>
      <c r="M435" s="4">
        <v>109</v>
      </c>
      <c r="N435" s="4">
        <v>170</v>
      </c>
      <c r="O435" s="4" t="s">
        <v>21</v>
      </c>
      <c r="P435" s="7" t="s">
        <v>19</v>
      </c>
      <c r="S435">
        <v>939</v>
      </c>
      <c r="T435" t="str">
        <v>Sofala</v>
      </c>
      <c r="U435" t="str">
        <v>Masculino</v>
      </c>
      <c r="V435" t="str">
        <v>Solteiro(a)</v>
      </c>
      <c r="W435" t="str">
        <v>Secundaria</v>
      </c>
      <c r="X435" t="str">
        <v>Sim</v>
      </c>
      <c r="Y435" t="str">
        <v>HIV/SIDA</v>
      </c>
      <c r="Z435">
        <v>25</v>
      </c>
      <c r="AA435">
        <v>94.8</v>
      </c>
      <c r="AB435">
        <v>1.62</v>
      </c>
      <c r="AC435">
        <v>1</v>
      </c>
      <c r="AD435">
        <v>119</v>
      </c>
      <c r="AE435">
        <v>79</v>
      </c>
      <c r="AF435" t="str">
        <v>Rural</v>
      </c>
      <c r="AG435" t="str">
        <v>Sim</v>
      </c>
    </row>
    <row r="436" spans="2:33" x14ac:dyDescent="0.45">
      <c r="B436" s="4">
        <v>435</v>
      </c>
      <c r="C436" s="4" t="s">
        <v>29</v>
      </c>
      <c r="D436" s="4" t="s">
        <v>23</v>
      </c>
      <c r="E436" s="4" t="s">
        <v>35</v>
      </c>
      <c r="F436" s="4" t="s">
        <v>24</v>
      </c>
      <c r="G436" s="4" t="s">
        <v>30</v>
      </c>
      <c r="H436" s="4" t="s">
        <v>36</v>
      </c>
      <c r="I436" s="4">
        <v>31</v>
      </c>
      <c r="J436" s="5">
        <v>84.1</v>
      </c>
      <c r="K436" s="6">
        <v>1.68</v>
      </c>
      <c r="L436" s="4">
        <v>9</v>
      </c>
      <c r="M436" s="4">
        <v>117</v>
      </c>
      <c r="N436" s="4">
        <v>101</v>
      </c>
      <c r="O436" s="4" t="s">
        <v>26</v>
      </c>
      <c r="P436" s="7" t="s">
        <v>19</v>
      </c>
      <c r="S436">
        <v>940</v>
      </c>
      <c r="T436" t="str">
        <v>Zambezia</v>
      </c>
      <c r="U436" t="str">
        <v>Masculino</v>
      </c>
      <c r="V436" t="str">
        <v>Casado(a)</v>
      </c>
      <c r="W436" t="str">
        <v>Nenhuma</v>
      </c>
      <c r="X436" t="str">
        <v>Nao</v>
      </c>
      <c r="Y436" t="str">
        <v>Malaria</v>
      </c>
      <c r="Z436">
        <v>59</v>
      </c>
      <c r="AA436">
        <v>87.1</v>
      </c>
      <c r="AB436">
        <v>1.6</v>
      </c>
      <c r="AC436">
        <v>2</v>
      </c>
      <c r="AD436">
        <v>121</v>
      </c>
      <c r="AE436">
        <v>95</v>
      </c>
      <c r="AF436" t="str">
        <v>Urbana</v>
      </c>
      <c r="AG436" t="str">
        <v>Nao</v>
      </c>
    </row>
    <row r="437" spans="2:33" x14ac:dyDescent="0.45">
      <c r="B437" s="4">
        <v>436</v>
      </c>
      <c r="C437" s="4" t="s">
        <v>15</v>
      </c>
      <c r="D437" s="4" t="s">
        <v>16</v>
      </c>
      <c r="E437" s="4" t="s">
        <v>35</v>
      </c>
      <c r="F437" s="4" t="s">
        <v>18</v>
      </c>
      <c r="G437" s="4" t="s">
        <v>19</v>
      </c>
      <c r="H437" s="4" t="s">
        <v>25</v>
      </c>
      <c r="I437" s="4">
        <v>48</v>
      </c>
      <c r="J437" s="5">
        <v>75.3</v>
      </c>
      <c r="K437" s="6">
        <v>1.63</v>
      </c>
      <c r="L437" s="4">
        <v>5</v>
      </c>
      <c r="M437" s="4">
        <v>113</v>
      </c>
      <c r="N437" s="4">
        <v>89</v>
      </c>
      <c r="O437" s="4" t="s">
        <v>21</v>
      </c>
      <c r="P437" s="7" t="s">
        <v>19</v>
      </c>
      <c r="S437">
        <v>941</v>
      </c>
      <c r="T437" t="str">
        <v>Zambezia</v>
      </c>
      <c r="U437" t="str">
        <v>Masculino</v>
      </c>
      <c r="V437" t="str">
        <v>Casado(a)</v>
      </c>
      <c r="W437" t="str">
        <v>Secundaria</v>
      </c>
      <c r="X437" t="str">
        <v>Nao</v>
      </c>
      <c r="Y437" t="str">
        <v>Diabetes</v>
      </c>
      <c r="Z437">
        <v>6</v>
      </c>
      <c r="AA437">
        <v>29.9</v>
      </c>
      <c r="AB437">
        <v>1.0900000000000001</v>
      </c>
      <c r="AC437">
        <v>1</v>
      </c>
      <c r="AD437">
        <v>94</v>
      </c>
      <c r="AE437">
        <v>173</v>
      </c>
      <c r="AF437" t="str">
        <v>Rural</v>
      </c>
      <c r="AG437" t="str">
        <v>Nao</v>
      </c>
    </row>
    <row r="438" spans="2:33" x14ac:dyDescent="0.45">
      <c r="B438" s="4">
        <v>437</v>
      </c>
      <c r="C438" s="4" t="s">
        <v>40</v>
      </c>
      <c r="D438" s="4" t="s">
        <v>23</v>
      </c>
      <c r="E438" s="4" t="s">
        <v>17</v>
      </c>
      <c r="F438" s="4" t="s">
        <v>18</v>
      </c>
      <c r="G438" s="4" t="s">
        <v>19</v>
      </c>
      <c r="H438" s="4" t="s">
        <v>28</v>
      </c>
      <c r="I438" s="4">
        <v>24</v>
      </c>
      <c r="J438" s="5">
        <v>91.3</v>
      </c>
      <c r="K438" s="6">
        <v>1.72</v>
      </c>
      <c r="L438" s="4">
        <v>2</v>
      </c>
      <c r="M438" s="4">
        <v>125</v>
      </c>
      <c r="N438" s="4">
        <v>75</v>
      </c>
      <c r="O438" s="4" t="s">
        <v>21</v>
      </c>
      <c r="P438" s="7" t="s">
        <v>30</v>
      </c>
      <c r="S438">
        <v>942</v>
      </c>
      <c r="T438" t="str">
        <v>Nampula</v>
      </c>
      <c r="U438" t="str">
        <v>Masculino</v>
      </c>
      <c r="V438" t="str">
        <v>Divorciado(a)</v>
      </c>
      <c r="W438" t="str">
        <v>Secundaria</v>
      </c>
      <c r="X438" t="str">
        <v>Nao</v>
      </c>
      <c r="Y438" t="str">
        <v>Malaria</v>
      </c>
      <c r="Z438">
        <v>8</v>
      </c>
      <c r="AA438">
        <v>18.100000000000001</v>
      </c>
      <c r="AB438">
        <v>1.1200000000000001</v>
      </c>
      <c r="AC438">
        <v>0</v>
      </c>
      <c r="AD438">
        <v>93</v>
      </c>
      <c r="AE438">
        <v>77</v>
      </c>
      <c r="AF438" t="str">
        <v>Urbana</v>
      </c>
      <c r="AG438" t="str">
        <v>Nao</v>
      </c>
    </row>
    <row r="439" spans="2:33" x14ac:dyDescent="0.45">
      <c r="B439" s="4">
        <v>438</v>
      </c>
      <c r="C439" s="4" t="s">
        <v>27</v>
      </c>
      <c r="D439" s="4" t="s">
        <v>16</v>
      </c>
      <c r="E439" s="4" t="s">
        <v>17</v>
      </c>
      <c r="F439" s="4" t="s">
        <v>18</v>
      </c>
      <c r="G439" s="4" t="s">
        <v>30</v>
      </c>
      <c r="H439" s="4" t="s">
        <v>36</v>
      </c>
      <c r="I439" s="4">
        <v>29</v>
      </c>
      <c r="J439" s="5">
        <v>45.9</v>
      </c>
      <c r="K439" s="6">
        <v>1.83</v>
      </c>
      <c r="L439" s="4">
        <v>4</v>
      </c>
      <c r="M439" s="4">
        <v>127</v>
      </c>
      <c r="N439" s="4">
        <v>77</v>
      </c>
      <c r="O439" s="4" t="s">
        <v>21</v>
      </c>
      <c r="P439" s="7" t="s">
        <v>19</v>
      </c>
      <c r="S439">
        <v>943</v>
      </c>
      <c r="T439" t="str">
        <v>Sofala</v>
      </c>
      <c r="U439" t="str">
        <v>Masculino</v>
      </c>
      <c r="V439" t="str">
        <v>Casado(a)</v>
      </c>
      <c r="W439" t="str">
        <v>Primaria</v>
      </c>
      <c r="X439" t="str">
        <v>Nao</v>
      </c>
      <c r="Y439" t="str">
        <v>Malaria</v>
      </c>
      <c r="Z439">
        <v>27</v>
      </c>
      <c r="AA439">
        <v>64.900000000000006</v>
      </c>
      <c r="AB439">
        <v>1.52</v>
      </c>
      <c r="AC439">
        <v>2</v>
      </c>
      <c r="AD439">
        <v>118</v>
      </c>
      <c r="AE439">
        <v>76</v>
      </c>
      <c r="AF439" t="str">
        <v>Rural</v>
      </c>
      <c r="AG439" t="str">
        <v>Sim</v>
      </c>
    </row>
    <row r="440" spans="2:33" x14ac:dyDescent="0.45">
      <c r="B440" s="4">
        <v>439</v>
      </c>
      <c r="C440" s="4" t="s">
        <v>45</v>
      </c>
      <c r="D440" s="4" t="s">
        <v>16</v>
      </c>
      <c r="E440" s="4" t="s">
        <v>37</v>
      </c>
      <c r="F440" s="4" t="s">
        <v>18</v>
      </c>
      <c r="G440" s="4" t="s">
        <v>19</v>
      </c>
      <c r="H440" s="4" t="s">
        <v>20</v>
      </c>
      <c r="I440" s="4">
        <v>7</v>
      </c>
      <c r="J440" s="5">
        <v>31.8</v>
      </c>
      <c r="K440" s="6">
        <v>1.05</v>
      </c>
      <c r="L440" s="4">
        <v>6</v>
      </c>
      <c r="M440" s="4">
        <v>102</v>
      </c>
      <c r="N440" s="4">
        <v>101</v>
      </c>
      <c r="O440" s="4" t="s">
        <v>26</v>
      </c>
      <c r="P440" s="7" t="s">
        <v>19</v>
      </c>
      <c r="S440">
        <v>944</v>
      </c>
      <c r="T440" t="str">
        <v>Nampula</v>
      </c>
      <c r="U440" t="str">
        <v>Masculino</v>
      </c>
      <c r="V440" t="str">
        <v>Casado(a)</v>
      </c>
      <c r="W440" t="str">
        <v>Primaria</v>
      </c>
      <c r="X440" t="str">
        <v>Nao</v>
      </c>
      <c r="Y440" t="str">
        <v>Malaria</v>
      </c>
      <c r="Z440">
        <v>18</v>
      </c>
      <c r="AA440">
        <v>67.099999999999994</v>
      </c>
      <c r="AB440">
        <v>1.57</v>
      </c>
      <c r="AC440">
        <v>0</v>
      </c>
      <c r="AD440">
        <v>110</v>
      </c>
      <c r="AE440">
        <v>87</v>
      </c>
      <c r="AF440" t="str">
        <v>Rural</v>
      </c>
      <c r="AG440" t="str">
        <v>Nao</v>
      </c>
    </row>
    <row r="441" spans="2:33" x14ac:dyDescent="0.45">
      <c r="B441" s="4">
        <v>440</v>
      </c>
      <c r="C441" s="4" t="s">
        <v>22</v>
      </c>
      <c r="D441" s="4" t="s">
        <v>23</v>
      </c>
      <c r="E441" s="4" t="s">
        <v>17</v>
      </c>
      <c r="F441" s="4" t="s">
        <v>18</v>
      </c>
      <c r="G441" s="4" t="s">
        <v>19</v>
      </c>
      <c r="H441" s="4" t="s">
        <v>25</v>
      </c>
      <c r="I441" s="4">
        <v>13</v>
      </c>
      <c r="J441" s="5">
        <v>59.1</v>
      </c>
      <c r="K441" s="6">
        <v>1.55</v>
      </c>
      <c r="L441" s="4">
        <v>6</v>
      </c>
      <c r="M441" s="4">
        <v>107</v>
      </c>
      <c r="N441" s="4">
        <v>73</v>
      </c>
      <c r="O441" s="4" t="s">
        <v>26</v>
      </c>
      <c r="P441" s="7" t="s">
        <v>19</v>
      </c>
      <c r="S441">
        <v>945</v>
      </c>
      <c r="T441" t="str">
        <v>Tete</v>
      </c>
      <c r="U441" t="str">
        <v>Masculino</v>
      </c>
      <c r="V441" t="str">
        <v>Casado(a)</v>
      </c>
      <c r="W441" t="str">
        <v>Secundaria</v>
      </c>
      <c r="X441" t="str">
        <v>Sim</v>
      </c>
      <c r="Y441" t="str">
        <v>Diarreia</v>
      </c>
      <c r="Z441">
        <v>13</v>
      </c>
      <c r="AA441">
        <v>56.3</v>
      </c>
      <c r="AB441">
        <v>1.45</v>
      </c>
      <c r="AC441">
        <v>2</v>
      </c>
      <c r="AD441">
        <v>109</v>
      </c>
      <c r="AE441">
        <v>95</v>
      </c>
      <c r="AF441" t="str">
        <v>Urbana</v>
      </c>
      <c r="AG441" t="str">
        <v>Sim</v>
      </c>
    </row>
    <row r="442" spans="2:33" x14ac:dyDescent="0.45">
      <c r="B442" s="4">
        <v>441</v>
      </c>
      <c r="C442" s="4" t="s">
        <v>22</v>
      </c>
      <c r="D442" s="4" t="s">
        <v>23</v>
      </c>
      <c r="E442" s="4" t="s">
        <v>17</v>
      </c>
      <c r="F442" s="4" t="s">
        <v>24</v>
      </c>
      <c r="G442" s="4" t="s">
        <v>19</v>
      </c>
      <c r="H442" s="4" t="s">
        <v>20</v>
      </c>
      <c r="I442" s="4">
        <v>5</v>
      </c>
      <c r="J442" s="5">
        <v>34.299999999999997</v>
      </c>
      <c r="K442" s="6">
        <v>1.08</v>
      </c>
      <c r="L442" s="4">
        <v>3</v>
      </c>
      <c r="M442" s="4">
        <v>99</v>
      </c>
      <c r="N442" s="4">
        <v>85</v>
      </c>
      <c r="O442" s="4" t="s">
        <v>21</v>
      </c>
      <c r="P442" s="7" t="s">
        <v>19</v>
      </c>
      <c r="S442">
        <v>946</v>
      </c>
      <c r="T442" t="str">
        <v>Maputo Provincia</v>
      </c>
      <c r="U442" t="str">
        <v>Masculino</v>
      </c>
      <c r="V442" t="str">
        <v>Casado(a)</v>
      </c>
      <c r="W442" t="str">
        <v>Primaria</v>
      </c>
      <c r="X442" t="str">
        <v>Sim</v>
      </c>
      <c r="Y442" t="str">
        <v>Tuberculose</v>
      </c>
      <c r="Z442">
        <v>42</v>
      </c>
      <c r="AA442">
        <v>87.9</v>
      </c>
      <c r="AB442">
        <v>1.52</v>
      </c>
      <c r="AC442">
        <v>4</v>
      </c>
      <c r="AD442">
        <v>112</v>
      </c>
      <c r="AE442">
        <v>77</v>
      </c>
      <c r="AF442" t="str">
        <v>Urbana</v>
      </c>
      <c r="AG442" t="str">
        <v>Nao</v>
      </c>
    </row>
    <row r="443" spans="2:33" x14ac:dyDescent="0.45">
      <c r="B443" s="4">
        <v>442</v>
      </c>
      <c r="C443" s="4" t="s">
        <v>39</v>
      </c>
      <c r="D443" s="4" t="s">
        <v>23</v>
      </c>
      <c r="E443" s="4" t="s">
        <v>35</v>
      </c>
      <c r="F443" s="4" t="s">
        <v>18</v>
      </c>
      <c r="G443" s="4" t="s">
        <v>30</v>
      </c>
      <c r="H443" s="4" t="s">
        <v>36</v>
      </c>
      <c r="I443" s="4">
        <v>18</v>
      </c>
      <c r="J443" s="5">
        <v>77.7</v>
      </c>
      <c r="K443" s="6">
        <v>1.53</v>
      </c>
      <c r="L443" s="4">
        <v>1</v>
      </c>
      <c r="M443" s="4">
        <v>124</v>
      </c>
      <c r="N443" s="4">
        <v>80</v>
      </c>
      <c r="O443" s="4" t="s">
        <v>26</v>
      </c>
      <c r="P443" s="7" t="s">
        <v>19</v>
      </c>
      <c r="S443">
        <v>950</v>
      </c>
      <c r="T443" t="str">
        <v>Tete</v>
      </c>
      <c r="U443" t="str">
        <v>Masculino</v>
      </c>
      <c r="V443" t="str">
        <v>Casado(a)</v>
      </c>
      <c r="W443" t="str">
        <v>Nenhuma</v>
      </c>
      <c r="X443" t="str">
        <v>Sim</v>
      </c>
      <c r="Y443" t="str">
        <v>Malaria</v>
      </c>
      <c r="Z443">
        <v>9</v>
      </c>
      <c r="AA443">
        <v>24.8</v>
      </c>
      <c r="AB443">
        <v>1.29</v>
      </c>
      <c r="AC443">
        <v>7</v>
      </c>
      <c r="AD443">
        <v>104</v>
      </c>
      <c r="AE443">
        <v>93</v>
      </c>
      <c r="AF443" t="str">
        <v>Urbana</v>
      </c>
      <c r="AG443" t="str">
        <v>Nao</v>
      </c>
    </row>
    <row r="444" spans="2:33" x14ac:dyDescent="0.45">
      <c r="B444" s="4">
        <v>443</v>
      </c>
      <c r="C444" s="4" t="s">
        <v>45</v>
      </c>
      <c r="D444" s="4" t="s">
        <v>16</v>
      </c>
      <c r="E444" s="4" t="s">
        <v>17</v>
      </c>
      <c r="F444" s="4" t="s">
        <v>18</v>
      </c>
      <c r="G444" s="4" t="s">
        <v>19</v>
      </c>
      <c r="H444" s="4" t="s">
        <v>36</v>
      </c>
      <c r="I444" s="4">
        <v>77</v>
      </c>
      <c r="J444" s="5">
        <v>48.2</v>
      </c>
      <c r="K444" s="6">
        <v>1.71</v>
      </c>
      <c r="L444" s="4">
        <v>1</v>
      </c>
      <c r="M444" s="4">
        <v>137</v>
      </c>
      <c r="N444" s="4">
        <v>90</v>
      </c>
      <c r="O444" s="4" t="s">
        <v>21</v>
      </c>
      <c r="P444" s="7" t="s">
        <v>19</v>
      </c>
      <c r="S444">
        <v>951</v>
      </c>
      <c r="T444" t="str">
        <v>Maputo Cidade</v>
      </c>
      <c r="U444" t="str">
        <v>Masculino</v>
      </c>
      <c r="V444" t="str">
        <v>Solteiro(a)</v>
      </c>
      <c r="W444" t="str">
        <v>Primaria</v>
      </c>
      <c r="X444" t="str">
        <v>Nao</v>
      </c>
      <c r="Y444" t="str">
        <v>Diarreia</v>
      </c>
      <c r="Z444">
        <v>60</v>
      </c>
      <c r="AA444">
        <v>93.4</v>
      </c>
      <c r="AB444">
        <v>1.61</v>
      </c>
      <c r="AC444">
        <v>4</v>
      </c>
      <c r="AD444">
        <v>119</v>
      </c>
      <c r="AE444">
        <v>72</v>
      </c>
      <c r="AF444" t="str">
        <v>Urbana</v>
      </c>
      <c r="AG444" t="str">
        <v>Sim</v>
      </c>
    </row>
    <row r="445" spans="2:33" x14ac:dyDescent="0.45">
      <c r="B445" s="4">
        <v>444</v>
      </c>
      <c r="C445" s="4" t="s">
        <v>39</v>
      </c>
      <c r="D445" s="4" t="s">
        <v>23</v>
      </c>
      <c r="E445" s="4" t="s">
        <v>44</v>
      </c>
      <c r="F445" s="4" t="s">
        <v>18</v>
      </c>
      <c r="G445" s="4" t="s">
        <v>19</v>
      </c>
      <c r="H445" s="4" t="s">
        <v>20</v>
      </c>
      <c r="I445" s="4">
        <v>17</v>
      </c>
      <c r="J445" s="5">
        <v>44.7</v>
      </c>
      <c r="K445" s="6">
        <v>1.68</v>
      </c>
      <c r="L445" s="4">
        <v>3</v>
      </c>
      <c r="M445" s="4">
        <v>112</v>
      </c>
      <c r="N445" s="4">
        <v>82</v>
      </c>
      <c r="O445" s="4" t="s">
        <v>26</v>
      </c>
      <c r="P445" s="7" t="s">
        <v>19</v>
      </c>
      <c r="S445">
        <v>954</v>
      </c>
      <c r="T445" t="str">
        <v>Nampula</v>
      </c>
      <c r="U445" t="str">
        <v>Masculino</v>
      </c>
      <c r="V445" t="str">
        <v>Solteiro(a)</v>
      </c>
      <c r="W445" t="str">
        <v>Primaria</v>
      </c>
      <c r="X445" t="str">
        <v>Nao</v>
      </c>
      <c r="Y445" t="str">
        <v>Malaria</v>
      </c>
      <c r="Z445">
        <v>83</v>
      </c>
      <c r="AA445">
        <v>81.8</v>
      </c>
      <c r="AB445">
        <v>1.9</v>
      </c>
      <c r="AC445">
        <v>2</v>
      </c>
      <c r="AD445">
        <v>128</v>
      </c>
      <c r="AE445">
        <v>72</v>
      </c>
      <c r="AF445" t="str">
        <v>Rural</v>
      </c>
      <c r="AG445" t="str">
        <v>Sim</v>
      </c>
    </row>
    <row r="446" spans="2:33" x14ac:dyDescent="0.45">
      <c r="B446" s="4">
        <v>445</v>
      </c>
      <c r="C446" s="4" t="s">
        <v>22</v>
      </c>
      <c r="D446" s="4" t="s">
        <v>23</v>
      </c>
      <c r="E446" s="4" t="s">
        <v>35</v>
      </c>
      <c r="F446" s="4" t="s">
        <v>24</v>
      </c>
      <c r="G446" s="4" t="s">
        <v>19</v>
      </c>
      <c r="H446" s="4" t="s">
        <v>34</v>
      </c>
      <c r="I446" s="4">
        <v>16</v>
      </c>
      <c r="J446" s="5">
        <v>55.9</v>
      </c>
      <c r="K446" s="6">
        <v>1.59</v>
      </c>
      <c r="L446" s="4">
        <v>4</v>
      </c>
      <c r="M446" s="4">
        <v>112</v>
      </c>
      <c r="N446" s="4">
        <v>80</v>
      </c>
      <c r="O446" s="4" t="s">
        <v>26</v>
      </c>
      <c r="P446" s="7" t="s">
        <v>19</v>
      </c>
      <c r="S446">
        <v>956</v>
      </c>
      <c r="T446" t="str">
        <v>Inhambane</v>
      </c>
      <c r="U446" t="str">
        <v>Masculino</v>
      </c>
      <c r="V446" t="str">
        <v>Solteiro(a)</v>
      </c>
      <c r="W446" t="str">
        <v>Superior</v>
      </c>
      <c r="X446" t="str">
        <v>Sim</v>
      </c>
      <c r="Y446" t="str">
        <v>Tuberculose</v>
      </c>
      <c r="Z446">
        <v>13</v>
      </c>
      <c r="AA446">
        <v>41.7</v>
      </c>
      <c r="AB446">
        <v>1.69</v>
      </c>
      <c r="AC446">
        <v>6</v>
      </c>
      <c r="AD446">
        <v>119</v>
      </c>
      <c r="AE446">
        <v>70</v>
      </c>
      <c r="AF446" t="str">
        <v>Urbana</v>
      </c>
      <c r="AG446" t="str">
        <v>Nao</v>
      </c>
    </row>
    <row r="447" spans="2:33" x14ac:dyDescent="0.45">
      <c r="B447" s="4">
        <v>446</v>
      </c>
      <c r="C447" s="4" t="s">
        <v>43</v>
      </c>
      <c r="D447" s="4" t="s">
        <v>16</v>
      </c>
      <c r="E447" s="4" t="s">
        <v>17</v>
      </c>
      <c r="F447" s="4" t="s">
        <v>28</v>
      </c>
      <c r="G447" s="4" t="s">
        <v>19</v>
      </c>
      <c r="H447" s="4" t="s">
        <v>28</v>
      </c>
      <c r="I447" s="4">
        <v>15</v>
      </c>
      <c r="J447" s="5">
        <v>62.3</v>
      </c>
      <c r="K447" s="6">
        <v>1.66</v>
      </c>
      <c r="L447" s="4">
        <v>9</v>
      </c>
      <c r="M447" s="4">
        <v>96</v>
      </c>
      <c r="N447" s="4">
        <v>86</v>
      </c>
      <c r="O447" s="4" t="s">
        <v>26</v>
      </c>
      <c r="P447" s="7" t="s">
        <v>19</v>
      </c>
      <c r="S447">
        <v>957</v>
      </c>
      <c r="T447" t="str">
        <v>Tete</v>
      </c>
      <c r="U447" t="str">
        <v>Masculino</v>
      </c>
      <c r="V447" t="str">
        <v>Solteiro(a)</v>
      </c>
      <c r="W447" t="str">
        <v>Primaria</v>
      </c>
      <c r="X447" t="str">
        <v>Nao</v>
      </c>
      <c r="Y447" t="str">
        <v>Diarreia</v>
      </c>
      <c r="Z447">
        <v>10</v>
      </c>
      <c r="AA447">
        <v>21.4</v>
      </c>
      <c r="AB447">
        <v>1.07</v>
      </c>
      <c r="AC447">
        <v>3</v>
      </c>
      <c r="AD447">
        <v>117</v>
      </c>
      <c r="AE447">
        <v>84</v>
      </c>
      <c r="AF447" t="str">
        <v>Rural</v>
      </c>
      <c r="AG447" t="str">
        <v>Nao</v>
      </c>
    </row>
    <row r="448" spans="2:33" x14ac:dyDescent="0.45">
      <c r="B448" s="4">
        <v>447</v>
      </c>
      <c r="C448" s="4" t="s">
        <v>39</v>
      </c>
      <c r="D448" s="4" t="s">
        <v>23</v>
      </c>
      <c r="E448" s="4" t="s">
        <v>44</v>
      </c>
      <c r="F448" s="4" t="s">
        <v>28</v>
      </c>
      <c r="G448" s="4" t="s">
        <v>19</v>
      </c>
      <c r="H448" s="4" t="s">
        <v>38</v>
      </c>
      <c r="I448" s="4">
        <v>3</v>
      </c>
      <c r="J448" s="5">
        <v>13.3</v>
      </c>
      <c r="K448" s="6">
        <v>0.87</v>
      </c>
      <c r="L448" s="4">
        <v>3</v>
      </c>
      <c r="M448" s="4">
        <v>107</v>
      </c>
      <c r="N448" s="4">
        <v>71</v>
      </c>
      <c r="O448" s="4" t="s">
        <v>21</v>
      </c>
      <c r="P448" s="7" t="s">
        <v>19</v>
      </c>
      <c r="S448">
        <v>960</v>
      </c>
      <c r="T448" t="str">
        <v>Sofala</v>
      </c>
      <c r="U448" t="str">
        <v>Masculino</v>
      </c>
      <c r="V448" t="str">
        <v>Solteiro(a)</v>
      </c>
      <c r="W448" t="str">
        <v>Nenhuma</v>
      </c>
      <c r="X448" t="str">
        <v>Nao</v>
      </c>
      <c r="Y448" t="str">
        <v>HIV/SIDA</v>
      </c>
      <c r="Z448">
        <v>14</v>
      </c>
      <c r="AA448">
        <v>45.8</v>
      </c>
      <c r="AB448">
        <v>1.55</v>
      </c>
      <c r="AC448">
        <v>1</v>
      </c>
      <c r="AD448">
        <v>125</v>
      </c>
      <c r="AE448">
        <v>90</v>
      </c>
      <c r="AF448" t="str">
        <v>Rural</v>
      </c>
      <c r="AG448" t="str">
        <v>Sim</v>
      </c>
    </row>
    <row r="449" spans="2:33" x14ac:dyDescent="0.45">
      <c r="B449" s="4">
        <v>448</v>
      </c>
      <c r="C449" s="4" t="s">
        <v>45</v>
      </c>
      <c r="D449" s="4" t="s">
        <v>16</v>
      </c>
      <c r="E449" s="4" t="s">
        <v>17</v>
      </c>
      <c r="F449" s="4" t="s">
        <v>18</v>
      </c>
      <c r="G449" s="4" t="s">
        <v>19</v>
      </c>
      <c r="H449" s="4" t="s">
        <v>36</v>
      </c>
      <c r="I449" s="4">
        <v>34</v>
      </c>
      <c r="J449" s="5">
        <v>81.7</v>
      </c>
      <c r="K449" s="6">
        <v>1.54</v>
      </c>
      <c r="L449" s="4">
        <v>6</v>
      </c>
      <c r="M449" s="4">
        <v>140</v>
      </c>
      <c r="N449" s="4">
        <v>83</v>
      </c>
      <c r="O449" s="4" t="s">
        <v>26</v>
      </c>
      <c r="P449" s="7" t="s">
        <v>19</v>
      </c>
      <c r="S449">
        <v>968</v>
      </c>
      <c r="T449" t="str">
        <v>Zambezia</v>
      </c>
      <c r="U449" t="str">
        <v>Masculino</v>
      </c>
      <c r="V449" t="str">
        <v>Casado(a)</v>
      </c>
      <c r="W449" t="str">
        <v>Secundaria</v>
      </c>
      <c r="X449" t="str">
        <v>Nao</v>
      </c>
      <c r="Y449" t="str">
        <v>HIV/SIDA</v>
      </c>
      <c r="Z449">
        <v>12</v>
      </c>
      <c r="AA449">
        <v>56.7</v>
      </c>
      <c r="AB449">
        <v>1.69</v>
      </c>
      <c r="AC449">
        <v>2</v>
      </c>
      <c r="AD449">
        <v>112</v>
      </c>
      <c r="AE449">
        <v>79</v>
      </c>
      <c r="AF449" t="str">
        <v>Rural</v>
      </c>
      <c r="AG449" t="str">
        <v>Nao</v>
      </c>
    </row>
    <row r="450" spans="2:33" x14ac:dyDescent="0.45">
      <c r="B450" s="4">
        <v>449</v>
      </c>
      <c r="C450" s="4" t="s">
        <v>33</v>
      </c>
      <c r="D450" s="4" t="s">
        <v>16</v>
      </c>
      <c r="E450" s="4" t="s">
        <v>35</v>
      </c>
      <c r="F450" s="4" t="s">
        <v>18</v>
      </c>
      <c r="G450" s="4" t="s">
        <v>19</v>
      </c>
      <c r="H450" s="4" t="s">
        <v>28</v>
      </c>
      <c r="I450" s="4">
        <v>4</v>
      </c>
      <c r="J450" s="5">
        <v>15.2</v>
      </c>
      <c r="K450" s="6">
        <v>0.77</v>
      </c>
      <c r="L450" s="4">
        <v>1</v>
      </c>
      <c r="M450" s="4">
        <v>113</v>
      </c>
      <c r="N450" s="4">
        <v>72</v>
      </c>
      <c r="O450" s="4" t="s">
        <v>26</v>
      </c>
      <c r="P450" s="7" t="s">
        <v>19</v>
      </c>
      <c r="S450">
        <v>969</v>
      </c>
      <c r="T450" t="str">
        <v>Tete</v>
      </c>
      <c r="U450" t="str">
        <v>Masculino</v>
      </c>
      <c r="V450" t="str">
        <v>Solteiro(a)</v>
      </c>
      <c r="W450" t="str">
        <v>Nenhuma</v>
      </c>
      <c r="X450" t="str">
        <v>Nao</v>
      </c>
      <c r="Y450" t="str">
        <v>Nenhuma</v>
      </c>
      <c r="Z450">
        <v>25</v>
      </c>
      <c r="AA450">
        <v>77.099999999999994</v>
      </c>
      <c r="AB450">
        <v>1.62</v>
      </c>
      <c r="AC450">
        <v>5</v>
      </c>
      <c r="AD450">
        <v>122</v>
      </c>
      <c r="AE450">
        <v>77</v>
      </c>
      <c r="AF450" t="str">
        <v>Urbana</v>
      </c>
      <c r="AG450" t="str">
        <v>Nao</v>
      </c>
    </row>
    <row r="451" spans="2:33" x14ac:dyDescent="0.45">
      <c r="B451" s="4">
        <v>450</v>
      </c>
      <c r="C451" s="4" t="s">
        <v>22</v>
      </c>
      <c r="D451" s="4" t="s">
        <v>16</v>
      </c>
      <c r="E451" s="4" t="s">
        <v>17</v>
      </c>
      <c r="F451" s="4" t="s">
        <v>18</v>
      </c>
      <c r="G451" s="4" t="s">
        <v>19</v>
      </c>
      <c r="H451" s="4" t="s">
        <v>38</v>
      </c>
      <c r="I451" s="4">
        <v>12</v>
      </c>
      <c r="J451" s="5">
        <v>53.8</v>
      </c>
      <c r="K451" s="6">
        <v>1.58</v>
      </c>
      <c r="L451" s="4">
        <v>1</v>
      </c>
      <c r="M451" s="4">
        <v>94</v>
      </c>
      <c r="N451" s="4">
        <v>87</v>
      </c>
      <c r="O451" s="4" t="s">
        <v>21</v>
      </c>
      <c r="P451" s="7" t="s">
        <v>19</v>
      </c>
      <c r="S451">
        <v>970</v>
      </c>
      <c r="T451" t="str">
        <v>Nampula</v>
      </c>
      <c r="U451" t="str">
        <v>Masculino</v>
      </c>
      <c r="V451" t="str">
        <v>Casado(a)</v>
      </c>
      <c r="W451" t="str">
        <v>Primaria</v>
      </c>
      <c r="X451" t="str">
        <v>Nao</v>
      </c>
      <c r="Y451" t="str">
        <v>Malaria</v>
      </c>
      <c r="Z451">
        <v>29</v>
      </c>
      <c r="AA451">
        <v>91.7</v>
      </c>
      <c r="AB451">
        <v>1.88</v>
      </c>
      <c r="AC451">
        <v>1</v>
      </c>
      <c r="AD451">
        <v>116</v>
      </c>
      <c r="AE451">
        <v>75</v>
      </c>
      <c r="AF451" t="str">
        <v>Rural</v>
      </c>
      <c r="AG451" t="str">
        <v>Nao</v>
      </c>
    </row>
    <row r="452" spans="2:33" x14ac:dyDescent="0.45">
      <c r="B452" s="4">
        <v>451</v>
      </c>
      <c r="C452" s="4" t="s">
        <v>41</v>
      </c>
      <c r="D452" s="4" t="s">
        <v>16</v>
      </c>
      <c r="E452" s="4" t="s">
        <v>37</v>
      </c>
      <c r="F452" s="4" t="s">
        <v>18</v>
      </c>
      <c r="G452" s="4" t="s">
        <v>19</v>
      </c>
      <c r="H452" s="4" t="s">
        <v>38</v>
      </c>
      <c r="I452" s="4">
        <v>10</v>
      </c>
      <c r="J452" s="5">
        <v>30</v>
      </c>
      <c r="K452" s="6">
        <v>1.07</v>
      </c>
      <c r="L452" s="4">
        <v>4</v>
      </c>
      <c r="M452" s="4">
        <v>117</v>
      </c>
      <c r="N452" s="4">
        <v>99</v>
      </c>
      <c r="O452" s="4" t="s">
        <v>21</v>
      </c>
      <c r="P452" s="7" t="s">
        <v>19</v>
      </c>
      <c r="S452">
        <v>971</v>
      </c>
      <c r="T452" t="str">
        <v>Sofala</v>
      </c>
      <c r="U452" t="str">
        <v>Masculino</v>
      </c>
      <c r="V452" t="str">
        <v>Viuvo(a)</v>
      </c>
      <c r="W452" t="str">
        <v>Secundaria</v>
      </c>
      <c r="X452" t="str">
        <v>Nao</v>
      </c>
      <c r="Y452" t="str">
        <v>Malaria</v>
      </c>
      <c r="Z452">
        <v>15</v>
      </c>
      <c r="AA452">
        <v>48.1</v>
      </c>
      <c r="AB452">
        <v>1.52</v>
      </c>
      <c r="AC452">
        <v>1</v>
      </c>
      <c r="AD452">
        <v>113</v>
      </c>
      <c r="AE452">
        <v>105</v>
      </c>
      <c r="AF452" t="str">
        <v>Urbana</v>
      </c>
      <c r="AG452" t="str">
        <v>Nao</v>
      </c>
    </row>
    <row r="453" spans="2:33" x14ac:dyDescent="0.45">
      <c r="B453" s="4">
        <v>452</v>
      </c>
      <c r="C453" s="4" t="s">
        <v>41</v>
      </c>
      <c r="D453" s="4" t="s">
        <v>16</v>
      </c>
      <c r="E453" s="4" t="s">
        <v>35</v>
      </c>
      <c r="F453" s="4" t="s">
        <v>28</v>
      </c>
      <c r="G453" s="4" t="s">
        <v>30</v>
      </c>
      <c r="H453" s="4" t="s">
        <v>34</v>
      </c>
      <c r="I453" s="4">
        <v>52</v>
      </c>
      <c r="J453" s="5">
        <v>59.6</v>
      </c>
      <c r="K453" s="6">
        <v>1.71</v>
      </c>
      <c r="L453" s="4">
        <v>0</v>
      </c>
      <c r="M453" s="4">
        <v>121</v>
      </c>
      <c r="N453" s="4">
        <v>74</v>
      </c>
      <c r="O453" s="4" t="s">
        <v>21</v>
      </c>
      <c r="P453" s="7" t="s">
        <v>30</v>
      </c>
      <c r="S453">
        <v>972</v>
      </c>
      <c r="T453" t="str">
        <v>Nampula</v>
      </c>
      <c r="U453" t="str">
        <v>Masculino</v>
      </c>
      <c r="V453" t="str">
        <v>Casado(a)</v>
      </c>
      <c r="W453" t="str">
        <v>Primaria</v>
      </c>
      <c r="X453" t="str">
        <v>Nao</v>
      </c>
      <c r="Y453" t="str">
        <v>Malaria</v>
      </c>
      <c r="Z453">
        <v>90</v>
      </c>
      <c r="AA453">
        <v>66</v>
      </c>
      <c r="AB453">
        <v>1.52</v>
      </c>
      <c r="AC453">
        <v>1</v>
      </c>
      <c r="AD453">
        <v>121</v>
      </c>
      <c r="AE453">
        <v>91</v>
      </c>
      <c r="AF453" t="str">
        <v>Urbana</v>
      </c>
      <c r="AG453" t="str">
        <v>Sim</v>
      </c>
    </row>
    <row r="454" spans="2:33" x14ac:dyDescent="0.45">
      <c r="B454" s="4">
        <v>453</v>
      </c>
      <c r="C454" s="4" t="s">
        <v>39</v>
      </c>
      <c r="D454" s="4" t="s">
        <v>16</v>
      </c>
      <c r="E454" s="4" t="s">
        <v>35</v>
      </c>
      <c r="F454" s="4" t="s">
        <v>18</v>
      </c>
      <c r="G454" s="4" t="s">
        <v>30</v>
      </c>
      <c r="H454" s="4" t="s">
        <v>20</v>
      </c>
      <c r="I454" s="4">
        <v>28</v>
      </c>
      <c r="J454" s="5">
        <v>57.1</v>
      </c>
      <c r="K454" s="6">
        <v>1.71</v>
      </c>
      <c r="L454" s="4">
        <v>5</v>
      </c>
      <c r="M454" s="4">
        <v>113</v>
      </c>
      <c r="N454" s="4">
        <v>89</v>
      </c>
      <c r="O454" s="4" t="s">
        <v>21</v>
      </c>
      <c r="P454" s="7" t="s">
        <v>19</v>
      </c>
      <c r="S454">
        <v>975</v>
      </c>
      <c r="T454" t="str">
        <v>Niassa</v>
      </c>
      <c r="U454" t="str">
        <v>Masculino</v>
      </c>
      <c r="V454" t="str">
        <v>Viuvo(a)</v>
      </c>
      <c r="W454" t="str">
        <v>Secundaria</v>
      </c>
      <c r="X454" t="str">
        <v>Sim</v>
      </c>
      <c r="Y454" t="str">
        <v>Nenhuma</v>
      </c>
      <c r="Z454">
        <v>64</v>
      </c>
      <c r="AA454">
        <v>61.6</v>
      </c>
      <c r="AB454">
        <v>1.84</v>
      </c>
      <c r="AC454">
        <v>2</v>
      </c>
      <c r="AD454">
        <v>138</v>
      </c>
      <c r="AE454">
        <v>94</v>
      </c>
      <c r="AF454" t="str">
        <v>Urbana</v>
      </c>
      <c r="AG454" t="str">
        <v>Sim</v>
      </c>
    </row>
    <row r="455" spans="2:33" x14ac:dyDescent="0.45">
      <c r="B455" s="4">
        <v>454</v>
      </c>
      <c r="C455" s="4" t="s">
        <v>22</v>
      </c>
      <c r="D455" s="4" t="s">
        <v>16</v>
      </c>
      <c r="E455" s="4" t="s">
        <v>37</v>
      </c>
      <c r="F455" s="4" t="s">
        <v>24</v>
      </c>
      <c r="G455" s="4" t="s">
        <v>19</v>
      </c>
      <c r="H455" s="4" t="s">
        <v>20</v>
      </c>
      <c r="I455" s="4">
        <v>21</v>
      </c>
      <c r="J455" s="5">
        <v>89.8</v>
      </c>
      <c r="K455" s="6">
        <v>1.57</v>
      </c>
      <c r="L455" s="4">
        <v>5</v>
      </c>
      <c r="M455" s="4">
        <v>104</v>
      </c>
      <c r="N455" s="4">
        <v>76</v>
      </c>
      <c r="O455" s="4" t="s">
        <v>26</v>
      </c>
      <c r="P455" s="7" t="s">
        <v>19</v>
      </c>
      <c r="S455">
        <v>976</v>
      </c>
      <c r="T455" t="str">
        <v>Inhambane</v>
      </c>
      <c r="U455" t="str">
        <v>Masculino</v>
      </c>
      <c r="V455" t="str">
        <v>Solteiro(a)</v>
      </c>
      <c r="W455" t="str">
        <v>Secundaria</v>
      </c>
      <c r="X455" t="str">
        <v>Nao</v>
      </c>
      <c r="Y455" t="str">
        <v>Malaria</v>
      </c>
      <c r="Z455">
        <v>1</v>
      </c>
      <c r="AA455">
        <v>18</v>
      </c>
      <c r="AB455">
        <v>0.71</v>
      </c>
      <c r="AC455">
        <v>2</v>
      </c>
      <c r="AD455">
        <v>108</v>
      </c>
      <c r="AE455">
        <v>93</v>
      </c>
      <c r="AF455" t="str">
        <v>Urbana</v>
      </c>
      <c r="AG455" t="str">
        <v>Nao</v>
      </c>
    </row>
    <row r="456" spans="2:33" x14ac:dyDescent="0.45">
      <c r="B456" s="4">
        <v>455</v>
      </c>
      <c r="C456" s="4" t="s">
        <v>27</v>
      </c>
      <c r="D456" s="4" t="s">
        <v>23</v>
      </c>
      <c r="E456" s="4" t="s">
        <v>17</v>
      </c>
      <c r="F456" s="4" t="s">
        <v>18</v>
      </c>
      <c r="G456" s="4" t="s">
        <v>30</v>
      </c>
      <c r="H456" s="4" t="s">
        <v>46</v>
      </c>
      <c r="I456" s="4">
        <v>22</v>
      </c>
      <c r="J456" s="5">
        <v>89.9</v>
      </c>
      <c r="K456" s="6">
        <v>1.57</v>
      </c>
      <c r="L456" s="4">
        <v>0</v>
      </c>
      <c r="M456" s="4">
        <v>113</v>
      </c>
      <c r="N456" s="4">
        <v>101</v>
      </c>
      <c r="O456" s="4" t="s">
        <v>21</v>
      </c>
      <c r="P456" s="7" t="s">
        <v>30</v>
      </c>
      <c r="S456">
        <v>979</v>
      </c>
      <c r="T456" t="str">
        <v>Tete</v>
      </c>
      <c r="U456" t="str">
        <v>Masculino</v>
      </c>
      <c r="V456" t="str">
        <v>Solteiro(a)</v>
      </c>
      <c r="W456" t="str">
        <v>Secundaria</v>
      </c>
      <c r="X456" t="str">
        <v>Nao</v>
      </c>
      <c r="Y456" t="str">
        <v>Pneumonia</v>
      </c>
      <c r="Z456">
        <v>7</v>
      </c>
      <c r="AA456">
        <v>35.799999999999997</v>
      </c>
      <c r="AB456">
        <v>1.41</v>
      </c>
      <c r="AC456">
        <v>0</v>
      </c>
      <c r="AD456">
        <v>111</v>
      </c>
      <c r="AE456">
        <v>87</v>
      </c>
      <c r="AF456" t="str">
        <v>Urbana</v>
      </c>
      <c r="AG456" t="str">
        <v>Nao</v>
      </c>
    </row>
    <row r="457" spans="2:33" x14ac:dyDescent="0.45">
      <c r="B457" s="4">
        <v>456</v>
      </c>
      <c r="C457" s="4" t="s">
        <v>15</v>
      </c>
      <c r="D457" s="4" t="s">
        <v>23</v>
      </c>
      <c r="E457" s="4" t="s">
        <v>35</v>
      </c>
      <c r="F457" s="4" t="s">
        <v>18</v>
      </c>
      <c r="G457" s="4" t="s">
        <v>30</v>
      </c>
      <c r="H457" s="4" t="s">
        <v>28</v>
      </c>
      <c r="I457" s="4">
        <v>6</v>
      </c>
      <c r="J457" s="5">
        <v>26.9</v>
      </c>
      <c r="K457" s="6">
        <v>1.42</v>
      </c>
      <c r="L457" s="4">
        <v>1</v>
      </c>
      <c r="M457" s="4">
        <v>108</v>
      </c>
      <c r="N457" s="4">
        <v>105</v>
      </c>
      <c r="O457" s="4" t="s">
        <v>21</v>
      </c>
      <c r="P457" s="7" t="s">
        <v>19</v>
      </c>
      <c r="S457">
        <v>980</v>
      </c>
      <c r="T457" t="str">
        <v>Maputo Provincia</v>
      </c>
      <c r="U457" t="str">
        <v>Masculino</v>
      </c>
      <c r="V457" t="str">
        <v>Casado(a)</v>
      </c>
      <c r="W457" t="str">
        <v>Secundaria</v>
      </c>
      <c r="X457" t="str">
        <v>Nao</v>
      </c>
      <c r="Y457" t="str">
        <v>Nenhuma</v>
      </c>
      <c r="Z457">
        <v>14</v>
      </c>
      <c r="AA457">
        <v>59.4</v>
      </c>
      <c r="AB457">
        <v>1.7</v>
      </c>
      <c r="AC457">
        <v>5</v>
      </c>
      <c r="AD457">
        <v>98</v>
      </c>
      <c r="AE457">
        <v>93</v>
      </c>
      <c r="AF457" t="str">
        <v>Rural</v>
      </c>
      <c r="AG457" t="str">
        <v>Nao</v>
      </c>
    </row>
    <row r="458" spans="2:33" x14ac:dyDescent="0.45">
      <c r="B458" s="4">
        <v>457</v>
      </c>
      <c r="C458" s="4" t="s">
        <v>22</v>
      </c>
      <c r="D458" s="4" t="s">
        <v>23</v>
      </c>
      <c r="E458" s="4" t="s">
        <v>37</v>
      </c>
      <c r="F458" s="4" t="s">
        <v>24</v>
      </c>
      <c r="G458" s="4" t="s">
        <v>19</v>
      </c>
      <c r="H458" s="4" t="s">
        <v>36</v>
      </c>
      <c r="I458" s="4">
        <v>11</v>
      </c>
      <c r="J458" s="5">
        <v>35.1</v>
      </c>
      <c r="K458" s="6">
        <v>1.22</v>
      </c>
      <c r="L458" s="4">
        <v>4</v>
      </c>
      <c r="M458" s="4">
        <v>125</v>
      </c>
      <c r="N458" s="4">
        <v>100</v>
      </c>
      <c r="O458" s="4" t="s">
        <v>26</v>
      </c>
      <c r="P458" s="7" t="s">
        <v>19</v>
      </c>
      <c r="S458">
        <v>981</v>
      </c>
      <c r="T458" t="str">
        <v>Tete</v>
      </c>
      <c r="U458" t="str">
        <v>Masculino</v>
      </c>
      <c r="V458" t="str">
        <v>Divorciado(a)</v>
      </c>
      <c r="W458" t="str">
        <v>Secundaria</v>
      </c>
      <c r="X458" t="str">
        <v>Nao</v>
      </c>
      <c r="Y458" t="str">
        <v>Malaria</v>
      </c>
      <c r="Z458">
        <v>16</v>
      </c>
      <c r="AA458">
        <v>41.9</v>
      </c>
      <c r="AB458">
        <v>1.58</v>
      </c>
      <c r="AC458">
        <v>2</v>
      </c>
      <c r="AD458">
        <v>107</v>
      </c>
      <c r="AE458">
        <v>85</v>
      </c>
      <c r="AF458" t="str">
        <v>Rural</v>
      </c>
      <c r="AG458" t="str">
        <v>Nao</v>
      </c>
    </row>
    <row r="459" spans="2:33" x14ac:dyDescent="0.45">
      <c r="B459" s="4">
        <v>458</v>
      </c>
      <c r="C459" s="4" t="s">
        <v>41</v>
      </c>
      <c r="D459" s="4" t="s">
        <v>16</v>
      </c>
      <c r="E459" s="4" t="s">
        <v>44</v>
      </c>
      <c r="F459" s="4" t="s">
        <v>24</v>
      </c>
      <c r="G459" s="4" t="s">
        <v>19</v>
      </c>
      <c r="H459" s="4" t="s">
        <v>28</v>
      </c>
      <c r="I459" s="4">
        <v>19</v>
      </c>
      <c r="J459" s="5">
        <v>73.3</v>
      </c>
      <c r="K459" s="6">
        <v>1.65</v>
      </c>
      <c r="L459" s="4">
        <v>0</v>
      </c>
      <c r="M459" s="4">
        <v>108</v>
      </c>
      <c r="N459" s="4">
        <v>97</v>
      </c>
      <c r="O459" s="4" t="s">
        <v>26</v>
      </c>
      <c r="P459" s="7" t="s">
        <v>19</v>
      </c>
      <c r="S459">
        <v>983</v>
      </c>
      <c r="T459" t="str">
        <v>Manica</v>
      </c>
      <c r="U459" t="str">
        <v>Masculino</v>
      </c>
      <c r="V459" t="str">
        <v>Solteiro(a)</v>
      </c>
      <c r="W459" t="str">
        <v>Secundaria</v>
      </c>
      <c r="X459" t="str">
        <v>Nao</v>
      </c>
      <c r="Y459" t="str">
        <v>Nenhuma</v>
      </c>
      <c r="Z459">
        <v>12</v>
      </c>
      <c r="AA459">
        <v>52.8</v>
      </c>
      <c r="AB459">
        <v>1.49</v>
      </c>
      <c r="AC459">
        <v>1</v>
      </c>
      <c r="AD459">
        <v>107</v>
      </c>
      <c r="AE459">
        <v>76</v>
      </c>
      <c r="AF459" t="str">
        <v>Rural</v>
      </c>
      <c r="AG459" t="str">
        <v>Nao</v>
      </c>
    </row>
    <row r="460" spans="2:33" x14ac:dyDescent="0.45">
      <c r="B460" s="4">
        <v>459</v>
      </c>
      <c r="C460" s="4" t="s">
        <v>15</v>
      </c>
      <c r="D460" s="4" t="s">
        <v>16</v>
      </c>
      <c r="E460" s="4" t="s">
        <v>17</v>
      </c>
      <c r="F460" s="4" t="s">
        <v>18</v>
      </c>
      <c r="G460" s="4" t="s">
        <v>19</v>
      </c>
      <c r="H460" s="4" t="s">
        <v>20</v>
      </c>
      <c r="I460" s="4">
        <v>43</v>
      </c>
      <c r="J460" s="5">
        <v>54.5</v>
      </c>
      <c r="K460" s="6">
        <v>1.69</v>
      </c>
      <c r="L460" s="4">
        <v>3</v>
      </c>
      <c r="M460" s="4">
        <v>109</v>
      </c>
      <c r="N460" s="4">
        <v>79</v>
      </c>
      <c r="O460" s="4" t="s">
        <v>26</v>
      </c>
      <c r="P460" s="7" t="s">
        <v>30</v>
      </c>
      <c r="S460">
        <v>985</v>
      </c>
      <c r="T460" t="str">
        <v>Nampula</v>
      </c>
      <c r="U460" t="str">
        <v>Masculino</v>
      </c>
      <c r="V460" t="str">
        <v>Casado(a)</v>
      </c>
      <c r="W460" t="str">
        <v>Primaria</v>
      </c>
      <c r="X460" t="str">
        <v>Nao</v>
      </c>
      <c r="Y460" t="str">
        <v>Diabetes</v>
      </c>
      <c r="Z460">
        <v>5</v>
      </c>
      <c r="AA460">
        <v>29.1</v>
      </c>
      <c r="AB460">
        <v>1.35</v>
      </c>
      <c r="AC460">
        <v>2</v>
      </c>
      <c r="AD460">
        <v>94</v>
      </c>
      <c r="AE460">
        <v>142</v>
      </c>
      <c r="AF460" t="str">
        <v>Urbana</v>
      </c>
      <c r="AG460" t="str">
        <v>Nao</v>
      </c>
    </row>
    <row r="461" spans="2:33" x14ac:dyDescent="0.45">
      <c r="B461" s="4">
        <v>460</v>
      </c>
      <c r="C461" s="4" t="s">
        <v>39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s">
        <v>46</v>
      </c>
      <c r="I461" s="4">
        <v>22</v>
      </c>
      <c r="J461" s="5">
        <v>91.1</v>
      </c>
      <c r="K461" s="6">
        <v>1.54</v>
      </c>
      <c r="L461" s="4">
        <v>0</v>
      </c>
      <c r="M461" s="4">
        <v>108</v>
      </c>
      <c r="N461" s="4">
        <v>72</v>
      </c>
      <c r="O461" s="4" t="s">
        <v>26</v>
      </c>
      <c r="P461" s="7" t="s">
        <v>19</v>
      </c>
      <c r="S461">
        <v>989</v>
      </c>
      <c r="T461" t="str">
        <v>Maputo Cidade</v>
      </c>
      <c r="U461" t="str">
        <v>Masculino</v>
      </c>
      <c r="V461" t="str">
        <v>Solteiro(a)</v>
      </c>
      <c r="W461" t="str">
        <v>Primaria</v>
      </c>
      <c r="X461" t="str">
        <v>Nao</v>
      </c>
      <c r="Y461" t="str">
        <v>HIV/SIDA</v>
      </c>
      <c r="Z461">
        <v>54</v>
      </c>
      <c r="AA461">
        <v>77.3</v>
      </c>
      <c r="AB461">
        <v>1.51</v>
      </c>
      <c r="AC461">
        <v>9</v>
      </c>
      <c r="AD461">
        <v>116</v>
      </c>
      <c r="AE461">
        <v>104</v>
      </c>
      <c r="AF461" t="str">
        <v>Rural</v>
      </c>
      <c r="AG461" t="str">
        <v>Nao</v>
      </c>
    </row>
    <row r="462" spans="2:33" x14ac:dyDescent="0.45">
      <c r="B462" s="4">
        <v>461</v>
      </c>
      <c r="C462" s="4" t="s">
        <v>22</v>
      </c>
      <c r="D462" s="4" t="s">
        <v>23</v>
      </c>
      <c r="E462" s="4" t="s">
        <v>17</v>
      </c>
      <c r="F462" s="4" t="s">
        <v>24</v>
      </c>
      <c r="G462" s="4" t="s">
        <v>19</v>
      </c>
      <c r="H462" s="4" t="s">
        <v>32</v>
      </c>
      <c r="I462" s="4">
        <v>15</v>
      </c>
      <c r="J462" s="5">
        <v>51</v>
      </c>
      <c r="K462" s="6">
        <v>1.54</v>
      </c>
      <c r="L462" s="4">
        <v>3</v>
      </c>
      <c r="M462" s="4">
        <v>116</v>
      </c>
      <c r="N462" s="4">
        <v>168</v>
      </c>
      <c r="O462" s="4" t="s">
        <v>26</v>
      </c>
      <c r="P462" s="7" t="s">
        <v>19</v>
      </c>
      <c r="S462">
        <v>991</v>
      </c>
      <c r="T462" t="str">
        <v>Cabo Delgado</v>
      </c>
      <c r="U462" t="str">
        <v>Masculino</v>
      </c>
      <c r="V462" t="str">
        <v>Casado(a)</v>
      </c>
      <c r="W462" t="str">
        <v>Secundaria</v>
      </c>
      <c r="X462" t="str">
        <v>Nao</v>
      </c>
      <c r="Y462" t="str">
        <v>Nenhuma</v>
      </c>
      <c r="Z462">
        <v>15</v>
      </c>
      <c r="AA462">
        <v>60.8</v>
      </c>
      <c r="AB462">
        <v>1.63</v>
      </c>
      <c r="AC462">
        <v>8</v>
      </c>
      <c r="AD462">
        <v>117</v>
      </c>
      <c r="AE462">
        <v>95</v>
      </c>
      <c r="AF462" t="str">
        <v>Rural</v>
      </c>
      <c r="AG462" t="str">
        <v>Nao</v>
      </c>
    </row>
    <row r="463" spans="2:33" x14ac:dyDescent="0.45">
      <c r="B463" s="4">
        <v>462</v>
      </c>
      <c r="C463" s="4" t="s">
        <v>15</v>
      </c>
      <c r="D463" s="4" t="s">
        <v>16</v>
      </c>
      <c r="E463" s="4" t="s">
        <v>17</v>
      </c>
      <c r="F463" s="4" t="s">
        <v>24</v>
      </c>
      <c r="G463" s="4" t="s">
        <v>19</v>
      </c>
      <c r="H463" s="4" t="s">
        <v>36</v>
      </c>
      <c r="I463" s="4">
        <v>38</v>
      </c>
      <c r="J463" s="5">
        <v>75.2</v>
      </c>
      <c r="K463" s="6">
        <v>1.8</v>
      </c>
      <c r="L463" s="4">
        <v>1</v>
      </c>
      <c r="M463" s="4">
        <v>140</v>
      </c>
      <c r="N463" s="4">
        <v>85</v>
      </c>
      <c r="O463" s="4" t="s">
        <v>21</v>
      </c>
      <c r="P463" s="7" t="s">
        <v>19</v>
      </c>
      <c r="S463">
        <v>994</v>
      </c>
      <c r="T463" t="str">
        <v>Gaza</v>
      </c>
      <c r="U463" t="str">
        <v>Masculino</v>
      </c>
      <c r="V463" t="str">
        <v>Solteiro(a)</v>
      </c>
      <c r="W463" t="str">
        <v>Primaria</v>
      </c>
      <c r="X463" t="str">
        <v>Nao</v>
      </c>
      <c r="Y463" t="str">
        <v>HIV/SIDA</v>
      </c>
      <c r="Z463">
        <v>10</v>
      </c>
      <c r="AA463">
        <v>32.299999999999997</v>
      </c>
      <c r="AB463">
        <v>1.4</v>
      </c>
      <c r="AC463">
        <v>0</v>
      </c>
      <c r="AD463">
        <v>121</v>
      </c>
      <c r="AE463">
        <v>98</v>
      </c>
      <c r="AF463" t="str">
        <v>Urbana</v>
      </c>
      <c r="AG463" t="str">
        <v>Sim</v>
      </c>
    </row>
    <row r="464" spans="2:33" x14ac:dyDescent="0.45">
      <c r="B464" s="4">
        <v>463</v>
      </c>
      <c r="C464" s="4" t="s">
        <v>40</v>
      </c>
      <c r="D464" s="4" t="s">
        <v>16</v>
      </c>
      <c r="E464" s="4" t="s">
        <v>44</v>
      </c>
      <c r="F464" s="4" t="s">
        <v>24</v>
      </c>
      <c r="G464" s="4" t="s">
        <v>19</v>
      </c>
      <c r="H464" s="4" t="s">
        <v>20</v>
      </c>
      <c r="I464" s="4">
        <v>4</v>
      </c>
      <c r="J464" s="5">
        <v>13.7</v>
      </c>
      <c r="K464" s="6">
        <v>0.62</v>
      </c>
      <c r="L464" s="4">
        <v>2</v>
      </c>
      <c r="M464" s="4">
        <v>97</v>
      </c>
      <c r="N464" s="4">
        <v>102</v>
      </c>
      <c r="O464" s="4" t="s">
        <v>26</v>
      </c>
      <c r="P464" s="7" t="s">
        <v>19</v>
      </c>
      <c r="S464">
        <v>996</v>
      </c>
      <c r="T464" t="str">
        <v>Inhambane</v>
      </c>
      <c r="U464" t="str">
        <v>Masculino</v>
      </c>
      <c r="V464" t="str">
        <v>Casado(a)</v>
      </c>
      <c r="W464" t="str">
        <v>Secundaria</v>
      </c>
      <c r="X464" t="str">
        <v>Nao</v>
      </c>
      <c r="Y464" t="str">
        <v>Malaria</v>
      </c>
      <c r="Z464">
        <v>20</v>
      </c>
      <c r="AA464">
        <v>84.9</v>
      </c>
      <c r="AB464">
        <v>1.6</v>
      </c>
      <c r="AC464">
        <v>0</v>
      </c>
      <c r="AD464">
        <v>123</v>
      </c>
      <c r="AE464">
        <v>77</v>
      </c>
      <c r="AF464" t="str">
        <v>Rural</v>
      </c>
      <c r="AG464" t="str">
        <v>Sim</v>
      </c>
    </row>
    <row r="465" spans="2:33" x14ac:dyDescent="0.45">
      <c r="B465" s="4">
        <v>464</v>
      </c>
      <c r="C465" s="4" t="s">
        <v>45</v>
      </c>
      <c r="D465" s="4" t="s">
        <v>16</v>
      </c>
      <c r="E465" s="4" t="s">
        <v>17</v>
      </c>
      <c r="F465" s="4" t="s">
        <v>24</v>
      </c>
      <c r="G465" s="4" t="s">
        <v>19</v>
      </c>
      <c r="H465" s="4" t="s">
        <v>20</v>
      </c>
      <c r="I465" s="4">
        <v>64</v>
      </c>
      <c r="J465" s="5">
        <v>72.3</v>
      </c>
      <c r="K465" s="6">
        <v>1.51</v>
      </c>
      <c r="L465" s="4">
        <v>2</v>
      </c>
      <c r="M465" s="4">
        <v>133</v>
      </c>
      <c r="N465" s="4">
        <v>100</v>
      </c>
      <c r="O465" s="4" t="s">
        <v>26</v>
      </c>
      <c r="P465" s="7" t="s">
        <v>30</v>
      </c>
      <c r="S465">
        <v>997</v>
      </c>
      <c r="T465" t="str">
        <v>Cabo Delgado</v>
      </c>
      <c r="U465" t="str">
        <v>Masculino</v>
      </c>
      <c r="V465" t="str">
        <v>Divorciado(a)</v>
      </c>
      <c r="W465" t="str">
        <v>Primaria</v>
      </c>
      <c r="X465" t="str">
        <v>Sim</v>
      </c>
      <c r="Y465" t="str">
        <v>Diarreia</v>
      </c>
      <c r="Z465">
        <v>17</v>
      </c>
      <c r="AA465">
        <v>41.1</v>
      </c>
      <c r="AB465">
        <v>1.62</v>
      </c>
      <c r="AC465">
        <v>0</v>
      </c>
      <c r="AD465">
        <v>100</v>
      </c>
      <c r="AE465">
        <v>75</v>
      </c>
      <c r="AF465" t="str">
        <v>Urbana</v>
      </c>
      <c r="AG465" t="str">
        <v>Nao</v>
      </c>
    </row>
    <row r="466" spans="2:33" x14ac:dyDescent="0.45">
      <c r="B466" s="4">
        <v>465</v>
      </c>
      <c r="C466" s="4" t="s">
        <v>27</v>
      </c>
      <c r="D466" s="4" t="s">
        <v>23</v>
      </c>
      <c r="E466" s="4" t="s">
        <v>35</v>
      </c>
      <c r="F466" s="4" t="s">
        <v>28</v>
      </c>
      <c r="G466" s="4" t="s">
        <v>19</v>
      </c>
      <c r="H466" s="4" t="s">
        <v>28</v>
      </c>
      <c r="I466" s="4">
        <v>46</v>
      </c>
      <c r="J466" s="5">
        <v>84.9</v>
      </c>
      <c r="K466" s="6">
        <v>1.79</v>
      </c>
      <c r="L466" s="4">
        <v>3</v>
      </c>
      <c r="M466" s="4">
        <v>128</v>
      </c>
      <c r="N466" s="4">
        <v>93</v>
      </c>
      <c r="O466" s="4" t="s">
        <v>26</v>
      </c>
      <c r="P466" s="7" t="s">
        <v>30</v>
      </c>
      <c r="S466">
        <v>998</v>
      </c>
      <c r="T466" t="str">
        <v>Maputo Cidade</v>
      </c>
      <c r="U466" t="str">
        <v>Masculino</v>
      </c>
      <c r="V466" t="str">
        <v>Casado(a)</v>
      </c>
      <c r="W466" t="str">
        <v>Primaria</v>
      </c>
      <c r="X466" t="str">
        <v>Nao</v>
      </c>
      <c r="Y466" t="str">
        <v>Pneumonia</v>
      </c>
      <c r="Z466">
        <v>38</v>
      </c>
      <c r="AA466">
        <v>47.5</v>
      </c>
      <c r="AB466">
        <v>1.5</v>
      </c>
      <c r="AC466">
        <v>9</v>
      </c>
      <c r="AD466">
        <v>125</v>
      </c>
      <c r="AE466">
        <v>85</v>
      </c>
      <c r="AF466" t="str">
        <v>Urbana</v>
      </c>
      <c r="AG466" t="str">
        <v>Nao</v>
      </c>
    </row>
    <row r="467" spans="2:33" x14ac:dyDescent="0.45">
      <c r="B467" s="4">
        <v>466</v>
      </c>
      <c r="C467" s="4" t="s">
        <v>22</v>
      </c>
      <c r="D467" s="4" t="s">
        <v>16</v>
      </c>
      <c r="E467" s="4" t="s">
        <v>17</v>
      </c>
      <c r="F467" s="4" t="s">
        <v>42</v>
      </c>
      <c r="G467" s="4" t="s">
        <v>30</v>
      </c>
      <c r="H467" s="4" t="s">
        <v>25</v>
      </c>
      <c r="I467" s="4">
        <v>10</v>
      </c>
      <c r="J467" s="5">
        <v>18.7</v>
      </c>
      <c r="K467" s="6">
        <v>1.41</v>
      </c>
      <c r="L467" s="4">
        <v>1</v>
      </c>
      <c r="M467" s="4">
        <v>114</v>
      </c>
      <c r="N467" s="4">
        <v>77</v>
      </c>
      <c r="O467" s="4" t="s">
        <v>21</v>
      </c>
      <c r="P467" s="7" t="s">
        <v>19</v>
      </c>
      <c r="S467">
        <v>1002</v>
      </c>
      <c r="T467" t="str">
        <v>Maputo Provincia</v>
      </c>
      <c r="U467" t="str">
        <v>Masculino</v>
      </c>
      <c r="V467" t="str">
        <v>Casado(a)</v>
      </c>
      <c r="W467" t="str">
        <v>Nenhuma</v>
      </c>
      <c r="X467" t="str">
        <v>Nao</v>
      </c>
      <c r="Y467" t="str">
        <v>Diarreia</v>
      </c>
      <c r="Z467">
        <v>12</v>
      </c>
      <c r="AA467">
        <v>53.3</v>
      </c>
      <c r="AB467">
        <v>1.46</v>
      </c>
      <c r="AC467">
        <v>2</v>
      </c>
      <c r="AD467">
        <v>104</v>
      </c>
      <c r="AE467">
        <v>89</v>
      </c>
      <c r="AF467" t="str">
        <v>Rural</v>
      </c>
      <c r="AG467" t="str">
        <v>Nao</v>
      </c>
    </row>
    <row r="468" spans="2:33" x14ac:dyDescent="0.45">
      <c r="B468" s="4">
        <v>467</v>
      </c>
      <c r="C468" s="4" t="s">
        <v>22</v>
      </c>
      <c r="D468" s="4" t="s">
        <v>16</v>
      </c>
      <c r="E468" s="4" t="s">
        <v>35</v>
      </c>
      <c r="F468" s="4" t="s">
        <v>28</v>
      </c>
      <c r="G468" s="4" t="s">
        <v>19</v>
      </c>
      <c r="H468" s="4" t="s">
        <v>20</v>
      </c>
      <c r="I468" s="4">
        <v>51</v>
      </c>
      <c r="J468" s="5">
        <v>66</v>
      </c>
      <c r="K468" s="6">
        <v>1.83</v>
      </c>
      <c r="L468" s="4">
        <v>0</v>
      </c>
      <c r="M468" s="4">
        <v>110</v>
      </c>
      <c r="N468" s="4">
        <v>83</v>
      </c>
      <c r="O468" s="4" t="s">
        <v>26</v>
      </c>
      <c r="P468" s="7" t="s">
        <v>19</v>
      </c>
      <c r="S468">
        <v>1006</v>
      </c>
      <c r="T468" t="str">
        <v>Zambezia</v>
      </c>
      <c r="U468" t="str">
        <v>Masculino</v>
      </c>
      <c r="V468" t="str">
        <v>Casado(a)</v>
      </c>
      <c r="W468" t="str">
        <v>Secundaria</v>
      </c>
      <c r="X468" t="str">
        <v>Sim</v>
      </c>
      <c r="Y468" t="str">
        <v>Hipertensao</v>
      </c>
      <c r="Z468">
        <v>20</v>
      </c>
      <c r="AA468">
        <v>77.099999999999994</v>
      </c>
      <c r="AB468">
        <v>1.78</v>
      </c>
      <c r="AC468">
        <v>3</v>
      </c>
      <c r="AD468">
        <v>141</v>
      </c>
      <c r="AE468">
        <v>78</v>
      </c>
      <c r="AF468" t="str">
        <v>Urbana</v>
      </c>
      <c r="AG468" t="str">
        <v>Sim</v>
      </c>
    </row>
    <row r="469" spans="2:33" x14ac:dyDescent="0.45">
      <c r="B469" s="4">
        <v>468</v>
      </c>
      <c r="C469" s="4" t="s">
        <v>29</v>
      </c>
      <c r="D469" s="4" t="s">
        <v>16</v>
      </c>
      <c r="E469" s="4" t="s">
        <v>17</v>
      </c>
      <c r="F469" s="4" t="s">
        <v>24</v>
      </c>
      <c r="G469" s="4" t="s">
        <v>19</v>
      </c>
      <c r="H469" s="4" t="s">
        <v>28</v>
      </c>
      <c r="I469" s="4">
        <v>26</v>
      </c>
      <c r="J469" s="5">
        <v>75.599999999999994</v>
      </c>
      <c r="K469" s="6">
        <v>1.6</v>
      </c>
      <c r="L469" s="4">
        <v>1</v>
      </c>
      <c r="M469" s="4">
        <v>110</v>
      </c>
      <c r="N469" s="4">
        <v>75</v>
      </c>
      <c r="O469" s="4" t="s">
        <v>26</v>
      </c>
      <c r="P469" s="7" t="s">
        <v>19</v>
      </c>
      <c r="S469">
        <v>1009</v>
      </c>
      <c r="T469" t="str">
        <v>Inhambane</v>
      </c>
      <c r="U469" t="str">
        <v>Masculino</v>
      </c>
      <c r="V469" t="str">
        <v>Casado(a)</v>
      </c>
      <c r="W469" t="str">
        <v>Primaria</v>
      </c>
      <c r="X469" t="str">
        <v>Sim</v>
      </c>
      <c r="Y469" t="str">
        <v>Nenhuma</v>
      </c>
      <c r="Z469">
        <v>27</v>
      </c>
      <c r="AA469">
        <v>93.2</v>
      </c>
      <c r="AB469">
        <v>1.64</v>
      </c>
      <c r="AC469">
        <v>2</v>
      </c>
      <c r="AD469">
        <v>117</v>
      </c>
      <c r="AE469">
        <v>99</v>
      </c>
      <c r="AF469" t="str">
        <v>Urbana</v>
      </c>
      <c r="AG469" t="str">
        <v>Nao</v>
      </c>
    </row>
    <row r="470" spans="2:33" x14ac:dyDescent="0.45">
      <c r="B470" s="4">
        <v>469</v>
      </c>
      <c r="C470" s="4" t="s">
        <v>39</v>
      </c>
      <c r="D470" s="4" t="s">
        <v>16</v>
      </c>
      <c r="E470" s="4" t="s">
        <v>35</v>
      </c>
      <c r="F470" s="4" t="s">
        <v>24</v>
      </c>
      <c r="G470" s="4" t="s">
        <v>30</v>
      </c>
      <c r="H470" s="4" t="s">
        <v>32</v>
      </c>
      <c r="I470" s="4">
        <v>15</v>
      </c>
      <c r="J470" s="5">
        <v>46.6</v>
      </c>
      <c r="K470" s="6">
        <v>1.64</v>
      </c>
      <c r="L470" s="4">
        <v>0</v>
      </c>
      <c r="M470" s="4">
        <v>105</v>
      </c>
      <c r="N470" s="4">
        <v>144</v>
      </c>
      <c r="O470" s="4" t="s">
        <v>21</v>
      </c>
      <c r="P470" s="7" t="s">
        <v>19</v>
      </c>
      <c r="S470">
        <v>1014</v>
      </c>
      <c r="T470" t="str">
        <v>Gaza</v>
      </c>
      <c r="U470" t="str">
        <v>Masculino</v>
      </c>
      <c r="V470" t="str">
        <v>Solteiro(a)</v>
      </c>
      <c r="W470" t="str">
        <v>Primaria</v>
      </c>
      <c r="X470" t="str">
        <v>Nao</v>
      </c>
      <c r="Y470" t="str">
        <v>Tuberculose</v>
      </c>
      <c r="Z470">
        <v>20</v>
      </c>
      <c r="AA470">
        <v>67.599999999999994</v>
      </c>
      <c r="AB470">
        <v>1.49</v>
      </c>
      <c r="AC470">
        <v>1</v>
      </c>
      <c r="AD470">
        <v>105</v>
      </c>
      <c r="AE470">
        <v>95</v>
      </c>
      <c r="AF470" t="str">
        <v>Rural</v>
      </c>
      <c r="AG470" t="str">
        <v>Sim</v>
      </c>
    </row>
    <row r="471" spans="2:33" x14ac:dyDescent="0.45">
      <c r="B471" s="4">
        <v>470</v>
      </c>
      <c r="C471" s="4" t="s">
        <v>31</v>
      </c>
      <c r="D471" s="4" t="s">
        <v>23</v>
      </c>
      <c r="E471" s="4" t="s">
        <v>17</v>
      </c>
      <c r="F471" s="4" t="s">
        <v>24</v>
      </c>
      <c r="G471" s="4" t="s">
        <v>19</v>
      </c>
      <c r="H471" s="4" t="s">
        <v>34</v>
      </c>
      <c r="I471" s="4">
        <v>32</v>
      </c>
      <c r="J471" s="5">
        <v>90</v>
      </c>
      <c r="K471" s="6">
        <v>1.67</v>
      </c>
      <c r="L471" s="4">
        <v>2</v>
      </c>
      <c r="M471" s="4">
        <v>119</v>
      </c>
      <c r="N471" s="4">
        <v>91</v>
      </c>
      <c r="O471" s="4" t="s">
        <v>21</v>
      </c>
      <c r="P471" s="7" t="s">
        <v>30</v>
      </c>
      <c r="S471">
        <v>1015</v>
      </c>
      <c r="T471" t="str">
        <v>Gaza</v>
      </c>
      <c r="U471" t="str">
        <v>Masculino</v>
      </c>
      <c r="V471" t="str">
        <v>Casado(a)</v>
      </c>
      <c r="W471" t="str">
        <v>Secundaria</v>
      </c>
      <c r="X471" t="str">
        <v>Nao</v>
      </c>
      <c r="Y471" t="str">
        <v>Diabetes</v>
      </c>
      <c r="Z471">
        <v>20</v>
      </c>
      <c r="AA471">
        <v>54.3</v>
      </c>
      <c r="AB471">
        <v>1.56</v>
      </c>
      <c r="AC471">
        <v>5</v>
      </c>
      <c r="AD471">
        <v>108</v>
      </c>
      <c r="AE471">
        <v>157</v>
      </c>
      <c r="AF471" t="str">
        <v>Rural</v>
      </c>
      <c r="AG471" t="str">
        <v>Nao</v>
      </c>
    </row>
    <row r="472" spans="2:33" x14ac:dyDescent="0.45">
      <c r="B472" s="4">
        <v>471</v>
      </c>
      <c r="C472" s="4" t="s">
        <v>41</v>
      </c>
      <c r="D472" s="4" t="s">
        <v>23</v>
      </c>
      <c r="E472" s="4" t="s">
        <v>35</v>
      </c>
      <c r="F472" s="4" t="s">
        <v>24</v>
      </c>
      <c r="G472" s="4" t="s">
        <v>19</v>
      </c>
      <c r="H472" s="4" t="s">
        <v>20</v>
      </c>
      <c r="I472" s="4">
        <v>32</v>
      </c>
      <c r="J472" s="5">
        <v>74.3</v>
      </c>
      <c r="K472" s="6">
        <v>1.89</v>
      </c>
      <c r="L472" s="4">
        <v>4</v>
      </c>
      <c r="M472" s="4">
        <v>126</v>
      </c>
      <c r="N472" s="4">
        <v>99</v>
      </c>
      <c r="O472" s="4" t="s">
        <v>26</v>
      </c>
      <c r="P472" s="7" t="s">
        <v>30</v>
      </c>
      <c r="S472">
        <v>1016</v>
      </c>
      <c r="T472" t="str">
        <v>Maputo Provincia</v>
      </c>
      <c r="U472" t="str">
        <v>Masculino</v>
      </c>
      <c r="V472" t="str">
        <v>Casado(a)</v>
      </c>
      <c r="W472" t="str">
        <v>Secundaria</v>
      </c>
      <c r="X472" t="str">
        <v>Nao</v>
      </c>
      <c r="Y472" t="str">
        <v>Malaria</v>
      </c>
      <c r="Z472">
        <v>15</v>
      </c>
      <c r="AA472">
        <v>64.7</v>
      </c>
      <c r="AB472">
        <v>1.69</v>
      </c>
      <c r="AC472">
        <v>5</v>
      </c>
      <c r="AD472">
        <v>96</v>
      </c>
      <c r="AE472">
        <v>86</v>
      </c>
      <c r="AF472" t="str">
        <v>Rural</v>
      </c>
      <c r="AG472" t="str">
        <v>Nao</v>
      </c>
    </row>
    <row r="473" spans="2:33" x14ac:dyDescent="0.45">
      <c r="B473" s="4">
        <v>472</v>
      </c>
      <c r="C473" s="4" t="s">
        <v>41</v>
      </c>
      <c r="D473" s="4" t="s">
        <v>23</v>
      </c>
      <c r="E473" s="4" t="s">
        <v>17</v>
      </c>
      <c r="F473" s="4" t="s">
        <v>42</v>
      </c>
      <c r="G473" s="4" t="s">
        <v>30</v>
      </c>
      <c r="H473" s="4" t="s">
        <v>28</v>
      </c>
      <c r="I473" s="4">
        <v>21</v>
      </c>
      <c r="J473" s="5">
        <v>47.4</v>
      </c>
      <c r="K473" s="6">
        <v>1.64</v>
      </c>
      <c r="L473" s="4">
        <v>2</v>
      </c>
      <c r="M473" s="4">
        <v>103</v>
      </c>
      <c r="N473" s="4">
        <v>98</v>
      </c>
      <c r="O473" s="4" t="s">
        <v>21</v>
      </c>
      <c r="P473" s="7" t="s">
        <v>19</v>
      </c>
      <c r="S473">
        <v>1020</v>
      </c>
      <c r="T473" t="str">
        <v>Zambezia</v>
      </c>
      <c r="U473" t="str">
        <v>Masculino</v>
      </c>
      <c r="V473" t="str">
        <v>Solteiro(a)</v>
      </c>
      <c r="W473" t="str">
        <v>Secundaria</v>
      </c>
      <c r="X473" t="str">
        <v>Nao</v>
      </c>
      <c r="Y473" t="str">
        <v>HIV/SIDA</v>
      </c>
      <c r="Z473">
        <v>63</v>
      </c>
      <c r="AA473">
        <v>73.5</v>
      </c>
      <c r="AB473">
        <v>1.6</v>
      </c>
      <c r="AC473">
        <v>2</v>
      </c>
      <c r="AD473">
        <v>136</v>
      </c>
      <c r="AE473">
        <v>101</v>
      </c>
      <c r="AF473" t="str">
        <v>Urbana</v>
      </c>
      <c r="AG473" t="str">
        <v>Sim</v>
      </c>
    </row>
    <row r="474" spans="2:33" x14ac:dyDescent="0.45">
      <c r="B474" s="4">
        <v>473</v>
      </c>
      <c r="C474" s="4" t="s">
        <v>22</v>
      </c>
      <c r="D474" s="4" t="s">
        <v>16</v>
      </c>
      <c r="E474" s="4" t="s">
        <v>17</v>
      </c>
      <c r="F474" s="4" t="s">
        <v>24</v>
      </c>
      <c r="G474" s="4" t="s">
        <v>19</v>
      </c>
      <c r="H474" s="4" t="s">
        <v>36</v>
      </c>
      <c r="I474" s="4">
        <v>82</v>
      </c>
      <c r="J474" s="5">
        <v>82.3</v>
      </c>
      <c r="K474" s="6">
        <v>1.86</v>
      </c>
      <c r="L474" s="4">
        <v>2</v>
      </c>
      <c r="M474" s="4">
        <v>160</v>
      </c>
      <c r="N474" s="4">
        <v>87</v>
      </c>
      <c r="O474" s="4" t="s">
        <v>26</v>
      </c>
      <c r="P474" s="7" t="s">
        <v>19</v>
      </c>
      <c r="S474">
        <v>1024</v>
      </c>
      <c r="T474" t="str">
        <v>Tete</v>
      </c>
      <c r="U474" t="str">
        <v>Masculino</v>
      </c>
      <c r="V474" t="str">
        <v>Solteiro(a)</v>
      </c>
      <c r="W474" t="str">
        <v>Secundaria</v>
      </c>
      <c r="X474" t="str">
        <v>Nao</v>
      </c>
      <c r="Y474" t="str">
        <v>Malaria</v>
      </c>
      <c r="Z474">
        <v>20</v>
      </c>
      <c r="AA474">
        <v>50.2</v>
      </c>
      <c r="AB474">
        <v>1.61</v>
      </c>
      <c r="AC474">
        <v>1</v>
      </c>
      <c r="AD474">
        <v>101</v>
      </c>
      <c r="AE474">
        <v>80</v>
      </c>
      <c r="AF474" t="str">
        <v>Urbana</v>
      </c>
      <c r="AG474" t="str">
        <v>Nao</v>
      </c>
    </row>
    <row r="475" spans="2:33" x14ac:dyDescent="0.45">
      <c r="B475" s="4">
        <v>474</v>
      </c>
      <c r="C475" s="4" t="s">
        <v>27</v>
      </c>
      <c r="D475" s="4" t="s">
        <v>23</v>
      </c>
      <c r="E475" s="4" t="s">
        <v>35</v>
      </c>
      <c r="F475" s="4" t="s">
        <v>24</v>
      </c>
      <c r="G475" s="4" t="s">
        <v>19</v>
      </c>
      <c r="H475" s="4" t="s">
        <v>25</v>
      </c>
      <c r="I475" s="4">
        <v>13</v>
      </c>
      <c r="J475" s="5">
        <v>50.1</v>
      </c>
      <c r="K475" s="6">
        <v>1.65</v>
      </c>
      <c r="L475" s="4">
        <v>1</v>
      </c>
      <c r="M475" s="4">
        <v>97</v>
      </c>
      <c r="N475" s="4">
        <v>102</v>
      </c>
      <c r="O475" s="4" t="s">
        <v>21</v>
      </c>
      <c r="P475" s="7" t="s">
        <v>19</v>
      </c>
      <c r="S475">
        <v>1027</v>
      </c>
      <c r="T475" t="str">
        <v>Nampula</v>
      </c>
      <c r="U475" t="str">
        <v>Masculino</v>
      </c>
      <c r="V475" t="str">
        <v>Casado(a)</v>
      </c>
      <c r="W475" t="str">
        <v>Nenhuma</v>
      </c>
      <c r="X475" t="str">
        <v>Sim</v>
      </c>
      <c r="Y475" t="str">
        <v>Nenhuma</v>
      </c>
      <c r="Z475">
        <v>32</v>
      </c>
      <c r="AA475">
        <v>63.7</v>
      </c>
      <c r="AB475">
        <v>1.62</v>
      </c>
      <c r="AC475">
        <v>7</v>
      </c>
      <c r="AD475">
        <v>101</v>
      </c>
      <c r="AE475">
        <v>86</v>
      </c>
      <c r="AF475" t="str">
        <v>Rural</v>
      </c>
      <c r="AG475" t="str">
        <v>Nao</v>
      </c>
    </row>
    <row r="476" spans="2:33" x14ac:dyDescent="0.45">
      <c r="B476" s="4">
        <v>475</v>
      </c>
      <c r="C476" s="4" t="s">
        <v>29</v>
      </c>
      <c r="D476" s="4" t="s">
        <v>16</v>
      </c>
      <c r="E476" s="4" t="s">
        <v>17</v>
      </c>
      <c r="F476" s="4" t="s">
        <v>24</v>
      </c>
      <c r="G476" s="4" t="s">
        <v>19</v>
      </c>
      <c r="H476" s="4" t="s">
        <v>34</v>
      </c>
      <c r="I476" s="4">
        <v>8</v>
      </c>
      <c r="J476" s="5">
        <v>35.299999999999997</v>
      </c>
      <c r="K476" s="6">
        <v>1.36</v>
      </c>
      <c r="L476" s="4">
        <v>1</v>
      </c>
      <c r="M476" s="4">
        <v>98</v>
      </c>
      <c r="N476" s="4">
        <v>85</v>
      </c>
      <c r="O476" s="4" t="s">
        <v>21</v>
      </c>
      <c r="P476" s="7" t="s">
        <v>19</v>
      </c>
      <c r="S476">
        <v>1028</v>
      </c>
      <c r="T476" t="str">
        <v>Inhambane</v>
      </c>
      <c r="U476" t="str">
        <v>Masculino</v>
      </c>
      <c r="V476" t="str">
        <v>Casado(a)</v>
      </c>
      <c r="W476" t="str">
        <v>Secundaria</v>
      </c>
      <c r="X476" t="str">
        <v>Sim</v>
      </c>
      <c r="Y476" t="str">
        <v>Diarreia</v>
      </c>
      <c r="Z476">
        <v>65</v>
      </c>
      <c r="AA476">
        <v>65</v>
      </c>
      <c r="AB476">
        <v>1.57</v>
      </c>
      <c r="AC476">
        <v>8</v>
      </c>
      <c r="AD476">
        <v>140</v>
      </c>
      <c r="AE476">
        <v>88</v>
      </c>
      <c r="AF476" t="str">
        <v>Urbana</v>
      </c>
      <c r="AG476" t="str">
        <v>Sim</v>
      </c>
    </row>
    <row r="477" spans="2:33" x14ac:dyDescent="0.45">
      <c r="B477" s="4">
        <v>476</v>
      </c>
      <c r="C477" s="4" t="s">
        <v>39</v>
      </c>
      <c r="D477" s="4" t="s">
        <v>16</v>
      </c>
      <c r="E477" s="4" t="s">
        <v>17</v>
      </c>
      <c r="F477" s="4" t="s">
        <v>18</v>
      </c>
      <c r="G477" s="4" t="s">
        <v>30</v>
      </c>
      <c r="H477" s="4" t="s">
        <v>25</v>
      </c>
      <c r="I477" s="4">
        <v>29</v>
      </c>
      <c r="J477" s="5">
        <v>46.1</v>
      </c>
      <c r="K477" s="6">
        <v>1.73</v>
      </c>
      <c r="L477" s="4">
        <v>9</v>
      </c>
      <c r="M477" s="4">
        <v>117</v>
      </c>
      <c r="N477" s="4">
        <v>100</v>
      </c>
      <c r="O477" s="4" t="s">
        <v>21</v>
      </c>
      <c r="P477" s="7" t="s">
        <v>19</v>
      </c>
      <c r="S477">
        <v>1029</v>
      </c>
      <c r="T477" t="str">
        <v>Sofala</v>
      </c>
      <c r="U477" t="str">
        <v>Masculino</v>
      </c>
      <c r="V477" t="str">
        <v>Casado(a)</v>
      </c>
      <c r="W477" t="str">
        <v>Secundaria</v>
      </c>
      <c r="X477" t="str">
        <v>Sim</v>
      </c>
      <c r="Y477" t="str">
        <v>Diarreia</v>
      </c>
      <c r="Z477">
        <v>9</v>
      </c>
      <c r="AA477">
        <v>25.9</v>
      </c>
      <c r="AB477">
        <v>1.28</v>
      </c>
      <c r="AC477">
        <v>5</v>
      </c>
      <c r="AD477">
        <v>101</v>
      </c>
      <c r="AE477">
        <v>76</v>
      </c>
      <c r="AF477" t="str">
        <v>Rural</v>
      </c>
      <c r="AG477" t="str">
        <v>Nao</v>
      </c>
    </row>
    <row r="478" spans="2:33" x14ac:dyDescent="0.45">
      <c r="B478" s="4">
        <v>477</v>
      </c>
      <c r="C478" s="4" t="s">
        <v>41</v>
      </c>
      <c r="D478" s="4" t="s">
        <v>23</v>
      </c>
      <c r="E478" s="4" t="s">
        <v>17</v>
      </c>
      <c r="F478" s="4" t="s">
        <v>28</v>
      </c>
      <c r="G478" s="4" t="s">
        <v>19</v>
      </c>
      <c r="H478" s="4" t="s">
        <v>25</v>
      </c>
      <c r="I478" s="4">
        <v>47</v>
      </c>
      <c r="J478" s="5">
        <v>62.7</v>
      </c>
      <c r="K478" s="6">
        <v>1.54</v>
      </c>
      <c r="L478" s="4">
        <v>2</v>
      </c>
      <c r="M478" s="4">
        <v>133</v>
      </c>
      <c r="N478" s="4">
        <v>103</v>
      </c>
      <c r="O478" s="4" t="s">
        <v>26</v>
      </c>
      <c r="P478" s="7" t="s">
        <v>30</v>
      </c>
      <c r="S478">
        <v>1030</v>
      </c>
      <c r="T478" t="str">
        <v>Inhambane</v>
      </c>
      <c r="U478" t="str">
        <v>Masculino</v>
      </c>
      <c r="V478" t="str">
        <v>Casado(a)</v>
      </c>
      <c r="W478" t="str">
        <v>Secundaria</v>
      </c>
      <c r="X478" t="str">
        <v>Nao</v>
      </c>
      <c r="Y478" t="str">
        <v>Hipertensao</v>
      </c>
      <c r="Z478">
        <v>7</v>
      </c>
      <c r="AA478">
        <v>36.299999999999997</v>
      </c>
      <c r="AB478">
        <v>1.42</v>
      </c>
      <c r="AC478">
        <v>3</v>
      </c>
      <c r="AD478">
        <v>127</v>
      </c>
      <c r="AE478">
        <v>76</v>
      </c>
      <c r="AF478" t="str">
        <v>Urbana</v>
      </c>
      <c r="AG478" t="str">
        <v>Sim</v>
      </c>
    </row>
    <row r="479" spans="2:33" x14ac:dyDescent="0.45">
      <c r="B479" s="4">
        <v>478</v>
      </c>
      <c r="C479" s="4" t="s">
        <v>27</v>
      </c>
      <c r="D479" s="4" t="s">
        <v>23</v>
      </c>
      <c r="E479" s="4" t="s">
        <v>17</v>
      </c>
      <c r="F479" s="4" t="s">
        <v>18</v>
      </c>
      <c r="G479" s="4" t="s">
        <v>30</v>
      </c>
      <c r="H479" s="4" t="s">
        <v>38</v>
      </c>
      <c r="I479" s="4">
        <v>7</v>
      </c>
      <c r="J479" s="5">
        <v>23.2</v>
      </c>
      <c r="K479" s="6">
        <v>1.28</v>
      </c>
      <c r="L479" s="4">
        <v>2</v>
      </c>
      <c r="M479" s="4">
        <v>104</v>
      </c>
      <c r="N479" s="4">
        <v>88</v>
      </c>
      <c r="O479" s="4" t="s">
        <v>21</v>
      </c>
      <c r="P479" s="7" t="s">
        <v>19</v>
      </c>
      <c r="S479">
        <v>1034</v>
      </c>
      <c r="T479" t="str">
        <v>Gaza</v>
      </c>
      <c r="U479" t="str">
        <v>Masculino</v>
      </c>
      <c r="V479" t="str">
        <v>Viuvo(a)</v>
      </c>
      <c r="W479" t="str">
        <v>Primaria</v>
      </c>
      <c r="X479" t="str">
        <v>Nao</v>
      </c>
      <c r="Y479" t="str">
        <v>Pneumonia</v>
      </c>
      <c r="Z479">
        <v>86</v>
      </c>
      <c r="AA479">
        <v>50.8</v>
      </c>
      <c r="AB479">
        <v>1.58</v>
      </c>
      <c r="AC479">
        <v>4</v>
      </c>
      <c r="AD479">
        <v>124</v>
      </c>
      <c r="AE479">
        <v>95</v>
      </c>
      <c r="AF479" t="str">
        <v>Rural</v>
      </c>
      <c r="AG479" t="str">
        <v>Nao</v>
      </c>
    </row>
    <row r="480" spans="2:33" x14ac:dyDescent="0.45">
      <c r="B480" s="4">
        <v>479</v>
      </c>
      <c r="C480" s="4" t="s">
        <v>31</v>
      </c>
      <c r="D480" s="4" t="s">
        <v>23</v>
      </c>
      <c r="E480" s="4" t="s">
        <v>35</v>
      </c>
      <c r="F480" s="4" t="s">
        <v>28</v>
      </c>
      <c r="G480" s="4" t="s">
        <v>19</v>
      </c>
      <c r="H480" s="4" t="s">
        <v>28</v>
      </c>
      <c r="I480" s="4">
        <v>38</v>
      </c>
      <c r="J480" s="5">
        <v>94.4</v>
      </c>
      <c r="K480" s="6">
        <v>1.49</v>
      </c>
      <c r="L480" s="4">
        <v>9</v>
      </c>
      <c r="M480" s="4">
        <v>127</v>
      </c>
      <c r="N480" s="4">
        <v>92</v>
      </c>
      <c r="O480" s="4" t="s">
        <v>26</v>
      </c>
      <c r="P480" s="7" t="s">
        <v>30</v>
      </c>
      <c r="S480">
        <v>1037</v>
      </c>
      <c r="T480" t="str">
        <v>Maputo Provincia</v>
      </c>
      <c r="U480" t="str">
        <v>Masculino</v>
      </c>
      <c r="V480" t="str">
        <v>Solteiro(a)</v>
      </c>
      <c r="W480" t="str">
        <v>Primaria</v>
      </c>
      <c r="X480" t="str">
        <v>Nao</v>
      </c>
      <c r="Y480" t="str">
        <v>HIV/SIDA</v>
      </c>
      <c r="Z480">
        <v>39</v>
      </c>
      <c r="AA480">
        <v>53.2</v>
      </c>
      <c r="AB480">
        <v>1.71</v>
      </c>
      <c r="AC480">
        <v>0</v>
      </c>
      <c r="AD480">
        <v>111</v>
      </c>
      <c r="AE480">
        <v>97</v>
      </c>
      <c r="AF480" t="str">
        <v>Rural</v>
      </c>
      <c r="AG480" t="str">
        <v>Nao</v>
      </c>
    </row>
    <row r="481" spans="2:33" x14ac:dyDescent="0.45">
      <c r="B481" s="4">
        <v>480</v>
      </c>
      <c r="C481" s="4" t="s">
        <v>31</v>
      </c>
      <c r="D481" s="4" t="s">
        <v>16</v>
      </c>
      <c r="E481" s="4" t="s">
        <v>35</v>
      </c>
      <c r="F481" s="4" t="s">
        <v>18</v>
      </c>
      <c r="G481" s="4" t="s">
        <v>19</v>
      </c>
      <c r="H481" s="4" t="s">
        <v>32</v>
      </c>
      <c r="I481" s="4">
        <v>20</v>
      </c>
      <c r="J481" s="5">
        <v>79</v>
      </c>
      <c r="K481" s="6">
        <v>1.74</v>
      </c>
      <c r="L481" s="4">
        <v>0</v>
      </c>
      <c r="M481" s="4">
        <v>106</v>
      </c>
      <c r="N481" s="4">
        <v>144</v>
      </c>
      <c r="O481" s="4" t="s">
        <v>26</v>
      </c>
      <c r="P481" s="7" t="s">
        <v>30</v>
      </c>
      <c r="S481">
        <v>1040</v>
      </c>
      <c r="T481" t="str">
        <v>Nampula</v>
      </c>
      <c r="U481" t="str">
        <v>Masculino</v>
      </c>
      <c r="V481" t="str">
        <v>Casado(a)</v>
      </c>
      <c r="W481" t="str">
        <v>Secundaria</v>
      </c>
      <c r="X481" t="str">
        <v>Nao</v>
      </c>
      <c r="Y481" t="str">
        <v>Tuberculose</v>
      </c>
      <c r="Z481">
        <v>14</v>
      </c>
      <c r="AA481">
        <v>42.3</v>
      </c>
      <c r="AB481">
        <v>1.6</v>
      </c>
      <c r="AC481">
        <v>4</v>
      </c>
      <c r="AD481">
        <v>99</v>
      </c>
      <c r="AE481">
        <v>89</v>
      </c>
      <c r="AF481" t="str">
        <v>Rural</v>
      </c>
      <c r="AG481" t="str">
        <v>Nao</v>
      </c>
    </row>
    <row r="482" spans="2:33" x14ac:dyDescent="0.45">
      <c r="B482" s="4">
        <v>481</v>
      </c>
      <c r="C482" s="4" t="s">
        <v>15</v>
      </c>
      <c r="D482" s="4" t="s">
        <v>23</v>
      </c>
      <c r="E482" s="4" t="s">
        <v>35</v>
      </c>
      <c r="F482" s="4" t="s">
        <v>24</v>
      </c>
      <c r="G482" s="4" t="s">
        <v>19</v>
      </c>
      <c r="H482" s="4" t="s">
        <v>20</v>
      </c>
      <c r="I482" s="4">
        <v>7</v>
      </c>
      <c r="J482" s="5">
        <v>35.5</v>
      </c>
      <c r="K482" s="6">
        <v>1.3</v>
      </c>
      <c r="L482" s="4">
        <v>1</v>
      </c>
      <c r="M482" s="4">
        <v>116</v>
      </c>
      <c r="N482" s="4">
        <v>86</v>
      </c>
      <c r="O482" s="4" t="s">
        <v>26</v>
      </c>
      <c r="P482" s="7" t="s">
        <v>19</v>
      </c>
      <c r="S482">
        <v>1042</v>
      </c>
      <c r="T482" t="str">
        <v>Gaza</v>
      </c>
      <c r="U482" t="str">
        <v>Masculino</v>
      </c>
      <c r="V482" t="str">
        <v>Casado(a)</v>
      </c>
      <c r="W482" t="str">
        <v>Primaria</v>
      </c>
      <c r="X482" t="str">
        <v>Nao</v>
      </c>
      <c r="Y482" t="str">
        <v>Hipertensao</v>
      </c>
      <c r="Z482">
        <v>6</v>
      </c>
      <c r="AA482">
        <v>33.700000000000003</v>
      </c>
      <c r="AB482">
        <v>1.1100000000000001</v>
      </c>
      <c r="AC482">
        <v>2</v>
      </c>
      <c r="AD482">
        <v>115</v>
      </c>
      <c r="AE482">
        <v>90</v>
      </c>
      <c r="AF482" t="str">
        <v>Urbana</v>
      </c>
      <c r="AG482" t="str">
        <v>Nao</v>
      </c>
    </row>
    <row r="483" spans="2:33" x14ac:dyDescent="0.45">
      <c r="B483" s="4">
        <v>482</v>
      </c>
      <c r="C483" s="4" t="s">
        <v>22</v>
      </c>
      <c r="D483" s="4" t="s">
        <v>16</v>
      </c>
      <c r="E483" s="4" t="s">
        <v>35</v>
      </c>
      <c r="F483" s="4" t="s">
        <v>18</v>
      </c>
      <c r="G483" s="4" t="s">
        <v>30</v>
      </c>
      <c r="H483" s="4" t="s">
        <v>20</v>
      </c>
      <c r="I483" s="4">
        <v>6</v>
      </c>
      <c r="J483" s="5">
        <v>25.8</v>
      </c>
      <c r="K483" s="6">
        <v>1.2</v>
      </c>
      <c r="L483" s="4">
        <v>4</v>
      </c>
      <c r="M483" s="4">
        <v>116</v>
      </c>
      <c r="N483" s="4">
        <v>104</v>
      </c>
      <c r="O483" s="4" t="s">
        <v>21</v>
      </c>
      <c r="P483" s="7" t="s">
        <v>19</v>
      </c>
      <c r="S483">
        <v>1043</v>
      </c>
      <c r="T483" t="str">
        <v>Nampula</v>
      </c>
      <c r="U483" t="str">
        <v>Masculino</v>
      </c>
      <c r="V483" t="str">
        <v>Casado(a)</v>
      </c>
      <c r="W483" t="str">
        <v>Primaria</v>
      </c>
      <c r="X483" t="str">
        <v>Nao</v>
      </c>
      <c r="Y483" t="str">
        <v>Malaria</v>
      </c>
      <c r="Z483">
        <v>17</v>
      </c>
      <c r="AA483">
        <v>60.9</v>
      </c>
      <c r="AB483">
        <v>1.62</v>
      </c>
      <c r="AC483">
        <v>2</v>
      </c>
      <c r="AD483">
        <v>99</v>
      </c>
      <c r="AE483">
        <v>83</v>
      </c>
      <c r="AF483" t="str">
        <v>Rural</v>
      </c>
      <c r="AG483" t="str">
        <v>Nao</v>
      </c>
    </row>
    <row r="484" spans="2:33" x14ac:dyDescent="0.45">
      <c r="B484" s="4">
        <v>483</v>
      </c>
      <c r="C484" s="4" t="s">
        <v>41</v>
      </c>
      <c r="D484" s="4" t="s">
        <v>23</v>
      </c>
      <c r="E484" s="4" t="s">
        <v>17</v>
      </c>
      <c r="F484" s="4" t="s">
        <v>18</v>
      </c>
      <c r="G484" s="4" t="s">
        <v>30</v>
      </c>
      <c r="H484" s="4" t="s">
        <v>25</v>
      </c>
      <c r="I484" s="4">
        <v>16</v>
      </c>
      <c r="J484" s="5">
        <v>59</v>
      </c>
      <c r="K484" s="6">
        <v>1.67</v>
      </c>
      <c r="L484" s="4">
        <v>6</v>
      </c>
      <c r="M484" s="4">
        <v>114</v>
      </c>
      <c r="N484" s="4">
        <v>81</v>
      </c>
      <c r="O484" s="4" t="s">
        <v>21</v>
      </c>
      <c r="P484" s="7" t="s">
        <v>30</v>
      </c>
      <c r="S484">
        <v>1045</v>
      </c>
      <c r="T484" t="str">
        <v>Niassa</v>
      </c>
      <c r="U484" t="str">
        <v>Masculino</v>
      </c>
      <c r="V484" t="str">
        <v>Casado(a)</v>
      </c>
      <c r="W484" t="str">
        <v>Primaria</v>
      </c>
      <c r="X484" t="str">
        <v>Nao</v>
      </c>
      <c r="Y484" t="str">
        <v>Tuberculose</v>
      </c>
      <c r="Z484">
        <v>9</v>
      </c>
      <c r="AA484">
        <v>34.9</v>
      </c>
      <c r="AB484">
        <v>1.17</v>
      </c>
      <c r="AC484">
        <v>0</v>
      </c>
      <c r="AD484">
        <v>113</v>
      </c>
      <c r="AE484">
        <v>70</v>
      </c>
      <c r="AF484" t="str">
        <v>Urbana</v>
      </c>
      <c r="AG484" t="str">
        <v>Nao</v>
      </c>
    </row>
    <row r="485" spans="2:33" x14ac:dyDescent="0.45">
      <c r="B485" s="4">
        <v>484</v>
      </c>
      <c r="C485" s="4" t="s">
        <v>27</v>
      </c>
      <c r="D485" s="4" t="s">
        <v>16</v>
      </c>
      <c r="E485" s="4" t="s">
        <v>17</v>
      </c>
      <c r="F485" s="4" t="s">
        <v>24</v>
      </c>
      <c r="G485" s="4" t="s">
        <v>19</v>
      </c>
      <c r="H485" s="4" t="s">
        <v>36</v>
      </c>
      <c r="I485" s="4">
        <v>18</v>
      </c>
      <c r="J485" s="5">
        <v>69.400000000000006</v>
      </c>
      <c r="K485" s="6">
        <v>1.73</v>
      </c>
      <c r="L485" s="4">
        <v>0</v>
      </c>
      <c r="M485" s="4">
        <v>129</v>
      </c>
      <c r="N485" s="4">
        <v>90</v>
      </c>
      <c r="O485" s="4" t="s">
        <v>26</v>
      </c>
      <c r="P485" s="7" t="s">
        <v>19</v>
      </c>
      <c r="S485">
        <v>1050</v>
      </c>
      <c r="T485" t="str">
        <v>Zambezia</v>
      </c>
      <c r="U485" t="str">
        <v>Masculino</v>
      </c>
      <c r="V485" t="str">
        <v>Viuvo(a)</v>
      </c>
      <c r="W485" t="str">
        <v>Nenhuma</v>
      </c>
      <c r="X485" t="str">
        <v>Nao</v>
      </c>
      <c r="Y485" t="str">
        <v>Diarreia</v>
      </c>
      <c r="Z485">
        <v>1</v>
      </c>
      <c r="AA485">
        <v>8.4</v>
      </c>
      <c r="AB485">
        <v>1.01</v>
      </c>
      <c r="AC485">
        <v>1</v>
      </c>
      <c r="AD485">
        <v>92</v>
      </c>
      <c r="AE485">
        <v>90</v>
      </c>
      <c r="AF485" t="str">
        <v>Urbana</v>
      </c>
      <c r="AG485" t="str">
        <v>Nao</v>
      </c>
    </row>
    <row r="486" spans="2:33" x14ac:dyDescent="0.45">
      <c r="B486" s="4">
        <v>485</v>
      </c>
      <c r="C486" s="4" t="s">
        <v>15</v>
      </c>
      <c r="D486" s="4" t="s">
        <v>23</v>
      </c>
      <c r="E486" s="4" t="s">
        <v>37</v>
      </c>
      <c r="F486" s="4" t="s">
        <v>42</v>
      </c>
      <c r="G486" s="4" t="s">
        <v>19</v>
      </c>
      <c r="H486" s="4" t="s">
        <v>20</v>
      </c>
      <c r="I486" s="4">
        <v>11</v>
      </c>
      <c r="J486" s="5">
        <v>25.2</v>
      </c>
      <c r="K486" s="6">
        <v>1.06</v>
      </c>
      <c r="L486" s="4">
        <v>3</v>
      </c>
      <c r="M486" s="4">
        <v>96</v>
      </c>
      <c r="N486" s="4">
        <v>100</v>
      </c>
      <c r="O486" s="4" t="s">
        <v>26</v>
      </c>
      <c r="P486" s="7" t="s">
        <v>19</v>
      </c>
      <c r="S486">
        <v>1053</v>
      </c>
      <c r="T486" t="str">
        <v>Tete</v>
      </c>
      <c r="U486" t="str">
        <v>Masculino</v>
      </c>
      <c r="V486" t="str">
        <v>Casado(a)</v>
      </c>
      <c r="W486" t="str">
        <v>Primaria</v>
      </c>
      <c r="X486" t="str">
        <v>Nao</v>
      </c>
      <c r="Y486" t="str">
        <v>Malaria</v>
      </c>
      <c r="Z486">
        <v>8</v>
      </c>
      <c r="AA486">
        <v>23.4</v>
      </c>
      <c r="AB486">
        <v>1.0900000000000001</v>
      </c>
      <c r="AC486">
        <v>3</v>
      </c>
      <c r="AD486">
        <v>116</v>
      </c>
      <c r="AE486">
        <v>75</v>
      </c>
      <c r="AF486" t="str">
        <v>Rural</v>
      </c>
      <c r="AG486" t="str">
        <v>Nao</v>
      </c>
    </row>
    <row r="487" spans="2:33" x14ac:dyDescent="0.45">
      <c r="B487" s="4">
        <v>486</v>
      </c>
      <c r="C487" s="4" t="s">
        <v>33</v>
      </c>
      <c r="D487" s="4" t="s">
        <v>23</v>
      </c>
      <c r="E487" s="4" t="s">
        <v>35</v>
      </c>
      <c r="F487" s="4" t="s">
        <v>18</v>
      </c>
      <c r="G487" s="4" t="s">
        <v>19</v>
      </c>
      <c r="H487" s="4" t="s">
        <v>32</v>
      </c>
      <c r="I487" s="4">
        <v>2</v>
      </c>
      <c r="J487" s="5">
        <v>9.6999999999999993</v>
      </c>
      <c r="K487" s="6">
        <v>0.7</v>
      </c>
      <c r="L487" s="4">
        <v>2</v>
      </c>
      <c r="M487" s="4">
        <v>121</v>
      </c>
      <c r="N487" s="4">
        <v>166</v>
      </c>
      <c r="O487" s="4" t="s">
        <v>26</v>
      </c>
      <c r="P487" s="7" t="s">
        <v>30</v>
      </c>
      <c r="S487">
        <v>1054</v>
      </c>
      <c r="T487" t="str">
        <v>Sofala</v>
      </c>
      <c r="U487" t="str">
        <v>Masculino</v>
      </c>
      <c r="V487" t="str">
        <v>Casado(a)</v>
      </c>
      <c r="W487" t="str">
        <v>Nenhuma</v>
      </c>
      <c r="X487" t="str">
        <v>Nao</v>
      </c>
      <c r="Y487" t="str">
        <v>Malaria</v>
      </c>
      <c r="Z487">
        <v>84</v>
      </c>
      <c r="AA487">
        <v>47</v>
      </c>
      <c r="AB487">
        <v>1.51</v>
      </c>
      <c r="AC487">
        <v>6</v>
      </c>
      <c r="AD487">
        <v>139</v>
      </c>
      <c r="AE487">
        <v>81</v>
      </c>
      <c r="AF487" t="str">
        <v>Urbana</v>
      </c>
      <c r="AG487" t="str">
        <v>Nao</v>
      </c>
    </row>
    <row r="488" spans="2:33" x14ac:dyDescent="0.45">
      <c r="B488" s="4">
        <v>487</v>
      </c>
      <c r="C488" s="4" t="s">
        <v>39</v>
      </c>
      <c r="D488" s="4" t="s">
        <v>16</v>
      </c>
      <c r="E488" s="4" t="s">
        <v>35</v>
      </c>
      <c r="F488" s="4" t="s">
        <v>24</v>
      </c>
      <c r="G488" s="4" t="s">
        <v>19</v>
      </c>
      <c r="H488" s="4" t="s">
        <v>25</v>
      </c>
      <c r="I488" s="4">
        <v>13</v>
      </c>
      <c r="J488" s="5">
        <v>43</v>
      </c>
      <c r="K488" s="6">
        <v>1.6</v>
      </c>
      <c r="L488" s="4">
        <v>3</v>
      </c>
      <c r="M488" s="4">
        <v>117</v>
      </c>
      <c r="N488" s="4">
        <v>73</v>
      </c>
      <c r="O488" s="4" t="s">
        <v>26</v>
      </c>
      <c r="P488" s="7" t="s">
        <v>19</v>
      </c>
      <c r="S488">
        <v>1061</v>
      </c>
      <c r="T488" t="str">
        <v>Gaza</v>
      </c>
      <c r="U488" t="str">
        <v>Masculino</v>
      </c>
      <c r="V488" t="str">
        <v>Casado(a)</v>
      </c>
      <c r="W488" t="str">
        <v>Primaria</v>
      </c>
      <c r="X488" t="str">
        <v>Nao</v>
      </c>
      <c r="Y488" t="str">
        <v>Malaria</v>
      </c>
      <c r="Z488">
        <v>23</v>
      </c>
      <c r="AA488">
        <v>46</v>
      </c>
      <c r="AB488">
        <v>1.69</v>
      </c>
      <c r="AC488">
        <v>3</v>
      </c>
      <c r="AD488">
        <v>102</v>
      </c>
      <c r="AE488">
        <v>102</v>
      </c>
      <c r="AF488" t="str">
        <v>Urbana</v>
      </c>
      <c r="AG488" t="str">
        <v>Nao</v>
      </c>
    </row>
    <row r="489" spans="2:33" x14ac:dyDescent="0.45">
      <c r="B489" s="4">
        <v>488</v>
      </c>
      <c r="C489" s="4" t="s">
        <v>43</v>
      </c>
      <c r="D489" s="4" t="s">
        <v>16</v>
      </c>
      <c r="E489" s="4" t="s">
        <v>17</v>
      </c>
      <c r="F489" s="4" t="s">
        <v>24</v>
      </c>
      <c r="G489" s="4" t="s">
        <v>19</v>
      </c>
      <c r="H489" s="4" t="s">
        <v>25</v>
      </c>
      <c r="I489" s="4">
        <v>37</v>
      </c>
      <c r="J489" s="5">
        <v>94.7</v>
      </c>
      <c r="K489" s="6">
        <v>1.65</v>
      </c>
      <c r="L489" s="4">
        <v>2</v>
      </c>
      <c r="M489" s="4">
        <v>109</v>
      </c>
      <c r="N489" s="4">
        <v>71</v>
      </c>
      <c r="O489" s="4" t="s">
        <v>26</v>
      </c>
      <c r="P489" s="7" t="s">
        <v>30</v>
      </c>
      <c r="S489">
        <v>1062</v>
      </c>
      <c r="T489" t="str">
        <v>Nampula</v>
      </c>
      <c r="U489" t="str">
        <v>Masculino</v>
      </c>
      <c r="V489" t="str">
        <v>Casado(a)</v>
      </c>
      <c r="W489" t="str">
        <v>Primaria</v>
      </c>
      <c r="X489" t="str">
        <v>Nao</v>
      </c>
      <c r="Y489" t="str">
        <v>Diarreia</v>
      </c>
      <c r="Z489">
        <v>30</v>
      </c>
      <c r="AA489">
        <v>69.7</v>
      </c>
      <c r="AB489">
        <v>1.7</v>
      </c>
      <c r="AC489">
        <v>6</v>
      </c>
      <c r="AD489">
        <v>110</v>
      </c>
      <c r="AE489">
        <v>83</v>
      </c>
      <c r="AF489" t="str">
        <v>Rural</v>
      </c>
      <c r="AG489" t="str">
        <v>Sim</v>
      </c>
    </row>
    <row r="490" spans="2:33" x14ac:dyDescent="0.45">
      <c r="B490" s="4">
        <v>489</v>
      </c>
      <c r="C490" s="4" t="s">
        <v>29</v>
      </c>
      <c r="D490" s="4" t="s">
        <v>16</v>
      </c>
      <c r="E490" s="4" t="s">
        <v>37</v>
      </c>
      <c r="F490" s="4" t="s">
        <v>24</v>
      </c>
      <c r="G490" s="4" t="s">
        <v>19</v>
      </c>
      <c r="H490" s="4" t="s">
        <v>34</v>
      </c>
      <c r="I490" s="4">
        <v>11</v>
      </c>
      <c r="J490" s="5">
        <v>37</v>
      </c>
      <c r="K490" s="6">
        <v>1.29</v>
      </c>
      <c r="L490" s="4">
        <v>8</v>
      </c>
      <c r="M490" s="4">
        <v>107</v>
      </c>
      <c r="N490" s="4">
        <v>78</v>
      </c>
      <c r="O490" s="4" t="s">
        <v>21</v>
      </c>
      <c r="P490" s="7" t="s">
        <v>19</v>
      </c>
      <c r="S490">
        <v>1063</v>
      </c>
      <c r="T490" t="str">
        <v>Cabo Delgado</v>
      </c>
      <c r="U490" t="str">
        <v>Masculino</v>
      </c>
      <c r="V490" t="str">
        <v>Solteiro(a)</v>
      </c>
      <c r="W490" t="str">
        <v>Secundaria</v>
      </c>
      <c r="X490" t="str">
        <v>Nao</v>
      </c>
      <c r="Y490" t="str">
        <v>Malaria</v>
      </c>
      <c r="Z490">
        <v>26</v>
      </c>
      <c r="AA490">
        <v>83.5</v>
      </c>
      <c r="AB490">
        <v>1.87</v>
      </c>
      <c r="AC490">
        <v>5</v>
      </c>
      <c r="AD490">
        <v>120</v>
      </c>
      <c r="AE490">
        <v>71</v>
      </c>
      <c r="AF490" t="str">
        <v>Urbana</v>
      </c>
      <c r="AG490" t="str">
        <v>Nao</v>
      </c>
    </row>
    <row r="491" spans="2:33" x14ac:dyDescent="0.45">
      <c r="B491" s="4">
        <v>490</v>
      </c>
      <c r="C491" s="4" t="s">
        <v>31</v>
      </c>
      <c r="D491" s="4" t="s">
        <v>23</v>
      </c>
      <c r="E491" s="4" t="s">
        <v>35</v>
      </c>
      <c r="F491" s="4" t="s">
        <v>18</v>
      </c>
      <c r="G491" s="4" t="s">
        <v>19</v>
      </c>
      <c r="H491" s="4" t="s">
        <v>28</v>
      </c>
      <c r="I491" s="4">
        <v>58</v>
      </c>
      <c r="J491" s="5">
        <v>74.599999999999994</v>
      </c>
      <c r="K491" s="6">
        <v>1.65</v>
      </c>
      <c r="L491" s="4">
        <v>1</v>
      </c>
      <c r="M491" s="4">
        <v>133</v>
      </c>
      <c r="N491" s="4">
        <v>98</v>
      </c>
      <c r="O491" s="4" t="s">
        <v>26</v>
      </c>
      <c r="P491" s="7" t="s">
        <v>30</v>
      </c>
      <c r="S491">
        <v>1064</v>
      </c>
      <c r="T491" t="str">
        <v>Zambezia</v>
      </c>
      <c r="U491" t="str">
        <v>Masculino</v>
      </c>
      <c r="V491" t="str">
        <v>Casado(a)</v>
      </c>
      <c r="W491" t="str">
        <v>Nenhuma</v>
      </c>
      <c r="X491" t="str">
        <v>Nao</v>
      </c>
      <c r="Y491" t="str">
        <v>HIV/SIDA</v>
      </c>
      <c r="Z491">
        <v>20</v>
      </c>
      <c r="AA491">
        <v>86</v>
      </c>
      <c r="AB491">
        <v>1.79</v>
      </c>
      <c r="AC491">
        <v>5</v>
      </c>
      <c r="AD491">
        <v>103</v>
      </c>
      <c r="AE491">
        <v>71</v>
      </c>
      <c r="AF491" t="str">
        <v>Rural</v>
      </c>
      <c r="AG491" t="str">
        <v>Nao</v>
      </c>
    </row>
    <row r="492" spans="2:33" x14ac:dyDescent="0.45">
      <c r="B492" s="4">
        <v>491</v>
      </c>
      <c r="C492" s="4" t="s">
        <v>27</v>
      </c>
      <c r="D492" s="4" t="s">
        <v>16</v>
      </c>
      <c r="E492" s="4" t="s">
        <v>35</v>
      </c>
      <c r="F492" s="4" t="s">
        <v>24</v>
      </c>
      <c r="G492" s="4" t="s">
        <v>30</v>
      </c>
      <c r="H492" s="4" t="s">
        <v>34</v>
      </c>
      <c r="I492" s="4">
        <v>14</v>
      </c>
      <c r="J492" s="5">
        <v>46.9</v>
      </c>
      <c r="K492" s="6">
        <v>1.52</v>
      </c>
      <c r="L492" s="4">
        <v>1</v>
      </c>
      <c r="M492" s="4">
        <v>104</v>
      </c>
      <c r="N492" s="4">
        <v>99</v>
      </c>
      <c r="O492" s="4" t="s">
        <v>26</v>
      </c>
      <c r="P492" s="7" t="s">
        <v>19</v>
      </c>
      <c r="S492">
        <v>1066</v>
      </c>
      <c r="T492" t="str">
        <v>Maputo Provincia</v>
      </c>
      <c r="U492" t="str">
        <v>Masculino</v>
      </c>
      <c r="V492" t="str">
        <v>Solteiro(a)</v>
      </c>
      <c r="W492" t="str">
        <v>Secundaria</v>
      </c>
      <c r="X492" t="str">
        <v>Sim</v>
      </c>
      <c r="Y492" t="str">
        <v>Tuberculose</v>
      </c>
      <c r="Z492">
        <v>21</v>
      </c>
      <c r="AA492">
        <v>93.5</v>
      </c>
      <c r="AB492">
        <v>1.72</v>
      </c>
      <c r="AC492">
        <v>2</v>
      </c>
      <c r="AD492">
        <v>111</v>
      </c>
      <c r="AE492">
        <v>86</v>
      </c>
      <c r="AF492" t="str">
        <v>Rural</v>
      </c>
      <c r="AG492" t="str">
        <v>Sim</v>
      </c>
    </row>
    <row r="493" spans="2:33" x14ac:dyDescent="0.45">
      <c r="B493" s="4">
        <v>492</v>
      </c>
      <c r="C493" s="4" t="s">
        <v>45</v>
      </c>
      <c r="D493" s="4" t="s">
        <v>23</v>
      </c>
      <c r="E493" s="4" t="s">
        <v>35</v>
      </c>
      <c r="F493" s="4" t="s">
        <v>24</v>
      </c>
      <c r="G493" s="4" t="s">
        <v>30</v>
      </c>
      <c r="H493" s="4" t="s">
        <v>46</v>
      </c>
      <c r="I493" s="4">
        <v>62</v>
      </c>
      <c r="J493" s="5">
        <v>62.3</v>
      </c>
      <c r="K493" s="6">
        <v>1.7</v>
      </c>
      <c r="L493" s="4">
        <v>1</v>
      </c>
      <c r="M493" s="4">
        <v>122</v>
      </c>
      <c r="N493" s="4">
        <v>100</v>
      </c>
      <c r="O493" s="4" t="s">
        <v>26</v>
      </c>
      <c r="P493" s="7" t="s">
        <v>19</v>
      </c>
      <c r="S493">
        <v>1069</v>
      </c>
      <c r="T493" t="str">
        <v>Nampula</v>
      </c>
      <c r="U493" t="str">
        <v>Masculino</v>
      </c>
      <c r="V493" t="str">
        <v>Casado(a)</v>
      </c>
      <c r="W493" t="str">
        <v>Primaria</v>
      </c>
      <c r="X493" t="str">
        <v>Nao</v>
      </c>
      <c r="Y493" t="str">
        <v>Hipertensao</v>
      </c>
      <c r="Z493">
        <v>17</v>
      </c>
      <c r="AA493">
        <v>40.299999999999997</v>
      </c>
      <c r="AB493">
        <v>1.68</v>
      </c>
      <c r="AC493">
        <v>4</v>
      </c>
      <c r="AD493">
        <v>131</v>
      </c>
      <c r="AE493">
        <v>96</v>
      </c>
      <c r="AF493" t="str">
        <v>Rural</v>
      </c>
      <c r="AG493" t="str">
        <v>Nao</v>
      </c>
    </row>
    <row r="494" spans="2:33" x14ac:dyDescent="0.45">
      <c r="B494" s="4">
        <v>493</v>
      </c>
      <c r="C494" s="4" t="s">
        <v>45</v>
      </c>
      <c r="D494" s="4" t="s">
        <v>16</v>
      </c>
      <c r="E494" s="4" t="s">
        <v>17</v>
      </c>
      <c r="F494" s="4" t="s">
        <v>28</v>
      </c>
      <c r="G494" s="4" t="s">
        <v>19</v>
      </c>
      <c r="H494" s="4" t="s">
        <v>28</v>
      </c>
      <c r="I494" s="4">
        <v>62</v>
      </c>
      <c r="J494" s="5">
        <v>72</v>
      </c>
      <c r="K494" s="6">
        <v>1.53</v>
      </c>
      <c r="L494" s="4">
        <v>2</v>
      </c>
      <c r="M494" s="4">
        <v>120</v>
      </c>
      <c r="N494" s="4">
        <v>83</v>
      </c>
      <c r="O494" s="4" t="s">
        <v>21</v>
      </c>
      <c r="P494" s="7" t="s">
        <v>19</v>
      </c>
      <c r="S494">
        <v>1072</v>
      </c>
      <c r="T494" t="str">
        <v>Zambezia</v>
      </c>
      <c r="U494" t="str">
        <v>Masculino</v>
      </c>
      <c r="V494" t="str">
        <v>Casado(a)</v>
      </c>
      <c r="W494" t="str">
        <v>Primaria</v>
      </c>
      <c r="X494" t="str">
        <v>Nao</v>
      </c>
      <c r="Y494" t="str">
        <v>Diabetes</v>
      </c>
      <c r="Z494">
        <v>31</v>
      </c>
      <c r="AA494">
        <v>78.599999999999994</v>
      </c>
      <c r="AB494">
        <v>1.71</v>
      </c>
      <c r="AC494">
        <v>2</v>
      </c>
      <c r="AD494">
        <v>101</v>
      </c>
      <c r="AE494">
        <v>172</v>
      </c>
      <c r="AF494" t="str">
        <v>Rural</v>
      </c>
      <c r="AG494" t="str">
        <v>Nao</v>
      </c>
    </row>
    <row r="495" spans="2:33" x14ac:dyDescent="0.45">
      <c r="B495" s="4">
        <v>494</v>
      </c>
      <c r="C495" s="4" t="s">
        <v>29</v>
      </c>
      <c r="D495" s="4" t="s">
        <v>23</v>
      </c>
      <c r="E495" s="4" t="s">
        <v>17</v>
      </c>
      <c r="F495" s="4" t="s">
        <v>18</v>
      </c>
      <c r="G495" s="4" t="s">
        <v>30</v>
      </c>
      <c r="H495" s="4" t="s">
        <v>32</v>
      </c>
      <c r="I495" s="4">
        <v>52</v>
      </c>
      <c r="J495" s="5">
        <v>75.400000000000006</v>
      </c>
      <c r="K495" s="6">
        <v>1.84</v>
      </c>
      <c r="L495" s="4">
        <v>2</v>
      </c>
      <c r="M495" s="4">
        <v>117</v>
      </c>
      <c r="N495" s="4">
        <v>146</v>
      </c>
      <c r="O495" s="4" t="s">
        <v>26</v>
      </c>
      <c r="P495" s="7" t="s">
        <v>30</v>
      </c>
      <c r="S495">
        <v>1074</v>
      </c>
      <c r="T495" t="str">
        <v>Zambezia</v>
      </c>
      <c r="U495" t="str">
        <v>Masculino</v>
      </c>
      <c r="V495" t="str">
        <v>Casado(a)</v>
      </c>
      <c r="W495" t="str">
        <v>Primaria</v>
      </c>
      <c r="X495" t="str">
        <v>Nao</v>
      </c>
      <c r="Y495" t="str">
        <v>Malaria</v>
      </c>
      <c r="Z495">
        <v>22</v>
      </c>
      <c r="AA495">
        <v>70.7</v>
      </c>
      <c r="AB495">
        <v>1.79</v>
      </c>
      <c r="AC495">
        <v>3</v>
      </c>
      <c r="AD495">
        <v>100</v>
      </c>
      <c r="AE495">
        <v>89</v>
      </c>
      <c r="AF495" t="str">
        <v>Rural</v>
      </c>
      <c r="AG495" t="str">
        <v>Nao</v>
      </c>
    </row>
    <row r="496" spans="2:33" x14ac:dyDescent="0.45">
      <c r="B496" s="4">
        <v>495</v>
      </c>
      <c r="C496" s="4" t="s">
        <v>29</v>
      </c>
      <c r="D496" s="4" t="s">
        <v>23</v>
      </c>
      <c r="E496" s="4" t="s">
        <v>35</v>
      </c>
      <c r="F496" s="4" t="s">
        <v>24</v>
      </c>
      <c r="G496" s="4" t="s">
        <v>19</v>
      </c>
      <c r="H496" s="4" t="s">
        <v>28</v>
      </c>
      <c r="I496" s="4">
        <v>28</v>
      </c>
      <c r="J496" s="5">
        <v>67.8</v>
      </c>
      <c r="K496" s="6">
        <v>1.81</v>
      </c>
      <c r="L496" s="4">
        <v>2</v>
      </c>
      <c r="M496" s="4">
        <v>111</v>
      </c>
      <c r="N496" s="4">
        <v>102</v>
      </c>
      <c r="O496" s="4" t="s">
        <v>26</v>
      </c>
      <c r="P496" s="7" t="s">
        <v>19</v>
      </c>
      <c r="S496">
        <v>1076</v>
      </c>
      <c r="T496" t="str">
        <v>Maputo Cidade</v>
      </c>
      <c r="U496" t="str">
        <v>Masculino</v>
      </c>
      <c r="V496" t="str">
        <v>Solteiro(a)</v>
      </c>
      <c r="W496" t="str">
        <v>Secundaria</v>
      </c>
      <c r="X496" t="str">
        <v>Nao</v>
      </c>
      <c r="Y496" t="str">
        <v>Hipertensao</v>
      </c>
      <c r="Z496">
        <v>38</v>
      </c>
      <c r="AA496">
        <v>73.3</v>
      </c>
      <c r="AB496">
        <v>1.87</v>
      </c>
      <c r="AC496">
        <v>5</v>
      </c>
      <c r="AD496">
        <v>145</v>
      </c>
      <c r="AE496">
        <v>78</v>
      </c>
      <c r="AF496" t="str">
        <v>Urbana</v>
      </c>
      <c r="AG496" t="str">
        <v>Nao</v>
      </c>
    </row>
    <row r="497" spans="2:33" x14ac:dyDescent="0.45">
      <c r="B497" s="4">
        <v>496</v>
      </c>
      <c r="C497" s="4" t="s">
        <v>31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s">
        <v>28</v>
      </c>
      <c r="I497" s="4">
        <v>52</v>
      </c>
      <c r="J497" s="5">
        <v>89.1</v>
      </c>
      <c r="K497" s="6">
        <v>1.9</v>
      </c>
      <c r="L497" s="4">
        <v>0</v>
      </c>
      <c r="M497" s="4">
        <v>112</v>
      </c>
      <c r="N497" s="4">
        <v>97</v>
      </c>
      <c r="O497" s="4" t="s">
        <v>26</v>
      </c>
      <c r="P497" s="7" t="s">
        <v>19</v>
      </c>
      <c r="S497">
        <v>1077</v>
      </c>
      <c r="T497" t="str">
        <v>Nampula</v>
      </c>
      <c r="U497" t="str">
        <v>Masculino</v>
      </c>
      <c r="V497" t="str">
        <v>Solteiro(a)</v>
      </c>
      <c r="W497" t="str">
        <v>Nenhuma</v>
      </c>
      <c r="X497" t="str">
        <v>Nao</v>
      </c>
      <c r="Y497" t="str">
        <v>HIV/SIDA</v>
      </c>
      <c r="Z497">
        <v>14</v>
      </c>
      <c r="AA497">
        <v>59</v>
      </c>
      <c r="AB497">
        <v>1.67</v>
      </c>
      <c r="AC497">
        <v>1</v>
      </c>
      <c r="AD497">
        <v>103</v>
      </c>
      <c r="AE497">
        <v>83</v>
      </c>
      <c r="AF497" t="str">
        <v>Rural</v>
      </c>
      <c r="AG497" t="str">
        <v>Nao</v>
      </c>
    </row>
    <row r="498" spans="2:33" x14ac:dyDescent="0.45">
      <c r="B498" s="4">
        <v>497</v>
      </c>
      <c r="C498" s="4" t="s">
        <v>27</v>
      </c>
      <c r="D498" s="4" t="s">
        <v>23</v>
      </c>
      <c r="E498" s="4" t="s">
        <v>37</v>
      </c>
      <c r="F498" s="4" t="s">
        <v>24</v>
      </c>
      <c r="G498" s="4" t="s">
        <v>19</v>
      </c>
      <c r="H498" s="4" t="s">
        <v>28</v>
      </c>
      <c r="I498" s="4">
        <v>7</v>
      </c>
      <c r="J498" s="5">
        <v>38</v>
      </c>
      <c r="K498" s="6">
        <v>1.27</v>
      </c>
      <c r="L498" s="4">
        <v>5</v>
      </c>
      <c r="M498" s="4">
        <v>98</v>
      </c>
      <c r="N498" s="4">
        <v>74</v>
      </c>
      <c r="O498" s="4" t="s">
        <v>21</v>
      </c>
      <c r="P498" s="7" t="s">
        <v>19</v>
      </c>
      <c r="S498">
        <v>1079</v>
      </c>
      <c r="T498" t="str">
        <v>Maputo Cidade</v>
      </c>
      <c r="U498" t="str">
        <v>Masculino</v>
      </c>
      <c r="V498" t="str">
        <v>Casado(a)</v>
      </c>
      <c r="W498" t="str">
        <v>Nenhuma</v>
      </c>
      <c r="X498" t="str">
        <v>Sim</v>
      </c>
      <c r="Y498" t="str">
        <v>Diarreia</v>
      </c>
      <c r="Z498">
        <v>20</v>
      </c>
      <c r="AA498">
        <v>49.2</v>
      </c>
      <c r="AB498">
        <v>1.65</v>
      </c>
      <c r="AC498">
        <v>3</v>
      </c>
      <c r="AD498">
        <v>125</v>
      </c>
      <c r="AE498">
        <v>74</v>
      </c>
      <c r="AF498" t="str">
        <v>Urbana</v>
      </c>
      <c r="AG498" t="str">
        <v>Sim</v>
      </c>
    </row>
    <row r="499" spans="2:33" x14ac:dyDescent="0.45">
      <c r="B499" s="4">
        <v>498</v>
      </c>
      <c r="C499" s="4" t="s">
        <v>39</v>
      </c>
      <c r="D499" s="4" t="s">
        <v>23</v>
      </c>
      <c r="E499" s="4" t="s">
        <v>35</v>
      </c>
      <c r="F499" s="4" t="s">
        <v>28</v>
      </c>
      <c r="G499" s="4" t="s">
        <v>19</v>
      </c>
      <c r="H499" s="4" t="s">
        <v>25</v>
      </c>
      <c r="I499" s="4">
        <v>20</v>
      </c>
      <c r="J499" s="5">
        <v>90.7</v>
      </c>
      <c r="K499" s="6">
        <v>1.86</v>
      </c>
      <c r="L499" s="4">
        <v>4</v>
      </c>
      <c r="M499" s="4">
        <v>97</v>
      </c>
      <c r="N499" s="4">
        <v>87</v>
      </c>
      <c r="O499" s="4" t="s">
        <v>26</v>
      </c>
      <c r="P499" s="7" t="s">
        <v>19</v>
      </c>
      <c r="S499">
        <v>1080</v>
      </c>
      <c r="T499" t="str">
        <v>Cabo Delgado</v>
      </c>
      <c r="U499" t="str">
        <v>Masculino</v>
      </c>
      <c r="V499" t="str">
        <v>Solteiro(a)</v>
      </c>
      <c r="W499" t="str">
        <v>Nenhuma</v>
      </c>
      <c r="X499" t="str">
        <v>Sim</v>
      </c>
      <c r="Y499" t="str">
        <v>Nenhuma</v>
      </c>
      <c r="Z499">
        <v>8</v>
      </c>
      <c r="AA499">
        <v>33.9</v>
      </c>
      <c r="AB499">
        <v>1.25</v>
      </c>
      <c r="AC499">
        <v>4</v>
      </c>
      <c r="AD499">
        <v>117</v>
      </c>
      <c r="AE499">
        <v>80</v>
      </c>
      <c r="AF499" t="str">
        <v>Urbana</v>
      </c>
      <c r="AG499" t="str">
        <v>Nao</v>
      </c>
    </row>
    <row r="500" spans="2:33" x14ac:dyDescent="0.45">
      <c r="B500" s="4">
        <v>499</v>
      </c>
      <c r="C500" s="4" t="s">
        <v>27</v>
      </c>
      <c r="D500" s="4" t="s">
        <v>16</v>
      </c>
      <c r="E500" s="4" t="s">
        <v>35</v>
      </c>
      <c r="F500" s="4" t="s">
        <v>24</v>
      </c>
      <c r="G500" s="4" t="s">
        <v>19</v>
      </c>
      <c r="H500" s="4" t="s">
        <v>25</v>
      </c>
      <c r="I500" s="4">
        <v>35</v>
      </c>
      <c r="J500" s="5">
        <v>68.7</v>
      </c>
      <c r="K500" s="6">
        <v>1.49</v>
      </c>
      <c r="L500" s="4">
        <v>1</v>
      </c>
      <c r="M500" s="4">
        <v>102</v>
      </c>
      <c r="N500" s="4">
        <v>90</v>
      </c>
      <c r="O500" s="4" t="s">
        <v>26</v>
      </c>
      <c r="P500" s="7" t="s">
        <v>19</v>
      </c>
      <c r="S500">
        <v>1081</v>
      </c>
      <c r="T500" t="str">
        <v>Zambezia</v>
      </c>
      <c r="U500" t="str">
        <v>Masculino</v>
      </c>
      <c r="V500" t="str">
        <v>Solteiro(a)</v>
      </c>
      <c r="W500" t="str">
        <v>Primaria</v>
      </c>
      <c r="X500" t="str">
        <v>Nao</v>
      </c>
      <c r="Y500" t="str">
        <v>Diarreia</v>
      </c>
      <c r="Z500">
        <v>75</v>
      </c>
      <c r="AA500">
        <v>78.8</v>
      </c>
      <c r="AB500">
        <v>1.68</v>
      </c>
      <c r="AC500">
        <v>7</v>
      </c>
      <c r="AD500">
        <v>118</v>
      </c>
      <c r="AE500">
        <v>93</v>
      </c>
      <c r="AF500" t="str">
        <v>Urbana</v>
      </c>
      <c r="AG500" t="str">
        <v>Nao</v>
      </c>
    </row>
    <row r="501" spans="2:33" x14ac:dyDescent="0.45">
      <c r="B501" s="4">
        <v>500</v>
      </c>
      <c r="C501" s="4" t="s">
        <v>27</v>
      </c>
      <c r="D501" s="4" t="s">
        <v>16</v>
      </c>
      <c r="E501" s="4" t="s">
        <v>17</v>
      </c>
      <c r="F501" s="4" t="s">
        <v>18</v>
      </c>
      <c r="G501" s="4" t="s">
        <v>30</v>
      </c>
      <c r="H501" s="4" t="s">
        <v>20</v>
      </c>
      <c r="I501" s="4">
        <v>50</v>
      </c>
      <c r="J501" s="5">
        <v>82.5</v>
      </c>
      <c r="K501" s="6">
        <v>1.85</v>
      </c>
      <c r="L501" s="4">
        <v>4</v>
      </c>
      <c r="M501" s="4">
        <v>120</v>
      </c>
      <c r="N501" s="4">
        <v>94</v>
      </c>
      <c r="O501" s="4" t="s">
        <v>21</v>
      </c>
      <c r="P501" s="7" t="s">
        <v>19</v>
      </c>
      <c r="S501">
        <v>1082</v>
      </c>
      <c r="T501" t="str">
        <v>Nampula</v>
      </c>
      <c r="U501" t="str">
        <v>Masculino</v>
      </c>
      <c r="V501" t="str">
        <v>Casado(a)</v>
      </c>
      <c r="W501" t="str">
        <v>Secundaria</v>
      </c>
      <c r="X501" t="str">
        <v>Nao</v>
      </c>
      <c r="Y501" t="str">
        <v>Tuberculose</v>
      </c>
      <c r="Z501">
        <v>39</v>
      </c>
      <c r="AA501">
        <v>47</v>
      </c>
      <c r="AB501">
        <v>1.65</v>
      </c>
      <c r="AC501">
        <v>1</v>
      </c>
      <c r="AD501">
        <v>105</v>
      </c>
      <c r="AE501">
        <v>89</v>
      </c>
      <c r="AF501" t="str">
        <v>Rural</v>
      </c>
      <c r="AG501" t="str">
        <v>Nao</v>
      </c>
    </row>
    <row r="502" spans="2:33" x14ac:dyDescent="0.45">
      <c r="B502" s="4">
        <v>501</v>
      </c>
      <c r="C502" s="4" t="s">
        <v>27</v>
      </c>
      <c r="D502" s="4" t="s">
        <v>16</v>
      </c>
      <c r="E502" s="4" t="s">
        <v>35</v>
      </c>
      <c r="F502" s="4" t="s">
        <v>24</v>
      </c>
      <c r="G502" s="4" t="s">
        <v>19</v>
      </c>
      <c r="H502" s="4" t="s">
        <v>34</v>
      </c>
      <c r="I502" s="4">
        <v>7</v>
      </c>
      <c r="J502" s="5">
        <v>18.399999999999999</v>
      </c>
      <c r="K502" s="6">
        <v>1.29</v>
      </c>
      <c r="L502" s="4">
        <v>0</v>
      </c>
      <c r="M502" s="4">
        <v>99</v>
      </c>
      <c r="N502" s="4">
        <v>101</v>
      </c>
      <c r="O502" s="4" t="s">
        <v>26</v>
      </c>
      <c r="P502" s="7" t="s">
        <v>19</v>
      </c>
      <c r="S502">
        <v>1084</v>
      </c>
      <c r="T502" t="str">
        <v>Niassa</v>
      </c>
      <c r="U502" t="str">
        <v>Masculino</v>
      </c>
      <c r="V502" t="str">
        <v>Solteiro(a)</v>
      </c>
      <c r="W502" t="str">
        <v>Superior</v>
      </c>
      <c r="X502" t="str">
        <v>Nao</v>
      </c>
      <c r="Y502" t="str">
        <v>Diarreia</v>
      </c>
      <c r="Z502">
        <v>10</v>
      </c>
      <c r="AA502">
        <v>23.4</v>
      </c>
      <c r="AB502">
        <v>1.41</v>
      </c>
      <c r="AC502">
        <v>1</v>
      </c>
      <c r="AD502">
        <v>98</v>
      </c>
      <c r="AE502">
        <v>101</v>
      </c>
      <c r="AF502" t="str">
        <v>Urbana</v>
      </c>
      <c r="AG502" t="str">
        <v>Nao</v>
      </c>
    </row>
    <row r="503" spans="2:33" x14ac:dyDescent="0.45">
      <c r="B503" s="4">
        <v>502</v>
      </c>
      <c r="C503" s="4" t="s">
        <v>29</v>
      </c>
      <c r="D503" s="4" t="s">
        <v>16</v>
      </c>
      <c r="E503" s="4" t="s">
        <v>35</v>
      </c>
      <c r="F503" s="4" t="s">
        <v>24</v>
      </c>
      <c r="G503" s="4" t="s">
        <v>19</v>
      </c>
      <c r="H503" s="4" t="s">
        <v>38</v>
      </c>
      <c r="I503" s="4">
        <v>42</v>
      </c>
      <c r="J503" s="5">
        <v>89</v>
      </c>
      <c r="K503" s="6">
        <v>1.58</v>
      </c>
      <c r="L503" s="4">
        <v>3</v>
      </c>
      <c r="M503" s="4">
        <v>103</v>
      </c>
      <c r="N503" s="4">
        <v>83</v>
      </c>
      <c r="O503" s="4" t="s">
        <v>26</v>
      </c>
      <c r="P503" s="7" t="s">
        <v>19</v>
      </c>
      <c r="S503">
        <v>1092</v>
      </c>
      <c r="T503" t="str">
        <v>Maputo Cidade</v>
      </c>
      <c r="U503" t="str">
        <v>Masculino</v>
      </c>
      <c r="V503" t="str">
        <v>Viuvo(a)</v>
      </c>
      <c r="W503" t="str">
        <v>Nenhuma</v>
      </c>
      <c r="X503" t="str">
        <v>Nao</v>
      </c>
      <c r="Y503" t="str">
        <v>Nenhuma</v>
      </c>
      <c r="Z503">
        <v>50</v>
      </c>
      <c r="AA503">
        <v>81.099999999999994</v>
      </c>
      <c r="AB503">
        <v>1.69</v>
      </c>
      <c r="AC503">
        <v>7</v>
      </c>
      <c r="AD503">
        <v>122</v>
      </c>
      <c r="AE503">
        <v>101</v>
      </c>
      <c r="AF503" t="str">
        <v>Rural</v>
      </c>
      <c r="AG503" t="str">
        <v>Nao</v>
      </c>
    </row>
    <row r="504" spans="2:33" x14ac:dyDescent="0.45">
      <c r="B504" s="4">
        <v>503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s">
        <v>20</v>
      </c>
      <c r="I504" s="4">
        <v>53</v>
      </c>
      <c r="J504" s="5">
        <v>89.6</v>
      </c>
      <c r="K504" s="6">
        <v>1.77</v>
      </c>
      <c r="L504" s="4">
        <v>7</v>
      </c>
      <c r="M504" s="4">
        <v>109</v>
      </c>
      <c r="N504" s="4">
        <v>89</v>
      </c>
      <c r="O504" s="4" t="s">
        <v>26</v>
      </c>
      <c r="P504" s="7" t="s">
        <v>19</v>
      </c>
      <c r="S504">
        <v>1093</v>
      </c>
      <c r="T504" t="str">
        <v>Maputo Cidade</v>
      </c>
      <c r="U504" t="str">
        <v>Masculino</v>
      </c>
      <c r="V504" t="str">
        <v>Casado(a)</v>
      </c>
      <c r="W504" t="str">
        <v>Nenhuma</v>
      </c>
      <c r="X504" t="str">
        <v>Nao</v>
      </c>
      <c r="Y504" t="str">
        <v>Hipertensao</v>
      </c>
      <c r="Z504">
        <v>81</v>
      </c>
      <c r="AA504">
        <v>65.599999999999994</v>
      </c>
      <c r="AB504">
        <v>1.54</v>
      </c>
      <c r="AC504">
        <v>2</v>
      </c>
      <c r="AD504">
        <v>152</v>
      </c>
      <c r="AE504">
        <v>79</v>
      </c>
      <c r="AF504" t="str">
        <v>Urbana</v>
      </c>
      <c r="AG504" t="str">
        <v>Nao</v>
      </c>
    </row>
    <row r="505" spans="2:33" x14ac:dyDescent="0.45">
      <c r="B505" s="4">
        <v>504</v>
      </c>
      <c r="C505" s="4" t="s">
        <v>15</v>
      </c>
      <c r="D505" s="4" t="s">
        <v>23</v>
      </c>
      <c r="E505" s="4" t="s">
        <v>35</v>
      </c>
      <c r="F505" s="4" t="s">
        <v>28</v>
      </c>
      <c r="G505" s="4" t="s">
        <v>19</v>
      </c>
      <c r="H505" s="4" t="s">
        <v>36</v>
      </c>
      <c r="I505" s="4">
        <v>10</v>
      </c>
      <c r="J505" s="5">
        <v>28.8</v>
      </c>
      <c r="K505" s="6">
        <v>1.1000000000000001</v>
      </c>
      <c r="L505" s="4">
        <v>3</v>
      </c>
      <c r="M505" s="4">
        <v>126</v>
      </c>
      <c r="N505" s="4">
        <v>84</v>
      </c>
      <c r="O505" s="4" t="s">
        <v>26</v>
      </c>
      <c r="P505" s="7" t="s">
        <v>19</v>
      </c>
      <c r="S505">
        <v>1094</v>
      </c>
      <c r="T505" t="str">
        <v>Nampula</v>
      </c>
      <c r="U505" t="str">
        <v>Masculino</v>
      </c>
      <c r="V505" t="str">
        <v>Solteiro(a)</v>
      </c>
      <c r="W505" t="str">
        <v>Secundaria</v>
      </c>
      <c r="X505" t="str">
        <v>Nao</v>
      </c>
      <c r="Y505" t="str">
        <v>Hipertensao</v>
      </c>
      <c r="Z505">
        <v>60</v>
      </c>
      <c r="AA505">
        <v>91.8</v>
      </c>
      <c r="AB505">
        <v>1.78</v>
      </c>
      <c r="AC505">
        <v>2</v>
      </c>
      <c r="AD505">
        <v>137</v>
      </c>
      <c r="AE505">
        <v>93</v>
      </c>
      <c r="AF505" t="str">
        <v>Rural</v>
      </c>
      <c r="AG505" t="str">
        <v>Nao</v>
      </c>
    </row>
    <row r="506" spans="2:33" x14ac:dyDescent="0.45">
      <c r="B506" s="4">
        <v>505</v>
      </c>
      <c r="C506" s="4" t="s">
        <v>45</v>
      </c>
      <c r="D506" s="4" t="s">
        <v>16</v>
      </c>
      <c r="E506" s="4" t="s">
        <v>37</v>
      </c>
      <c r="F506" s="4" t="s">
        <v>24</v>
      </c>
      <c r="G506" s="4" t="s">
        <v>19</v>
      </c>
      <c r="H506" s="4" t="s">
        <v>28</v>
      </c>
      <c r="I506" s="4">
        <v>0</v>
      </c>
      <c r="J506" s="5">
        <v>16.3</v>
      </c>
      <c r="K506" s="6">
        <v>0.65</v>
      </c>
      <c r="L506" s="4">
        <v>2</v>
      </c>
      <c r="M506" s="4">
        <v>110</v>
      </c>
      <c r="N506" s="4">
        <v>82</v>
      </c>
      <c r="O506" s="4" t="s">
        <v>21</v>
      </c>
      <c r="P506" s="7" t="s">
        <v>19</v>
      </c>
      <c r="S506">
        <v>1098</v>
      </c>
      <c r="T506" t="str">
        <v>Nampula</v>
      </c>
      <c r="U506" t="str">
        <v>Masculino</v>
      </c>
      <c r="V506" t="str">
        <v>Casado(a)</v>
      </c>
      <c r="W506" t="str">
        <v>Secundaria</v>
      </c>
      <c r="X506" t="str">
        <v>Nao</v>
      </c>
      <c r="Y506" t="str">
        <v>Nenhuma</v>
      </c>
      <c r="Z506">
        <v>15</v>
      </c>
      <c r="AA506">
        <v>51.4</v>
      </c>
      <c r="AB506">
        <v>1.46</v>
      </c>
      <c r="AC506">
        <v>5</v>
      </c>
      <c r="AD506">
        <v>116</v>
      </c>
      <c r="AE506">
        <v>84</v>
      </c>
      <c r="AF506" t="str">
        <v>Rural</v>
      </c>
      <c r="AG506" t="str">
        <v>Nao</v>
      </c>
    </row>
    <row r="507" spans="2:33" x14ac:dyDescent="0.45">
      <c r="B507" s="4">
        <v>506</v>
      </c>
      <c r="C507" s="4" t="s">
        <v>39</v>
      </c>
      <c r="D507" s="4" t="s">
        <v>23</v>
      </c>
      <c r="E507" s="4" t="s">
        <v>17</v>
      </c>
      <c r="F507" s="4" t="s">
        <v>24</v>
      </c>
      <c r="G507" s="4" t="s">
        <v>19</v>
      </c>
      <c r="H507" s="4" t="s">
        <v>46</v>
      </c>
      <c r="I507" s="4">
        <v>27</v>
      </c>
      <c r="J507" s="5">
        <v>66.599999999999994</v>
      </c>
      <c r="K507" s="6">
        <v>1.5</v>
      </c>
      <c r="L507" s="4">
        <v>5</v>
      </c>
      <c r="M507" s="4">
        <v>103</v>
      </c>
      <c r="N507" s="4">
        <v>78</v>
      </c>
      <c r="O507" s="4" t="s">
        <v>21</v>
      </c>
      <c r="P507" s="7" t="s">
        <v>19</v>
      </c>
      <c r="S507">
        <v>1099</v>
      </c>
      <c r="T507" t="str">
        <v>Maputo Cidade</v>
      </c>
      <c r="U507" t="str">
        <v>Masculino</v>
      </c>
      <c r="V507" t="str">
        <v>Casado(a)</v>
      </c>
      <c r="W507" t="str">
        <v>Superior</v>
      </c>
      <c r="X507" t="str">
        <v>Nao</v>
      </c>
      <c r="Y507" t="str">
        <v>Hipertensao</v>
      </c>
      <c r="Z507">
        <v>8</v>
      </c>
      <c r="AA507">
        <v>36.1</v>
      </c>
      <c r="AB507">
        <v>1.21</v>
      </c>
      <c r="AC507">
        <v>3</v>
      </c>
      <c r="AD507">
        <v>134</v>
      </c>
      <c r="AE507">
        <v>86</v>
      </c>
      <c r="AF507" t="str">
        <v>Rural</v>
      </c>
      <c r="AG507" t="str">
        <v>Nao</v>
      </c>
    </row>
    <row r="508" spans="2:33" x14ac:dyDescent="0.45">
      <c r="B508" s="4">
        <v>507</v>
      </c>
      <c r="C508" s="4" t="s">
        <v>22</v>
      </c>
      <c r="D508" s="4" t="s">
        <v>16</v>
      </c>
      <c r="E508" s="4" t="s">
        <v>44</v>
      </c>
      <c r="F508" s="4" t="s">
        <v>24</v>
      </c>
      <c r="G508" s="4" t="s">
        <v>30</v>
      </c>
      <c r="H508" s="4" t="s">
        <v>28</v>
      </c>
      <c r="I508" s="4">
        <v>12</v>
      </c>
      <c r="J508" s="5">
        <v>58.3</v>
      </c>
      <c r="K508" s="6">
        <v>1.51</v>
      </c>
      <c r="L508" s="4">
        <v>0</v>
      </c>
      <c r="M508" s="4">
        <v>113</v>
      </c>
      <c r="N508" s="4">
        <v>90</v>
      </c>
      <c r="O508" s="4" t="s">
        <v>21</v>
      </c>
      <c r="P508" s="7" t="s">
        <v>19</v>
      </c>
      <c r="S508">
        <v>1101</v>
      </c>
      <c r="T508" t="str">
        <v>Zambezia</v>
      </c>
      <c r="U508" t="str">
        <v>Masculino</v>
      </c>
      <c r="V508" t="str">
        <v>Solteiro(a)</v>
      </c>
      <c r="W508" t="str">
        <v>Nenhuma</v>
      </c>
      <c r="X508" t="str">
        <v>Nao</v>
      </c>
      <c r="Y508" t="str">
        <v>Nenhuma</v>
      </c>
      <c r="Z508">
        <v>58</v>
      </c>
      <c r="AA508">
        <v>63.5</v>
      </c>
      <c r="AB508">
        <v>1.49</v>
      </c>
      <c r="AC508">
        <v>4</v>
      </c>
      <c r="AD508">
        <v>138</v>
      </c>
      <c r="AE508">
        <v>99</v>
      </c>
      <c r="AF508" t="str">
        <v>Rural</v>
      </c>
      <c r="AG508" t="str">
        <v>Sim</v>
      </c>
    </row>
    <row r="509" spans="2:33" x14ac:dyDescent="0.45">
      <c r="B509" s="4">
        <v>508</v>
      </c>
      <c r="C509" s="4" t="s">
        <v>22</v>
      </c>
      <c r="D509" s="4" t="s">
        <v>16</v>
      </c>
      <c r="E509" s="4" t="s">
        <v>17</v>
      </c>
      <c r="F509" s="4" t="s">
        <v>18</v>
      </c>
      <c r="G509" s="4" t="s">
        <v>30</v>
      </c>
      <c r="H509" s="4" t="s">
        <v>28</v>
      </c>
      <c r="I509" s="4">
        <v>43</v>
      </c>
      <c r="J509" s="5">
        <v>80.599999999999994</v>
      </c>
      <c r="K509" s="6">
        <v>1.58</v>
      </c>
      <c r="L509" s="4">
        <v>0</v>
      </c>
      <c r="M509" s="4">
        <v>110</v>
      </c>
      <c r="N509" s="4">
        <v>76</v>
      </c>
      <c r="O509" s="4" t="s">
        <v>21</v>
      </c>
      <c r="P509" s="7" t="s">
        <v>19</v>
      </c>
      <c r="S509">
        <v>1103</v>
      </c>
      <c r="T509" t="str">
        <v>Zambezia</v>
      </c>
      <c r="U509" t="str">
        <v>Masculino</v>
      </c>
      <c r="V509" t="str">
        <v>Casado(a)</v>
      </c>
      <c r="W509" t="str">
        <v>Primaria</v>
      </c>
      <c r="X509" t="str">
        <v>Sim</v>
      </c>
      <c r="Y509" t="str">
        <v>Malaria</v>
      </c>
      <c r="Z509">
        <v>37</v>
      </c>
      <c r="AA509">
        <v>54.4</v>
      </c>
      <c r="AB509">
        <v>1.52</v>
      </c>
      <c r="AC509">
        <v>1</v>
      </c>
      <c r="AD509">
        <v>116</v>
      </c>
      <c r="AE509">
        <v>73</v>
      </c>
      <c r="AF509" t="str">
        <v>Urbana</v>
      </c>
      <c r="AG509" t="str">
        <v>Sim</v>
      </c>
    </row>
    <row r="510" spans="2:33" x14ac:dyDescent="0.45">
      <c r="B510" s="4">
        <v>509</v>
      </c>
      <c r="C510" s="4" t="s">
        <v>27</v>
      </c>
      <c r="D510" s="4" t="s">
        <v>23</v>
      </c>
      <c r="E510" s="4" t="s">
        <v>17</v>
      </c>
      <c r="F510" s="4" t="s">
        <v>18</v>
      </c>
      <c r="G510" s="4" t="s">
        <v>30</v>
      </c>
      <c r="H510" s="4" t="s">
        <v>46</v>
      </c>
      <c r="I510" s="4">
        <v>3</v>
      </c>
      <c r="J510" s="5">
        <v>9</v>
      </c>
      <c r="K510" s="6">
        <v>1.02</v>
      </c>
      <c r="L510" s="4">
        <v>5</v>
      </c>
      <c r="M510" s="4">
        <v>108</v>
      </c>
      <c r="N510" s="4">
        <v>86</v>
      </c>
      <c r="O510" s="4" t="s">
        <v>26</v>
      </c>
      <c r="P510" s="7" t="s">
        <v>30</v>
      </c>
      <c r="S510">
        <v>1104</v>
      </c>
      <c r="T510" t="str">
        <v>Niassa</v>
      </c>
      <c r="U510" t="str">
        <v>Masculino</v>
      </c>
      <c r="V510" t="str">
        <v>Solteiro(a)</v>
      </c>
      <c r="W510" t="str">
        <v>Secundaria</v>
      </c>
      <c r="X510" t="str">
        <v>Sim</v>
      </c>
      <c r="Y510" t="str">
        <v>Diarreia</v>
      </c>
      <c r="Z510">
        <v>28</v>
      </c>
      <c r="AA510">
        <v>57</v>
      </c>
      <c r="AB510">
        <v>1.89</v>
      </c>
      <c r="AC510">
        <v>2</v>
      </c>
      <c r="AD510">
        <v>123</v>
      </c>
      <c r="AE510">
        <v>96</v>
      </c>
      <c r="AF510" t="str">
        <v>Urbana</v>
      </c>
      <c r="AG510" t="str">
        <v>Nao</v>
      </c>
    </row>
    <row r="511" spans="2:33" x14ac:dyDescent="0.45">
      <c r="B511" s="4">
        <v>510</v>
      </c>
      <c r="C511" s="4" t="s">
        <v>45</v>
      </c>
      <c r="D511" s="4" t="s">
        <v>23</v>
      </c>
      <c r="E511" s="4" t="s">
        <v>17</v>
      </c>
      <c r="F511" s="4" t="s">
        <v>42</v>
      </c>
      <c r="G511" s="4" t="s">
        <v>19</v>
      </c>
      <c r="H511" s="4" t="s">
        <v>20</v>
      </c>
      <c r="I511" s="4">
        <v>12</v>
      </c>
      <c r="J511" s="5">
        <v>44.3</v>
      </c>
      <c r="K511" s="6">
        <v>1.66</v>
      </c>
      <c r="L511" s="4">
        <v>0</v>
      </c>
      <c r="M511" s="4">
        <v>104</v>
      </c>
      <c r="N511" s="4">
        <v>77</v>
      </c>
      <c r="O511" s="4" t="s">
        <v>21</v>
      </c>
      <c r="P511" s="7" t="s">
        <v>19</v>
      </c>
      <c r="S511">
        <v>1107</v>
      </c>
      <c r="T511" t="str">
        <v>Sofala</v>
      </c>
      <c r="U511" t="str">
        <v>Masculino</v>
      </c>
      <c r="V511" t="str">
        <v>Solteiro(a)</v>
      </c>
      <c r="W511" t="str">
        <v>Secundaria</v>
      </c>
      <c r="X511" t="str">
        <v>Nao</v>
      </c>
      <c r="Y511" t="str">
        <v>Diarreia</v>
      </c>
      <c r="Z511">
        <v>74</v>
      </c>
      <c r="AA511">
        <v>61.6</v>
      </c>
      <c r="AB511">
        <v>1.83</v>
      </c>
      <c r="AC511">
        <v>2</v>
      </c>
      <c r="AD511">
        <v>123</v>
      </c>
      <c r="AE511">
        <v>78</v>
      </c>
      <c r="AF511" t="str">
        <v>Urbana</v>
      </c>
      <c r="AG511" t="str">
        <v>Nao</v>
      </c>
    </row>
    <row r="512" spans="2:33" x14ac:dyDescent="0.45">
      <c r="B512" s="4">
        <v>511</v>
      </c>
      <c r="C512" s="4" t="s">
        <v>29</v>
      </c>
      <c r="D512" s="4" t="s">
        <v>23</v>
      </c>
      <c r="E512" s="4" t="s">
        <v>35</v>
      </c>
      <c r="F512" s="4" t="s">
        <v>28</v>
      </c>
      <c r="G512" s="4" t="s">
        <v>30</v>
      </c>
      <c r="H512" s="4" t="s">
        <v>20</v>
      </c>
      <c r="I512" s="4">
        <v>42</v>
      </c>
      <c r="J512" s="5">
        <v>83.7</v>
      </c>
      <c r="K512" s="6">
        <v>1.6</v>
      </c>
      <c r="L512" s="4">
        <v>2</v>
      </c>
      <c r="M512" s="4">
        <v>116</v>
      </c>
      <c r="N512" s="4">
        <v>95</v>
      </c>
      <c r="O512" s="4" t="s">
        <v>21</v>
      </c>
      <c r="P512" s="7" t="s">
        <v>30</v>
      </c>
      <c r="S512">
        <v>1108</v>
      </c>
      <c r="T512" t="str">
        <v>Zambezia</v>
      </c>
      <c r="U512" t="str">
        <v>Masculino</v>
      </c>
      <c r="V512" t="str">
        <v>Solteiro(a)</v>
      </c>
      <c r="W512" t="str">
        <v>Superior</v>
      </c>
      <c r="X512" t="str">
        <v>Nao</v>
      </c>
      <c r="Y512" t="str">
        <v>Tuberculose</v>
      </c>
      <c r="Z512">
        <v>8</v>
      </c>
      <c r="AA512">
        <v>25.7</v>
      </c>
      <c r="AB512">
        <v>1.36</v>
      </c>
      <c r="AC512">
        <v>10</v>
      </c>
      <c r="AD512">
        <v>113</v>
      </c>
      <c r="AE512">
        <v>76</v>
      </c>
      <c r="AF512" t="str">
        <v>Rural</v>
      </c>
      <c r="AG512" t="str">
        <v>Nao</v>
      </c>
    </row>
    <row r="513" spans="2:33" x14ac:dyDescent="0.45">
      <c r="B513" s="4">
        <v>512</v>
      </c>
      <c r="C513" s="4" t="s">
        <v>29</v>
      </c>
      <c r="D513" s="4" t="s">
        <v>16</v>
      </c>
      <c r="E513" s="4" t="s">
        <v>35</v>
      </c>
      <c r="F513" s="4" t="s">
        <v>28</v>
      </c>
      <c r="G513" s="4" t="s">
        <v>19</v>
      </c>
      <c r="H513" s="4" t="s">
        <v>28</v>
      </c>
      <c r="I513" s="4">
        <v>42</v>
      </c>
      <c r="J513" s="5">
        <v>58.7</v>
      </c>
      <c r="K513" s="6">
        <v>1.86</v>
      </c>
      <c r="L513" s="4">
        <v>1</v>
      </c>
      <c r="M513" s="4">
        <v>126</v>
      </c>
      <c r="N513" s="4">
        <v>84</v>
      </c>
      <c r="O513" s="4" t="s">
        <v>21</v>
      </c>
      <c r="P513" s="7" t="s">
        <v>19</v>
      </c>
      <c r="S513">
        <v>1111</v>
      </c>
      <c r="T513" t="str">
        <v>Maputo Cidade</v>
      </c>
      <c r="U513" t="str">
        <v>Masculino</v>
      </c>
      <c r="V513" t="str">
        <v>Casado(a)</v>
      </c>
      <c r="W513" t="str">
        <v>Secundaria</v>
      </c>
      <c r="X513" t="str">
        <v>Nao</v>
      </c>
      <c r="Y513" t="str">
        <v>Nenhuma</v>
      </c>
      <c r="Z513">
        <v>32</v>
      </c>
      <c r="AA513">
        <v>80</v>
      </c>
      <c r="AB513">
        <v>1.65</v>
      </c>
      <c r="AC513">
        <v>3</v>
      </c>
      <c r="AD513">
        <v>109</v>
      </c>
      <c r="AE513">
        <v>94</v>
      </c>
      <c r="AF513" t="str">
        <v>Rural</v>
      </c>
      <c r="AG513" t="str">
        <v>Nao</v>
      </c>
    </row>
    <row r="514" spans="2:33" x14ac:dyDescent="0.45">
      <c r="B514" s="4">
        <v>513</v>
      </c>
      <c r="C514" s="4" t="s">
        <v>27</v>
      </c>
      <c r="D514" s="4" t="s">
        <v>16</v>
      </c>
      <c r="E514" s="4" t="s">
        <v>35</v>
      </c>
      <c r="F514" s="4" t="s">
        <v>28</v>
      </c>
      <c r="G514" s="4" t="s">
        <v>19</v>
      </c>
      <c r="H514" s="4" t="s">
        <v>25</v>
      </c>
      <c r="I514" s="4">
        <v>88</v>
      </c>
      <c r="J514" s="5">
        <v>73.400000000000006</v>
      </c>
      <c r="K514" s="6">
        <v>1.54</v>
      </c>
      <c r="L514" s="4">
        <v>5</v>
      </c>
      <c r="M514" s="4">
        <v>128</v>
      </c>
      <c r="N514" s="4">
        <v>72</v>
      </c>
      <c r="O514" s="4" t="s">
        <v>26</v>
      </c>
      <c r="P514" s="7" t="s">
        <v>19</v>
      </c>
      <c r="S514">
        <v>1113</v>
      </c>
      <c r="T514" t="str">
        <v>Manica</v>
      </c>
      <c r="U514" t="str">
        <v>Masculino</v>
      </c>
      <c r="V514" t="str">
        <v>Solteiro(a)</v>
      </c>
      <c r="W514" t="str">
        <v>Nenhuma</v>
      </c>
      <c r="X514" t="str">
        <v>Nao</v>
      </c>
      <c r="Y514" t="str">
        <v>Malaria</v>
      </c>
      <c r="Z514">
        <v>2</v>
      </c>
      <c r="AA514">
        <v>9.4</v>
      </c>
      <c r="AB514">
        <v>0.66</v>
      </c>
      <c r="AC514">
        <v>3</v>
      </c>
      <c r="AD514">
        <v>110</v>
      </c>
      <c r="AE514">
        <v>79</v>
      </c>
      <c r="AF514" t="str">
        <v>Rural</v>
      </c>
      <c r="AG514" t="str">
        <v>Nao</v>
      </c>
    </row>
    <row r="515" spans="2:33" x14ac:dyDescent="0.45">
      <c r="B515" s="4">
        <v>514</v>
      </c>
      <c r="C515" s="4" t="s">
        <v>43</v>
      </c>
      <c r="D515" s="4" t="s">
        <v>23</v>
      </c>
      <c r="E515" s="4" t="s">
        <v>37</v>
      </c>
      <c r="F515" s="4" t="s">
        <v>42</v>
      </c>
      <c r="G515" s="4" t="s">
        <v>30</v>
      </c>
      <c r="H515" s="4" t="s">
        <v>36</v>
      </c>
      <c r="I515" s="4">
        <v>45</v>
      </c>
      <c r="J515" s="5">
        <v>53.9</v>
      </c>
      <c r="K515" s="6">
        <v>1.65</v>
      </c>
      <c r="L515" s="4">
        <v>7</v>
      </c>
      <c r="M515" s="4">
        <v>136</v>
      </c>
      <c r="N515" s="4">
        <v>96</v>
      </c>
      <c r="O515" s="4" t="s">
        <v>26</v>
      </c>
      <c r="P515" s="7" t="s">
        <v>19</v>
      </c>
      <c r="S515">
        <v>1117</v>
      </c>
      <c r="T515" t="str">
        <v>Manica</v>
      </c>
      <c r="U515" t="str">
        <v>Masculino</v>
      </c>
      <c r="V515" t="str">
        <v>Casado(a)</v>
      </c>
      <c r="W515" t="str">
        <v>Nenhuma</v>
      </c>
      <c r="X515" t="str">
        <v>Nao</v>
      </c>
      <c r="Y515" t="str">
        <v>Diabetes</v>
      </c>
      <c r="Z515">
        <v>22</v>
      </c>
      <c r="AA515">
        <v>78.400000000000006</v>
      </c>
      <c r="AB515">
        <v>1.84</v>
      </c>
      <c r="AC515">
        <v>3</v>
      </c>
      <c r="AD515">
        <v>103</v>
      </c>
      <c r="AE515">
        <v>137</v>
      </c>
      <c r="AF515" t="str">
        <v>Urbana</v>
      </c>
      <c r="AG515" t="str">
        <v>Sim</v>
      </c>
    </row>
    <row r="516" spans="2:33" x14ac:dyDescent="0.45">
      <c r="B516" s="4">
        <v>515</v>
      </c>
      <c r="C516" s="4" t="s">
        <v>43</v>
      </c>
      <c r="D516" s="4" t="s">
        <v>23</v>
      </c>
      <c r="E516" s="4" t="s">
        <v>17</v>
      </c>
      <c r="F516" s="4" t="s">
        <v>28</v>
      </c>
      <c r="G516" s="4" t="s">
        <v>19</v>
      </c>
      <c r="H516" s="4" t="s">
        <v>20</v>
      </c>
      <c r="I516" s="4">
        <v>0</v>
      </c>
      <c r="J516" s="5">
        <v>11.6</v>
      </c>
      <c r="K516" s="6">
        <v>0.65</v>
      </c>
      <c r="L516" s="4">
        <v>2</v>
      </c>
      <c r="M516" s="4">
        <v>97</v>
      </c>
      <c r="N516" s="4">
        <v>97</v>
      </c>
      <c r="O516" s="4" t="s">
        <v>21</v>
      </c>
      <c r="P516" s="7" t="s">
        <v>19</v>
      </c>
      <c r="S516">
        <v>1119</v>
      </c>
      <c r="T516" t="str">
        <v>Nampula</v>
      </c>
      <c r="U516" t="str">
        <v>Masculino</v>
      </c>
      <c r="V516" t="str">
        <v>Casado(a)</v>
      </c>
      <c r="W516" t="str">
        <v>Primaria</v>
      </c>
      <c r="X516" t="str">
        <v>Nao</v>
      </c>
      <c r="Y516" t="str">
        <v>Nenhuma</v>
      </c>
      <c r="Z516">
        <v>58</v>
      </c>
      <c r="AA516">
        <v>47.1</v>
      </c>
      <c r="AB516">
        <v>1.68</v>
      </c>
      <c r="AC516">
        <v>0</v>
      </c>
      <c r="AD516">
        <v>109</v>
      </c>
      <c r="AE516">
        <v>101</v>
      </c>
      <c r="AF516" t="str">
        <v>Rural</v>
      </c>
      <c r="AG516" t="str">
        <v>Nao</v>
      </c>
    </row>
    <row r="517" spans="2:33" x14ac:dyDescent="0.45">
      <c r="B517" s="4">
        <v>516</v>
      </c>
      <c r="C517" s="4" t="s">
        <v>29</v>
      </c>
      <c r="D517" s="4" t="s">
        <v>23</v>
      </c>
      <c r="E517" s="4" t="s">
        <v>17</v>
      </c>
      <c r="F517" s="4" t="s">
        <v>24</v>
      </c>
      <c r="G517" s="4" t="s">
        <v>19</v>
      </c>
      <c r="H517" s="4" t="s">
        <v>28</v>
      </c>
      <c r="I517" s="4">
        <v>2</v>
      </c>
      <c r="J517" s="5">
        <v>11.9</v>
      </c>
      <c r="K517" s="6">
        <v>0.64</v>
      </c>
      <c r="L517" s="4">
        <v>2</v>
      </c>
      <c r="M517" s="4">
        <v>106</v>
      </c>
      <c r="N517" s="4">
        <v>91</v>
      </c>
      <c r="O517" s="4" t="s">
        <v>26</v>
      </c>
      <c r="P517" s="7" t="s">
        <v>19</v>
      </c>
      <c r="S517">
        <v>1120</v>
      </c>
      <c r="T517" t="str">
        <v>Tete</v>
      </c>
      <c r="U517" t="str">
        <v>Masculino</v>
      </c>
      <c r="V517" t="str">
        <v>Casado(a)</v>
      </c>
      <c r="W517" t="str">
        <v>Primaria</v>
      </c>
      <c r="X517" t="str">
        <v>Sim</v>
      </c>
      <c r="Y517" t="str">
        <v>Diabetes</v>
      </c>
      <c r="Z517">
        <v>14</v>
      </c>
      <c r="AA517">
        <v>59.7</v>
      </c>
      <c r="AB517">
        <v>1.56</v>
      </c>
      <c r="AC517">
        <v>8</v>
      </c>
      <c r="AD517">
        <v>118</v>
      </c>
      <c r="AE517">
        <v>145</v>
      </c>
      <c r="AF517" t="str">
        <v>Urbana</v>
      </c>
      <c r="AG517" t="str">
        <v>Nao</v>
      </c>
    </row>
    <row r="518" spans="2:33" x14ac:dyDescent="0.45">
      <c r="B518" s="4">
        <v>517</v>
      </c>
      <c r="C518" s="4" t="s">
        <v>22</v>
      </c>
      <c r="D518" s="4" t="s">
        <v>16</v>
      </c>
      <c r="E518" s="4" t="s">
        <v>35</v>
      </c>
      <c r="F518" s="4" t="s">
        <v>18</v>
      </c>
      <c r="G518" s="4" t="s">
        <v>19</v>
      </c>
      <c r="H518" s="4" t="s">
        <v>38</v>
      </c>
      <c r="I518" s="4">
        <v>35</v>
      </c>
      <c r="J518" s="5">
        <v>69.2</v>
      </c>
      <c r="K518" s="6">
        <v>1.76</v>
      </c>
      <c r="L518" s="4">
        <v>1</v>
      </c>
      <c r="M518" s="4">
        <v>118</v>
      </c>
      <c r="N518" s="4">
        <v>87</v>
      </c>
      <c r="O518" s="4" t="s">
        <v>26</v>
      </c>
      <c r="P518" s="7" t="s">
        <v>19</v>
      </c>
      <c r="S518">
        <v>1122</v>
      </c>
      <c r="T518" t="str">
        <v>Nampula</v>
      </c>
      <c r="U518" t="str">
        <v>Masculino</v>
      </c>
      <c r="V518" t="str">
        <v>Viuvo(a)</v>
      </c>
      <c r="W518" t="str">
        <v>Primaria</v>
      </c>
      <c r="X518" t="str">
        <v>Nao</v>
      </c>
      <c r="Y518" t="str">
        <v>Diarreia</v>
      </c>
      <c r="Z518">
        <v>10</v>
      </c>
      <c r="AA518">
        <v>37.4</v>
      </c>
      <c r="AB518">
        <v>1.28</v>
      </c>
      <c r="AC518">
        <v>2</v>
      </c>
      <c r="AD518">
        <v>122</v>
      </c>
      <c r="AE518">
        <v>104</v>
      </c>
      <c r="AF518" t="str">
        <v>Rural</v>
      </c>
      <c r="AG518" t="str">
        <v>Sim</v>
      </c>
    </row>
    <row r="519" spans="2:33" x14ac:dyDescent="0.45">
      <c r="B519" s="4">
        <v>518</v>
      </c>
      <c r="C519" s="4" t="s">
        <v>39</v>
      </c>
      <c r="D519" s="4" t="s">
        <v>16</v>
      </c>
      <c r="E519" s="4" t="s">
        <v>44</v>
      </c>
      <c r="F519" s="4" t="s">
        <v>18</v>
      </c>
      <c r="G519" s="4" t="s">
        <v>19</v>
      </c>
      <c r="H519" s="4" t="s">
        <v>36</v>
      </c>
      <c r="I519" s="4">
        <v>11</v>
      </c>
      <c r="J519" s="5">
        <v>23</v>
      </c>
      <c r="K519" s="6">
        <v>1.1100000000000001</v>
      </c>
      <c r="L519" s="4">
        <v>7</v>
      </c>
      <c r="M519" s="4">
        <v>133</v>
      </c>
      <c r="N519" s="4">
        <v>84</v>
      </c>
      <c r="O519" s="4" t="s">
        <v>26</v>
      </c>
      <c r="P519" s="7" t="s">
        <v>19</v>
      </c>
      <c r="S519">
        <v>1124</v>
      </c>
      <c r="T519" t="str">
        <v>Nampula</v>
      </c>
      <c r="U519" t="str">
        <v>Masculino</v>
      </c>
      <c r="V519" t="str">
        <v>Solteiro(a)</v>
      </c>
      <c r="W519" t="str">
        <v>Primaria</v>
      </c>
      <c r="X519" t="str">
        <v>Nao</v>
      </c>
      <c r="Y519" t="str">
        <v>Pneumonia</v>
      </c>
      <c r="Z519">
        <v>6</v>
      </c>
      <c r="AA519">
        <v>27.9</v>
      </c>
      <c r="AB519">
        <v>1.21</v>
      </c>
      <c r="AC519">
        <v>5</v>
      </c>
      <c r="AD519">
        <v>104</v>
      </c>
      <c r="AE519">
        <v>84</v>
      </c>
      <c r="AF519" t="str">
        <v>Rural</v>
      </c>
      <c r="AG519" t="str">
        <v>Nao</v>
      </c>
    </row>
    <row r="520" spans="2:33" x14ac:dyDescent="0.45">
      <c r="B520" s="4">
        <v>519</v>
      </c>
      <c r="C520" s="4" t="s">
        <v>43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s">
        <v>25</v>
      </c>
      <c r="I520" s="4">
        <v>82</v>
      </c>
      <c r="J520" s="5">
        <v>53.8</v>
      </c>
      <c r="K520" s="6">
        <v>1.52</v>
      </c>
      <c r="L520" s="4">
        <v>0</v>
      </c>
      <c r="M520" s="4">
        <v>124</v>
      </c>
      <c r="N520" s="4">
        <v>71</v>
      </c>
      <c r="O520" s="4" t="s">
        <v>21</v>
      </c>
      <c r="P520" s="7" t="s">
        <v>19</v>
      </c>
      <c r="S520">
        <v>1125</v>
      </c>
      <c r="T520" t="str">
        <v>Gaza</v>
      </c>
      <c r="U520" t="str">
        <v>Masculino</v>
      </c>
      <c r="V520" t="str">
        <v>Solteiro(a)</v>
      </c>
      <c r="W520" t="str">
        <v>Superior</v>
      </c>
      <c r="X520" t="str">
        <v>Sim</v>
      </c>
      <c r="Y520" t="str">
        <v>Hipertensao</v>
      </c>
      <c r="Z520">
        <v>55</v>
      </c>
      <c r="AA520">
        <v>58.3</v>
      </c>
      <c r="AB520">
        <v>1.76</v>
      </c>
      <c r="AC520">
        <v>4</v>
      </c>
      <c r="AD520">
        <v>131</v>
      </c>
      <c r="AE520">
        <v>91</v>
      </c>
      <c r="AF520" t="str">
        <v>Rural</v>
      </c>
      <c r="AG520" t="str">
        <v>Sim</v>
      </c>
    </row>
    <row r="521" spans="2:33" x14ac:dyDescent="0.45">
      <c r="B521" s="4">
        <v>520</v>
      </c>
      <c r="C521" s="4" t="s">
        <v>27</v>
      </c>
      <c r="D521" s="4" t="s">
        <v>16</v>
      </c>
      <c r="E521" s="4" t="s">
        <v>37</v>
      </c>
      <c r="F521" s="4" t="s">
        <v>28</v>
      </c>
      <c r="G521" s="4" t="s">
        <v>30</v>
      </c>
      <c r="H521" s="4" t="s">
        <v>36</v>
      </c>
      <c r="I521" s="4">
        <v>11</v>
      </c>
      <c r="J521" s="5">
        <v>35.1</v>
      </c>
      <c r="K521" s="6">
        <v>1.1100000000000001</v>
      </c>
      <c r="L521" s="4">
        <v>1</v>
      </c>
      <c r="M521" s="4">
        <v>134</v>
      </c>
      <c r="N521" s="4">
        <v>76</v>
      </c>
      <c r="O521" s="4" t="s">
        <v>26</v>
      </c>
      <c r="P521" s="7" t="s">
        <v>19</v>
      </c>
      <c r="S521">
        <v>1126</v>
      </c>
      <c r="T521" t="str">
        <v>Gaza</v>
      </c>
      <c r="U521" t="str">
        <v>Masculino</v>
      </c>
      <c r="V521" t="str">
        <v>Divorciado(a)</v>
      </c>
      <c r="W521" t="str">
        <v>Nenhuma</v>
      </c>
      <c r="X521" t="str">
        <v>Nao</v>
      </c>
      <c r="Y521" t="str">
        <v>Nenhuma</v>
      </c>
      <c r="Z521">
        <v>7</v>
      </c>
      <c r="AA521">
        <v>30</v>
      </c>
      <c r="AB521">
        <v>1.23</v>
      </c>
      <c r="AC521">
        <v>4</v>
      </c>
      <c r="AD521">
        <v>104</v>
      </c>
      <c r="AE521">
        <v>77</v>
      </c>
      <c r="AF521" t="str">
        <v>Rural</v>
      </c>
      <c r="AG521" t="str">
        <v>Sim</v>
      </c>
    </row>
    <row r="522" spans="2:33" x14ac:dyDescent="0.45">
      <c r="B522" s="4">
        <v>521</v>
      </c>
      <c r="C522" s="4" t="s">
        <v>29</v>
      </c>
      <c r="D522" s="4" t="s">
        <v>16</v>
      </c>
      <c r="E522" s="4" t="s">
        <v>35</v>
      </c>
      <c r="F522" s="4" t="s">
        <v>24</v>
      </c>
      <c r="G522" s="4" t="s">
        <v>19</v>
      </c>
      <c r="H522" s="4" t="s">
        <v>46</v>
      </c>
      <c r="I522" s="4">
        <v>33</v>
      </c>
      <c r="J522" s="5">
        <v>70</v>
      </c>
      <c r="K522" s="6">
        <v>1.65</v>
      </c>
      <c r="L522" s="4">
        <v>6</v>
      </c>
      <c r="M522" s="4">
        <v>119</v>
      </c>
      <c r="N522" s="4">
        <v>90</v>
      </c>
      <c r="O522" s="4" t="s">
        <v>26</v>
      </c>
      <c r="P522" s="7" t="s">
        <v>19</v>
      </c>
      <c r="S522">
        <v>1129</v>
      </c>
      <c r="T522" t="str">
        <v>Tete</v>
      </c>
      <c r="U522" t="str">
        <v>Masculino</v>
      </c>
      <c r="V522" t="str">
        <v>Casado(a)</v>
      </c>
      <c r="W522" t="str">
        <v>Primaria</v>
      </c>
      <c r="X522" t="str">
        <v>Sim</v>
      </c>
      <c r="Y522" t="str">
        <v>Diarreia</v>
      </c>
      <c r="Z522">
        <v>53</v>
      </c>
      <c r="AA522">
        <v>67.8</v>
      </c>
      <c r="AB522">
        <v>1.58</v>
      </c>
      <c r="AC522">
        <v>4</v>
      </c>
      <c r="AD522">
        <v>111</v>
      </c>
      <c r="AE522">
        <v>98</v>
      </c>
      <c r="AF522" t="str">
        <v>Rural</v>
      </c>
      <c r="AG522" t="str">
        <v>Sim</v>
      </c>
    </row>
    <row r="523" spans="2:33" x14ac:dyDescent="0.45">
      <c r="B523" s="4">
        <v>522</v>
      </c>
      <c r="C523" s="4" t="s">
        <v>39</v>
      </c>
      <c r="D523" s="4" t="s">
        <v>16</v>
      </c>
      <c r="E523" s="4" t="s">
        <v>17</v>
      </c>
      <c r="F523" s="4" t="s">
        <v>24</v>
      </c>
      <c r="G523" s="4" t="s">
        <v>30</v>
      </c>
      <c r="H523" s="4" t="s">
        <v>34</v>
      </c>
      <c r="I523" s="4">
        <v>31</v>
      </c>
      <c r="J523" s="5">
        <v>61.7</v>
      </c>
      <c r="K523" s="6">
        <v>1.73</v>
      </c>
      <c r="L523" s="4">
        <v>0</v>
      </c>
      <c r="M523" s="4">
        <v>101</v>
      </c>
      <c r="N523" s="4">
        <v>103</v>
      </c>
      <c r="O523" s="4" t="s">
        <v>21</v>
      </c>
      <c r="P523" s="7" t="s">
        <v>19</v>
      </c>
      <c r="S523">
        <v>1130</v>
      </c>
      <c r="T523" t="str">
        <v>Maputo Provincia</v>
      </c>
      <c r="U523" t="str">
        <v>Masculino</v>
      </c>
      <c r="V523" t="str">
        <v>Casado(a)</v>
      </c>
      <c r="W523" t="str">
        <v>Primaria</v>
      </c>
      <c r="X523" t="str">
        <v>Nao</v>
      </c>
      <c r="Y523" t="str">
        <v>Malaria</v>
      </c>
      <c r="Z523">
        <v>48</v>
      </c>
      <c r="AA523">
        <v>71.400000000000006</v>
      </c>
      <c r="AB523">
        <v>1.76</v>
      </c>
      <c r="AC523">
        <v>7</v>
      </c>
      <c r="AD523">
        <v>112</v>
      </c>
      <c r="AE523">
        <v>100</v>
      </c>
      <c r="AF523" t="str">
        <v>Rural</v>
      </c>
      <c r="AG523" t="str">
        <v>Sim</v>
      </c>
    </row>
    <row r="524" spans="2:33" x14ac:dyDescent="0.45">
      <c r="B524" s="4">
        <v>523</v>
      </c>
      <c r="C524" s="4" t="s">
        <v>29</v>
      </c>
      <c r="D524" s="4" t="s">
        <v>23</v>
      </c>
      <c r="E524" s="4" t="s">
        <v>35</v>
      </c>
      <c r="F524" s="4" t="s">
        <v>18</v>
      </c>
      <c r="G524" s="4" t="s">
        <v>30</v>
      </c>
      <c r="H524" s="4" t="s">
        <v>28</v>
      </c>
      <c r="I524" s="4">
        <v>24</v>
      </c>
      <c r="J524" s="5">
        <v>69.400000000000006</v>
      </c>
      <c r="K524" s="6">
        <v>1.79</v>
      </c>
      <c r="L524" s="4">
        <v>1</v>
      </c>
      <c r="M524" s="4">
        <v>123</v>
      </c>
      <c r="N524" s="4">
        <v>102</v>
      </c>
      <c r="O524" s="4" t="s">
        <v>21</v>
      </c>
      <c r="P524" s="7" t="s">
        <v>30</v>
      </c>
      <c r="S524">
        <v>1133</v>
      </c>
      <c r="T524" t="str">
        <v>Gaza</v>
      </c>
      <c r="U524" t="str">
        <v>Masculino</v>
      </c>
      <c r="V524" t="str">
        <v>Solteiro(a)</v>
      </c>
      <c r="W524" t="str">
        <v>Secundaria</v>
      </c>
      <c r="X524" t="str">
        <v>Sim</v>
      </c>
      <c r="Y524" t="str">
        <v>Malaria</v>
      </c>
      <c r="Z524">
        <v>11</v>
      </c>
      <c r="AA524">
        <v>27.2</v>
      </c>
      <c r="AB524">
        <v>1.28</v>
      </c>
      <c r="AC524">
        <v>1</v>
      </c>
      <c r="AD524">
        <v>106</v>
      </c>
      <c r="AE524">
        <v>88</v>
      </c>
      <c r="AF524" t="str">
        <v>Rural</v>
      </c>
      <c r="AG524" t="str">
        <v>Nao</v>
      </c>
    </row>
    <row r="525" spans="2:33" x14ac:dyDescent="0.45">
      <c r="B525" s="4">
        <v>524</v>
      </c>
      <c r="C525" s="4" t="s">
        <v>39</v>
      </c>
      <c r="D525" s="4" t="s">
        <v>16</v>
      </c>
      <c r="E525" s="4" t="s">
        <v>35</v>
      </c>
      <c r="F525" s="4" t="s">
        <v>24</v>
      </c>
      <c r="G525" s="4" t="s">
        <v>19</v>
      </c>
      <c r="H525" s="4" t="s">
        <v>46</v>
      </c>
      <c r="I525" s="4">
        <v>22</v>
      </c>
      <c r="J525" s="5">
        <v>82.3</v>
      </c>
      <c r="K525" s="6">
        <v>1.71</v>
      </c>
      <c r="L525" s="4">
        <v>10</v>
      </c>
      <c r="M525" s="4">
        <v>106</v>
      </c>
      <c r="N525" s="4">
        <v>72</v>
      </c>
      <c r="O525" s="4" t="s">
        <v>26</v>
      </c>
      <c r="P525" s="7" t="s">
        <v>19</v>
      </c>
      <c r="S525">
        <v>1134</v>
      </c>
      <c r="T525" t="str">
        <v>Nampula</v>
      </c>
      <c r="U525" t="str">
        <v>Masculino</v>
      </c>
      <c r="V525" t="str">
        <v>Casado(a)</v>
      </c>
      <c r="W525" t="str">
        <v>Secundaria</v>
      </c>
      <c r="X525" t="str">
        <v>Nao</v>
      </c>
      <c r="Y525" t="str">
        <v>Diarreia</v>
      </c>
      <c r="Z525">
        <v>27</v>
      </c>
      <c r="AA525">
        <v>62.2</v>
      </c>
      <c r="AB525">
        <v>1.72</v>
      </c>
      <c r="AC525">
        <v>2</v>
      </c>
      <c r="AD525">
        <v>104</v>
      </c>
      <c r="AE525">
        <v>101</v>
      </c>
      <c r="AF525" t="str">
        <v>Urbana</v>
      </c>
      <c r="AG525" t="str">
        <v>Nao</v>
      </c>
    </row>
    <row r="526" spans="2:33" x14ac:dyDescent="0.45">
      <c r="B526" s="4">
        <v>525</v>
      </c>
      <c r="C526" s="4" t="s">
        <v>27</v>
      </c>
      <c r="D526" s="4" t="s">
        <v>16</v>
      </c>
      <c r="E526" s="4" t="s">
        <v>17</v>
      </c>
      <c r="F526" s="4" t="s">
        <v>24</v>
      </c>
      <c r="G526" s="4" t="s">
        <v>19</v>
      </c>
      <c r="H526" s="4" t="s">
        <v>36</v>
      </c>
      <c r="I526" s="4">
        <v>15</v>
      </c>
      <c r="J526" s="5">
        <v>51.3</v>
      </c>
      <c r="K526" s="6">
        <v>1.63</v>
      </c>
      <c r="L526" s="4">
        <v>3</v>
      </c>
      <c r="M526" s="4">
        <v>115</v>
      </c>
      <c r="N526" s="4">
        <v>89</v>
      </c>
      <c r="O526" s="4" t="s">
        <v>26</v>
      </c>
      <c r="P526" s="7" t="s">
        <v>19</v>
      </c>
      <c r="S526">
        <v>1136</v>
      </c>
      <c r="T526" t="str">
        <v>Tete</v>
      </c>
      <c r="U526" t="str">
        <v>Masculino</v>
      </c>
      <c r="V526" t="str">
        <v>Solteiro(a)</v>
      </c>
      <c r="W526" t="str">
        <v>Primaria</v>
      </c>
      <c r="X526" t="str">
        <v>Nao</v>
      </c>
      <c r="Y526" t="str">
        <v>Diabetes</v>
      </c>
      <c r="Z526">
        <v>58</v>
      </c>
      <c r="AA526">
        <v>87.7</v>
      </c>
      <c r="AB526">
        <v>1.66</v>
      </c>
      <c r="AC526">
        <v>2</v>
      </c>
      <c r="AD526">
        <v>127</v>
      </c>
      <c r="AE526">
        <v>152</v>
      </c>
      <c r="AF526" t="str">
        <v>Urbana</v>
      </c>
      <c r="AG526" t="str">
        <v>Nao</v>
      </c>
    </row>
    <row r="527" spans="2:33" x14ac:dyDescent="0.45">
      <c r="B527" s="4">
        <v>526</v>
      </c>
      <c r="C527" s="4" t="s">
        <v>39</v>
      </c>
      <c r="D527" s="4" t="s">
        <v>23</v>
      </c>
      <c r="E527" s="4" t="s">
        <v>35</v>
      </c>
      <c r="F527" s="4" t="s">
        <v>24</v>
      </c>
      <c r="G527" s="4" t="s">
        <v>19</v>
      </c>
      <c r="H527" s="4" t="s">
        <v>20</v>
      </c>
      <c r="I527" s="4">
        <v>12</v>
      </c>
      <c r="J527" s="5">
        <v>47.3</v>
      </c>
      <c r="K527" s="6">
        <v>1.5</v>
      </c>
      <c r="L527" s="4">
        <v>6</v>
      </c>
      <c r="M527" s="4">
        <v>105</v>
      </c>
      <c r="N527" s="4">
        <v>79</v>
      </c>
      <c r="O527" s="4" t="s">
        <v>26</v>
      </c>
      <c r="P527" s="7" t="s">
        <v>19</v>
      </c>
      <c r="S527">
        <v>1137</v>
      </c>
      <c r="T527" t="str">
        <v>Zambezia</v>
      </c>
      <c r="U527" t="str">
        <v>Masculino</v>
      </c>
      <c r="V527" t="str">
        <v>Divorciado(a)</v>
      </c>
      <c r="W527" t="str">
        <v>Secundaria</v>
      </c>
      <c r="X527" t="str">
        <v>Nao</v>
      </c>
      <c r="Y527" t="str">
        <v>Diarreia</v>
      </c>
      <c r="Z527">
        <v>64</v>
      </c>
      <c r="AA527">
        <v>54.6</v>
      </c>
      <c r="AB527">
        <v>1.55</v>
      </c>
      <c r="AC527">
        <v>2</v>
      </c>
      <c r="AD527">
        <v>112</v>
      </c>
      <c r="AE527">
        <v>84</v>
      </c>
      <c r="AF527" t="str">
        <v>Urbana</v>
      </c>
      <c r="AG527" t="str">
        <v>Nao</v>
      </c>
    </row>
    <row r="528" spans="2:33" x14ac:dyDescent="0.45">
      <c r="B528" s="4">
        <v>527</v>
      </c>
      <c r="C528" s="4" t="s">
        <v>41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s">
        <v>34</v>
      </c>
      <c r="I528" s="4">
        <v>70</v>
      </c>
      <c r="J528" s="5">
        <v>83.5</v>
      </c>
      <c r="K528" s="6">
        <v>1.54</v>
      </c>
      <c r="L528" s="4">
        <v>0</v>
      </c>
      <c r="M528" s="4">
        <v>128</v>
      </c>
      <c r="N528" s="4">
        <v>99</v>
      </c>
      <c r="O528" s="4" t="s">
        <v>21</v>
      </c>
      <c r="P528" s="7" t="s">
        <v>30</v>
      </c>
      <c r="S528">
        <v>1138</v>
      </c>
      <c r="T528" t="str">
        <v>Maputo Provincia</v>
      </c>
      <c r="U528" t="str">
        <v>Masculino</v>
      </c>
      <c r="V528" t="str">
        <v>Casado(a)</v>
      </c>
      <c r="W528" t="str">
        <v>Nenhuma</v>
      </c>
      <c r="X528" t="str">
        <v>Sim</v>
      </c>
      <c r="Y528" t="str">
        <v>Malaria</v>
      </c>
      <c r="Z528">
        <v>19</v>
      </c>
      <c r="AA528">
        <v>90.7</v>
      </c>
      <c r="AB528">
        <v>1.57</v>
      </c>
      <c r="AC528">
        <v>2</v>
      </c>
      <c r="AD528">
        <v>127</v>
      </c>
      <c r="AE528">
        <v>102</v>
      </c>
      <c r="AF528" t="str">
        <v>Urbana</v>
      </c>
      <c r="AG528" t="str">
        <v>Sim</v>
      </c>
    </row>
    <row r="529" spans="2:33" x14ac:dyDescent="0.45">
      <c r="B529" s="4">
        <v>528</v>
      </c>
      <c r="C529" s="4" t="s">
        <v>22</v>
      </c>
      <c r="D529" s="4" t="s">
        <v>16</v>
      </c>
      <c r="E529" s="4" t="s">
        <v>17</v>
      </c>
      <c r="F529" s="4" t="s">
        <v>24</v>
      </c>
      <c r="G529" s="4" t="s">
        <v>19</v>
      </c>
      <c r="H529" s="4" t="s">
        <v>20</v>
      </c>
      <c r="I529" s="4">
        <v>0</v>
      </c>
      <c r="J529" s="5">
        <v>17.600000000000001</v>
      </c>
      <c r="K529" s="6">
        <v>0.85</v>
      </c>
      <c r="L529" s="4">
        <v>1</v>
      </c>
      <c r="M529" s="4">
        <v>100</v>
      </c>
      <c r="N529" s="4">
        <v>73</v>
      </c>
      <c r="O529" s="4" t="s">
        <v>26</v>
      </c>
      <c r="P529" s="7" t="s">
        <v>19</v>
      </c>
      <c r="S529">
        <v>1140</v>
      </c>
      <c r="T529" t="str">
        <v>Zambezia</v>
      </c>
      <c r="U529" t="str">
        <v>Masculino</v>
      </c>
      <c r="V529" t="str">
        <v>Viuvo(a)</v>
      </c>
      <c r="W529" t="str">
        <v>Secundaria</v>
      </c>
      <c r="X529" t="str">
        <v>Nao</v>
      </c>
      <c r="Y529" t="str">
        <v>Hipertensao</v>
      </c>
      <c r="Z529">
        <v>5</v>
      </c>
      <c r="AA529">
        <v>21.7</v>
      </c>
      <c r="AB529">
        <v>1.23</v>
      </c>
      <c r="AC529">
        <v>3</v>
      </c>
      <c r="AD529">
        <v>121</v>
      </c>
      <c r="AE529">
        <v>84</v>
      </c>
      <c r="AF529" t="str">
        <v>Rural</v>
      </c>
      <c r="AG529" t="str">
        <v>Nao</v>
      </c>
    </row>
    <row r="530" spans="2:33" x14ac:dyDescent="0.45">
      <c r="B530" s="4">
        <v>529</v>
      </c>
      <c r="C530" s="4" t="s">
        <v>33</v>
      </c>
      <c r="D530" s="4" t="s">
        <v>16</v>
      </c>
      <c r="E530" s="4" t="s">
        <v>17</v>
      </c>
      <c r="F530" s="4" t="s">
        <v>24</v>
      </c>
      <c r="G530" s="4" t="s">
        <v>19</v>
      </c>
      <c r="H530" s="4" t="s">
        <v>28</v>
      </c>
      <c r="I530" s="4">
        <v>38</v>
      </c>
      <c r="J530" s="5">
        <v>57</v>
      </c>
      <c r="K530" s="6">
        <v>1.54</v>
      </c>
      <c r="L530" s="4">
        <v>5</v>
      </c>
      <c r="M530" s="4">
        <v>113</v>
      </c>
      <c r="N530" s="4">
        <v>75</v>
      </c>
      <c r="O530" s="4" t="s">
        <v>26</v>
      </c>
      <c r="P530" s="7" t="s">
        <v>19</v>
      </c>
      <c r="S530">
        <v>1142</v>
      </c>
      <c r="T530" t="str">
        <v>Maputo Cidade</v>
      </c>
      <c r="U530" t="str">
        <v>Masculino</v>
      </c>
      <c r="V530" t="str">
        <v>Solteiro(a)</v>
      </c>
      <c r="W530" t="str">
        <v>Primaria</v>
      </c>
      <c r="X530" t="str">
        <v>Nao</v>
      </c>
      <c r="Y530" t="str">
        <v>Hipertensao</v>
      </c>
      <c r="Z530">
        <v>39</v>
      </c>
      <c r="AA530">
        <v>91.9</v>
      </c>
      <c r="AB530">
        <v>1.78</v>
      </c>
      <c r="AC530">
        <v>9</v>
      </c>
      <c r="AD530">
        <v>143</v>
      </c>
      <c r="AE530">
        <v>71</v>
      </c>
      <c r="AF530" t="str">
        <v>Urbana</v>
      </c>
      <c r="AG530" t="str">
        <v>Sim</v>
      </c>
    </row>
    <row r="531" spans="2:33" x14ac:dyDescent="0.45">
      <c r="B531" s="4">
        <v>530</v>
      </c>
      <c r="C531" s="4" t="s">
        <v>31</v>
      </c>
      <c r="D531" s="4" t="s">
        <v>16</v>
      </c>
      <c r="E531" s="4" t="s">
        <v>17</v>
      </c>
      <c r="F531" s="4" t="s">
        <v>28</v>
      </c>
      <c r="G531" s="4" t="s">
        <v>19</v>
      </c>
      <c r="H531" s="4" t="s">
        <v>20</v>
      </c>
      <c r="I531" s="4">
        <v>11</v>
      </c>
      <c r="J531" s="5">
        <v>18.8</v>
      </c>
      <c r="K531" s="6">
        <v>1.37</v>
      </c>
      <c r="L531" s="4">
        <v>4</v>
      </c>
      <c r="M531" s="4">
        <v>108</v>
      </c>
      <c r="N531" s="4">
        <v>93</v>
      </c>
      <c r="O531" s="4" t="s">
        <v>26</v>
      </c>
      <c r="P531" s="7" t="s">
        <v>19</v>
      </c>
      <c r="S531">
        <v>1145</v>
      </c>
      <c r="T531" t="str">
        <v>Maputo Provincia</v>
      </c>
      <c r="U531" t="str">
        <v>Masculino</v>
      </c>
      <c r="V531" t="str">
        <v>Casado(a)</v>
      </c>
      <c r="W531" t="str">
        <v>Primaria</v>
      </c>
      <c r="X531" t="str">
        <v>Sim</v>
      </c>
      <c r="Y531" t="str">
        <v>Malaria</v>
      </c>
      <c r="Z531">
        <v>12</v>
      </c>
      <c r="AA531">
        <v>43.9</v>
      </c>
      <c r="AB531">
        <v>1.47</v>
      </c>
      <c r="AC531">
        <v>10</v>
      </c>
      <c r="AD531">
        <v>102</v>
      </c>
      <c r="AE531">
        <v>74</v>
      </c>
      <c r="AF531" t="str">
        <v>Rural</v>
      </c>
      <c r="AG531" t="str">
        <v>Sim</v>
      </c>
    </row>
    <row r="532" spans="2:33" x14ac:dyDescent="0.45">
      <c r="B532" s="4">
        <v>531</v>
      </c>
      <c r="C532" s="4" t="s">
        <v>45</v>
      </c>
      <c r="D532" s="4" t="s">
        <v>16</v>
      </c>
      <c r="E532" s="4" t="s">
        <v>17</v>
      </c>
      <c r="F532" s="4" t="s">
        <v>28</v>
      </c>
      <c r="G532" s="4" t="s">
        <v>19</v>
      </c>
      <c r="H532" s="4" t="s">
        <v>20</v>
      </c>
      <c r="I532" s="4">
        <v>5</v>
      </c>
      <c r="J532" s="5">
        <v>21.7</v>
      </c>
      <c r="K532" s="6">
        <v>1.2</v>
      </c>
      <c r="L532" s="4">
        <v>2</v>
      </c>
      <c r="M532" s="4">
        <v>96</v>
      </c>
      <c r="N532" s="4">
        <v>94</v>
      </c>
      <c r="O532" s="4" t="s">
        <v>21</v>
      </c>
      <c r="P532" s="7" t="s">
        <v>19</v>
      </c>
      <c r="S532">
        <v>1147</v>
      </c>
      <c r="T532" t="str">
        <v>Maputo Cidade</v>
      </c>
      <c r="U532" t="str">
        <v>Masculino</v>
      </c>
      <c r="V532" t="str">
        <v>Divorciado(a)</v>
      </c>
      <c r="W532" t="str">
        <v>Nenhuma</v>
      </c>
      <c r="X532" t="str">
        <v>Sim</v>
      </c>
      <c r="Y532" t="str">
        <v>Nenhuma</v>
      </c>
      <c r="Z532">
        <v>44</v>
      </c>
      <c r="AA532">
        <v>47.8</v>
      </c>
      <c r="AB532">
        <v>1.84</v>
      </c>
      <c r="AC532">
        <v>0</v>
      </c>
      <c r="AD532">
        <v>119</v>
      </c>
      <c r="AE532">
        <v>89</v>
      </c>
      <c r="AF532" t="str">
        <v>Urbana</v>
      </c>
      <c r="AG532" t="str">
        <v>Nao</v>
      </c>
    </row>
    <row r="533" spans="2:33" x14ac:dyDescent="0.45">
      <c r="B533" s="4">
        <v>532</v>
      </c>
      <c r="C533" s="4" t="s">
        <v>31</v>
      </c>
      <c r="D533" s="4" t="s">
        <v>16</v>
      </c>
      <c r="E533" s="4" t="s">
        <v>35</v>
      </c>
      <c r="F533" s="4" t="s">
        <v>24</v>
      </c>
      <c r="G533" s="4" t="s">
        <v>19</v>
      </c>
      <c r="H533" s="4" t="s">
        <v>25</v>
      </c>
      <c r="I533" s="4">
        <v>32</v>
      </c>
      <c r="J533" s="5">
        <v>62.8</v>
      </c>
      <c r="K533" s="6">
        <v>1.75</v>
      </c>
      <c r="L533" s="4">
        <v>3</v>
      </c>
      <c r="M533" s="4">
        <v>120</v>
      </c>
      <c r="N533" s="4">
        <v>79</v>
      </c>
      <c r="O533" s="4" t="s">
        <v>26</v>
      </c>
      <c r="P533" s="7" t="s">
        <v>19</v>
      </c>
      <c r="S533">
        <v>1154</v>
      </c>
      <c r="T533" t="str">
        <v>Maputo Provincia</v>
      </c>
      <c r="U533" t="str">
        <v>Masculino</v>
      </c>
      <c r="V533" t="str">
        <v>Solteiro(a)</v>
      </c>
      <c r="W533" t="str">
        <v>Primaria</v>
      </c>
      <c r="X533" t="str">
        <v>Nao</v>
      </c>
      <c r="Y533" t="str">
        <v>Diabetes</v>
      </c>
      <c r="Z533">
        <v>51</v>
      </c>
      <c r="AA533">
        <v>91.6</v>
      </c>
      <c r="AB533">
        <v>1.59</v>
      </c>
      <c r="AC533">
        <v>0</v>
      </c>
      <c r="AD533">
        <v>121</v>
      </c>
      <c r="AE533">
        <v>143</v>
      </c>
      <c r="AF533" t="str">
        <v>Rural</v>
      </c>
      <c r="AG533" t="str">
        <v>Nao</v>
      </c>
    </row>
    <row r="534" spans="2:33" x14ac:dyDescent="0.45">
      <c r="B534" s="4">
        <v>533</v>
      </c>
      <c r="C534" s="4" t="s">
        <v>15</v>
      </c>
      <c r="D534" s="4" t="s">
        <v>23</v>
      </c>
      <c r="E534" s="4" t="s">
        <v>37</v>
      </c>
      <c r="F534" s="4" t="s">
        <v>24</v>
      </c>
      <c r="G534" s="4" t="s">
        <v>19</v>
      </c>
      <c r="H534" s="4" t="s">
        <v>38</v>
      </c>
      <c r="I534" s="4">
        <v>24</v>
      </c>
      <c r="J534" s="5">
        <v>76.599999999999994</v>
      </c>
      <c r="K534" s="6">
        <v>1.57</v>
      </c>
      <c r="L534" s="4">
        <v>6</v>
      </c>
      <c r="M534" s="4">
        <v>113</v>
      </c>
      <c r="N534" s="4">
        <v>89</v>
      </c>
      <c r="O534" s="4" t="s">
        <v>26</v>
      </c>
      <c r="P534" s="7" t="s">
        <v>19</v>
      </c>
      <c r="S534">
        <v>1155</v>
      </c>
      <c r="T534" t="str">
        <v>Zambezia</v>
      </c>
      <c r="U534" t="str">
        <v>Masculino</v>
      </c>
      <c r="V534" t="str">
        <v>Casado(a)</v>
      </c>
      <c r="W534" t="str">
        <v>Nenhuma</v>
      </c>
      <c r="X534" t="str">
        <v>Nao</v>
      </c>
      <c r="Y534" t="str">
        <v>Malaria</v>
      </c>
      <c r="Z534">
        <v>8</v>
      </c>
      <c r="AA534">
        <v>30.9</v>
      </c>
      <c r="AB534">
        <v>1.22</v>
      </c>
      <c r="AC534">
        <v>1</v>
      </c>
      <c r="AD534">
        <v>109</v>
      </c>
      <c r="AE534">
        <v>81</v>
      </c>
      <c r="AF534" t="str">
        <v>Rural</v>
      </c>
      <c r="AG534" t="str">
        <v>Sim</v>
      </c>
    </row>
    <row r="535" spans="2:33" x14ac:dyDescent="0.45">
      <c r="B535" s="4">
        <v>534</v>
      </c>
      <c r="C535" s="4" t="s">
        <v>27</v>
      </c>
      <c r="D535" s="4" t="s">
        <v>23</v>
      </c>
      <c r="E535" s="4" t="s">
        <v>17</v>
      </c>
      <c r="F535" s="4" t="s">
        <v>24</v>
      </c>
      <c r="G535" s="4" t="s">
        <v>30</v>
      </c>
      <c r="H535" s="4" t="s">
        <v>38</v>
      </c>
      <c r="I535" s="4">
        <v>21</v>
      </c>
      <c r="J535" s="5">
        <v>87.1</v>
      </c>
      <c r="K535" s="6">
        <v>1.83</v>
      </c>
      <c r="L535" s="4">
        <v>2</v>
      </c>
      <c r="M535" s="4">
        <v>104</v>
      </c>
      <c r="N535" s="4">
        <v>83</v>
      </c>
      <c r="O535" s="4" t="s">
        <v>21</v>
      </c>
      <c r="P535" s="7" t="s">
        <v>30</v>
      </c>
      <c r="S535">
        <v>1167</v>
      </c>
      <c r="T535" t="str">
        <v>Sofala</v>
      </c>
      <c r="U535" t="str">
        <v>Masculino</v>
      </c>
      <c r="V535" t="str">
        <v>Casado(a)</v>
      </c>
      <c r="W535" t="str">
        <v>Primaria</v>
      </c>
      <c r="X535" t="str">
        <v>Nao</v>
      </c>
      <c r="Y535" t="str">
        <v>Diabetes</v>
      </c>
      <c r="Z535">
        <v>5</v>
      </c>
      <c r="AA535">
        <v>32.799999999999997</v>
      </c>
      <c r="AB535">
        <v>1.43</v>
      </c>
      <c r="AC535">
        <v>5</v>
      </c>
      <c r="AD535">
        <v>100</v>
      </c>
      <c r="AE535">
        <v>150</v>
      </c>
      <c r="AF535" t="str">
        <v>Rural</v>
      </c>
      <c r="AG535" t="str">
        <v>Sim</v>
      </c>
    </row>
    <row r="536" spans="2:33" x14ac:dyDescent="0.45">
      <c r="B536" s="4">
        <v>535</v>
      </c>
      <c r="C536" s="4" t="s">
        <v>45</v>
      </c>
      <c r="D536" s="4" t="s">
        <v>16</v>
      </c>
      <c r="E536" s="4" t="s">
        <v>35</v>
      </c>
      <c r="F536" s="4" t="s">
        <v>18</v>
      </c>
      <c r="G536" s="4" t="s">
        <v>30</v>
      </c>
      <c r="H536" s="4" t="s">
        <v>28</v>
      </c>
      <c r="I536" s="4">
        <v>12</v>
      </c>
      <c r="J536" s="5">
        <v>59.2</v>
      </c>
      <c r="K536" s="6">
        <v>1.46</v>
      </c>
      <c r="L536" s="4">
        <v>10</v>
      </c>
      <c r="M536" s="4">
        <v>96</v>
      </c>
      <c r="N536" s="4">
        <v>72</v>
      </c>
      <c r="O536" s="4" t="s">
        <v>26</v>
      </c>
      <c r="P536" s="7" t="s">
        <v>19</v>
      </c>
      <c r="S536">
        <v>1168</v>
      </c>
      <c r="T536" t="str">
        <v>Maputo Cidade</v>
      </c>
      <c r="U536" t="str">
        <v>Masculino</v>
      </c>
      <c r="V536" t="str">
        <v>Casado(a)</v>
      </c>
      <c r="W536" t="str">
        <v>Nenhuma</v>
      </c>
      <c r="X536" t="str">
        <v>Sim</v>
      </c>
      <c r="Y536" t="str">
        <v>Nenhuma</v>
      </c>
      <c r="Z536">
        <v>7</v>
      </c>
      <c r="AA536">
        <v>20</v>
      </c>
      <c r="AB536">
        <v>1.06</v>
      </c>
      <c r="AC536">
        <v>2</v>
      </c>
      <c r="AD536">
        <v>97</v>
      </c>
      <c r="AE536">
        <v>86</v>
      </c>
      <c r="AF536" t="str">
        <v>Urbana</v>
      </c>
      <c r="AG536" t="str">
        <v>Nao</v>
      </c>
    </row>
    <row r="537" spans="2:33" x14ac:dyDescent="0.45">
      <c r="B537" s="4">
        <v>536</v>
      </c>
      <c r="C537" s="4" t="s">
        <v>41</v>
      </c>
      <c r="D537" s="4" t="s">
        <v>16</v>
      </c>
      <c r="E537" s="4" t="s">
        <v>35</v>
      </c>
      <c r="F537" s="4" t="s">
        <v>24</v>
      </c>
      <c r="G537" s="4" t="s">
        <v>19</v>
      </c>
      <c r="H537" s="4" t="s">
        <v>25</v>
      </c>
      <c r="I537" s="4">
        <v>26</v>
      </c>
      <c r="J537" s="5">
        <v>55.5</v>
      </c>
      <c r="K537" s="6">
        <v>1.62</v>
      </c>
      <c r="L537" s="4">
        <v>1</v>
      </c>
      <c r="M537" s="4">
        <v>114</v>
      </c>
      <c r="N537" s="4">
        <v>94</v>
      </c>
      <c r="O537" s="4" t="s">
        <v>21</v>
      </c>
      <c r="P537" s="7" t="s">
        <v>19</v>
      </c>
      <c r="S537">
        <v>1173</v>
      </c>
      <c r="T537" t="str">
        <v>Zambezia</v>
      </c>
      <c r="U537" t="str">
        <v>Masculino</v>
      </c>
      <c r="V537" t="str">
        <v>Divorciado(a)</v>
      </c>
      <c r="W537" t="str">
        <v>Secundaria</v>
      </c>
      <c r="X537" t="str">
        <v>Nao</v>
      </c>
      <c r="Y537" t="str">
        <v>Malaria</v>
      </c>
      <c r="Z537">
        <v>2</v>
      </c>
      <c r="AA537">
        <v>16.2</v>
      </c>
      <c r="AB537">
        <v>0.88</v>
      </c>
      <c r="AC537">
        <v>3</v>
      </c>
      <c r="AD537">
        <v>111</v>
      </c>
      <c r="AE537">
        <v>101</v>
      </c>
      <c r="AF537" t="str">
        <v>Rural</v>
      </c>
      <c r="AG537" t="str">
        <v>Nao</v>
      </c>
    </row>
    <row r="538" spans="2:33" x14ac:dyDescent="0.45">
      <c r="B538" s="4">
        <v>537</v>
      </c>
      <c r="C538" s="4" t="s">
        <v>27</v>
      </c>
      <c r="D538" s="4" t="s">
        <v>23</v>
      </c>
      <c r="E538" s="4" t="s">
        <v>17</v>
      </c>
      <c r="F538" s="4" t="s">
        <v>18</v>
      </c>
      <c r="G538" s="4" t="s">
        <v>19</v>
      </c>
      <c r="H538" s="4" t="s">
        <v>38</v>
      </c>
      <c r="I538" s="4">
        <v>15</v>
      </c>
      <c r="J538" s="5">
        <v>44.6</v>
      </c>
      <c r="K538" s="6">
        <v>1.59</v>
      </c>
      <c r="L538" s="4">
        <v>5</v>
      </c>
      <c r="M538" s="4">
        <v>110</v>
      </c>
      <c r="N538" s="4">
        <v>96</v>
      </c>
      <c r="O538" s="4" t="s">
        <v>21</v>
      </c>
      <c r="P538" s="7" t="s">
        <v>19</v>
      </c>
      <c r="S538">
        <v>1174</v>
      </c>
      <c r="T538" t="str">
        <v>Nampula</v>
      </c>
      <c r="U538" t="str">
        <v>Masculino</v>
      </c>
      <c r="V538" t="str">
        <v>Solteiro(a)</v>
      </c>
      <c r="W538" t="str">
        <v>Nenhuma</v>
      </c>
      <c r="X538" t="str">
        <v>Nao</v>
      </c>
      <c r="Y538" t="str">
        <v>Hipertensao</v>
      </c>
      <c r="Z538">
        <v>51</v>
      </c>
      <c r="AA538">
        <v>67.8</v>
      </c>
      <c r="AB538">
        <v>1.74</v>
      </c>
      <c r="AC538">
        <v>3</v>
      </c>
      <c r="AD538">
        <v>141</v>
      </c>
      <c r="AE538">
        <v>83</v>
      </c>
      <c r="AF538" t="str">
        <v>Rural</v>
      </c>
      <c r="AG538" t="str">
        <v>Nao</v>
      </c>
    </row>
    <row r="539" spans="2:33" x14ac:dyDescent="0.45">
      <c r="B539" s="4">
        <v>538</v>
      </c>
      <c r="C539" s="4" t="s">
        <v>41</v>
      </c>
      <c r="D539" s="4" t="s">
        <v>23</v>
      </c>
      <c r="E539" s="4" t="s">
        <v>17</v>
      </c>
      <c r="F539" s="4" t="s">
        <v>24</v>
      </c>
      <c r="G539" s="4" t="s">
        <v>19</v>
      </c>
      <c r="H539" s="4" t="s">
        <v>28</v>
      </c>
      <c r="I539" s="4">
        <v>11</v>
      </c>
      <c r="J539" s="5">
        <v>20.2</v>
      </c>
      <c r="K539" s="6">
        <v>1.05</v>
      </c>
      <c r="L539" s="4">
        <v>7</v>
      </c>
      <c r="M539" s="4">
        <v>105</v>
      </c>
      <c r="N539" s="4">
        <v>98</v>
      </c>
      <c r="O539" s="4" t="s">
        <v>26</v>
      </c>
      <c r="P539" s="7" t="s">
        <v>30</v>
      </c>
      <c r="S539">
        <v>1176</v>
      </c>
      <c r="T539" t="str">
        <v>Nampula</v>
      </c>
      <c r="U539" t="str">
        <v>Masculino</v>
      </c>
      <c r="V539" t="str">
        <v>Solteiro(a)</v>
      </c>
      <c r="W539" t="str">
        <v>Primaria</v>
      </c>
      <c r="X539" t="str">
        <v>Nao</v>
      </c>
      <c r="Y539" t="str">
        <v>Diabetes</v>
      </c>
      <c r="Z539">
        <v>51</v>
      </c>
      <c r="AA539">
        <v>86.5</v>
      </c>
      <c r="AB539">
        <v>1.87</v>
      </c>
      <c r="AC539">
        <v>2</v>
      </c>
      <c r="AD539">
        <v>123</v>
      </c>
      <c r="AE539">
        <v>123</v>
      </c>
      <c r="AF539" t="str">
        <v>Urbana</v>
      </c>
      <c r="AG539" t="str">
        <v>Nao</v>
      </c>
    </row>
    <row r="540" spans="2:33" x14ac:dyDescent="0.45">
      <c r="B540" s="4">
        <v>539</v>
      </c>
      <c r="C540" s="4" t="s">
        <v>45</v>
      </c>
      <c r="D540" s="4" t="s">
        <v>23</v>
      </c>
      <c r="E540" s="4" t="s">
        <v>17</v>
      </c>
      <c r="F540" s="4" t="s">
        <v>42</v>
      </c>
      <c r="G540" s="4" t="s">
        <v>19</v>
      </c>
      <c r="H540" s="4" t="s">
        <v>34</v>
      </c>
      <c r="I540" s="4">
        <v>77</v>
      </c>
      <c r="J540" s="5">
        <v>63.2</v>
      </c>
      <c r="K540" s="6">
        <v>1.82</v>
      </c>
      <c r="L540" s="4">
        <v>2</v>
      </c>
      <c r="M540" s="4">
        <v>124</v>
      </c>
      <c r="N540" s="4">
        <v>78</v>
      </c>
      <c r="O540" s="4" t="s">
        <v>21</v>
      </c>
      <c r="P540" s="7" t="s">
        <v>19</v>
      </c>
      <c r="S540">
        <v>1180</v>
      </c>
      <c r="T540" t="str">
        <v>Zambezia</v>
      </c>
      <c r="U540" t="str">
        <v>Masculino</v>
      </c>
      <c r="V540" t="str">
        <v>Solteiro(a)</v>
      </c>
      <c r="W540" t="str">
        <v>Superior</v>
      </c>
      <c r="X540" t="str">
        <v>Nao</v>
      </c>
      <c r="Y540" t="str">
        <v>HIV/SIDA</v>
      </c>
      <c r="Z540">
        <v>4</v>
      </c>
      <c r="AA540">
        <v>11.2</v>
      </c>
      <c r="AB540">
        <v>0.83</v>
      </c>
      <c r="AC540">
        <v>2</v>
      </c>
      <c r="AD540">
        <v>99</v>
      </c>
      <c r="AE540">
        <v>102</v>
      </c>
      <c r="AF540" t="str">
        <v>Rural</v>
      </c>
      <c r="AG540" t="str">
        <v>Nao</v>
      </c>
    </row>
    <row r="541" spans="2:33" x14ac:dyDescent="0.45">
      <c r="B541" s="4">
        <v>540</v>
      </c>
      <c r="C541" s="4" t="s">
        <v>15</v>
      </c>
      <c r="D541" s="4" t="s">
        <v>16</v>
      </c>
      <c r="E541" s="4" t="s">
        <v>17</v>
      </c>
      <c r="F541" s="4" t="s">
        <v>28</v>
      </c>
      <c r="G541" s="4" t="s">
        <v>19</v>
      </c>
      <c r="H541" s="4" t="s">
        <v>38</v>
      </c>
      <c r="I541" s="4">
        <v>26</v>
      </c>
      <c r="J541" s="5">
        <v>64.8</v>
      </c>
      <c r="K541" s="6">
        <v>1.73</v>
      </c>
      <c r="L541" s="4">
        <v>0</v>
      </c>
      <c r="M541" s="4">
        <v>105</v>
      </c>
      <c r="N541" s="4">
        <v>72</v>
      </c>
      <c r="O541" s="4" t="s">
        <v>21</v>
      </c>
      <c r="P541" s="7" t="s">
        <v>30</v>
      </c>
      <c r="S541">
        <v>1181</v>
      </c>
      <c r="T541" t="str">
        <v>Zambezia</v>
      </c>
      <c r="U541" t="str">
        <v>Masculino</v>
      </c>
      <c r="V541" t="str">
        <v>Casado(a)</v>
      </c>
      <c r="W541" t="str">
        <v>Secundaria</v>
      </c>
      <c r="X541" t="str">
        <v>Sim</v>
      </c>
      <c r="Y541" t="str">
        <v>Nenhuma</v>
      </c>
      <c r="Z541">
        <v>14</v>
      </c>
      <c r="AA541">
        <v>63.8</v>
      </c>
      <c r="AB541">
        <v>1.59</v>
      </c>
      <c r="AC541">
        <v>2</v>
      </c>
      <c r="AD541">
        <v>115</v>
      </c>
      <c r="AE541">
        <v>104</v>
      </c>
      <c r="AF541" t="str">
        <v>Rural</v>
      </c>
      <c r="AG541" t="str">
        <v>Sim</v>
      </c>
    </row>
    <row r="542" spans="2:33" x14ac:dyDescent="0.45">
      <c r="B542" s="4">
        <v>541</v>
      </c>
      <c r="C542" s="4" t="s">
        <v>45</v>
      </c>
      <c r="D542" s="4" t="s">
        <v>16</v>
      </c>
      <c r="E542" s="4" t="s">
        <v>35</v>
      </c>
      <c r="F542" s="4" t="s">
        <v>28</v>
      </c>
      <c r="G542" s="4" t="s">
        <v>19</v>
      </c>
      <c r="H542" s="4" t="s">
        <v>25</v>
      </c>
      <c r="I542" s="4">
        <v>31</v>
      </c>
      <c r="J542" s="5">
        <v>49.1</v>
      </c>
      <c r="K542" s="6">
        <v>1.57</v>
      </c>
      <c r="L542" s="4">
        <v>1</v>
      </c>
      <c r="M542" s="4">
        <v>110</v>
      </c>
      <c r="N542" s="4">
        <v>78</v>
      </c>
      <c r="O542" s="4" t="s">
        <v>26</v>
      </c>
      <c r="P542" s="7" t="s">
        <v>19</v>
      </c>
      <c r="S542">
        <v>1183</v>
      </c>
      <c r="T542" t="str">
        <v>Sofala</v>
      </c>
      <c r="U542" t="str">
        <v>Masculino</v>
      </c>
      <c r="V542" t="str">
        <v>Solteiro(a)</v>
      </c>
      <c r="W542" t="str">
        <v>Nenhuma</v>
      </c>
      <c r="X542" t="str">
        <v>Nao</v>
      </c>
      <c r="Y542" t="str">
        <v>Malaria</v>
      </c>
      <c r="Z542">
        <v>49</v>
      </c>
      <c r="AA542">
        <v>84.5</v>
      </c>
      <c r="AB542">
        <v>1.55</v>
      </c>
      <c r="AC542">
        <v>0</v>
      </c>
      <c r="AD542">
        <v>131</v>
      </c>
      <c r="AE542">
        <v>103</v>
      </c>
      <c r="AF542" t="str">
        <v>Rural</v>
      </c>
      <c r="AG542" t="str">
        <v>Sim</v>
      </c>
    </row>
    <row r="543" spans="2:33" x14ac:dyDescent="0.45">
      <c r="B543" s="4">
        <v>542</v>
      </c>
      <c r="C543" s="4" t="s">
        <v>45</v>
      </c>
      <c r="D543" s="4" t="s">
        <v>16</v>
      </c>
      <c r="E543" s="4" t="s">
        <v>35</v>
      </c>
      <c r="F543" s="4" t="s">
        <v>28</v>
      </c>
      <c r="G543" s="4" t="s">
        <v>19</v>
      </c>
      <c r="H543" s="4" t="s">
        <v>25</v>
      </c>
      <c r="I543" s="4">
        <v>10</v>
      </c>
      <c r="J543" s="5">
        <v>20.7</v>
      </c>
      <c r="K543" s="6">
        <v>1.43</v>
      </c>
      <c r="L543" s="4">
        <v>6</v>
      </c>
      <c r="M543" s="4">
        <v>95</v>
      </c>
      <c r="N543" s="4">
        <v>99</v>
      </c>
      <c r="O543" s="4" t="s">
        <v>21</v>
      </c>
      <c r="P543" s="7" t="s">
        <v>19</v>
      </c>
      <c r="S543">
        <v>1185</v>
      </c>
      <c r="T543" t="str">
        <v>Sofala</v>
      </c>
      <c r="U543" t="str">
        <v>Masculino</v>
      </c>
      <c r="V543" t="str">
        <v>Solteiro(a)</v>
      </c>
      <c r="W543" t="str">
        <v>Secundaria</v>
      </c>
      <c r="X543" t="str">
        <v>Nao</v>
      </c>
      <c r="Y543" t="str">
        <v>HIV/SIDA</v>
      </c>
      <c r="Z543">
        <v>41</v>
      </c>
      <c r="AA543">
        <v>71</v>
      </c>
      <c r="AB543">
        <v>1.75</v>
      </c>
      <c r="AC543">
        <v>3</v>
      </c>
      <c r="AD543">
        <v>126</v>
      </c>
      <c r="AE543">
        <v>86</v>
      </c>
      <c r="AF543" t="str">
        <v>Urbana</v>
      </c>
      <c r="AG543" t="str">
        <v>Nao</v>
      </c>
    </row>
    <row r="544" spans="2:33" x14ac:dyDescent="0.45">
      <c r="B544" s="4">
        <v>543</v>
      </c>
      <c r="C544" s="4" t="s">
        <v>39</v>
      </c>
      <c r="D544" s="4" t="s">
        <v>23</v>
      </c>
      <c r="E544" s="4" t="s">
        <v>44</v>
      </c>
      <c r="F544" s="4" t="s">
        <v>28</v>
      </c>
      <c r="G544" s="4" t="s">
        <v>19</v>
      </c>
      <c r="H544" s="4" t="s">
        <v>20</v>
      </c>
      <c r="I544" s="4">
        <v>64</v>
      </c>
      <c r="J544" s="5">
        <v>81</v>
      </c>
      <c r="K544" s="6">
        <v>1.8</v>
      </c>
      <c r="L544" s="4">
        <v>6</v>
      </c>
      <c r="M544" s="4">
        <v>114</v>
      </c>
      <c r="N544" s="4">
        <v>91</v>
      </c>
      <c r="O544" s="4" t="s">
        <v>26</v>
      </c>
      <c r="P544" s="7" t="s">
        <v>19</v>
      </c>
      <c r="S544">
        <v>1187</v>
      </c>
      <c r="T544" t="str">
        <v>Maputo Provincia</v>
      </c>
      <c r="U544" t="str">
        <v>Masculino</v>
      </c>
      <c r="V544" t="str">
        <v>Casado(a)</v>
      </c>
      <c r="W544" t="str">
        <v>Secundaria</v>
      </c>
      <c r="X544" t="str">
        <v>Nao</v>
      </c>
      <c r="Y544" t="str">
        <v>Pneumonia</v>
      </c>
      <c r="Z544">
        <v>53</v>
      </c>
      <c r="AA544">
        <v>62.2</v>
      </c>
      <c r="AB544">
        <v>1.68</v>
      </c>
      <c r="AC544">
        <v>5</v>
      </c>
      <c r="AD544">
        <v>106</v>
      </c>
      <c r="AE544">
        <v>105</v>
      </c>
      <c r="AF544" t="str">
        <v>Urbana</v>
      </c>
      <c r="AG544" t="str">
        <v>Nao</v>
      </c>
    </row>
    <row r="545" spans="2:33" x14ac:dyDescent="0.45">
      <c r="B545" s="4">
        <v>544</v>
      </c>
      <c r="C545" s="4" t="s">
        <v>22</v>
      </c>
      <c r="D545" s="4" t="s">
        <v>23</v>
      </c>
      <c r="E545" s="4" t="s">
        <v>37</v>
      </c>
      <c r="F545" s="4" t="s">
        <v>24</v>
      </c>
      <c r="G545" s="4" t="s">
        <v>19</v>
      </c>
      <c r="H545" s="4" t="s">
        <v>28</v>
      </c>
      <c r="I545" s="4">
        <v>24</v>
      </c>
      <c r="J545" s="5">
        <v>61.1</v>
      </c>
      <c r="K545" s="6">
        <v>1.87</v>
      </c>
      <c r="L545" s="4">
        <v>9</v>
      </c>
      <c r="M545" s="4">
        <v>109</v>
      </c>
      <c r="N545" s="4">
        <v>97</v>
      </c>
      <c r="O545" s="4" t="s">
        <v>26</v>
      </c>
      <c r="P545" s="7" t="s">
        <v>19</v>
      </c>
      <c r="S545">
        <v>1190</v>
      </c>
      <c r="T545" t="str">
        <v>Manica</v>
      </c>
      <c r="U545" t="str">
        <v>Masculino</v>
      </c>
      <c r="V545" t="str">
        <v>Divorciado(a)</v>
      </c>
      <c r="W545" t="str">
        <v>Secundaria</v>
      </c>
      <c r="X545" t="str">
        <v>Sim</v>
      </c>
      <c r="Y545" t="str">
        <v>HIV/SIDA</v>
      </c>
      <c r="Z545">
        <v>0</v>
      </c>
      <c r="AA545">
        <v>8.5</v>
      </c>
      <c r="AB545">
        <v>0.8</v>
      </c>
      <c r="AC545">
        <v>6</v>
      </c>
      <c r="AD545">
        <v>102</v>
      </c>
      <c r="AE545">
        <v>70</v>
      </c>
      <c r="AF545" t="str">
        <v>Urbana</v>
      </c>
      <c r="AG545" t="str">
        <v>Nao</v>
      </c>
    </row>
    <row r="546" spans="2:33" x14ac:dyDescent="0.45">
      <c r="B546" s="4">
        <v>545</v>
      </c>
      <c r="C546" s="4" t="s">
        <v>39</v>
      </c>
      <c r="D546" s="4" t="s">
        <v>16</v>
      </c>
      <c r="E546" s="4" t="s">
        <v>35</v>
      </c>
      <c r="F546" s="4" t="s">
        <v>24</v>
      </c>
      <c r="G546" s="4" t="s">
        <v>19</v>
      </c>
      <c r="H546" s="4" t="s">
        <v>36</v>
      </c>
      <c r="I546" s="4">
        <v>14</v>
      </c>
      <c r="J546" s="5">
        <v>49.3</v>
      </c>
      <c r="K546" s="6">
        <v>1.56</v>
      </c>
      <c r="L546" s="4">
        <v>2</v>
      </c>
      <c r="M546" s="4">
        <v>118</v>
      </c>
      <c r="N546" s="4">
        <v>73</v>
      </c>
      <c r="O546" s="4" t="s">
        <v>26</v>
      </c>
      <c r="P546" s="7" t="s">
        <v>19</v>
      </c>
      <c r="S546">
        <v>1192</v>
      </c>
      <c r="T546" t="str">
        <v>Manica</v>
      </c>
      <c r="U546" t="str">
        <v>Masculino</v>
      </c>
      <c r="V546" t="str">
        <v>Divorciado(a)</v>
      </c>
      <c r="W546" t="str">
        <v>Secundaria</v>
      </c>
      <c r="X546" t="str">
        <v>Nao</v>
      </c>
      <c r="Y546" t="str">
        <v>HIV/SIDA</v>
      </c>
      <c r="Z546">
        <v>16</v>
      </c>
      <c r="AA546">
        <v>44</v>
      </c>
      <c r="AB546">
        <v>1.64</v>
      </c>
      <c r="AC546">
        <v>2</v>
      </c>
      <c r="AD546">
        <v>107</v>
      </c>
      <c r="AE546">
        <v>101</v>
      </c>
      <c r="AF546" t="str">
        <v>Rural</v>
      </c>
      <c r="AG546" t="str">
        <v>Nao</v>
      </c>
    </row>
    <row r="547" spans="2:33" x14ac:dyDescent="0.45">
      <c r="B547" s="4">
        <v>546</v>
      </c>
      <c r="C547" s="4" t="s">
        <v>45</v>
      </c>
      <c r="D547" s="4" t="s">
        <v>16</v>
      </c>
      <c r="E547" s="4" t="s">
        <v>35</v>
      </c>
      <c r="F547" s="4" t="s">
        <v>18</v>
      </c>
      <c r="G547" s="4" t="s">
        <v>30</v>
      </c>
      <c r="H547" s="4" t="s">
        <v>25</v>
      </c>
      <c r="I547" s="4">
        <v>76</v>
      </c>
      <c r="J547" s="5">
        <v>62.3</v>
      </c>
      <c r="K547" s="6">
        <v>1.8</v>
      </c>
      <c r="L547" s="4">
        <v>1</v>
      </c>
      <c r="M547" s="4">
        <v>139</v>
      </c>
      <c r="N547" s="4">
        <v>85</v>
      </c>
      <c r="O547" s="4" t="s">
        <v>26</v>
      </c>
      <c r="P547" s="7" t="s">
        <v>30</v>
      </c>
      <c r="S547">
        <v>1194</v>
      </c>
      <c r="T547" t="str">
        <v>Manica</v>
      </c>
      <c r="U547" t="str">
        <v>Masculino</v>
      </c>
      <c r="V547" t="str">
        <v>Solteiro(a)</v>
      </c>
      <c r="W547" t="str">
        <v>Primaria</v>
      </c>
      <c r="X547" t="str">
        <v>Nao</v>
      </c>
      <c r="Y547" t="str">
        <v>Diarreia</v>
      </c>
      <c r="Z547">
        <v>2</v>
      </c>
      <c r="AA547">
        <v>11.6</v>
      </c>
      <c r="AB547">
        <v>0.62</v>
      </c>
      <c r="AC547">
        <v>5</v>
      </c>
      <c r="AD547">
        <v>109</v>
      </c>
      <c r="AE547">
        <v>102</v>
      </c>
      <c r="AF547" t="str">
        <v>Urbana</v>
      </c>
      <c r="AG547" t="str">
        <v>Nao</v>
      </c>
    </row>
    <row r="548" spans="2:33" x14ac:dyDescent="0.45">
      <c r="B548" s="4">
        <v>547</v>
      </c>
      <c r="C548" s="4" t="s">
        <v>43</v>
      </c>
      <c r="D548" s="4" t="s">
        <v>16</v>
      </c>
      <c r="E548" s="4" t="s">
        <v>17</v>
      </c>
      <c r="F548" s="4" t="s">
        <v>42</v>
      </c>
      <c r="G548" s="4" t="s">
        <v>30</v>
      </c>
      <c r="H548" s="4" t="s">
        <v>36</v>
      </c>
      <c r="I548" s="4">
        <v>10</v>
      </c>
      <c r="J548" s="5">
        <v>37</v>
      </c>
      <c r="K548" s="6">
        <v>1.2</v>
      </c>
      <c r="L548" s="4">
        <v>1</v>
      </c>
      <c r="M548" s="4">
        <v>131</v>
      </c>
      <c r="N548" s="4">
        <v>95</v>
      </c>
      <c r="O548" s="4" t="s">
        <v>21</v>
      </c>
      <c r="P548" s="7" t="s">
        <v>19</v>
      </c>
      <c r="S548">
        <v>1195</v>
      </c>
      <c r="T548" t="str">
        <v>Nampula</v>
      </c>
      <c r="U548" t="str">
        <v>Masculino</v>
      </c>
      <c r="V548" t="str">
        <v>Casado(a)</v>
      </c>
      <c r="W548" t="str">
        <v>Primaria</v>
      </c>
      <c r="X548" t="str">
        <v>Nao</v>
      </c>
      <c r="Y548" t="str">
        <v>Malaria</v>
      </c>
      <c r="Z548">
        <v>19</v>
      </c>
      <c r="AA548">
        <v>53</v>
      </c>
      <c r="AB548">
        <v>1.89</v>
      </c>
      <c r="AC548">
        <v>0</v>
      </c>
      <c r="AD548">
        <v>101</v>
      </c>
      <c r="AE548">
        <v>105</v>
      </c>
      <c r="AF548" t="str">
        <v>Rural</v>
      </c>
      <c r="AG548" t="str">
        <v>Nao</v>
      </c>
    </row>
    <row r="549" spans="2:33" x14ac:dyDescent="0.45">
      <c r="B549" s="4">
        <v>548</v>
      </c>
      <c r="C549" s="4" t="s">
        <v>40</v>
      </c>
      <c r="D549" s="4" t="s">
        <v>16</v>
      </c>
      <c r="E549" s="4" t="s">
        <v>35</v>
      </c>
      <c r="F549" s="4" t="s">
        <v>24</v>
      </c>
      <c r="G549" s="4" t="s">
        <v>30</v>
      </c>
      <c r="H549" s="4" t="s">
        <v>28</v>
      </c>
      <c r="I549" s="4">
        <v>8</v>
      </c>
      <c r="J549" s="5">
        <v>24.7</v>
      </c>
      <c r="K549" s="6">
        <v>1.0900000000000001</v>
      </c>
      <c r="L549" s="4">
        <v>2</v>
      </c>
      <c r="M549" s="4">
        <v>98</v>
      </c>
      <c r="N549" s="4">
        <v>94</v>
      </c>
      <c r="O549" s="4" t="s">
        <v>21</v>
      </c>
      <c r="P549" s="7" t="s">
        <v>19</v>
      </c>
      <c r="S549">
        <v>1197</v>
      </c>
      <c r="T549" t="str">
        <v>Cabo Delgado</v>
      </c>
      <c r="U549" t="str">
        <v>Masculino</v>
      </c>
      <c r="V549" t="str">
        <v>Casado(a)</v>
      </c>
      <c r="W549" t="str">
        <v>Secundaria</v>
      </c>
      <c r="X549" t="str">
        <v>Nao</v>
      </c>
      <c r="Y549" t="str">
        <v>Malaria</v>
      </c>
      <c r="Z549">
        <v>20</v>
      </c>
      <c r="AA549">
        <v>47.6</v>
      </c>
      <c r="AB549">
        <v>1.63</v>
      </c>
      <c r="AC549">
        <v>1</v>
      </c>
      <c r="AD549">
        <v>96</v>
      </c>
      <c r="AE549">
        <v>98</v>
      </c>
      <c r="AF549" t="str">
        <v>Urbana</v>
      </c>
      <c r="AG549" t="str">
        <v>Nao</v>
      </c>
    </row>
    <row r="550" spans="2:33" x14ac:dyDescent="0.45">
      <c r="B550" s="4">
        <v>549</v>
      </c>
      <c r="C550" s="4" t="s">
        <v>40</v>
      </c>
      <c r="D550" s="4" t="s">
        <v>23</v>
      </c>
      <c r="E550" s="4" t="s">
        <v>35</v>
      </c>
      <c r="F550" s="4" t="s">
        <v>24</v>
      </c>
      <c r="G550" s="4" t="s">
        <v>19</v>
      </c>
      <c r="H550" s="4" t="s">
        <v>20</v>
      </c>
      <c r="I550" s="4">
        <v>10</v>
      </c>
      <c r="J550" s="5">
        <v>19.899999999999999</v>
      </c>
      <c r="K550" s="6">
        <v>1.27</v>
      </c>
      <c r="L550" s="4">
        <v>0</v>
      </c>
      <c r="M550" s="4">
        <v>124</v>
      </c>
      <c r="N550" s="4">
        <v>104</v>
      </c>
      <c r="O550" s="4" t="s">
        <v>26</v>
      </c>
      <c r="P550" s="7" t="s">
        <v>30</v>
      </c>
      <c r="S550">
        <v>1198</v>
      </c>
      <c r="T550" t="str">
        <v>Tete</v>
      </c>
      <c r="U550" t="str">
        <v>Masculino</v>
      </c>
      <c r="V550" t="str">
        <v>Solteiro(a)</v>
      </c>
      <c r="W550" t="str">
        <v>Primaria</v>
      </c>
      <c r="X550" t="str">
        <v>Nao</v>
      </c>
      <c r="Y550" t="str">
        <v>HIV/SIDA</v>
      </c>
      <c r="Z550">
        <v>17</v>
      </c>
      <c r="AA550">
        <v>55.7</v>
      </c>
      <c r="AB550">
        <v>1.53</v>
      </c>
      <c r="AC550">
        <v>4</v>
      </c>
      <c r="AD550">
        <v>100</v>
      </c>
      <c r="AE550">
        <v>82</v>
      </c>
      <c r="AF550" t="str">
        <v>Rural</v>
      </c>
      <c r="AG550" t="str">
        <v>Nao</v>
      </c>
    </row>
    <row r="551" spans="2:33" x14ac:dyDescent="0.45">
      <c r="B551" s="4">
        <v>550</v>
      </c>
      <c r="C551" s="4" t="s">
        <v>15</v>
      </c>
      <c r="D551" s="4" t="s">
        <v>16</v>
      </c>
      <c r="E551" s="4" t="s">
        <v>17</v>
      </c>
      <c r="F551" s="4" t="s">
        <v>24</v>
      </c>
      <c r="G551" s="4" t="s">
        <v>19</v>
      </c>
      <c r="H551" s="4" t="s">
        <v>25</v>
      </c>
      <c r="I551" s="4">
        <v>27</v>
      </c>
      <c r="J551" s="5">
        <v>71.099999999999994</v>
      </c>
      <c r="K551" s="6">
        <v>1.69</v>
      </c>
      <c r="L551" s="4">
        <v>5</v>
      </c>
      <c r="M551" s="4">
        <v>104</v>
      </c>
      <c r="N551" s="4">
        <v>73</v>
      </c>
      <c r="O551" s="4" t="s">
        <v>21</v>
      </c>
      <c r="P551" s="7" t="s">
        <v>19</v>
      </c>
      <c r="S551">
        <v>1200</v>
      </c>
      <c r="T551" t="str">
        <v>Nampula</v>
      </c>
      <c r="U551" t="str">
        <v>Masculino</v>
      </c>
      <c r="V551" t="str">
        <v>Casado(a)</v>
      </c>
      <c r="W551" t="str">
        <v>Primaria</v>
      </c>
      <c r="X551" t="str">
        <v>Nao</v>
      </c>
      <c r="Y551" t="str">
        <v>Hipertensao</v>
      </c>
      <c r="Z551">
        <v>8</v>
      </c>
      <c r="AA551">
        <v>36.5</v>
      </c>
      <c r="AB551">
        <v>1.22</v>
      </c>
      <c r="AC551">
        <v>5</v>
      </c>
      <c r="AD551">
        <v>124</v>
      </c>
      <c r="AE551">
        <v>102</v>
      </c>
      <c r="AF551" t="str">
        <v>Urbana</v>
      </c>
      <c r="AG551" t="str">
        <v>Nao</v>
      </c>
    </row>
    <row r="552" spans="2:33" x14ac:dyDescent="0.45">
      <c r="B552" s="4">
        <v>551</v>
      </c>
      <c r="C552" s="4" t="s">
        <v>15</v>
      </c>
      <c r="D552" s="4" t="s">
        <v>23</v>
      </c>
      <c r="E552" s="4" t="s">
        <v>17</v>
      </c>
      <c r="F552" s="4" t="s">
        <v>24</v>
      </c>
      <c r="G552" s="4" t="s">
        <v>19</v>
      </c>
      <c r="H552" s="4" t="s">
        <v>25</v>
      </c>
      <c r="I552" s="4">
        <v>53</v>
      </c>
      <c r="J552" s="5">
        <v>88.9</v>
      </c>
      <c r="K552" s="6">
        <v>1.67</v>
      </c>
      <c r="L552" s="4">
        <v>0</v>
      </c>
      <c r="M552" s="4">
        <v>125</v>
      </c>
      <c r="N552" s="4">
        <v>88</v>
      </c>
      <c r="O552" s="4" t="s">
        <v>21</v>
      </c>
      <c r="P552" s="7" t="s">
        <v>19</v>
      </c>
      <c r="S552">
        <v>1203</v>
      </c>
      <c r="T552" t="str">
        <v>Cabo Delgado</v>
      </c>
      <c r="U552" t="str">
        <v>Masculino</v>
      </c>
      <c r="V552" t="str">
        <v>Solteiro(a)</v>
      </c>
      <c r="W552" t="str">
        <v>Primaria</v>
      </c>
      <c r="X552" t="str">
        <v>Nao</v>
      </c>
      <c r="Y552" t="str">
        <v>Nenhuma</v>
      </c>
      <c r="Z552">
        <v>20</v>
      </c>
      <c r="AA552">
        <v>46.6</v>
      </c>
      <c r="AB552">
        <v>1.7</v>
      </c>
      <c r="AC552">
        <v>1</v>
      </c>
      <c r="AD552">
        <v>124</v>
      </c>
      <c r="AE552">
        <v>73</v>
      </c>
      <c r="AF552" t="str">
        <v>Urbana</v>
      </c>
      <c r="AG552" t="str">
        <v>Sim</v>
      </c>
    </row>
    <row r="553" spans="2:33" x14ac:dyDescent="0.45">
      <c r="B553" s="4">
        <v>552</v>
      </c>
      <c r="C553" s="4" t="s">
        <v>41</v>
      </c>
      <c r="D553" s="4" t="s">
        <v>23</v>
      </c>
      <c r="E553" s="4" t="s">
        <v>35</v>
      </c>
      <c r="F553" s="4" t="s">
        <v>28</v>
      </c>
      <c r="G553" s="4" t="s">
        <v>19</v>
      </c>
      <c r="H553" s="4" t="s">
        <v>38</v>
      </c>
      <c r="I553" s="4">
        <v>88</v>
      </c>
      <c r="J553" s="5">
        <v>55.4</v>
      </c>
      <c r="K553" s="6">
        <v>1.58</v>
      </c>
      <c r="L553" s="4">
        <v>6</v>
      </c>
      <c r="M553" s="4">
        <v>134</v>
      </c>
      <c r="N553" s="4">
        <v>86</v>
      </c>
      <c r="O553" s="4" t="s">
        <v>26</v>
      </c>
      <c r="P553" s="7" t="s">
        <v>19</v>
      </c>
      <c r="S553">
        <v>1204</v>
      </c>
      <c r="T553" t="str">
        <v>Sofala</v>
      </c>
      <c r="U553" t="str">
        <v>Masculino</v>
      </c>
      <c r="V553" t="str">
        <v>Solteiro(a)</v>
      </c>
      <c r="W553" t="str">
        <v>Primaria</v>
      </c>
      <c r="X553" t="str">
        <v>Nao</v>
      </c>
      <c r="Y553" t="str">
        <v>Nenhuma</v>
      </c>
      <c r="Z553">
        <v>32</v>
      </c>
      <c r="AA553">
        <v>55.2</v>
      </c>
      <c r="AB553">
        <v>1.78</v>
      </c>
      <c r="AC553">
        <v>1</v>
      </c>
      <c r="AD553">
        <v>123</v>
      </c>
      <c r="AE553">
        <v>76</v>
      </c>
      <c r="AF553" t="str">
        <v>Rural</v>
      </c>
      <c r="AG553" t="str">
        <v>Nao</v>
      </c>
    </row>
    <row r="554" spans="2:33" x14ac:dyDescent="0.45">
      <c r="B554" s="4">
        <v>553</v>
      </c>
      <c r="C554" s="4" t="s">
        <v>29</v>
      </c>
      <c r="D554" s="4" t="s">
        <v>16</v>
      </c>
      <c r="E554" s="4" t="s">
        <v>17</v>
      </c>
      <c r="F554" s="4" t="s">
        <v>18</v>
      </c>
      <c r="G554" s="4" t="s">
        <v>19</v>
      </c>
      <c r="H554" s="4" t="s">
        <v>25</v>
      </c>
      <c r="I554" s="4">
        <v>41</v>
      </c>
      <c r="J554" s="5">
        <v>62.9</v>
      </c>
      <c r="K554" s="6">
        <v>1.53</v>
      </c>
      <c r="L554" s="4">
        <v>0</v>
      </c>
      <c r="M554" s="4">
        <v>108</v>
      </c>
      <c r="N554" s="4">
        <v>91</v>
      </c>
      <c r="O554" s="4" t="s">
        <v>26</v>
      </c>
      <c r="P554" s="7" t="s">
        <v>19</v>
      </c>
      <c r="S554">
        <v>1206</v>
      </c>
      <c r="T554" t="str">
        <v>Sofala</v>
      </c>
      <c r="U554" t="str">
        <v>Masculino</v>
      </c>
      <c r="V554" t="str">
        <v>Solteiro(a)</v>
      </c>
      <c r="W554" t="str">
        <v>Secundaria</v>
      </c>
      <c r="X554" t="str">
        <v>Sim</v>
      </c>
      <c r="Y554" t="str">
        <v>Pneumonia</v>
      </c>
      <c r="Z554">
        <v>19</v>
      </c>
      <c r="AA554">
        <v>63.7</v>
      </c>
      <c r="AB554">
        <v>1.67</v>
      </c>
      <c r="AC554">
        <v>3</v>
      </c>
      <c r="AD554">
        <v>114</v>
      </c>
      <c r="AE554">
        <v>71</v>
      </c>
      <c r="AF554" t="str">
        <v>Rural</v>
      </c>
      <c r="AG554" t="str">
        <v>Nao</v>
      </c>
    </row>
    <row r="555" spans="2:33" x14ac:dyDescent="0.45">
      <c r="B555" s="4">
        <v>554</v>
      </c>
      <c r="C555" s="4" t="s">
        <v>29</v>
      </c>
      <c r="D555" s="4" t="s">
        <v>16</v>
      </c>
      <c r="E555" s="4" t="s">
        <v>35</v>
      </c>
      <c r="F555" s="4" t="s">
        <v>24</v>
      </c>
      <c r="G555" s="4" t="s">
        <v>19</v>
      </c>
      <c r="H555" s="4" t="s">
        <v>46</v>
      </c>
      <c r="I555" s="4">
        <v>35</v>
      </c>
      <c r="J555" s="5">
        <v>77.599999999999994</v>
      </c>
      <c r="K555" s="6">
        <v>1.88</v>
      </c>
      <c r="L555" s="4">
        <v>7</v>
      </c>
      <c r="M555" s="4">
        <v>110</v>
      </c>
      <c r="N555" s="4">
        <v>75</v>
      </c>
      <c r="O555" s="4" t="s">
        <v>26</v>
      </c>
      <c r="P555" s="7" t="s">
        <v>30</v>
      </c>
      <c r="S555">
        <v>1207</v>
      </c>
      <c r="T555" t="str">
        <v>Maputo Cidade</v>
      </c>
      <c r="U555" t="str">
        <v>Masculino</v>
      </c>
      <c r="V555" t="str">
        <v>Solteiro(a)</v>
      </c>
      <c r="W555" t="str">
        <v>Secundaria</v>
      </c>
      <c r="X555" t="str">
        <v>Nao</v>
      </c>
      <c r="Y555" t="str">
        <v>Malaria</v>
      </c>
      <c r="Z555">
        <v>73</v>
      </c>
      <c r="AA555">
        <v>53.1</v>
      </c>
      <c r="AB555">
        <v>1.5</v>
      </c>
      <c r="AC555">
        <v>1</v>
      </c>
      <c r="AD555">
        <v>126</v>
      </c>
      <c r="AE555">
        <v>77</v>
      </c>
      <c r="AF555" t="str">
        <v>Rural</v>
      </c>
      <c r="AG555" t="str">
        <v>Sim</v>
      </c>
    </row>
    <row r="556" spans="2:33" x14ac:dyDescent="0.45">
      <c r="B556" s="4">
        <v>555</v>
      </c>
      <c r="C556" s="4" t="s">
        <v>27</v>
      </c>
      <c r="D556" s="4" t="s">
        <v>23</v>
      </c>
      <c r="E556" s="4" t="s">
        <v>17</v>
      </c>
      <c r="F556" s="4" t="s">
        <v>28</v>
      </c>
      <c r="G556" s="4" t="s">
        <v>30</v>
      </c>
      <c r="H556" s="4" t="s">
        <v>36</v>
      </c>
      <c r="I556" s="4">
        <v>49</v>
      </c>
      <c r="J556" s="5">
        <v>86.9</v>
      </c>
      <c r="K556" s="6">
        <v>1.63</v>
      </c>
      <c r="L556" s="4">
        <v>4</v>
      </c>
      <c r="M556" s="4">
        <v>132</v>
      </c>
      <c r="N556" s="4">
        <v>83</v>
      </c>
      <c r="O556" s="4" t="s">
        <v>26</v>
      </c>
      <c r="P556" s="7" t="s">
        <v>19</v>
      </c>
      <c r="S556">
        <v>1208</v>
      </c>
      <c r="T556" t="str">
        <v>Zambezia</v>
      </c>
      <c r="U556" t="str">
        <v>Masculino</v>
      </c>
      <c r="V556" t="str">
        <v>Divorciado(a)</v>
      </c>
      <c r="W556" t="str">
        <v>Primaria</v>
      </c>
      <c r="X556" t="str">
        <v>Nao</v>
      </c>
      <c r="Y556" t="str">
        <v>Hipertensao</v>
      </c>
      <c r="Z556">
        <v>30</v>
      </c>
      <c r="AA556">
        <v>65.7</v>
      </c>
      <c r="AB556">
        <v>1.63</v>
      </c>
      <c r="AC556">
        <v>2</v>
      </c>
      <c r="AD556">
        <v>128</v>
      </c>
      <c r="AE556">
        <v>91</v>
      </c>
      <c r="AF556" t="str">
        <v>Rural</v>
      </c>
      <c r="AG556" t="str">
        <v>Sim</v>
      </c>
    </row>
    <row r="557" spans="2:33" x14ac:dyDescent="0.45">
      <c r="B557" s="4">
        <v>556</v>
      </c>
      <c r="C557" s="4" t="s">
        <v>33</v>
      </c>
      <c r="D557" s="4" t="s">
        <v>23</v>
      </c>
      <c r="E557" s="4" t="s">
        <v>17</v>
      </c>
      <c r="F557" s="4" t="s">
        <v>24</v>
      </c>
      <c r="G557" s="4" t="s">
        <v>19</v>
      </c>
      <c r="H557" s="4" t="s">
        <v>36</v>
      </c>
      <c r="I557" s="4">
        <v>69</v>
      </c>
      <c r="J557" s="5">
        <v>45.2</v>
      </c>
      <c r="K557" s="6">
        <v>1.75</v>
      </c>
      <c r="L557" s="4">
        <v>7</v>
      </c>
      <c r="M557" s="4">
        <v>148</v>
      </c>
      <c r="N557" s="4">
        <v>78</v>
      </c>
      <c r="O557" s="4" t="s">
        <v>26</v>
      </c>
      <c r="P557" s="7" t="s">
        <v>19</v>
      </c>
      <c r="S557">
        <v>1209</v>
      </c>
      <c r="T557" t="str">
        <v>Manica</v>
      </c>
      <c r="U557" t="str">
        <v>Masculino</v>
      </c>
      <c r="V557" t="str">
        <v>Casado(a)</v>
      </c>
      <c r="W557" t="str">
        <v>Primaria</v>
      </c>
      <c r="X557" t="str">
        <v>Nao</v>
      </c>
      <c r="Y557" t="str">
        <v>Diabetes</v>
      </c>
      <c r="Z557">
        <v>2</v>
      </c>
      <c r="AA557">
        <v>17.8</v>
      </c>
      <c r="AB557">
        <v>0.78</v>
      </c>
      <c r="AC557">
        <v>4</v>
      </c>
      <c r="AD557">
        <v>93</v>
      </c>
      <c r="AE557">
        <v>165</v>
      </c>
      <c r="AF557" t="str">
        <v>Rural</v>
      </c>
      <c r="AG557" t="str">
        <v>Nao</v>
      </c>
    </row>
    <row r="558" spans="2:33" x14ac:dyDescent="0.45">
      <c r="B558" s="4">
        <v>557</v>
      </c>
      <c r="C558" s="4" t="s">
        <v>15</v>
      </c>
      <c r="D558" s="4" t="s">
        <v>16</v>
      </c>
      <c r="E558" s="4" t="s">
        <v>35</v>
      </c>
      <c r="F558" s="4" t="s">
        <v>28</v>
      </c>
      <c r="G558" s="4" t="s">
        <v>19</v>
      </c>
      <c r="H558" s="4" t="s">
        <v>36</v>
      </c>
      <c r="I558" s="4">
        <v>6</v>
      </c>
      <c r="J558" s="5">
        <v>19.8</v>
      </c>
      <c r="K558" s="6">
        <v>1.2</v>
      </c>
      <c r="L558" s="4">
        <v>1</v>
      </c>
      <c r="M558" s="4">
        <v>120</v>
      </c>
      <c r="N558" s="4">
        <v>102</v>
      </c>
      <c r="O558" s="4" t="s">
        <v>26</v>
      </c>
      <c r="P558" s="7" t="s">
        <v>19</v>
      </c>
      <c r="S558">
        <v>1211</v>
      </c>
      <c r="T558" t="str">
        <v>Gaza</v>
      </c>
      <c r="U558" t="str">
        <v>Masculino</v>
      </c>
      <c r="V558" t="str">
        <v>Solteiro(a)</v>
      </c>
      <c r="W558" t="str">
        <v>Primaria</v>
      </c>
      <c r="X558" t="str">
        <v>Sim</v>
      </c>
      <c r="Y558" t="str">
        <v>Nenhuma</v>
      </c>
      <c r="Z558">
        <v>7</v>
      </c>
      <c r="AA558">
        <v>37.700000000000003</v>
      </c>
      <c r="AB558">
        <v>1.08</v>
      </c>
      <c r="AC558">
        <v>5</v>
      </c>
      <c r="AD558">
        <v>101</v>
      </c>
      <c r="AE558">
        <v>86</v>
      </c>
      <c r="AF558" t="str">
        <v>Urbana</v>
      </c>
      <c r="AG558" t="str">
        <v>Nao</v>
      </c>
    </row>
    <row r="559" spans="2:33" x14ac:dyDescent="0.45">
      <c r="B559" s="4">
        <v>558</v>
      </c>
      <c r="C559" s="4" t="s">
        <v>29</v>
      </c>
      <c r="D559" s="4" t="s">
        <v>16</v>
      </c>
      <c r="E559" s="4" t="s">
        <v>17</v>
      </c>
      <c r="F559" s="4" t="s">
        <v>28</v>
      </c>
      <c r="G559" s="4" t="s">
        <v>19</v>
      </c>
      <c r="H559" s="4" t="s">
        <v>20</v>
      </c>
      <c r="I559" s="4">
        <v>10</v>
      </c>
      <c r="J559" s="5">
        <v>29.2</v>
      </c>
      <c r="K559" s="6">
        <v>1.2</v>
      </c>
      <c r="L559" s="4">
        <v>1</v>
      </c>
      <c r="M559" s="4">
        <v>109</v>
      </c>
      <c r="N559" s="4">
        <v>97</v>
      </c>
      <c r="O559" s="4" t="s">
        <v>26</v>
      </c>
      <c r="P559" s="7" t="s">
        <v>19</v>
      </c>
      <c r="S559">
        <v>1212</v>
      </c>
      <c r="T559" t="str">
        <v>Niassa</v>
      </c>
      <c r="U559" t="str">
        <v>Masculino</v>
      </c>
      <c r="V559" t="str">
        <v>Solteiro(a)</v>
      </c>
      <c r="W559" t="str">
        <v>Primaria</v>
      </c>
      <c r="X559" t="str">
        <v>Nao</v>
      </c>
      <c r="Y559" t="str">
        <v>Tuberculose</v>
      </c>
      <c r="Z559">
        <v>29</v>
      </c>
      <c r="AA559">
        <v>76.2</v>
      </c>
      <c r="AB559">
        <v>1.55</v>
      </c>
      <c r="AC559">
        <v>2</v>
      </c>
      <c r="AD559">
        <v>117</v>
      </c>
      <c r="AE559">
        <v>92</v>
      </c>
      <c r="AF559" t="str">
        <v>Urbana</v>
      </c>
      <c r="AG559" t="str">
        <v>Nao</v>
      </c>
    </row>
    <row r="560" spans="2:33" x14ac:dyDescent="0.45">
      <c r="B560" s="4">
        <v>559</v>
      </c>
      <c r="C560" s="4" t="s">
        <v>27</v>
      </c>
      <c r="D560" s="4" t="s">
        <v>16</v>
      </c>
      <c r="E560" s="4" t="s">
        <v>44</v>
      </c>
      <c r="F560" s="4" t="s">
        <v>24</v>
      </c>
      <c r="G560" s="4" t="s">
        <v>19</v>
      </c>
      <c r="H560" s="4" t="s">
        <v>28</v>
      </c>
      <c r="I560" s="4">
        <v>7</v>
      </c>
      <c r="J560" s="5">
        <v>29.1</v>
      </c>
      <c r="K560" s="6">
        <v>1.24</v>
      </c>
      <c r="L560" s="4">
        <v>5</v>
      </c>
      <c r="M560" s="4">
        <v>103</v>
      </c>
      <c r="N560" s="4">
        <v>77</v>
      </c>
      <c r="O560" s="4" t="s">
        <v>26</v>
      </c>
      <c r="P560" s="7" t="s">
        <v>30</v>
      </c>
      <c r="S560">
        <v>1213</v>
      </c>
      <c r="T560" t="str">
        <v>Zambezia</v>
      </c>
      <c r="U560" t="str">
        <v>Masculino</v>
      </c>
      <c r="V560" t="str">
        <v>Solteiro(a)</v>
      </c>
      <c r="W560" t="str">
        <v>Secundaria</v>
      </c>
      <c r="X560" t="str">
        <v>Nao</v>
      </c>
      <c r="Y560" t="str">
        <v>Nenhuma</v>
      </c>
      <c r="Z560">
        <v>53</v>
      </c>
      <c r="AA560">
        <v>57.1</v>
      </c>
      <c r="AB560">
        <v>1.65</v>
      </c>
      <c r="AC560">
        <v>5</v>
      </c>
      <c r="AD560">
        <v>134</v>
      </c>
      <c r="AE560">
        <v>102</v>
      </c>
      <c r="AF560" t="str">
        <v>Urbana</v>
      </c>
      <c r="AG560" t="str">
        <v>Sim</v>
      </c>
    </row>
    <row r="561" spans="2:33" x14ac:dyDescent="0.45">
      <c r="B561" s="4">
        <v>560</v>
      </c>
      <c r="C561" s="4" t="s">
        <v>33</v>
      </c>
      <c r="D561" s="4" t="s">
        <v>16</v>
      </c>
      <c r="E561" s="4" t="s">
        <v>35</v>
      </c>
      <c r="F561" s="4" t="s">
        <v>24</v>
      </c>
      <c r="G561" s="4" t="s">
        <v>19</v>
      </c>
      <c r="H561" s="4" t="s">
        <v>25</v>
      </c>
      <c r="I561" s="4">
        <v>13</v>
      </c>
      <c r="J561" s="5">
        <v>59.8</v>
      </c>
      <c r="K561" s="6">
        <v>1.65</v>
      </c>
      <c r="L561" s="4">
        <v>1</v>
      </c>
      <c r="M561" s="4">
        <v>104</v>
      </c>
      <c r="N561" s="4">
        <v>84</v>
      </c>
      <c r="O561" s="4" t="s">
        <v>26</v>
      </c>
      <c r="P561" s="7" t="s">
        <v>19</v>
      </c>
      <c r="S561">
        <v>1214</v>
      </c>
      <c r="T561" t="str">
        <v>Manica</v>
      </c>
      <c r="U561" t="str">
        <v>Masculino</v>
      </c>
      <c r="V561" t="str">
        <v>Solteiro(a)</v>
      </c>
      <c r="W561" t="str">
        <v>Nenhuma</v>
      </c>
      <c r="X561" t="str">
        <v>Nao</v>
      </c>
      <c r="Y561" t="str">
        <v>Nenhuma</v>
      </c>
      <c r="Z561">
        <v>8</v>
      </c>
      <c r="AA561">
        <v>34.700000000000003</v>
      </c>
      <c r="AB561">
        <v>1.39</v>
      </c>
      <c r="AC561">
        <v>8</v>
      </c>
      <c r="AD561">
        <v>97</v>
      </c>
      <c r="AE561">
        <v>99</v>
      </c>
      <c r="AF561" t="str">
        <v>Rural</v>
      </c>
      <c r="AG561" t="str">
        <v>Nao</v>
      </c>
    </row>
    <row r="562" spans="2:33" x14ac:dyDescent="0.45">
      <c r="B562" s="4">
        <v>561</v>
      </c>
      <c r="C562" s="4" t="s">
        <v>22</v>
      </c>
      <c r="D562" s="4" t="s">
        <v>16</v>
      </c>
      <c r="E562" s="4" t="s">
        <v>17</v>
      </c>
      <c r="F562" s="4" t="s">
        <v>18</v>
      </c>
      <c r="G562" s="4" t="s">
        <v>19</v>
      </c>
      <c r="H562" s="4" t="s">
        <v>36</v>
      </c>
      <c r="I562" s="4">
        <v>44</v>
      </c>
      <c r="J562" s="5">
        <v>94.8</v>
      </c>
      <c r="K562" s="6">
        <v>1.69</v>
      </c>
      <c r="L562" s="4">
        <v>1</v>
      </c>
      <c r="M562" s="4">
        <v>133</v>
      </c>
      <c r="N562" s="4">
        <v>84</v>
      </c>
      <c r="O562" s="4" t="s">
        <v>21</v>
      </c>
      <c r="P562" s="7" t="s">
        <v>19</v>
      </c>
      <c r="S562">
        <v>1215</v>
      </c>
      <c r="T562" t="str">
        <v>Cabo Delgado</v>
      </c>
      <c r="U562" t="str">
        <v>Masculino</v>
      </c>
      <c r="V562" t="str">
        <v>Divorciado(a)</v>
      </c>
      <c r="W562" t="str">
        <v>Nenhuma</v>
      </c>
      <c r="X562" t="str">
        <v>Sim</v>
      </c>
      <c r="Y562" t="str">
        <v>Tuberculose</v>
      </c>
      <c r="Z562">
        <v>0</v>
      </c>
      <c r="AA562">
        <v>17.2</v>
      </c>
      <c r="AB562">
        <v>0.78</v>
      </c>
      <c r="AC562">
        <v>1</v>
      </c>
      <c r="AD562">
        <v>108</v>
      </c>
      <c r="AE562">
        <v>87</v>
      </c>
      <c r="AF562" t="str">
        <v>Rural</v>
      </c>
      <c r="AG562" t="str">
        <v>Sim</v>
      </c>
    </row>
    <row r="563" spans="2:33" x14ac:dyDescent="0.45">
      <c r="B563" s="4">
        <v>562</v>
      </c>
      <c r="C563" s="4" t="s">
        <v>27</v>
      </c>
      <c r="D563" s="4" t="s">
        <v>16</v>
      </c>
      <c r="E563" s="4" t="s">
        <v>37</v>
      </c>
      <c r="F563" s="4" t="s">
        <v>24</v>
      </c>
      <c r="G563" s="4" t="s">
        <v>30</v>
      </c>
      <c r="H563" s="4" t="s">
        <v>28</v>
      </c>
      <c r="I563" s="4">
        <v>61</v>
      </c>
      <c r="J563" s="5">
        <v>51.6</v>
      </c>
      <c r="K563" s="6">
        <v>1.59</v>
      </c>
      <c r="L563" s="4">
        <v>5</v>
      </c>
      <c r="M563" s="4">
        <v>112</v>
      </c>
      <c r="N563" s="4">
        <v>72</v>
      </c>
      <c r="O563" s="4" t="s">
        <v>26</v>
      </c>
      <c r="P563" s="7" t="s">
        <v>19</v>
      </c>
      <c r="S563">
        <v>1216</v>
      </c>
      <c r="T563" t="str">
        <v>Nampula</v>
      </c>
      <c r="U563" t="str">
        <v>Masculino</v>
      </c>
      <c r="V563" t="str">
        <v>Casado(a)</v>
      </c>
      <c r="W563" t="str">
        <v>Secundaria</v>
      </c>
      <c r="X563" t="str">
        <v>Nao</v>
      </c>
      <c r="Y563" t="str">
        <v>Nenhuma</v>
      </c>
      <c r="Z563">
        <v>13</v>
      </c>
      <c r="AA563">
        <v>62.4</v>
      </c>
      <c r="AB563">
        <v>1.49</v>
      </c>
      <c r="AC563">
        <v>1</v>
      </c>
      <c r="AD563">
        <v>108</v>
      </c>
      <c r="AE563">
        <v>86</v>
      </c>
      <c r="AF563" t="str">
        <v>Urbana</v>
      </c>
      <c r="AG563" t="str">
        <v>Nao</v>
      </c>
    </row>
    <row r="564" spans="2:33" x14ac:dyDescent="0.45">
      <c r="B564" s="4">
        <v>563</v>
      </c>
      <c r="C564" s="4" t="s">
        <v>40</v>
      </c>
      <c r="D564" s="4" t="s">
        <v>16</v>
      </c>
      <c r="E564" s="4" t="s">
        <v>35</v>
      </c>
      <c r="F564" s="4" t="s">
        <v>28</v>
      </c>
      <c r="G564" s="4" t="s">
        <v>19</v>
      </c>
      <c r="H564" s="4" t="s">
        <v>38</v>
      </c>
      <c r="I564" s="4">
        <v>9</v>
      </c>
      <c r="J564" s="5">
        <v>28.2</v>
      </c>
      <c r="K564" s="6">
        <v>1.34</v>
      </c>
      <c r="L564" s="4">
        <v>0</v>
      </c>
      <c r="M564" s="4">
        <v>98</v>
      </c>
      <c r="N564" s="4">
        <v>96</v>
      </c>
      <c r="O564" s="4" t="s">
        <v>26</v>
      </c>
      <c r="P564" s="7" t="s">
        <v>19</v>
      </c>
      <c r="S564">
        <v>1218</v>
      </c>
      <c r="T564" t="str">
        <v>Niassa</v>
      </c>
      <c r="U564" t="str">
        <v>Masculino</v>
      </c>
      <c r="V564" t="str">
        <v>Casado(a)</v>
      </c>
      <c r="W564" t="str">
        <v>Secundaria</v>
      </c>
      <c r="X564" t="str">
        <v>Nao</v>
      </c>
      <c r="Y564" t="str">
        <v>Hipertensao</v>
      </c>
      <c r="Z564">
        <v>3</v>
      </c>
      <c r="AA564">
        <v>16.600000000000001</v>
      </c>
      <c r="AB564">
        <v>0.84</v>
      </c>
      <c r="AC564">
        <v>0</v>
      </c>
      <c r="AD564">
        <v>133</v>
      </c>
      <c r="AE564">
        <v>82</v>
      </c>
      <c r="AF564" t="str">
        <v>Rural</v>
      </c>
      <c r="AG564" t="str">
        <v>Nao</v>
      </c>
    </row>
    <row r="565" spans="2:33" x14ac:dyDescent="0.45">
      <c r="B565" s="4">
        <v>564</v>
      </c>
      <c r="C565" s="4" t="s">
        <v>39</v>
      </c>
      <c r="D565" s="4" t="s">
        <v>16</v>
      </c>
      <c r="E565" s="4" t="s">
        <v>35</v>
      </c>
      <c r="F565" s="4" t="s">
        <v>24</v>
      </c>
      <c r="G565" s="4" t="s">
        <v>19</v>
      </c>
      <c r="H565" s="4" t="s">
        <v>38</v>
      </c>
      <c r="I565" s="4">
        <v>79</v>
      </c>
      <c r="J565" s="5">
        <v>60.2</v>
      </c>
      <c r="K565" s="6">
        <v>1.64</v>
      </c>
      <c r="L565" s="4">
        <v>6</v>
      </c>
      <c r="M565" s="4">
        <v>121</v>
      </c>
      <c r="N565" s="4">
        <v>72</v>
      </c>
      <c r="O565" s="4" t="s">
        <v>26</v>
      </c>
      <c r="P565" s="7" t="s">
        <v>30</v>
      </c>
      <c r="S565">
        <v>1219</v>
      </c>
      <c r="T565" t="str">
        <v>Cabo Delgado</v>
      </c>
      <c r="U565" t="str">
        <v>Masculino</v>
      </c>
      <c r="V565" t="str">
        <v>Casado(a)</v>
      </c>
      <c r="W565" t="str">
        <v>Nenhuma</v>
      </c>
      <c r="X565" t="str">
        <v>Nao</v>
      </c>
      <c r="Y565" t="str">
        <v>Pneumonia</v>
      </c>
      <c r="Z565">
        <v>5</v>
      </c>
      <c r="AA565">
        <v>35.200000000000003</v>
      </c>
      <c r="AB565">
        <v>1.23</v>
      </c>
      <c r="AC565">
        <v>5</v>
      </c>
      <c r="AD565">
        <v>93</v>
      </c>
      <c r="AE565">
        <v>83</v>
      </c>
      <c r="AF565" t="str">
        <v>Rural</v>
      </c>
      <c r="AG565" t="str">
        <v>Nao</v>
      </c>
    </row>
    <row r="566" spans="2:33" x14ac:dyDescent="0.45">
      <c r="B566" s="4">
        <v>565</v>
      </c>
      <c r="C566" s="4" t="s">
        <v>27</v>
      </c>
      <c r="D566" s="4" t="s">
        <v>23</v>
      </c>
      <c r="E566" s="4" t="s">
        <v>37</v>
      </c>
      <c r="F566" s="4" t="s">
        <v>18</v>
      </c>
      <c r="G566" s="4" t="s">
        <v>19</v>
      </c>
      <c r="H566" s="4" t="s">
        <v>46</v>
      </c>
      <c r="I566" s="4">
        <v>23</v>
      </c>
      <c r="J566" s="5">
        <v>76.2</v>
      </c>
      <c r="K566" s="6">
        <v>1.65</v>
      </c>
      <c r="L566" s="4">
        <v>5</v>
      </c>
      <c r="M566" s="4">
        <v>109</v>
      </c>
      <c r="N566" s="4">
        <v>89</v>
      </c>
      <c r="O566" s="4" t="s">
        <v>21</v>
      </c>
      <c r="P566" s="7" t="s">
        <v>30</v>
      </c>
      <c r="S566">
        <v>1222</v>
      </c>
      <c r="T566" t="str">
        <v>Manica</v>
      </c>
      <c r="U566" t="str">
        <v>Masculino</v>
      </c>
      <c r="V566" t="str">
        <v>Solteiro(a)</v>
      </c>
      <c r="W566" t="str">
        <v>Primaria</v>
      </c>
      <c r="X566" t="str">
        <v>Nao</v>
      </c>
      <c r="Y566" t="str">
        <v>Diarreia</v>
      </c>
      <c r="Z566">
        <v>12</v>
      </c>
      <c r="AA566">
        <v>64.400000000000006</v>
      </c>
      <c r="AB566">
        <v>1.69</v>
      </c>
      <c r="AC566">
        <v>8</v>
      </c>
      <c r="AD566">
        <v>107</v>
      </c>
      <c r="AE566">
        <v>78</v>
      </c>
      <c r="AF566" t="str">
        <v>Rural</v>
      </c>
      <c r="AG566" t="str">
        <v>Nao</v>
      </c>
    </row>
    <row r="567" spans="2:33" x14ac:dyDescent="0.45">
      <c r="B567" s="4">
        <v>566</v>
      </c>
      <c r="C567" s="4" t="s">
        <v>27</v>
      </c>
      <c r="D567" s="4" t="s">
        <v>23</v>
      </c>
      <c r="E567" s="4" t="s">
        <v>44</v>
      </c>
      <c r="F567" s="4" t="s">
        <v>24</v>
      </c>
      <c r="G567" s="4" t="s">
        <v>19</v>
      </c>
      <c r="H567" s="4" t="s">
        <v>36</v>
      </c>
      <c r="I567" s="4">
        <v>19</v>
      </c>
      <c r="J567" s="5">
        <v>66.099999999999994</v>
      </c>
      <c r="K567" s="6">
        <v>1.62</v>
      </c>
      <c r="L567" s="4">
        <v>7</v>
      </c>
      <c r="M567" s="4">
        <v>134</v>
      </c>
      <c r="N567" s="4">
        <v>74</v>
      </c>
      <c r="O567" s="4" t="s">
        <v>21</v>
      </c>
      <c r="P567" s="7" t="s">
        <v>30</v>
      </c>
      <c r="S567">
        <v>1223</v>
      </c>
      <c r="T567" t="str">
        <v>Maputo Cidade</v>
      </c>
      <c r="U567" t="str">
        <v>Masculino</v>
      </c>
      <c r="V567" t="str">
        <v>Solteiro(a)</v>
      </c>
      <c r="W567" t="str">
        <v>Primaria</v>
      </c>
      <c r="X567" t="str">
        <v>Nao</v>
      </c>
      <c r="Y567" t="str">
        <v>Tuberculose</v>
      </c>
      <c r="Z567">
        <v>7</v>
      </c>
      <c r="AA567">
        <v>30.8</v>
      </c>
      <c r="AB567">
        <v>1.1399999999999999</v>
      </c>
      <c r="AC567">
        <v>1</v>
      </c>
      <c r="AD567">
        <v>93</v>
      </c>
      <c r="AE567">
        <v>99</v>
      </c>
      <c r="AF567" t="str">
        <v>Rural</v>
      </c>
      <c r="AG567" t="str">
        <v>Nao</v>
      </c>
    </row>
    <row r="568" spans="2:33" x14ac:dyDescent="0.45">
      <c r="B568" s="4">
        <v>567</v>
      </c>
      <c r="C568" s="4" t="s">
        <v>29</v>
      </c>
      <c r="D568" s="4" t="s">
        <v>16</v>
      </c>
      <c r="E568" s="4" t="s">
        <v>35</v>
      </c>
      <c r="F568" s="4" t="s">
        <v>18</v>
      </c>
      <c r="G568" s="4" t="s">
        <v>19</v>
      </c>
      <c r="H568" s="4" t="s">
        <v>25</v>
      </c>
      <c r="I568" s="4">
        <v>38</v>
      </c>
      <c r="J568" s="5">
        <v>60.3</v>
      </c>
      <c r="K568" s="6">
        <v>1.85</v>
      </c>
      <c r="L568" s="4">
        <v>1</v>
      </c>
      <c r="M568" s="4">
        <v>126</v>
      </c>
      <c r="N568" s="4">
        <v>77</v>
      </c>
      <c r="O568" s="4" t="s">
        <v>21</v>
      </c>
      <c r="P568" s="7" t="s">
        <v>30</v>
      </c>
      <c r="S568">
        <v>1225</v>
      </c>
      <c r="T568" t="str">
        <v>Tete</v>
      </c>
      <c r="U568" t="str">
        <v>Masculino</v>
      </c>
      <c r="V568" t="str">
        <v>Viuvo(a)</v>
      </c>
      <c r="W568" t="str">
        <v>Nenhuma</v>
      </c>
      <c r="X568" t="str">
        <v>Nao</v>
      </c>
      <c r="Y568" t="str">
        <v>Malaria</v>
      </c>
      <c r="Z568">
        <v>19</v>
      </c>
      <c r="AA568">
        <v>66.599999999999994</v>
      </c>
      <c r="AB568">
        <v>1.78</v>
      </c>
      <c r="AC568">
        <v>3</v>
      </c>
      <c r="AD568">
        <v>116</v>
      </c>
      <c r="AE568">
        <v>100</v>
      </c>
      <c r="AF568" t="str">
        <v>Rural</v>
      </c>
      <c r="AG568" t="str">
        <v>Sim</v>
      </c>
    </row>
    <row r="569" spans="2:33" x14ac:dyDescent="0.45">
      <c r="B569" s="4">
        <v>568</v>
      </c>
      <c r="C569" s="4" t="s">
        <v>45</v>
      </c>
      <c r="D569" s="4" t="s">
        <v>16</v>
      </c>
      <c r="E569" s="4" t="s">
        <v>37</v>
      </c>
      <c r="F569" s="4" t="s">
        <v>28</v>
      </c>
      <c r="G569" s="4" t="s">
        <v>19</v>
      </c>
      <c r="H569" s="4" t="s">
        <v>36</v>
      </c>
      <c r="I569" s="4">
        <v>3</v>
      </c>
      <c r="J569" s="5">
        <v>8.8000000000000007</v>
      </c>
      <c r="K569" s="6">
        <v>0.77</v>
      </c>
      <c r="L569" s="4">
        <v>5</v>
      </c>
      <c r="M569" s="4">
        <v>134</v>
      </c>
      <c r="N569" s="4">
        <v>101</v>
      </c>
      <c r="O569" s="4" t="s">
        <v>26</v>
      </c>
      <c r="P569" s="7" t="s">
        <v>19</v>
      </c>
      <c r="S569">
        <v>1227</v>
      </c>
      <c r="T569" t="str">
        <v>Maputo Provincia</v>
      </c>
      <c r="U569" t="str">
        <v>Masculino</v>
      </c>
      <c r="V569" t="str">
        <v>Casado(a)</v>
      </c>
      <c r="W569" t="str">
        <v>Primaria</v>
      </c>
      <c r="X569" t="str">
        <v>Nao</v>
      </c>
      <c r="Y569" t="str">
        <v>Diabetes</v>
      </c>
      <c r="Z569">
        <v>44</v>
      </c>
      <c r="AA569">
        <v>58.1</v>
      </c>
      <c r="AB569">
        <v>1.7</v>
      </c>
      <c r="AC569">
        <v>0</v>
      </c>
      <c r="AD569">
        <v>107</v>
      </c>
      <c r="AE569">
        <v>179</v>
      </c>
      <c r="AF569" t="str">
        <v>Rural</v>
      </c>
      <c r="AG569" t="str">
        <v>Nao</v>
      </c>
    </row>
    <row r="570" spans="2:33" x14ac:dyDescent="0.45">
      <c r="B570" s="4">
        <v>569</v>
      </c>
      <c r="C570" s="4" t="s">
        <v>15</v>
      </c>
      <c r="D570" s="4" t="s">
        <v>23</v>
      </c>
      <c r="E570" s="4" t="s">
        <v>35</v>
      </c>
      <c r="F570" s="4" t="s">
        <v>24</v>
      </c>
      <c r="G570" s="4" t="s">
        <v>19</v>
      </c>
      <c r="H570" s="4" t="s">
        <v>25</v>
      </c>
      <c r="I570" s="4">
        <v>1</v>
      </c>
      <c r="J570" s="5">
        <v>12</v>
      </c>
      <c r="K570" s="6">
        <v>0.68</v>
      </c>
      <c r="L570" s="4">
        <v>4</v>
      </c>
      <c r="M570" s="4">
        <v>95</v>
      </c>
      <c r="N570" s="4">
        <v>89</v>
      </c>
      <c r="O570" s="4" t="s">
        <v>26</v>
      </c>
      <c r="P570" s="7" t="s">
        <v>19</v>
      </c>
      <c r="S570">
        <v>1236</v>
      </c>
      <c r="T570" t="str">
        <v>Maputo Cidade</v>
      </c>
      <c r="U570" t="str">
        <v>Masculino</v>
      </c>
      <c r="V570" t="str">
        <v>Viuvo(a)</v>
      </c>
      <c r="W570" t="str">
        <v>Secundaria</v>
      </c>
      <c r="X570" t="str">
        <v>Nao</v>
      </c>
      <c r="Y570" t="str">
        <v>Nenhuma</v>
      </c>
      <c r="Z570">
        <v>5</v>
      </c>
      <c r="AA570">
        <v>27.6</v>
      </c>
      <c r="AB570">
        <v>1.26</v>
      </c>
      <c r="AC570">
        <v>2</v>
      </c>
      <c r="AD570">
        <v>106</v>
      </c>
      <c r="AE570">
        <v>90</v>
      </c>
      <c r="AF570" t="str">
        <v>Rural</v>
      </c>
      <c r="AG570" t="str">
        <v>Nao</v>
      </c>
    </row>
    <row r="571" spans="2:33" x14ac:dyDescent="0.45">
      <c r="B571" s="4">
        <v>570</v>
      </c>
      <c r="C571" s="4" t="s">
        <v>40</v>
      </c>
      <c r="D571" s="4" t="s">
        <v>16</v>
      </c>
      <c r="E571" s="4" t="s">
        <v>17</v>
      </c>
      <c r="F571" s="4" t="s">
        <v>28</v>
      </c>
      <c r="G571" s="4" t="s">
        <v>19</v>
      </c>
      <c r="H571" s="4" t="s">
        <v>34</v>
      </c>
      <c r="I571" s="4">
        <v>51</v>
      </c>
      <c r="J571" s="5">
        <v>79.3</v>
      </c>
      <c r="K571" s="6">
        <v>1.74</v>
      </c>
      <c r="L571" s="4">
        <v>5</v>
      </c>
      <c r="M571" s="4">
        <v>130</v>
      </c>
      <c r="N571" s="4">
        <v>93</v>
      </c>
      <c r="O571" s="4" t="s">
        <v>26</v>
      </c>
      <c r="P571" s="7" t="s">
        <v>19</v>
      </c>
      <c r="S571">
        <v>1237</v>
      </c>
      <c r="T571" t="str">
        <v>Nampula</v>
      </c>
      <c r="U571" t="str">
        <v>Masculino</v>
      </c>
      <c r="V571" t="str">
        <v>Casado(a)</v>
      </c>
      <c r="W571" t="str">
        <v>Nenhuma</v>
      </c>
      <c r="X571" t="str">
        <v>Nao</v>
      </c>
      <c r="Y571" t="str">
        <v>Diarreia</v>
      </c>
      <c r="Z571">
        <v>11</v>
      </c>
      <c r="AA571">
        <v>21.5</v>
      </c>
      <c r="AB571">
        <v>1.1399999999999999</v>
      </c>
      <c r="AC571">
        <v>10</v>
      </c>
      <c r="AD571">
        <v>118</v>
      </c>
      <c r="AE571">
        <v>105</v>
      </c>
      <c r="AF571" t="str">
        <v>Rural</v>
      </c>
      <c r="AG571" t="str">
        <v>Nao</v>
      </c>
    </row>
    <row r="572" spans="2:33" x14ac:dyDescent="0.45">
      <c r="B572" s="4">
        <v>571</v>
      </c>
      <c r="C572" s="4" t="s">
        <v>22</v>
      </c>
      <c r="D572" s="4" t="s">
        <v>16</v>
      </c>
      <c r="E572" s="4" t="s">
        <v>17</v>
      </c>
      <c r="F572" s="4" t="s">
        <v>18</v>
      </c>
      <c r="G572" s="4" t="s">
        <v>30</v>
      </c>
      <c r="H572" s="4" t="s">
        <v>20</v>
      </c>
      <c r="I572" s="4">
        <v>62</v>
      </c>
      <c r="J572" s="5">
        <v>76.8</v>
      </c>
      <c r="K572" s="6">
        <v>1.64</v>
      </c>
      <c r="L572" s="4">
        <v>3</v>
      </c>
      <c r="M572" s="4">
        <v>126</v>
      </c>
      <c r="N572" s="4">
        <v>73</v>
      </c>
      <c r="O572" s="4" t="s">
        <v>21</v>
      </c>
      <c r="P572" s="7" t="s">
        <v>19</v>
      </c>
      <c r="S572">
        <v>1240</v>
      </c>
      <c r="T572" t="str">
        <v>Nampula</v>
      </c>
      <c r="U572" t="str">
        <v>Masculino</v>
      </c>
      <c r="V572" t="str">
        <v>Casado(a)</v>
      </c>
      <c r="W572" t="str">
        <v>Primaria</v>
      </c>
      <c r="X572" t="str">
        <v>Nao</v>
      </c>
      <c r="Y572" t="str">
        <v>Malaria</v>
      </c>
      <c r="Z572">
        <v>12</v>
      </c>
      <c r="AA572">
        <v>51.7</v>
      </c>
      <c r="AB572">
        <v>1.67</v>
      </c>
      <c r="AC572">
        <v>8</v>
      </c>
      <c r="AD572">
        <v>110</v>
      </c>
      <c r="AE572">
        <v>77</v>
      </c>
      <c r="AF572" t="str">
        <v>Rural</v>
      </c>
      <c r="AG572" t="str">
        <v>Nao</v>
      </c>
    </row>
    <row r="573" spans="2:33" x14ac:dyDescent="0.45">
      <c r="B573" s="4">
        <v>572</v>
      </c>
      <c r="C573" s="4" t="s">
        <v>27</v>
      </c>
      <c r="D573" s="4" t="s">
        <v>16</v>
      </c>
      <c r="E573" s="4" t="s">
        <v>35</v>
      </c>
      <c r="F573" s="4" t="s">
        <v>28</v>
      </c>
      <c r="G573" s="4" t="s">
        <v>19</v>
      </c>
      <c r="H573" s="4" t="s">
        <v>20</v>
      </c>
      <c r="I573" s="4">
        <v>52</v>
      </c>
      <c r="J573" s="5">
        <v>74.5</v>
      </c>
      <c r="K573" s="6">
        <v>1.68</v>
      </c>
      <c r="L573" s="4">
        <v>3</v>
      </c>
      <c r="M573" s="4">
        <v>113</v>
      </c>
      <c r="N573" s="4">
        <v>104</v>
      </c>
      <c r="O573" s="4" t="s">
        <v>21</v>
      </c>
      <c r="P573" s="7" t="s">
        <v>19</v>
      </c>
      <c r="S573">
        <v>1242</v>
      </c>
      <c r="T573" t="str">
        <v>Inhambane</v>
      </c>
      <c r="U573" t="str">
        <v>Masculino</v>
      </c>
      <c r="V573" t="str">
        <v>Casado(a)</v>
      </c>
      <c r="W573" t="str">
        <v>Primaria</v>
      </c>
      <c r="X573" t="str">
        <v>Nao</v>
      </c>
      <c r="Y573" t="str">
        <v>Hipertensao</v>
      </c>
      <c r="Z573">
        <v>17</v>
      </c>
      <c r="AA573">
        <v>62.9</v>
      </c>
      <c r="AB573">
        <v>1.56</v>
      </c>
      <c r="AC573">
        <v>6</v>
      </c>
      <c r="AD573">
        <v>137</v>
      </c>
      <c r="AE573">
        <v>89</v>
      </c>
      <c r="AF573" t="str">
        <v>Urbana</v>
      </c>
      <c r="AG573" t="str">
        <v>Nao</v>
      </c>
    </row>
    <row r="574" spans="2:33" x14ac:dyDescent="0.45">
      <c r="B574" s="4">
        <v>573</v>
      </c>
      <c r="C574" s="4" t="s">
        <v>27</v>
      </c>
      <c r="D574" s="4" t="s">
        <v>23</v>
      </c>
      <c r="E574" s="4" t="s">
        <v>17</v>
      </c>
      <c r="F574" s="4" t="s">
        <v>24</v>
      </c>
      <c r="G574" s="4" t="s">
        <v>19</v>
      </c>
      <c r="H574" s="4" t="s">
        <v>46</v>
      </c>
      <c r="I574" s="4">
        <v>8</v>
      </c>
      <c r="J574" s="5">
        <v>28.2</v>
      </c>
      <c r="K574" s="6">
        <v>1.1000000000000001</v>
      </c>
      <c r="L574" s="4">
        <v>0</v>
      </c>
      <c r="M574" s="4">
        <v>117</v>
      </c>
      <c r="N574" s="4">
        <v>104</v>
      </c>
      <c r="O574" s="4" t="s">
        <v>26</v>
      </c>
      <c r="P574" s="7" t="s">
        <v>19</v>
      </c>
      <c r="S574">
        <v>1243</v>
      </c>
      <c r="T574" t="str">
        <v>Sofala</v>
      </c>
      <c r="U574" t="str">
        <v>Masculino</v>
      </c>
      <c r="V574" t="str">
        <v>Solteiro(a)</v>
      </c>
      <c r="W574" t="str">
        <v>Primaria</v>
      </c>
      <c r="X574" t="str">
        <v>Nao</v>
      </c>
      <c r="Y574" t="str">
        <v>Malaria</v>
      </c>
      <c r="Z574">
        <v>19</v>
      </c>
      <c r="AA574">
        <v>93</v>
      </c>
      <c r="AB574">
        <v>1.78</v>
      </c>
      <c r="AC574">
        <v>0</v>
      </c>
      <c r="AD574">
        <v>99</v>
      </c>
      <c r="AE574">
        <v>83</v>
      </c>
      <c r="AF574" t="str">
        <v>Urbana</v>
      </c>
      <c r="AG574" t="str">
        <v>Nao</v>
      </c>
    </row>
    <row r="575" spans="2:33" x14ac:dyDescent="0.45">
      <c r="B575" s="4">
        <v>574</v>
      </c>
      <c r="C575" s="4" t="s">
        <v>31</v>
      </c>
      <c r="D575" s="4" t="s">
        <v>16</v>
      </c>
      <c r="E575" s="4" t="s">
        <v>35</v>
      </c>
      <c r="F575" s="4" t="s">
        <v>18</v>
      </c>
      <c r="G575" s="4" t="s">
        <v>30</v>
      </c>
      <c r="H575" s="4" t="s">
        <v>25</v>
      </c>
      <c r="I575" s="4">
        <v>24</v>
      </c>
      <c r="J575" s="5">
        <v>84.8</v>
      </c>
      <c r="K575" s="6">
        <v>1.88</v>
      </c>
      <c r="L575" s="4">
        <v>2</v>
      </c>
      <c r="M575" s="4">
        <v>116</v>
      </c>
      <c r="N575" s="4">
        <v>103</v>
      </c>
      <c r="O575" s="4" t="s">
        <v>21</v>
      </c>
      <c r="P575" s="7" t="s">
        <v>30</v>
      </c>
      <c r="S575">
        <v>1246</v>
      </c>
      <c r="T575" t="str">
        <v>Maputo Provincia</v>
      </c>
      <c r="U575" t="str">
        <v>Masculino</v>
      </c>
      <c r="V575" t="str">
        <v>Casado(a)</v>
      </c>
      <c r="W575" t="str">
        <v>Secundaria</v>
      </c>
      <c r="X575" t="str">
        <v>Sim</v>
      </c>
      <c r="Y575" t="str">
        <v>Pneumonia</v>
      </c>
      <c r="Z575">
        <v>8</v>
      </c>
      <c r="AA575">
        <v>19.7</v>
      </c>
      <c r="AB575">
        <v>1.1200000000000001</v>
      </c>
      <c r="AC575">
        <v>3</v>
      </c>
      <c r="AD575">
        <v>111</v>
      </c>
      <c r="AE575">
        <v>82</v>
      </c>
      <c r="AF575" t="str">
        <v>Urbana</v>
      </c>
      <c r="AG575" t="str">
        <v>Nao</v>
      </c>
    </row>
    <row r="576" spans="2:33" x14ac:dyDescent="0.45">
      <c r="B576" s="4">
        <v>575</v>
      </c>
      <c r="C576" s="4" t="s">
        <v>41</v>
      </c>
      <c r="D576" s="4" t="s">
        <v>16</v>
      </c>
      <c r="E576" s="4" t="s">
        <v>35</v>
      </c>
      <c r="F576" s="4" t="s">
        <v>24</v>
      </c>
      <c r="G576" s="4" t="s">
        <v>19</v>
      </c>
      <c r="H576" s="4" t="s">
        <v>38</v>
      </c>
      <c r="I576" s="4">
        <v>33</v>
      </c>
      <c r="J576" s="5">
        <v>82.7</v>
      </c>
      <c r="K576" s="6">
        <v>1.63</v>
      </c>
      <c r="L576" s="4">
        <v>2</v>
      </c>
      <c r="M576" s="4">
        <v>116</v>
      </c>
      <c r="N576" s="4">
        <v>78</v>
      </c>
      <c r="O576" s="4" t="s">
        <v>26</v>
      </c>
      <c r="P576" s="7" t="s">
        <v>19</v>
      </c>
      <c r="S576">
        <v>1247</v>
      </c>
      <c r="T576" t="str">
        <v>Manica</v>
      </c>
      <c r="U576" t="str">
        <v>Masculino</v>
      </c>
      <c r="V576" t="str">
        <v>Casado(a)</v>
      </c>
      <c r="W576" t="str">
        <v>Secundaria</v>
      </c>
      <c r="X576" t="str">
        <v>Sim</v>
      </c>
      <c r="Y576" t="str">
        <v>Malaria</v>
      </c>
      <c r="Z576">
        <v>51</v>
      </c>
      <c r="AA576">
        <v>69.3</v>
      </c>
      <c r="AB576">
        <v>1.55</v>
      </c>
      <c r="AC576">
        <v>1</v>
      </c>
      <c r="AD576">
        <v>120</v>
      </c>
      <c r="AE576">
        <v>92</v>
      </c>
      <c r="AF576" t="str">
        <v>Rural</v>
      </c>
      <c r="AG576" t="str">
        <v>Nao</v>
      </c>
    </row>
    <row r="577" spans="2:33" x14ac:dyDescent="0.45">
      <c r="B577" s="4">
        <v>576</v>
      </c>
      <c r="C577" s="4" t="s">
        <v>39</v>
      </c>
      <c r="D577" s="4" t="s">
        <v>23</v>
      </c>
      <c r="E577" s="4" t="s">
        <v>44</v>
      </c>
      <c r="F577" s="4" t="s">
        <v>28</v>
      </c>
      <c r="G577" s="4" t="s">
        <v>30</v>
      </c>
      <c r="H577" s="4" t="s">
        <v>20</v>
      </c>
      <c r="I577" s="4">
        <v>7</v>
      </c>
      <c r="J577" s="5">
        <v>25.8</v>
      </c>
      <c r="K577" s="6">
        <v>1.17</v>
      </c>
      <c r="L577" s="4">
        <v>2</v>
      </c>
      <c r="M577" s="4">
        <v>96</v>
      </c>
      <c r="N577" s="4">
        <v>83</v>
      </c>
      <c r="O577" s="4" t="s">
        <v>21</v>
      </c>
      <c r="P577" s="7" t="s">
        <v>19</v>
      </c>
      <c r="S577">
        <v>1248</v>
      </c>
      <c r="T577" t="str">
        <v>Sofala</v>
      </c>
      <c r="U577" t="str">
        <v>Masculino</v>
      </c>
      <c r="V577" t="str">
        <v>Divorciado(a)</v>
      </c>
      <c r="W577" t="str">
        <v>Primaria</v>
      </c>
      <c r="X577" t="str">
        <v>Nao</v>
      </c>
      <c r="Y577" t="str">
        <v>Diarreia</v>
      </c>
      <c r="Z577">
        <v>19</v>
      </c>
      <c r="AA577">
        <v>91.3</v>
      </c>
      <c r="AB577">
        <v>1.51</v>
      </c>
      <c r="AC577">
        <v>1</v>
      </c>
      <c r="AD577">
        <v>118</v>
      </c>
      <c r="AE577">
        <v>81</v>
      </c>
      <c r="AF577" t="str">
        <v>Rural</v>
      </c>
      <c r="AG577" t="str">
        <v>Nao</v>
      </c>
    </row>
    <row r="578" spans="2:33" x14ac:dyDescent="0.45">
      <c r="B578" s="4">
        <v>577</v>
      </c>
      <c r="C578" s="4" t="s">
        <v>22</v>
      </c>
      <c r="D578" s="4" t="s">
        <v>16</v>
      </c>
      <c r="E578" s="4" t="s">
        <v>35</v>
      </c>
      <c r="F578" s="4" t="s">
        <v>42</v>
      </c>
      <c r="G578" s="4" t="s">
        <v>19</v>
      </c>
      <c r="H578" s="4" t="s">
        <v>28</v>
      </c>
      <c r="I578" s="4">
        <v>2</v>
      </c>
      <c r="J578" s="5">
        <v>12.2</v>
      </c>
      <c r="K578" s="6">
        <v>0.86</v>
      </c>
      <c r="L578" s="4">
        <v>5</v>
      </c>
      <c r="M578" s="4">
        <v>95</v>
      </c>
      <c r="N578" s="4">
        <v>102</v>
      </c>
      <c r="O578" s="4" t="s">
        <v>21</v>
      </c>
      <c r="P578" s="7" t="s">
        <v>19</v>
      </c>
      <c r="S578">
        <v>1254</v>
      </c>
      <c r="T578" t="str">
        <v>Gaza</v>
      </c>
      <c r="U578" t="str">
        <v>Masculino</v>
      </c>
      <c r="V578" t="str">
        <v>Solteiro(a)</v>
      </c>
      <c r="W578" t="str">
        <v>Secundaria</v>
      </c>
      <c r="X578" t="str">
        <v>Nao</v>
      </c>
      <c r="Y578" t="str">
        <v>Nenhuma</v>
      </c>
      <c r="Z578">
        <v>7</v>
      </c>
      <c r="AA578">
        <v>31.9</v>
      </c>
      <c r="AB578">
        <v>1.05</v>
      </c>
      <c r="AC578">
        <v>4</v>
      </c>
      <c r="AD578">
        <v>102</v>
      </c>
      <c r="AE578">
        <v>88</v>
      </c>
      <c r="AF578" t="str">
        <v>Rural</v>
      </c>
      <c r="AG578" t="str">
        <v>Nao</v>
      </c>
    </row>
    <row r="579" spans="2:33" x14ac:dyDescent="0.45">
      <c r="B579" s="4">
        <v>578</v>
      </c>
      <c r="C579" s="4" t="s">
        <v>22</v>
      </c>
      <c r="D579" s="4" t="s">
        <v>23</v>
      </c>
      <c r="E579" s="4" t="s">
        <v>17</v>
      </c>
      <c r="F579" s="4" t="s">
        <v>24</v>
      </c>
      <c r="G579" s="4" t="s">
        <v>30</v>
      </c>
      <c r="H579" s="4" t="s">
        <v>20</v>
      </c>
      <c r="I579" s="4">
        <v>8</v>
      </c>
      <c r="J579" s="5">
        <v>24.6</v>
      </c>
      <c r="K579" s="6">
        <v>1.39</v>
      </c>
      <c r="L579" s="4">
        <v>4</v>
      </c>
      <c r="M579" s="4">
        <v>104</v>
      </c>
      <c r="N579" s="4">
        <v>85</v>
      </c>
      <c r="O579" s="4" t="s">
        <v>21</v>
      </c>
      <c r="P579" s="7" t="s">
        <v>19</v>
      </c>
      <c r="S579">
        <v>1259</v>
      </c>
      <c r="T579" t="str">
        <v>Gaza</v>
      </c>
      <c r="U579" t="str">
        <v>Masculino</v>
      </c>
      <c r="V579" t="str">
        <v>Casado(a)</v>
      </c>
      <c r="W579" t="str">
        <v>Nenhuma</v>
      </c>
      <c r="X579" t="str">
        <v>Nao</v>
      </c>
      <c r="Y579" t="str">
        <v>HIV/SIDA</v>
      </c>
      <c r="Z579">
        <v>20</v>
      </c>
      <c r="AA579">
        <v>58.6</v>
      </c>
      <c r="AB579">
        <v>1.82</v>
      </c>
      <c r="AC579">
        <v>0</v>
      </c>
      <c r="AD579">
        <v>104</v>
      </c>
      <c r="AE579">
        <v>91</v>
      </c>
      <c r="AF579" t="str">
        <v>Urbana</v>
      </c>
      <c r="AG579" t="str">
        <v>Nao</v>
      </c>
    </row>
    <row r="580" spans="2:33" x14ac:dyDescent="0.45">
      <c r="B580" s="4">
        <v>579</v>
      </c>
      <c r="C580" s="4" t="s">
        <v>31</v>
      </c>
      <c r="D580" s="4" t="s">
        <v>16</v>
      </c>
      <c r="E580" s="4" t="s">
        <v>35</v>
      </c>
      <c r="F580" s="4" t="s">
        <v>24</v>
      </c>
      <c r="G580" s="4" t="s">
        <v>30</v>
      </c>
      <c r="H580" s="4" t="s">
        <v>25</v>
      </c>
      <c r="I580" s="4">
        <v>25</v>
      </c>
      <c r="J580" s="5">
        <v>61.8</v>
      </c>
      <c r="K580" s="6">
        <v>1.81</v>
      </c>
      <c r="L580" s="4">
        <v>2</v>
      </c>
      <c r="M580" s="4">
        <v>122</v>
      </c>
      <c r="N580" s="4">
        <v>73</v>
      </c>
      <c r="O580" s="4" t="s">
        <v>26</v>
      </c>
      <c r="P580" s="7" t="s">
        <v>30</v>
      </c>
      <c r="S580">
        <v>1260</v>
      </c>
      <c r="T580" t="str">
        <v>Nampula</v>
      </c>
      <c r="U580" t="str">
        <v>Masculino</v>
      </c>
      <c r="V580" t="str">
        <v>Casado(a)</v>
      </c>
      <c r="W580" t="str">
        <v>Primaria</v>
      </c>
      <c r="X580" t="str">
        <v>Sim</v>
      </c>
      <c r="Y580" t="str">
        <v>HIV/SIDA</v>
      </c>
      <c r="Z580">
        <v>62</v>
      </c>
      <c r="AA580">
        <v>46.5</v>
      </c>
      <c r="AB580">
        <v>1.66</v>
      </c>
      <c r="AC580">
        <v>4</v>
      </c>
      <c r="AD580">
        <v>122</v>
      </c>
      <c r="AE580">
        <v>100</v>
      </c>
      <c r="AF580" t="str">
        <v>Urbana</v>
      </c>
      <c r="AG580" t="str">
        <v>Sim</v>
      </c>
    </row>
    <row r="581" spans="2:33" x14ac:dyDescent="0.45">
      <c r="B581" s="4">
        <v>580</v>
      </c>
      <c r="C581" s="4" t="s">
        <v>27</v>
      </c>
      <c r="D581" s="4" t="s">
        <v>16</v>
      </c>
      <c r="E581" s="4" t="s">
        <v>35</v>
      </c>
      <c r="F581" s="4" t="s">
        <v>18</v>
      </c>
      <c r="G581" s="4" t="s">
        <v>19</v>
      </c>
      <c r="H581" s="4" t="s">
        <v>20</v>
      </c>
      <c r="I581" s="4">
        <v>15</v>
      </c>
      <c r="J581" s="5">
        <v>40.4</v>
      </c>
      <c r="K581" s="6">
        <v>1.53</v>
      </c>
      <c r="L581" s="4">
        <v>4</v>
      </c>
      <c r="M581" s="4">
        <v>106</v>
      </c>
      <c r="N581" s="4">
        <v>82</v>
      </c>
      <c r="O581" s="4" t="s">
        <v>26</v>
      </c>
      <c r="P581" s="7" t="s">
        <v>19</v>
      </c>
      <c r="S581">
        <v>1264</v>
      </c>
      <c r="T581" t="str">
        <v>Nampula</v>
      </c>
      <c r="U581" t="str">
        <v>Masculino</v>
      </c>
      <c r="V581" t="str">
        <v>Solteiro(a)</v>
      </c>
      <c r="W581" t="str">
        <v>Primaria</v>
      </c>
      <c r="X581" t="str">
        <v>Nao</v>
      </c>
      <c r="Y581" t="str">
        <v>Malaria</v>
      </c>
      <c r="Z581">
        <v>12</v>
      </c>
      <c r="AA581">
        <v>46.2</v>
      </c>
      <c r="AB581">
        <v>1.64</v>
      </c>
      <c r="AC581">
        <v>0</v>
      </c>
      <c r="AD581">
        <v>97</v>
      </c>
      <c r="AE581">
        <v>87</v>
      </c>
      <c r="AF581" t="str">
        <v>Urbana</v>
      </c>
      <c r="AG581" t="str">
        <v>Nao</v>
      </c>
    </row>
    <row r="582" spans="2:33" x14ac:dyDescent="0.45">
      <c r="B582" s="4">
        <v>581</v>
      </c>
      <c r="C582" s="4" t="s">
        <v>45</v>
      </c>
      <c r="D582" s="4" t="s">
        <v>23</v>
      </c>
      <c r="E582" s="4" t="s">
        <v>35</v>
      </c>
      <c r="F582" s="4" t="s">
        <v>18</v>
      </c>
      <c r="G582" s="4" t="s">
        <v>19</v>
      </c>
      <c r="H582" s="4" t="s">
        <v>20</v>
      </c>
      <c r="I582" s="4">
        <v>89</v>
      </c>
      <c r="J582" s="5">
        <v>88.3</v>
      </c>
      <c r="K582" s="6">
        <v>1.73</v>
      </c>
      <c r="L582" s="4">
        <v>1</v>
      </c>
      <c r="M582" s="4">
        <v>118</v>
      </c>
      <c r="N582" s="4">
        <v>82</v>
      </c>
      <c r="O582" s="4" t="s">
        <v>26</v>
      </c>
      <c r="P582" s="7" t="s">
        <v>19</v>
      </c>
      <c r="S582">
        <v>1269</v>
      </c>
      <c r="T582" t="str">
        <v>Manica</v>
      </c>
      <c r="U582" t="str">
        <v>Masculino</v>
      </c>
      <c r="V582" t="str">
        <v>Casado(a)</v>
      </c>
      <c r="W582" t="str">
        <v>Primaria</v>
      </c>
      <c r="X582" t="str">
        <v>Nao</v>
      </c>
      <c r="Y582" t="str">
        <v>Malaria</v>
      </c>
      <c r="Z582">
        <v>23</v>
      </c>
      <c r="AA582">
        <v>76.2</v>
      </c>
      <c r="AB582">
        <v>1.63</v>
      </c>
      <c r="AC582">
        <v>8</v>
      </c>
      <c r="AD582">
        <v>109</v>
      </c>
      <c r="AE582">
        <v>99</v>
      </c>
      <c r="AF582" t="str">
        <v>Rural</v>
      </c>
      <c r="AG582" t="str">
        <v>Nao</v>
      </c>
    </row>
    <row r="583" spans="2:33" x14ac:dyDescent="0.45">
      <c r="B583" s="4">
        <v>582</v>
      </c>
      <c r="C583" s="4" t="s">
        <v>40</v>
      </c>
      <c r="D583" s="4" t="s">
        <v>16</v>
      </c>
      <c r="E583" s="4" t="s">
        <v>17</v>
      </c>
      <c r="F583" s="4" t="s">
        <v>24</v>
      </c>
      <c r="G583" s="4" t="s">
        <v>19</v>
      </c>
      <c r="H583" s="4" t="s">
        <v>36</v>
      </c>
      <c r="I583" s="4">
        <v>9</v>
      </c>
      <c r="J583" s="5">
        <v>32.9</v>
      </c>
      <c r="K583" s="6">
        <v>1.4</v>
      </c>
      <c r="L583" s="4">
        <v>3</v>
      </c>
      <c r="M583" s="4">
        <v>132</v>
      </c>
      <c r="N583" s="4">
        <v>86</v>
      </c>
      <c r="O583" s="4" t="s">
        <v>21</v>
      </c>
      <c r="P583" s="7" t="s">
        <v>19</v>
      </c>
      <c r="S583">
        <v>1270</v>
      </c>
      <c r="T583" t="str">
        <v>Maputo Cidade</v>
      </c>
      <c r="U583" t="str">
        <v>Masculino</v>
      </c>
      <c r="V583" t="str">
        <v>Casado(a)</v>
      </c>
      <c r="W583" t="str">
        <v>Nenhuma</v>
      </c>
      <c r="X583" t="str">
        <v>Nao</v>
      </c>
      <c r="Y583" t="str">
        <v>Tuberculose</v>
      </c>
      <c r="Z583">
        <v>26</v>
      </c>
      <c r="AA583">
        <v>95</v>
      </c>
      <c r="AB583">
        <v>1.5</v>
      </c>
      <c r="AC583">
        <v>2</v>
      </c>
      <c r="AD583">
        <v>101</v>
      </c>
      <c r="AE583">
        <v>82</v>
      </c>
      <c r="AF583" t="str">
        <v>Rural</v>
      </c>
      <c r="AG583" t="str">
        <v>Nao</v>
      </c>
    </row>
    <row r="584" spans="2:33" x14ac:dyDescent="0.45">
      <c r="B584" s="4">
        <v>583</v>
      </c>
      <c r="C584" s="4" t="s">
        <v>33</v>
      </c>
      <c r="D584" s="4" t="s">
        <v>23</v>
      </c>
      <c r="E584" s="4" t="s">
        <v>44</v>
      </c>
      <c r="F584" s="4" t="s">
        <v>24</v>
      </c>
      <c r="G584" s="4" t="s">
        <v>19</v>
      </c>
      <c r="H584" s="4" t="s">
        <v>34</v>
      </c>
      <c r="I584" s="4">
        <v>13</v>
      </c>
      <c r="J584" s="5">
        <v>42.8</v>
      </c>
      <c r="K584" s="6">
        <v>1.5</v>
      </c>
      <c r="L584" s="4">
        <v>2</v>
      </c>
      <c r="M584" s="4">
        <v>96</v>
      </c>
      <c r="N584" s="4">
        <v>72</v>
      </c>
      <c r="O584" s="4" t="s">
        <v>21</v>
      </c>
      <c r="P584" s="7" t="s">
        <v>19</v>
      </c>
      <c r="S584">
        <v>1271</v>
      </c>
      <c r="T584" t="str">
        <v>Nampula</v>
      </c>
      <c r="U584" t="str">
        <v>Masculino</v>
      </c>
      <c r="V584" t="str">
        <v>Casado(a)</v>
      </c>
      <c r="W584" t="str">
        <v>Primaria</v>
      </c>
      <c r="X584" t="str">
        <v>Sim</v>
      </c>
      <c r="Y584" t="str">
        <v>Hipertensao</v>
      </c>
      <c r="Z584">
        <v>18</v>
      </c>
      <c r="AA584">
        <v>59.1</v>
      </c>
      <c r="AB584">
        <v>1.89</v>
      </c>
      <c r="AC584">
        <v>10</v>
      </c>
      <c r="AD584">
        <v>129</v>
      </c>
      <c r="AE584">
        <v>104</v>
      </c>
      <c r="AF584" t="str">
        <v>Urbana</v>
      </c>
      <c r="AG584" t="str">
        <v>Nao</v>
      </c>
    </row>
    <row r="585" spans="2:33" x14ac:dyDescent="0.45">
      <c r="B585" s="4">
        <v>584</v>
      </c>
      <c r="C585" s="4" t="s">
        <v>45</v>
      </c>
      <c r="D585" s="4" t="s">
        <v>16</v>
      </c>
      <c r="E585" s="4" t="s">
        <v>35</v>
      </c>
      <c r="F585" s="4" t="s">
        <v>18</v>
      </c>
      <c r="G585" s="4" t="s">
        <v>19</v>
      </c>
      <c r="H585" s="4" t="s">
        <v>38</v>
      </c>
      <c r="I585" s="4">
        <v>40</v>
      </c>
      <c r="J585" s="5">
        <v>85.7</v>
      </c>
      <c r="K585" s="6">
        <v>1.86</v>
      </c>
      <c r="L585" s="4">
        <v>1</v>
      </c>
      <c r="M585" s="4">
        <v>113</v>
      </c>
      <c r="N585" s="4">
        <v>102</v>
      </c>
      <c r="O585" s="4" t="s">
        <v>21</v>
      </c>
      <c r="P585" s="7" t="s">
        <v>19</v>
      </c>
      <c r="S585">
        <v>1272</v>
      </c>
      <c r="T585" t="str">
        <v>Cabo Delgado</v>
      </c>
      <c r="U585" t="str">
        <v>Masculino</v>
      </c>
      <c r="V585" t="str">
        <v>Casado(a)</v>
      </c>
      <c r="W585" t="str">
        <v>Primaria</v>
      </c>
      <c r="X585" t="str">
        <v>Nao</v>
      </c>
      <c r="Y585" t="str">
        <v>Malaria</v>
      </c>
      <c r="Z585">
        <v>47</v>
      </c>
      <c r="AA585">
        <v>90.2</v>
      </c>
      <c r="AB585">
        <v>1.67</v>
      </c>
      <c r="AC585">
        <v>2</v>
      </c>
      <c r="AD585">
        <v>123</v>
      </c>
      <c r="AE585">
        <v>74</v>
      </c>
      <c r="AF585" t="str">
        <v>Urbana</v>
      </c>
      <c r="AG585" t="str">
        <v>Nao</v>
      </c>
    </row>
    <row r="586" spans="2:33" x14ac:dyDescent="0.45">
      <c r="B586" s="4">
        <v>585</v>
      </c>
      <c r="C586" s="4" t="s">
        <v>22</v>
      </c>
      <c r="D586" s="4" t="s">
        <v>16</v>
      </c>
      <c r="E586" s="4" t="s">
        <v>35</v>
      </c>
      <c r="F586" s="4" t="s">
        <v>28</v>
      </c>
      <c r="G586" s="4" t="s">
        <v>19</v>
      </c>
      <c r="H586" s="4" t="s">
        <v>28</v>
      </c>
      <c r="I586" s="4">
        <v>42</v>
      </c>
      <c r="J586" s="5">
        <v>54.5</v>
      </c>
      <c r="K586" s="6">
        <v>1.51</v>
      </c>
      <c r="L586" s="4">
        <v>2</v>
      </c>
      <c r="M586" s="4">
        <v>115</v>
      </c>
      <c r="N586" s="4">
        <v>81</v>
      </c>
      <c r="O586" s="4" t="s">
        <v>21</v>
      </c>
      <c r="P586" s="7" t="s">
        <v>30</v>
      </c>
      <c r="S586">
        <v>1277</v>
      </c>
      <c r="T586" t="str">
        <v>Gaza</v>
      </c>
      <c r="U586" t="str">
        <v>Masculino</v>
      </c>
      <c r="V586" t="str">
        <v>Casado(a)</v>
      </c>
      <c r="W586" t="str">
        <v>Secundaria</v>
      </c>
      <c r="X586" t="str">
        <v>Nao</v>
      </c>
      <c r="Y586" t="str">
        <v>Diabetes</v>
      </c>
      <c r="Z586">
        <v>53</v>
      </c>
      <c r="AA586">
        <v>88.4</v>
      </c>
      <c r="AB586">
        <v>1.52</v>
      </c>
      <c r="AC586">
        <v>3</v>
      </c>
      <c r="AD586">
        <v>118</v>
      </c>
      <c r="AE586">
        <v>127</v>
      </c>
      <c r="AF586" t="str">
        <v>Rural</v>
      </c>
      <c r="AG586" t="str">
        <v>Nao</v>
      </c>
    </row>
    <row r="587" spans="2:33" x14ac:dyDescent="0.45">
      <c r="B587" s="4">
        <v>586</v>
      </c>
      <c r="C587" s="4" t="s">
        <v>39</v>
      </c>
      <c r="D587" s="4" t="s">
        <v>23</v>
      </c>
      <c r="E587" s="4" t="s">
        <v>17</v>
      </c>
      <c r="F587" s="4" t="s">
        <v>24</v>
      </c>
      <c r="G587" s="4" t="s">
        <v>19</v>
      </c>
      <c r="H587" s="4" t="s">
        <v>36</v>
      </c>
      <c r="I587" s="4">
        <v>8</v>
      </c>
      <c r="J587" s="5">
        <v>18.5</v>
      </c>
      <c r="K587" s="6">
        <v>1.36</v>
      </c>
      <c r="L587" s="4">
        <v>3</v>
      </c>
      <c r="M587" s="4">
        <v>122</v>
      </c>
      <c r="N587" s="4">
        <v>101</v>
      </c>
      <c r="O587" s="4" t="s">
        <v>26</v>
      </c>
      <c r="P587" s="7" t="s">
        <v>19</v>
      </c>
      <c r="S587">
        <v>1278</v>
      </c>
      <c r="T587" t="str">
        <v>Manica</v>
      </c>
      <c r="U587" t="str">
        <v>Masculino</v>
      </c>
      <c r="V587" t="str">
        <v>Viuvo(a)</v>
      </c>
      <c r="W587" t="str">
        <v>Primaria</v>
      </c>
      <c r="X587" t="str">
        <v>Nao</v>
      </c>
      <c r="Y587" t="str">
        <v>HIV/SIDA</v>
      </c>
      <c r="Z587">
        <v>40</v>
      </c>
      <c r="AA587">
        <v>66.5</v>
      </c>
      <c r="AB587">
        <v>1.78</v>
      </c>
      <c r="AC587">
        <v>2</v>
      </c>
      <c r="AD587">
        <v>133</v>
      </c>
      <c r="AE587">
        <v>72</v>
      </c>
      <c r="AF587" t="str">
        <v>Rural</v>
      </c>
      <c r="AG587" t="str">
        <v>Sim</v>
      </c>
    </row>
    <row r="588" spans="2:33" x14ac:dyDescent="0.45">
      <c r="B588" s="4">
        <v>587</v>
      </c>
      <c r="C588" s="4" t="s">
        <v>33</v>
      </c>
      <c r="D588" s="4" t="s">
        <v>23</v>
      </c>
      <c r="E588" s="4" t="s">
        <v>35</v>
      </c>
      <c r="F588" s="4" t="s">
        <v>24</v>
      </c>
      <c r="G588" s="4" t="s">
        <v>30</v>
      </c>
      <c r="H588" s="4" t="s">
        <v>36</v>
      </c>
      <c r="I588" s="4">
        <v>11</v>
      </c>
      <c r="J588" s="5">
        <v>35.299999999999997</v>
      </c>
      <c r="K588" s="6">
        <v>1.4</v>
      </c>
      <c r="L588" s="4">
        <v>8</v>
      </c>
      <c r="M588" s="4">
        <v>143</v>
      </c>
      <c r="N588" s="4">
        <v>89</v>
      </c>
      <c r="O588" s="4" t="s">
        <v>21</v>
      </c>
      <c r="P588" s="7" t="s">
        <v>30</v>
      </c>
      <c r="S588">
        <v>1279</v>
      </c>
      <c r="T588" t="str">
        <v>Gaza</v>
      </c>
      <c r="U588" t="str">
        <v>Masculino</v>
      </c>
      <c r="V588" t="str">
        <v>Solteiro(a)</v>
      </c>
      <c r="W588" t="str">
        <v>Secundaria</v>
      </c>
      <c r="X588" t="str">
        <v>Nao</v>
      </c>
      <c r="Y588" t="str">
        <v>Hipertensao</v>
      </c>
      <c r="Z588">
        <v>37</v>
      </c>
      <c r="AA588">
        <v>85</v>
      </c>
      <c r="AB588">
        <v>1.58</v>
      </c>
      <c r="AC588">
        <v>1</v>
      </c>
      <c r="AD588">
        <v>124</v>
      </c>
      <c r="AE588">
        <v>95</v>
      </c>
      <c r="AF588" t="str">
        <v>Urbana</v>
      </c>
      <c r="AG588" t="str">
        <v>Sim</v>
      </c>
    </row>
    <row r="589" spans="2:33" x14ac:dyDescent="0.45">
      <c r="B589" s="4">
        <v>588</v>
      </c>
      <c r="C589" s="4" t="s">
        <v>45</v>
      </c>
      <c r="D589" s="4" t="s">
        <v>16</v>
      </c>
      <c r="E589" s="4" t="s">
        <v>35</v>
      </c>
      <c r="F589" s="4" t="s">
        <v>24</v>
      </c>
      <c r="G589" s="4" t="s">
        <v>19</v>
      </c>
      <c r="H589" s="4" t="s">
        <v>20</v>
      </c>
      <c r="I589" s="4">
        <v>32</v>
      </c>
      <c r="J589" s="5">
        <v>54.7</v>
      </c>
      <c r="K589" s="6">
        <v>1.62</v>
      </c>
      <c r="L589" s="4">
        <v>2</v>
      </c>
      <c r="M589" s="4">
        <v>119</v>
      </c>
      <c r="N589" s="4">
        <v>100</v>
      </c>
      <c r="O589" s="4" t="s">
        <v>26</v>
      </c>
      <c r="P589" s="7" t="s">
        <v>19</v>
      </c>
      <c r="S589">
        <v>1280</v>
      </c>
      <c r="T589" t="str">
        <v>Zambezia</v>
      </c>
      <c r="U589" t="str">
        <v>Masculino</v>
      </c>
      <c r="V589" t="str">
        <v>Casado(a)</v>
      </c>
      <c r="W589" t="str">
        <v>Primaria</v>
      </c>
      <c r="X589" t="str">
        <v>Nao</v>
      </c>
      <c r="Y589" t="str">
        <v>Nenhuma</v>
      </c>
      <c r="Z589">
        <v>17</v>
      </c>
      <c r="AA589">
        <v>42.2</v>
      </c>
      <c r="AB589">
        <v>1.62</v>
      </c>
      <c r="AC589">
        <v>3</v>
      </c>
      <c r="AD589">
        <v>112</v>
      </c>
      <c r="AE589">
        <v>81</v>
      </c>
      <c r="AF589" t="str">
        <v>Rural</v>
      </c>
      <c r="AG589" t="str">
        <v>Nao</v>
      </c>
    </row>
    <row r="590" spans="2:33" x14ac:dyDescent="0.45">
      <c r="B590" s="4">
        <v>589</v>
      </c>
      <c r="C590" s="4" t="s">
        <v>29</v>
      </c>
      <c r="D590" s="4" t="s">
        <v>16</v>
      </c>
      <c r="E590" s="4" t="s">
        <v>35</v>
      </c>
      <c r="F590" s="4" t="s">
        <v>24</v>
      </c>
      <c r="G590" s="4" t="s">
        <v>19</v>
      </c>
      <c r="H590" s="4" t="s">
        <v>36</v>
      </c>
      <c r="I590" s="4">
        <v>14</v>
      </c>
      <c r="J590" s="5">
        <v>57.6</v>
      </c>
      <c r="K590" s="6">
        <v>1.45</v>
      </c>
      <c r="L590" s="4">
        <v>2</v>
      </c>
      <c r="M590" s="4">
        <v>125</v>
      </c>
      <c r="N590" s="4">
        <v>93</v>
      </c>
      <c r="O590" s="4" t="s">
        <v>26</v>
      </c>
      <c r="P590" s="7" t="s">
        <v>19</v>
      </c>
      <c r="S590">
        <v>1281</v>
      </c>
      <c r="T590" t="str">
        <v>Niassa</v>
      </c>
      <c r="U590" t="str">
        <v>Masculino</v>
      </c>
      <c r="V590" t="str">
        <v>Solteiro(a)</v>
      </c>
      <c r="W590" t="str">
        <v>Secundaria</v>
      </c>
      <c r="X590" t="str">
        <v>Nao</v>
      </c>
      <c r="Y590" t="str">
        <v>Malaria</v>
      </c>
      <c r="Z590">
        <v>8</v>
      </c>
      <c r="AA590">
        <v>20.5</v>
      </c>
      <c r="AB590">
        <v>1.1000000000000001</v>
      </c>
      <c r="AC590">
        <v>1</v>
      </c>
      <c r="AD590">
        <v>120</v>
      </c>
      <c r="AE590">
        <v>82</v>
      </c>
      <c r="AF590" t="str">
        <v>Urbana</v>
      </c>
      <c r="AG590" t="str">
        <v>Sim</v>
      </c>
    </row>
    <row r="591" spans="2:33" x14ac:dyDescent="0.45">
      <c r="B591" s="4">
        <v>590</v>
      </c>
      <c r="C591" s="4" t="s">
        <v>15</v>
      </c>
      <c r="D591" s="4" t="s">
        <v>23</v>
      </c>
      <c r="E591" s="4" t="s">
        <v>35</v>
      </c>
      <c r="F591" s="4" t="s">
        <v>28</v>
      </c>
      <c r="G591" s="4" t="s">
        <v>19</v>
      </c>
      <c r="H591" s="4" t="s">
        <v>20</v>
      </c>
      <c r="I591" s="4">
        <v>28</v>
      </c>
      <c r="J591" s="5">
        <v>78.900000000000006</v>
      </c>
      <c r="K591" s="6">
        <v>1.69</v>
      </c>
      <c r="L591" s="4">
        <v>6</v>
      </c>
      <c r="M591" s="4">
        <v>117</v>
      </c>
      <c r="N591" s="4">
        <v>83</v>
      </c>
      <c r="O591" s="4" t="s">
        <v>21</v>
      </c>
      <c r="P591" s="7" t="s">
        <v>19</v>
      </c>
      <c r="S591">
        <v>1282</v>
      </c>
      <c r="T591" t="str">
        <v>Nampula</v>
      </c>
      <c r="U591" t="str">
        <v>Masculino</v>
      </c>
      <c r="V591" t="str">
        <v>Casado(a)</v>
      </c>
      <c r="W591" t="str">
        <v>Primaria</v>
      </c>
      <c r="X591" t="str">
        <v>Nao</v>
      </c>
      <c r="Y591" t="str">
        <v>HIV/SIDA</v>
      </c>
      <c r="Z591">
        <v>46</v>
      </c>
      <c r="AA591">
        <v>54</v>
      </c>
      <c r="AB591">
        <v>1.69</v>
      </c>
      <c r="AC591">
        <v>4</v>
      </c>
      <c r="AD591">
        <v>119</v>
      </c>
      <c r="AE591">
        <v>73</v>
      </c>
      <c r="AF591" t="str">
        <v>Rural</v>
      </c>
      <c r="AG591" t="str">
        <v>Sim</v>
      </c>
    </row>
    <row r="592" spans="2:33" x14ac:dyDescent="0.45">
      <c r="B592" s="4">
        <v>591</v>
      </c>
      <c r="C592" s="4" t="s">
        <v>39</v>
      </c>
      <c r="D592" s="4" t="s">
        <v>23</v>
      </c>
      <c r="E592" s="4" t="s">
        <v>17</v>
      </c>
      <c r="F592" s="4" t="s">
        <v>18</v>
      </c>
      <c r="G592" s="4" t="s">
        <v>30</v>
      </c>
      <c r="H592" s="4" t="s">
        <v>20</v>
      </c>
      <c r="I592" s="4">
        <v>11</v>
      </c>
      <c r="J592" s="5">
        <v>32.9</v>
      </c>
      <c r="K592" s="6">
        <v>1.38</v>
      </c>
      <c r="L592" s="4">
        <v>2</v>
      </c>
      <c r="M592" s="4">
        <v>97</v>
      </c>
      <c r="N592" s="4">
        <v>101</v>
      </c>
      <c r="O592" s="4" t="s">
        <v>21</v>
      </c>
      <c r="P592" s="7" t="s">
        <v>19</v>
      </c>
      <c r="S592">
        <v>1283</v>
      </c>
      <c r="T592" t="str">
        <v>Zambezia</v>
      </c>
      <c r="U592" t="str">
        <v>Masculino</v>
      </c>
      <c r="V592" t="str">
        <v>Solteiro(a)</v>
      </c>
      <c r="W592" t="str">
        <v>Nenhuma</v>
      </c>
      <c r="X592" t="str">
        <v>Sim</v>
      </c>
      <c r="Y592" t="str">
        <v>Malaria</v>
      </c>
      <c r="Z592">
        <v>33</v>
      </c>
      <c r="AA592">
        <v>68.900000000000006</v>
      </c>
      <c r="AB592">
        <v>1.57</v>
      </c>
      <c r="AC592">
        <v>1</v>
      </c>
      <c r="AD592">
        <v>108</v>
      </c>
      <c r="AE592">
        <v>105</v>
      </c>
      <c r="AF592" t="str">
        <v>Urbana</v>
      </c>
      <c r="AG592" t="str">
        <v>Nao</v>
      </c>
    </row>
    <row r="593" spans="2:33" x14ac:dyDescent="0.45">
      <c r="B593" s="4">
        <v>592</v>
      </c>
      <c r="C593" s="4" t="s">
        <v>40</v>
      </c>
      <c r="D593" s="4" t="s">
        <v>16</v>
      </c>
      <c r="E593" s="4" t="s">
        <v>35</v>
      </c>
      <c r="F593" s="4" t="s">
        <v>28</v>
      </c>
      <c r="G593" s="4" t="s">
        <v>30</v>
      </c>
      <c r="H593" s="4" t="s">
        <v>28</v>
      </c>
      <c r="I593" s="4">
        <v>11</v>
      </c>
      <c r="J593" s="5">
        <v>20</v>
      </c>
      <c r="K593" s="6">
        <v>1.37</v>
      </c>
      <c r="L593" s="4">
        <v>1</v>
      </c>
      <c r="M593" s="4">
        <v>118</v>
      </c>
      <c r="N593" s="4">
        <v>77</v>
      </c>
      <c r="O593" s="4" t="s">
        <v>21</v>
      </c>
      <c r="P593" s="7" t="s">
        <v>19</v>
      </c>
      <c r="S593">
        <v>1284</v>
      </c>
      <c r="T593" t="str">
        <v>Nampula</v>
      </c>
      <c r="U593" t="str">
        <v>Masculino</v>
      </c>
      <c r="V593" t="str">
        <v>Casado(a)</v>
      </c>
      <c r="W593" t="str">
        <v>Primaria</v>
      </c>
      <c r="X593" t="str">
        <v>Sim</v>
      </c>
      <c r="Y593" t="str">
        <v>Malaria</v>
      </c>
      <c r="Z593">
        <v>7</v>
      </c>
      <c r="AA593">
        <v>25.3</v>
      </c>
      <c r="AB593">
        <v>1.1299999999999999</v>
      </c>
      <c r="AC593">
        <v>2</v>
      </c>
      <c r="AD593">
        <v>109</v>
      </c>
      <c r="AE593">
        <v>92</v>
      </c>
      <c r="AF593" t="str">
        <v>Urbana</v>
      </c>
      <c r="AG593" t="str">
        <v>Nao</v>
      </c>
    </row>
    <row r="594" spans="2:33" x14ac:dyDescent="0.45">
      <c r="B594" s="4">
        <v>593</v>
      </c>
      <c r="C594" s="4" t="s">
        <v>15</v>
      </c>
      <c r="D594" s="4" t="s">
        <v>23</v>
      </c>
      <c r="E594" s="4" t="s">
        <v>35</v>
      </c>
      <c r="F594" s="4" t="s">
        <v>24</v>
      </c>
      <c r="G594" s="4" t="s">
        <v>19</v>
      </c>
      <c r="H594" s="4" t="s">
        <v>28</v>
      </c>
      <c r="I594" s="4">
        <v>5</v>
      </c>
      <c r="J594" s="5">
        <v>34.6</v>
      </c>
      <c r="K594" s="6">
        <v>1.42</v>
      </c>
      <c r="L594" s="4">
        <v>0</v>
      </c>
      <c r="M594" s="4">
        <v>108</v>
      </c>
      <c r="N594" s="4">
        <v>103</v>
      </c>
      <c r="O594" s="4" t="s">
        <v>26</v>
      </c>
      <c r="P594" s="7" t="s">
        <v>19</v>
      </c>
      <c r="S594">
        <v>1288</v>
      </c>
      <c r="T594" t="str">
        <v>Maputo Cidade</v>
      </c>
      <c r="U594" t="str">
        <v>Masculino</v>
      </c>
      <c r="V594" t="str">
        <v>Solteiro(a)</v>
      </c>
      <c r="W594" t="str">
        <v>Primaria</v>
      </c>
      <c r="X594" t="str">
        <v>Nao</v>
      </c>
      <c r="Y594" t="str">
        <v>Pneumonia</v>
      </c>
      <c r="Z594">
        <v>1</v>
      </c>
      <c r="AA594">
        <v>8</v>
      </c>
      <c r="AB594">
        <v>0.7</v>
      </c>
      <c r="AC594">
        <v>3</v>
      </c>
      <c r="AD594">
        <v>117</v>
      </c>
      <c r="AE594">
        <v>76</v>
      </c>
      <c r="AF594" t="str">
        <v>Rural</v>
      </c>
      <c r="AG594" t="str">
        <v>Sim</v>
      </c>
    </row>
    <row r="595" spans="2:33" x14ac:dyDescent="0.45">
      <c r="B595" s="4">
        <v>594</v>
      </c>
      <c r="C595" s="4" t="s">
        <v>39</v>
      </c>
      <c r="D595" s="4" t="s">
        <v>23</v>
      </c>
      <c r="E595" s="4" t="s">
        <v>35</v>
      </c>
      <c r="F595" s="4" t="s">
        <v>24</v>
      </c>
      <c r="G595" s="4" t="s">
        <v>19</v>
      </c>
      <c r="H595" s="4" t="s">
        <v>28</v>
      </c>
      <c r="I595" s="4">
        <v>71</v>
      </c>
      <c r="J595" s="5">
        <v>92.1</v>
      </c>
      <c r="K595" s="6">
        <v>1.55</v>
      </c>
      <c r="L595" s="4">
        <v>4</v>
      </c>
      <c r="M595" s="4">
        <v>136</v>
      </c>
      <c r="N595" s="4">
        <v>75</v>
      </c>
      <c r="O595" s="4" t="s">
        <v>21</v>
      </c>
      <c r="P595" s="7" t="s">
        <v>30</v>
      </c>
      <c r="S595">
        <v>1290</v>
      </c>
      <c r="T595" t="str">
        <v>Inhambane</v>
      </c>
      <c r="U595" t="str">
        <v>Masculino</v>
      </c>
      <c r="V595" t="str">
        <v>Solteiro(a)</v>
      </c>
      <c r="W595" t="str">
        <v>Secundaria</v>
      </c>
      <c r="X595" t="str">
        <v>Nao</v>
      </c>
      <c r="Y595" t="str">
        <v>Malaria</v>
      </c>
      <c r="Z595">
        <v>2</v>
      </c>
      <c r="AA595">
        <v>14.8</v>
      </c>
      <c r="AB595">
        <v>0.93</v>
      </c>
      <c r="AC595">
        <v>3</v>
      </c>
      <c r="AD595">
        <v>102</v>
      </c>
      <c r="AE595">
        <v>87</v>
      </c>
      <c r="AF595" t="str">
        <v>Rural</v>
      </c>
      <c r="AG595" t="str">
        <v>Nao</v>
      </c>
    </row>
    <row r="596" spans="2:33" x14ac:dyDescent="0.45">
      <c r="B596" s="4">
        <v>595</v>
      </c>
      <c r="C596" s="4" t="s">
        <v>33</v>
      </c>
      <c r="D596" s="4" t="s">
        <v>23</v>
      </c>
      <c r="E596" s="4" t="s">
        <v>44</v>
      </c>
      <c r="F596" s="4" t="s">
        <v>28</v>
      </c>
      <c r="G596" s="4" t="s">
        <v>19</v>
      </c>
      <c r="H596" s="4" t="s">
        <v>25</v>
      </c>
      <c r="I596" s="4">
        <v>14</v>
      </c>
      <c r="J596" s="5">
        <v>55.4</v>
      </c>
      <c r="K596" s="6">
        <v>1.72</v>
      </c>
      <c r="L596" s="4">
        <v>4</v>
      </c>
      <c r="M596" s="4">
        <v>107</v>
      </c>
      <c r="N596" s="4">
        <v>94</v>
      </c>
      <c r="O596" s="4" t="s">
        <v>26</v>
      </c>
      <c r="P596" s="7" t="s">
        <v>19</v>
      </c>
      <c r="S596">
        <v>1292</v>
      </c>
      <c r="T596" t="str">
        <v>Maputo Provincia</v>
      </c>
      <c r="U596" t="str">
        <v>Masculino</v>
      </c>
      <c r="V596" t="str">
        <v>Casado(a)</v>
      </c>
      <c r="W596" t="str">
        <v>Secundaria</v>
      </c>
      <c r="X596" t="str">
        <v>Sim</v>
      </c>
      <c r="Y596" t="str">
        <v>HIV/SIDA</v>
      </c>
      <c r="Z596">
        <v>33</v>
      </c>
      <c r="AA596">
        <v>57.7</v>
      </c>
      <c r="AB596">
        <v>1.78</v>
      </c>
      <c r="AC596">
        <v>3</v>
      </c>
      <c r="AD596">
        <v>106</v>
      </c>
      <c r="AE596">
        <v>77</v>
      </c>
      <c r="AF596" t="str">
        <v>Urbana</v>
      </c>
      <c r="AG596" t="str">
        <v>Nao</v>
      </c>
    </row>
    <row r="597" spans="2:33" x14ac:dyDescent="0.45">
      <c r="B597" s="4">
        <v>596</v>
      </c>
      <c r="C597" s="4" t="s">
        <v>27</v>
      </c>
      <c r="D597" s="4" t="s">
        <v>16</v>
      </c>
      <c r="E597" s="4" t="s">
        <v>17</v>
      </c>
      <c r="F597" s="4" t="s">
        <v>24</v>
      </c>
      <c r="G597" s="4" t="s">
        <v>19</v>
      </c>
      <c r="H597" s="4" t="s">
        <v>32</v>
      </c>
      <c r="I597" s="4">
        <v>37</v>
      </c>
      <c r="J597" s="5">
        <v>62.9</v>
      </c>
      <c r="K597" s="6">
        <v>1.64</v>
      </c>
      <c r="L597" s="4">
        <v>1</v>
      </c>
      <c r="M597" s="4">
        <v>104</v>
      </c>
      <c r="N597" s="4">
        <v>136</v>
      </c>
      <c r="O597" s="4" t="s">
        <v>21</v>
      </c>
      <c r="P597" s="7" t="s">
        <v>19</v>
      </c>
      <c r="S597">
        <v>1293</v>
      </c>
      <c r="T597" t="str">
        <v>Sofala</v>
      </c>
      <c r="U597" t="str">
        <v>Masculino</v>
      </c>
      <c r="V597" t="str">
        <v>Solteiro(a)</v>
      </c>
      <c r="W597" t="str">
        <v>Nenhuma</v>
      </c>
      <c r="X597" t="str">
        <v>Sim</v>
      </c>
      <c r="Y597" t="str">
        <v>HIV/SIDA</v>
      </c>
      <c r="Z597">
        <v>19</v>
      </c>
      <c r="AA597">
        <v>72.5</v>
      </c>
      <c r="AB597">
        <v>1.72</v>
      </c>
      <c r="AC597">
        <v>0</v>
      </c>
      <c r="AD597">
        <v>124</v>
      </c>
      <c r="AE597">
        <v>81</v>
      </c>
      <c r="AF597" t="str">
        <v>Rural</v>
      </c>
      <c r="AG597" t="str">
        <v>Sim</v>
      </c>
    </row>
    <row r="598" spans="2:33" x14ac:dyDescent="0.45">
      <c r="B598" s="4">
        <v>597</v>
      </c>
      <c r="C598" s="4" t="s">
        <v>31</v>
      </c>
      <c r="D598" s="4" t="s">
        <v>16</v>
      </c>
      <c r="E598" s="4" t="s">
        <v>17</v>
      </c>
      <c r="F598" s="4" t="s">
        <v>24</v>
      </c>
      <c r="G598" s="4" t="s">
        <v>19</v>
      </c>
      <c r="H598" s="4" t="s">
        <v>34</v>
      </c>
      <c r="I598" s="4">
        <v>51</v>
      </c>
      <c r="J598" s="5">
        <v>74.099999999999994</v>
      </c>
      <c r="K598" s="6">
        <v>1.83</v>
      </c>
      <c r="L598" s="4">
        <v>5</v>
      </c>
      <c r="M598" s="4">
        <v>118</v>
      </c>
      <c r="N598" s="4">
        <v>102</v>
      </c>
      <c r="O598" s="4" t="s">
        <v>26</v>
      </c>
      <c r="P598" s="7" t="s">
        <v>19</v>
      </c>
      <c r="S598">
        <v>1296</v>
      </c>
      <c r="T598" t="str">
        <v>Gaza</v>
      </c>
      <c r="U598" t="str">
        <v>Masculino</v>
      </c>
      <c r="V598" t="str">
        <v>Viuvo(a)</v>
      </c>
      <c r="W598" t="str">
        <v>Secundaria</v>
      </c>
      <c r="X598" t="str">
        <v>Nao</v>
      </c>
      <c r="Y598" t="str">
        <v>Pneumonia</v>
      </c>
      <c r="Z598">
        <v>21</v>
      </c>
      <c r="AA598">
        <v>67</v>
      </c>
      <c r="AB598">
        <v>1.54</v>
      </c>
      <c r="AC598">
        <v>4</v>
      </c>
      <c r="AD598">
        <v>118</v>
      </c>
      <c r="AE598">
        <v>74</v>
      </c>
      <c r="AF598" t="str">
        <v>Rural</v>
      </c>
      <c r="AG598" t="str">
        <v>Nao</v>
      </c>
    </row>
    <row r="599" spans="2:33" x14ac:dyDescent="0.45">
      <c r="B599" s="4">
        <v>598</v>
      </c>
      <c r="C599" s="4" t="s">
        <v>45</v>
      </c>
      <c r="D599" s="4" t="s">
        <v>16</v>
      </c>
      <c r="E599" s="4" t="s">
        <v>37</v>
      </c>
      <c r="F599" s="4" t="s">
        <v>24</v>
      </c>
      <c r="G599" s="4" t="s">
        <v>19</v>
      </c>
      <c r="H599" s="4" t="s">
        <v>25</v>
      </c>
      <c r="I599" s="4">
        <v>57</v>
      </c>
      <c r="J599" s="5">
        <v>78.7</v>
      </c>
      <c r="K599" s="6">
        <v>1.83</v>
      </c>
      <c r="L599" s="4">
        <v>4</v>
      </c>
      <c r="M599" s="4">
        <v>112</v>
      </c>
      <c r="N599" s="4">
        <v>74</v>
      </c>
      <c r="O599" s="4" t="s">
        <v>21</v>
      </c>
      <c r="P599" s="7" t="s">
        <v>19</v>
      </c>
      <c r="S599">
        <v>1297</v>
      </c>
      <c r="T599" t="str">
        <v>Inhambane</v>
      </c>
      <c r="U599" t="str">
        <v>Masculino</v>
      </c>
      <c r="V599" t="str">
        <v>Solteiro(a)</v>
      </c>
      <c r="W599" t="str">
        <v>Primaria</v>
      </c>
      <c r="X599" t="str">
        <v>Nao</v>
      </c>
      <c r="Y599" t="str">
        <v>Malaria</v>
      </c>
      <c r="Z599">
        <v>6</v>
      </c>
      <c r="AA599">
        <v>36.5</v>
      </c>
      <c r="AB599">
        <v>1.38</v>
      </c>
      <c r="AC599">
        <v>1</v>
      </c>
      <c r="AD599">
        <v>99</v>
      </c>
      <c r="AE599">
        <v>104</v>
      </c>
      <c r="AF599" t="str">
        <v>Urbana</v>
      </c>
      <c r="AG599" t="str">
        <v>Nao</v>
      </c>
    </row>
    <row r="600" spans="2:33" x14ac:dyDescent="0.45">
      <c r="B600" s="4">
        <v>599</v>
      </c>
      <c r="C600" s="4" t="s">
        <v>41</v>
      </c>
      <c r="D600" s="4" t="s">
        <v>16</v>
      </c>
      <c r="E600" s="4" t="s">
        <v>35</v>
      </c>
      <c r="F600" s="4" t="s">
        <v>28</v>
      </c>
      <c r="G600" s="4" t="s">
        <v>19</v>
      </c>
      <c r="H600" s="4" t="s">
        <v>32</v>
      </c>
      <c r="I600" s="4">
        <v>55</v>
      </c>
      <c r="J600" s="5">
        <v>86.8</v>
      </c>
      <c r="K600" s="6">
        <v>1.89</v>
      </c>
      <c r="L600" s="4">
        <v>2</v>
      </c>
      <c r="M600" s="4">
        <v>114</v>
      </c>
      <c r="N600" s="4">
        <v>187</v>
      </c>
      <c r="O600" s="4" t="s">
        <v>21</v>
      </c>
      <c r="P600" s="7" t="s">
        <v>19</v>
      </c>
      <c r="S600">
        <v>1298</v>
      </c>
      <c r="T600" t="str">
        <v>Nampula</v>
      </c>
      <c r="U600" t="str">
        <v>Masculino</v>
      </c>
      <c r="V600" t="str">
        <v>Solteiro(a)</v>
      </c>
      <c r="W600" t="str">
        <v>Primaria</v>
      </c>
      <c r="X600" t="str">
        <v>Nao</v>
      </c>
      <c r="Y600" t="str">
        <v>Pneumonia</v>
      </c>
      <c r="Z600">
        <v>22</v>
      </c>
      <c r="AA600">
        <v>57.8</v>
      </c>
      <c r="AB600">
        <v>1.71</v>
      </c>
      <c r="AC600">
        <v>1</v>
      </c>
      <c r="AD600">
        <v>114</v>
      </c>
      <c r="AE600">
        <v>78</v>
      </c>
      <c r="AF600" t="str">
        <v>Rural</v>
      </c>
      <c r="AG600" t="str">
        <v>Sim</v>
      </c>
    </row>
    <row r="601" spans="2:33" x14ac:dyDescent="0.45">
      <c r="B601" s="4">
        <v>600</v>
      </c>
      <c r="C601" s="4" t="s">
        <v>33</v>
      </c>
      <c r="D601" s="4" t="s">
        <v>23</v>
      </c>
      <c r="E601" s="4" t="s">
        <v>17</v>
      </c>
      <c r="F601" s="4" t="s">
        <v>24</v>
      </c>
      <c r="G601" s="4" t="s">
        <v>19</v>
      </c>
      <c r="H601" s="4" t="s">
        <v>38</v>
      </c>
      <c r="I601" s="4">
        <v>3</v>
      </c>
      <c r="J601" s="5">
        <v>7.8</v>
      </c>
      <c r="K601" s="6">
        <v>0.92</v>
      </c>
      <c r="L601" s="4">
        <v>2</v>
      </c>
      <c r="M601" s="4">
        <v>111</v>
      </c>
      <c r="N601" s="4">
        <v>78</v>
      </c>
      <c r="O601" s="4" t="s">
        <v>26</v>
      </c>
      <c r="P601" s="7" t="s">
        <v>19</v>
      </c>
      <c r="S601">
        <v>1301</v>
      </c>
      <c r="T601" t="str">
        <v>Maputo Cidade</v>
      </c>
      <c r="U601" t="str">
        <v>Masculino</v>
      </c>
      <c r="V601" t="str">
        <v>Solteiro(a)</v>
      </c>
      <c r="W601" t="str">
        <v>Primaria</v>
      </c>
      <c r="X601" t="str">
        <v>Sim</v>
      </c>
      <c r="Y601" t="str">
        <v>Diarreia</v>
      </c>
      <c r="Z601">
        <v>19</v>
      </c>
      <c r="AA601">
        <v>48.5</v>
      </c>
      <c r="AB601">
        <v>1.54</v>
      </c>
      <c r="AC601">
        <v>1</v>
      </c>
      <c r="AD601">
        <v>113</v>
      </c>
      <c r="AE601">
        <v>85</v>
      </c>
      <c r="AF601" t="str">
        <v>Urbana</v>
      </c>
      <c r="AG601" t="str">
        <v>Nao</v>
      </c>
    </row>
    <row r="602" spans="2:33" x14ac:dyDescent="0.45">
      <c r="B602" s="4">
        <v>601</v>
      </c>
      <c r="C602" s="4" t="s">
        <v>43</v>
      </c>
      <c r="D602" s="4" t="s">
        <v>16</v>
      </c>
      <c r="E602" s="4" t="s">
        <v>35</v>
      </c>
      <c r="F602" s="4" t="s">
        <v>18</v>
      </c>
      <c r="G602" s="4" t="s">
        <v>19</v>
      </c>
      <c r="H602" s="4" t="s">
        <v>46</v>
      </c>
      <c r="I602" s="4">
        <v>60</v>
      </c>
      <c r="J602" s="5">
        <v>79.3</v>
      </c>
      <c r="K602" s="6">
        <v>1.85</v>
      </c>
      <c r="L602" s="4">
        <v>10</v>
      </c>
      <c r="M602" s="4">
        <v>114</v>
      </c>
      <c r="N602" s="4">
        <v>95</v>
      </c>
      <c r="O602" s="4" t="s">
        <v>26</v>
      </c>
      <c r="P602" s="7" t="s">
        <v>19</v>
      </c>
      <c r="S602">
        <v>1302</v>
      </c>
      <c r="T602" t="str">
        <v>Sofala</v>
      </c>
      <c r="U602" t="str">
        <v>Masculino</v>
      </c>
      <c r="V602" t="str">
        <v>Casado(a)</v>
      </c>
      <c r="W602" t="str">
        <v>Primaria</v>
      </c>
      <c r="X602" t="str">
        <v>Nao</v>
      </c>
      <c r="Y602" t="str">
        <v>Hipertensao</v>
      </c>
      <c r="Z602">
        <v>46</v>
      </c>
      <c r="AA602">
        <v>67.400000000000006</v>
      </c>
      <c r="AB602">
        <v>1.84</v>
      </c>
      <c r="AC602">
        <v>7</v>
      </c>
      <c r="AD602">
        <v>126</v>
      </c>
      <c r="AE602">
        <v>101</v>
      </c>
      <c r="AF602" t="str">
        <v>Rural</v>
      </c>
      <c r="AG602" t="str">
        <v>Nao</v>
      </c>
    </row>
    <row r="603" spans="2:33" x14ac:dyDescent="0.45">
      <c r="B603" s="4">
        <v>602</v>
      </c>
      <c r="C603" s="4" t="s">
        <v>27</v>
      </c>
      <c r="D603" s="4" t="s">
        <v>23</v>
      </c>
      <c r="E603" s="4" t="s">
        <v>17</v>
      </c>
      <c r="F603" s="4" t="s">
        <v>18</v>
      </c>
      <c r="G603" s="4" t="s">
        <v>19</v>
      </c>
      <c r="H603" s="4" t="s">
        <v>46</v>
      </c>
      <c r="I603" s="4">
        <v>4</v>
      </c>
      <c r="J603" s="5">
        <v>16.899999999999999</v>
      </c>
      <c r="K603" s="6">
        <v>0.88</v>
      </c>
      <c r="L603" s="4">
        <v>2</v>
      </c>
      <c r="M603" s="4">
        <v>102</v>
      </c>
      <c r="N603" s="4">
        <v>96</v>
      </c>
      <c r="O603" s="4" t="s">
        <v>26</v>
      </c>
      <c r="P603" s="7" t="s">
        <v>19</v>
      </c>
      <c r="S603">
        <v>1304</v>
      </c>
      <c r="T603" t="str">
        <v>Maputo Cidade</v>
      </c>
      <c r="U603" t="str">
        <v>Masculino</v>
      </c>
      <c r="V603" t="str">
        <v>Solteiro(a)</v>
      </c>
      <c r="W603" t="str">
        <v>Nenhuma</v>
      </c>
      <c r="X603" t="str">
        <v>Sim</v>
      </c>
      <c r="Y603" t="str">
        <v>Malaria</v>
      </c>
      <c r="Z603">
        <v>34</v>
      </c>
      <c r="AA603">
        <v>66.3</v>
      </c>
      <c r="AB603">
        <v>1.56</v>
      </c>
      <c r="AC603">
        <v>6</v>
      </c>
      <c r="AD603">
        <v>108</v>
      </c>
      <c r="AE603">
        <v>103</v>
      </c>
      <c r="AF603" t="str">
        <v>Urbana</v>
      </c>
      <c r="AG603" t="str">
        <v>Nao</v>
      </c>
    </row>
    <row r="604" spans="2:33" x14ac:dyDescent="0.45">
      <c r="B604" s="4">
        <v>603</v>
      </c>
      <c r="C604" s="4" t="s">
        <v>27</v>
      </c>
      <c r="D604" s="4" t="s">
        <v>16</v>
      </c>
      <c r="E604" s="4" t="s">
        <v>37</v>
      </c>
      <c r="F604" s="4" t="s">
        <v>24</v>
      </c>
      <c r="G604" s="4" t="s">
        <v>19</v>
      </c>
      <c r="H604" s="4" t="s">
        <v>36</v>
      </c>
      <c r="I604" s="4">
        <v>5</v>
      </c>
      <c r="J604" s="5">
        <v>29</v>
      </c>
      <c r="K604" s="6">
        <v>1.17</v>
      </c>
      <c r="L604" s="4">
        <v>4</v>
      </c>
      <c r="M604" s="4">
        <v>120</v>
      </c>
      <c r="N604" s="4">
        <v>72</v>
      </c>
      <c r="O604" s="4" t="s">
        <v>21</v>
      </c>
      <c r="P604" s="7" t="s">
        <v>19</v>
      </c>
      <c r="S604">
        <v>1308</v>
      </c>
      <c r="T604" t="str">
        <v>Nampula</v>
      </c>
      <c r="U604" t="str">
        <v>Masculino</v>
      </c>
      <c r="V604" t="str">
        <v>Solteiro(a)</v>
      </c>
      <c r="W604" t="str">
        <v>Primaria</v>
      </c>
      <c r="X604" t="str">
        <v>Nao</v>
      </c>
      <c r="Y604" t="str">
        <v>Diarreia</v>
      </c>
      <c r="Z604">
        <v>16</v>
      </c>
      <c r="AA604">
        <v>61.6</v>
      </c>
      <c r="AB604">
        <v>1.61</v>
      </c>
      <c r="AC604">
        <v>3</v>
      </c>
      <c r="AD604">
        <v>104</v>
      </c>
      <c r="AE604">
        <v>103</v>
      </c>
      <c r="AF604" t="str">
        <v>Urbana</v>
      </c>
      <c r="AG604" t="str">
        <v>Nao</v>
      </c>
    </row>
    <row r="605" spans="2:33" x14ac:dyDescent="0.45">
      <c r="B605" s="4">
        <v>604</v>
      </c>
      <c r="C605" s="4" t="s">
        <v>22</v>
      </c>
      <c r="D605" s="4" t="s">
        <v>16</v>
      </c>
      <c r="E605" s="4" t="s">
        <v>37</v>
      </c>
      <c r="F605" s="4" t="s">
        <v>18</v>
      </c>
      <c r="G605" s="4" t="s">
        <v>19</v>
      </c>
      <c r="H605" s="4" t="s">
        <v>20</v>
      </c>
      <c r="I605" s="4">
        <v>8</v>
      </c>
      <c r="J605" s="5">
        <v>21</v>
      </c>
      <c r="K605" s="6">
        <v>1.22</v>
      </c>
      <c r="L605" s="4">
        <v>2</v>
      </c>
      <c r="M605" s="4">
        <v>92</v>
      </c>
      <c r="N605" s="4">
        <v>78</v>
      </c>
      <c r="O605" s="4" t="s">
        <v>26</v>
      </c>
      <c r="P605" s="7" t="s">
        <v>19</v>
      </c>
      <c r="S605">
        <v>1310</v>
      </c>
      <c r="T605" t="str">
        <v>Inhambane</v>
      </c>
      <c r="U605" t="str">
        <v>Masculino</v>
      </c>
      <c r="V605" t="str">
        <v>Casado(a)</v>
      </c>
      <c r="W605" t="str">
        <v>Primaria</v>
      </c>
      <c r="X605" t="str">
        <v>Nao</v>
      </c>
      <c r="Y605" t="str">
        <v>Hipertensao</v>
      </c>
      <c r="Z605">
        <v>22</v>
      </c>
      <c r="AA605">
        <v>48.2</v>
      </c>
      <c r="AB605">
        <v>1.72</v>
      </c>
      <c r="AC605">
        <v>5</v>
      </c>
      <c r="AD605">
        <v>127</v>
      </c>
      <c r="AE605">
        <v>75</v>
      </c>
      <c r="AF605" t="str">
        <v>Rural</v>
      </c>
      <c r="AG605" t="str">
        <v>Sim</v>
      </c>
    </row>
    <row r="606" spans="2:33" x14ac:dyDescent="0.45">
      <c r="B606" s="4">
        <v>605</v>
      </c>
      <c r="C606" s="4" t="s">
        <v>33</v>
      </c>
      <c r="D606" s="4" t="s">
        <v>23</v>
      </c>
      <c r="E606" s="4" t="s">
        <v>35</v>
      </c>
      <c r="F606" s="4" t="s">
        <v>18</v>
      </c>
      <c r="G606" s="4" t="s">
        <v>19</v>
      </c>
      <c r="H606" s="4" t="s">
        <v>46</v>
      </c>
      <c r="I606" s="4">
        <v>18</v>
      </c>
      <c r="J606" s="5">
        <v>86.3</v>
      </c>
      <c r="K606" s="6">
        <v>1.71</v>
      </c>
      <c r="L606" s="4">
        <v>0</v>
      </c>
      <c r="M606" s="4">
        <v>114</v>
      </c>
      <c r="N606" s="4">
        <v>94</v>
      </c>
      <c r="O606" s="4" t="s">
        <v>26</v>
      </c>
      <c r="P606" s="7" t="s">
        <v>30</v>
      </c>
      <c r="S606">
        <v>1312</v>
      </c>
      <c r="T606" t="str">
        <v>Zambezia</v>
      </c>
      <c r="U606" t="str">
        <v>Masculino</v>
      </c>
      <c r="V606" t="str">
        <v>Casado(a)</v>
      </c>
      <c r="W606" t="str">
        <v>Primaria</v>
      </c>
      <c r="X606" t="str">
        <v>Nao</v>
      </c>
      <c r="Y606" t="str">
        <v>Nenhuma</v>
      </c>
      <c r="Z606">
        <v>47</v>
      </c>
      <c r="AA606">
        <v>51.8</v>
      </c>
      <c r="AB606">
        <v>1.81</v>
      </c>
      <c r="AC606">
        <v>1</v>
      </c>
      <c r="AD606">
        <v>125</v>
      </c>
      <c r="AE606">
        <v>81</v>
      </c>
      <c r="AF606" t="str">
        <v>Urbana</v>
      </c>
      <c r="AG606" t="str">
        <v>Sim</v>
      </c>
    </row>
    <row r="607" spans="2:33" x14ac:dyDescent="0.45">
      <c r="B607" s="4">
        <v>606</v>
      </c>
      <c r="C607" s="4" t="s">
        <v>45</v>
      </c>
      <c r="D607" s="4" t="s">
        <v>16</v>
      </c>
      <c r="E607" s="4" t="s">
        <v>17</v>
      </c>
      <c r="F607" s="4" t="s">
        <v>24</v>
      </c>
      <c r="G607" s="4" t="s">
        <v>30</v>
      </c>
      <c r="H607" s="4" t="s">
        <v>25</v>
      </c>
      <c r="I607" s="4">
        <v>44</v>
      </c>
      <c r="J607" s="5">
        <v>52.1</v>
      </c>
      <c r="K607" s="6">
        <v>1.83</v>
      </c>
      <c r="L607" s="4">
        <v>4</v>
      </c>
      <c r="M607" s="4">
        <v>113</v>
      </c>
      <c r="N607" s="4">
        <v>97</v>
      </c>
      <c r="O607" s="4" t="s">
        <v>26</v>
      </c>
      <c r="P607" s="7" t="s">
        <v>19</v>
      </c>
      <c r="S607">
        <v>1313</v>
      </c>
      <c r="T607" t="str">
        <v>Sofala</v>
      </c>
      <c r="U607" t="str">
        <v>Masculino</v>
      </c>
      <c r="V607" t="str">
        <v>Divorciado(a)</v>
      </c>
      <c r="W607" t="str">
        <v>Secundaria</v>
      </c>
      <c r="X607" t="str">
        <v>Nao</v>
      </c>
      <c r="Y607" t="str">
        <v>Malaria</v>
      </c>
      <c r="Z607">
        <v>58</v>
      </c>
      <c r="AA607">
        <v>62.7</v>
      </c>
      <c r="AB607">
        <v>1.78</v>
      </c>
      <c r="AC607">
        <v>1</v>
      </c>
      <c r="AD607">
        <v>115</v>
      </c>
      <c r="AE607">
        <v>88</v>
      </c>
      <c r="AF607" t="str">
        <v>Rural</v>
      </c>
      <c r="AG607" t="str">
        <v>Nao</v>
      </c>
    </row>
    <row r="608" spans="2:33" x14ac:dyDescent="0.45">
      <c r="B608" s="4">
        <v>607</v>
      </c>
      <c r="C608" s="4" t="s">
        <v>41</v>
      </c>
      <c r="D608" s="4" t="s">
        <v>23</v>
      </c>
      <c r="E608" s="4" t="s">
        <v>44</v>
      </c>
      <c r="F608" s="4" t="s">
        <v>18</v>
      </c>
      <c r="G608" s="4" t="s">
        <v>19</v>
      </c>
      <c r="H608" s="4" t="s">
        <v>38</v>
      </c>
      <c r="I608" s="4">
        <v>44</v>
      </c>
      <c r="J608" s="5">
        <v>55.2</v>
      </c>
      <c r="K608" s="6">
        <v>1.64</v>
      </c>
      <c r="L608" s="4">
        <v>5</v>
      </c>
      <c r="M608" s="4">
        <v>120</v>
      </c>
      <c r="N608" s="4">
        <v>96</v>
      </c>
      <c r="O608" s="4" t="s">
        <v>21</v>
      </c>
      <c r="P608" s="7" t="s">
        <v>30</v>
      </c>
      <c r="S608">
        <v>1316</v>
      </c>
      <c r="T608" t="str">
        <v>Inhambane</v>
      </c>
      <c r="U608" t="str">
        <v>Masculino</v>
      </c>
      <c r="V608" t="str">
        <v>Casado(a)</v>
      </c>
      <c r="W608" t="str">
        <v>Secundaria</v>
      </c>
      <c r="X608" t="str">
        <v>Sim</v>
      </c>
      <c r="Y608" t="str">
        <v>Nenhuma</v>
      </c>
      <c r="Z608">
        <v>45</v>
      </c>
      <c r="AA608">
        <v>63.7</v>
      </c>
      <c r="AB608">
        <v>1.61</v>
      </c>
      <c r="AC608">
        <v>0</v>
      </c>
      <c r="AD608">
        <v>125</v>
      </c>
      <c r="AE608">
        <v>97</v>
      </c>
      <c r="AF608" t="str">
        <v>Urbana</v>
      </c>
      <c r="AG608" t="str">
        <v>Sim</v>
      </c>
    </row>
    <row r="609" spans="2:33" x14ac:dyDescent="0.45">
      <c r="B609" s="4">
        <v>608</v>
      </c>
      <c r="C609" s="4" t="s">
        <v>27</v>
      </c>
      <c r="D609" s="4" t="s">
        <v>16</v>
      </c>
      <c r="E609" s="4" t="s">
        <v>35</v>
      </c>
      <c r="F609" s="4" t="s">
        <v>18</v>
      </c>
      <c r="G609" s="4" t="s">
        <v>30</v>
      </c>
      <c r="H609" s="4" t="s">
        <v>28</v>
      </c>
      <c r="I609" s="4">
        <v>11</v>
      </c>
      <c r="J609" s="5">
        <v>34.299999999999997</v>
      </c>
      <c r="K609" s="6">
        <v>1.1200000000000001</v>
      </c>
      <c r="L609" s="4">
        <v>3</v>
      </c>
      <c r="M609" s="4">
        <v>96</v>
      </c>
      <c r="N609" s="4">
        <v>77</v>
      </c>
      <c r="O609" s="4" t="s">
        <v>21</v>
      </c>
      <c r="P609" s="7" t="s">
        <v>19</v>
      </c>
      <c r="S609">
        <v>1318</v>
      </c>
      <c r="T609" t="str">
        <v>Niassa</v>
      </c>
      <c r="U609" t="str">
        <v>Masculino</v>
      </c>
      <c r="V609" t="str">
        <v>Solteiro(a)</v>
      </c>
      <c r="W609" t="str">
        <v>Primaria</v>
      </c>
      <c r="X609" t="str">
        <v>Nao</v>
      </c>
      <c r="Y609" t="str">
        <v>Diarreia</v>
      </c>
      <c r="Z609">
        <v>39</v>
      </c>
      <c r="AA609">
        <v>57.9</v>
      </c>
      <c r="AB609">
        <v>1.66</v>
      </c>
      <c r="AC609">
        <v>2</v>
      </c>
      <c r="AD609">
        <v>109</v>
      </c>
      <c r="AE609">
        <v>91</v>
      </c>
      <c r="AF609" t="str">
        <v>Rural</v>
      </c>
      <c r="AG609" t="str">
        <v>Nao</v>
      </c>
    </row>
    <row r="610" spans="2:33" x14ac:dyDescent="0.45">
      <c r="B610" s="4">
        <v>609</v>
      </c>
      <c r="C610" s="4" t="s">
        <v>22</v>
      </c>
      <c r="D610" s="4" t="s">
        <v>16</v>
      </c>
      <c r="E610" s="4" t="s">
        <v>35</v>
      </c>
      <c r="F610" s="4" t="s">
        <v>24</v>
      </c>
      <c r="G610" s="4" t="s">
        <v>19</v>
      </c>
      <c r="H610" s="4" t="s">
        <v>36</v>
      </c>
      <c r="I610" s="4">
        <v>47</v>
      </c>
      <c r="J610" s="5">
        <v>61</v>
      </c>
      <c r="K610" s="6">
        <v>1.79</v>
      </c>
      <c r="L610" s="4">
        <v>2</v>
      </c>
      <c r="M610" s="4">
        <v>144</v>
      </c>
      <c r="N610" s="4">
        <v>90</v>
      </c>
      <c r="O610" s="4" t="s">
        <v>21</v>
      </c>
      <c r="P610" s="7" t="s">
        <v>19</v>
      </c>
      <c r="S610">
        <v>1319</v>
      </c>
      <c r="T610" t="str">
        <v>Sofala</v>
      </c>
      <c r="U610" t="str">
        <v>Masculino</v>
      </c>
      <c r="V610" t="str">
        <v>Solteiro(a)</v>
      </c>
      <c r="W610" t="str">
        <v>Primaria</v>
      </c>
      <c r="X610" t="str">
        <v>Sim</v>
      </c>
      <c r="Y610" t="str">
        <v>Hipertensao</v>
      </c>
      <c r="Z610">
        <v>14</v>
      </c>
      <c r="AA610">
        <v>54.2</v>
      </c>
      <c r="AB610">
        <v>1.66</v>
      </c>
      <c r="AC610">
        <v>3</v>
      </c>
      <c r="AD610">
        <v>128</v>
      </c>
      <c r="AE610">
        <v>83</v>
      </c>
      <c r="AF610" t="str">
        <v>Rural</v>
      </c>
      <c r="AG610" t="str">
        <v>Sim</v>
      </c>
    </row>
    <row r="611" spans="2:33" x14ac:dyDescent="0.45">
      <c r="B611" s="4">
        <v>610</v>
      </c>
      <c r="C611" s="4" t="s">
        <v>22</v>
      </c>
      <c r="D611" s="4" t="s">
        <v>16</v>
      </c>
      <c r="E611" s="4" t="s">
        <v>35</v>
      </c>
      <c r="F611" s="4" t="s">
        <v>24</v>
      </c>
      <c r="G611" s="4" t="s">
        <v>19</v>
      </c>
      <c r="H611" s="4" t="s">
        <v>20</v>
      </c>
      <c r="I611" s="4">
        <v>4</v>
      </c>
      <c r="J611" s="5">
        <v>16.8</v>
      </c>
      <c r="K611" s="6">
        <v>0.82</v>
      </c>
      <c r="L611" s="4">
        <v>3</v>
      </c>
      <c r="M611" s="4">
        <v>100</v>
      </c>
      <c r="N611" s="4">
        <v>71</v>
      </c>
      <c r="O611" s="4" t="s">
        <v>26</v>
      </c>
      <c r="P611" s="7" t="s">
        <v>19</v>
      </c>
      <c r="S611">
        <v>1320</v>
      </c>
      <c r="T611" t="str">
        <v>Nampula</v>
      </c>
      <c r="U611" t="str">
        <v>Masculino</v>
      </c>
      <c r="V611" t="str">
        <v>Casado(a)</v>
      </c>
      <c r="W611" t="str">
        <v>Primaria</v>
      </c>
      <c r="X611" t="str">
        <v>Nao</v>
      </c>
      <c r="Y611" t="str">
        <v>Diabetes</v>
      </c>
      <c r="Z611">
        <v>17</v>
      </c>
      <c r="AA611">
        <v>58.3</v>
      </c>
      <c r="AB611">
        <v>1.5</v>
      </c>
      <c r="AC611">
        <v>5</v>
      </c>
      <c r="AD611">
        <v>111</v>
      </c>
      <c r="AE611">
        <v>145</v>
      </c>
      <c r="AF611" t="str">
        <v>Rural</v>
      </c>
      <c r="AG611" t="str">
        <v>Nao</v>
      </c>
    </row>
    <row r="612" spans="2:33" x14ac:dyDescent="0.45">
      <c r="B612" s="4">
        <v>611</v>
      </c>
      <c r="C612" s="4" t="s">
        <v>43</v>
      </c>
      <c r="D612" s="4" t="s">
        <v>23</v>
      </c>
      <c r="E612" s="4" t="s">
        <v>17</v>
      </c>
      <c r="F612" s="4" t="s">
        <v>24</v>
      </c>
      <c r="G612" s="4" t="s">
        <v>19</v>
      </c>
      <c r="H612" s="4" t="s">
        <v>28</v>
      </c>
      <c r="I612" s="4">
        <v>59</v>
      </c>
      <c r="J612" s="5">
        <v>54.5</v>
      </c>
      <c r="K612" s="6">
        <v>1.63</v>
      </c>
      <c r="L612" s="4">
        <v>4</v>
      </c>
      <c r="M612" s="4">
        <v>118</v>
      </c>
      <c r="N612" s="4">
        <v>91</v>
      </c>
      <c r="O612" s="4" t="s">
        <v>26</v>
      </c>
      <c r="P612" s="7" t="s">
        <v>19</v>
      </c>
      <c r="S612">
        <v>1321</v>
      </c>
      <c r="T612" t="str">
        <v>Zambezia</v>
      </c>
      <c r="U612" t="str">
        <v>Masculino</v>
      </c>
      <c r="V612" t="str">
        <v>Divorciado(a)</v>
      </c>
      <c r="W612" t="str">
        <v>Secundaria</v>
      </c>
      <c r="X612" t="str">
        <v>Nao</v>
      </c>
      <c r="Y612" t="str">
        <v>Nenhuma</v>
      </c>
      <c r="Z612">
        <v>10</v>
      </c>
      <c r="AA612">
        <v>21.6</v>
      </c>
      <c r="AB612">
        <v>1.29</v>
      </c>
      <c r="AC612">
        <v>1</v>
      </c>
      <c r="AD612">
        <v>106</v>
      </c>
      <c r="AE612">
        <v>99</v>
      </c>
      <c r="AF612" t="str">
        <v>Rural</v>
      </c>
      <c r="AG612" t="str">
        <v>Nao</v>
      </c>
    </row>
    <row r="613" spans="2:33" x14ac:dyDescent="0.45">
      <c r="B613" s="4">
        <v>612</v>
      </c>
      <c r="C613" s="4" t="s">
        <v>27</v>
      </c>
      <c r="D613" s="4" t="s">
        <v>16</v>
      </c>
      <c r="E613" s="4" t="s">
        <v>17</v>
      </c>
      <c r="F613" s="4" t="s">
        <v>42</v>
      </c>
      <c r="G613" s="4" t="s">
        <v>19</v>
      </c>
      <c r="H613" s="4" t="s">
        <v>36</v>
      </c>
      <c r="I613" s="4">
        <v>19</v>
      </c>
      <c r="J613" s="5">
        <v>78</v>
      </c>
      <c r="K613" s="6">
        <v>1.74</v>
      </c>
      <c r="L613" s="4">
        <v>9</v>
      </c>
      <c r="M613" s="4">
        <v>141</v>
      </c>
      <c r="N613" s="4">
        <v>94</v>
      </c>
      <c r="O613" s="4" t="s">
        <v>26</v>
      </c>
      <c r="P613" s="7" t="s">
        <v>19</v>
      </c>
      <c r="S613">
        <v>1322</v>
      </c>
      <c r="T613" t="str">
        <v>Inhambane</v>
      </c>
      <c r="U613" t="str">
        <v>Masculino</v>
      </c>
      <c r="V613" t="str">
        <v>Solteiro(a)</v>
      </c>
      <c r="W613" t="str">
        <v>Primaria</v>
      </c>
      <c r="X613" t="str">
        <v>Nao</v>
      </c>
      <c r="Y613" t="str">
        <v>Malaria</v>
      </c>
      <c r="Z613">
        <v>22</v>
      </c>
      <c r="AA613">
        <v>48.4</v>
      </c>
      <c r="AB613">
        <v>1.62</v>
      </c>
      <c r="AC613">
        <v>0</v>
      </c>
      <c r="AD613">
        <v>113</v>
      </c>
      <c r="AE613">
        <v>80</v>
      </c>
      <c r="AF613" t="str">
        <v>Urbana</v>
      </c>
      <c r="AG613" t="str">
        <v>Nao</v>
      </c>
    </row>
    <row r="614" spans="2:33" x14ac:dyDescent="0.45">
      <c r="B614" s="4">
        <v>613</v>
      </c>
      <c r="C614" s="4" t="s">
        <v>22</v>
      </c>
      <c r="D614" s="4" t="s">
        <v>16</v>
      </c>
      <c r="E614" s="4" t="s">
        <v>35</v>
      </c>
      <c r="F614" s="4" t="s">
        <v>24</v>
      </c>
      <c r="G614" s="4" t="s">
        <v>19</v>
      </c>
      <c r="H614" s="4" t="s">
        <v>28</v>
      </c>
      <c r="I614" s="4">
        <v>10</v>
      </c>
      <c r="J614" s="5">
        <v>25.4</v>
      </c>
      <c r="K614" s="6">
        <v>1.1599999999999999</v>
      </c>
      <c r="L614" s="4">
        <v>0</v>
      </c>
      <c r="M614" s="4">
        <v>112</v>
      </c>
      <c r="N614" s="4">
        <v>101</v>
      </c>
      <c r="O614" s="4" t="s">
        <v>21</v>
      </c>
      <c r="P614" s="7" t="s">
        <v>19</v>
      </c>
      <c r="S614">
        <v>1323</v>
      </c>
      <c r="T614" t="str">
        <v>Sofala</v>
      </c>
      <c r="U614" t="str">
        <v>Masculino</v>
      </c>
      <c r="V614" t="str">
        <v>Solteiro(a)</v>
      </c>
      <c r="W614" t="str">
        <v>Secundaria</v>
      </c>
      <c r="X614" t="str">
        <v>Nao</v>
      </c>
      <c r="Y614" t="str">
        <v>Tuberculose</v>
      </c>
      <c r="Z614">
        <v>36</v>
      </c>
      <c r="AA614">
        <v>88.8</v>
      </c>
      <c r="AB614">
        <v>1.79</v>
      </c>
      <c r="AC614">
        <v>6</v>
      </c>
      <c r="AD614">
        <v>102</v>
      </c>
      <c r="AE614">
        <v>79</v>
      </c>
      <c r="AF614" t="str">
        <v>Rural</v>
      </c>
      <c r="AG614" t="str">
        <v>Nao</v>
      </c>
    </row>
    <row r="615" spans="2:33" x14ac:dyDescent="0.45">
      <c r="B615" s="4">
        <v>614</v>
      </c>
      <c r="C615" s="4" t="s">
        <v>40</v>
      </c>
      <c r="D615" s="4" t="s">
        <v>23</v>
      </c>
      <c r="E615" s="4" t="s">
        <v>35</v>
      </c>
      <c r="F615" s="4" t="s">
        <v>42</v>
      </c>
      <c r="G615" s="4" t="s">
        <v>19</v>
      </c>
      <c r="H615" s="4" t="s">
        <v>28</v>
      </c>
      <c r="I615" s="4">
        <v>20</v>
      </c>
      <c r="J615" s="5">
        <v>69.900000000000006</v>
      </c>
      <c r="K615" s="6">
        <v>1.52</v>
      </c>
      <c r="L615" s="4">
        <v>4</v>
      </c>
      <c r="M615" s="4">
        <v>106</v>
      </c>
      <c r="N615" s="4">
        <v>95</v>
      </c>
      <c r="O615" s="4" t="s">
        <v>21</v>
      </c>
      <c r="P615" s="7" t="s">
        <v>19</v>
      </c>
      <c r="S615">
        <v>1324</v>
      </c>
      <c r="T615" t="str">
        <v>Nampula</v>
      </c>
      <c r="U615" t="str">
        <v>Masculino</v>
      </c>
      <c r="V615" t="str">
        <v>Solteiro(a)</v>
      </c>
      <c r="W615" t="str">
        <v>Primaria</v>
      </c>
      <c r="X615" t="str">
        <v>Nao</v>
      </c>
      <c r="Y615" t="str">
        <v>Malaria</v>
      </c>
      <c r="Z615">
        <v>15</v>
      </c>
      <c r="AA615">
        <v>57.2</v>
      </c>
      <c r="AB615">
        <v>1.48</v>
      </c>
      <c r="AC615">
        <v>5</v>
      </c>
      <c r="AD615">
        <v>103</v>
      </c>
      <c r="AE615">
        <v>82</v>
      </c>
      <c r="AF615" t="str">
        <v>Rural</v>
      </c>
      <c r="AG615" t="str">
        <v>Nao</v>
      </c>
    </row>
    <row r="616" spans="2:33" x14ac:dyDescent="0.45">
      <c r="B616" s="4">
        <v>615</v>
      </c>
      <c r="C616" s="4" t="s">
        <v>45</v>
      </c>
      <c r="D616" s="4" t="s">
        <v>16</v>
      </c>
      <c r="E616" s="4" t="s">
        <v>17</v>
      </c>
      <c r="F616" s="4" t="s">
        <v>18</v>
      </c>
      <c r="G616" s="4" t="s">
        <v>19</v>
      </c>
      <c r="H616" s="4" t="s">
        <v>38</v>
      </c>
      <c r="I616" s="4">
        <v>22</v>
      </c>
      <c r="J616" s="5">
        <v>55.2</v>
      </c>
      <c r="K616" s="6">
        <v>1.87</v>
      </c>
      <c r="L616" s="4">
        <v>8</v>
      </c>
      <c r="M616" s="4">
        <v>97</v>
      </c>
      <c r="N616" s="4">
        <v>89</v>
      </c>
      <c r="O616" s="4" t="s">
        <v>26</v>
      </c>
      <c r="P616" s="7" t="s">
        <v>19</v>
      </c>
      <c r="S616">
        <v>1325</v>
      </c>
      <c r="T616" t="str">
        <v>Cabo Delgado</v>
      </c>
      <c r="U616" t="str">
        <v>Masculino</v>
      </c>
      <c r="V616" t="str">
        <v>Casado(a)</v>
      </c>
      <c r="W616" t="str">
        <v>Primaria</v>
      </c>
      <c r="X616" t="str">
        <v>Sim</v>
      </c>
      <c r="Y616" t="str">
        <v>Diabetes</v>
      </c>
      <c r="Z616">
        <v>83</v>
      </c>
      <c r="AA616">
        <v>56.7</v>
      </c>
      <c r="AB616">
        <v>1.62</v>
      </c>
      <c r="AC616">
        <v>0</v>
      </c>
      <c r="AD616">
        <v>124</v>
      </c>
      <c r="AE616">
        <v>168</v>
      </c>
      <c r="AF616" t="str">
        <v>Urbana</v>
      </c>
      <c r="AG616" t="str">
        <v>Nao</v>
      </c>
    </row>
    <row r="617" spans="2:33" x14ac:dyDescent="0.45">
      <c r="B617" s="4">
        <v>616</v>
      </c>
      <c r="C617" s="4" t="s">
        <v>22</v>
      </c>
      <c r="D617" s="4" t="s">
        <v>23</v>
      </c>
      <c r="E617" s="4" t="s">
        <v>35</v>
      </c>
      <c r="F617" s="4" t="s">
        <v>24</v>
      </c>
      <c r="G617" s="4" t="s">
        <v>19</v>
      </c>
      <c r="H617" s="4" t="s">
        <v>28</v>
      </c>
      <c r="I617" s="4">
        <v>0</v>
      </c>
      <c r="J617" s="5">
        <v>10.6</v>
      </c>
      <c r="K617" s="6">
        <v>0.72</v>
      </c>
      <c r="L617" s="4">
        <v>9</v>
      </c>
      <c r="M617" s="4">
        <v>97</v>
      </c>
      <c r="N617" s="4">
        <v>99</v>
      </c>
      <c r="O617" s="4" t="s">
        <v>26</v>
      </c>
      <c r="P617" s="7" t="s">
        <v>19</v>
      </c>
      <c r="S617">
        <v>1327</v>
      </c>
      <c r="T617" t="str">
        <v>Maputo Cidade</v>
      </c>
      <c r="U617" t="str">
        <v>Masculino</v>
      </c>
      <c r="V617" t="str">
        <v>Solteiro(a)</v>
      </c>
      <c r="W617" t="str">
        <v>Nenhuma</v>
      </c>
      <c r="X617" t="str">
        <v>Nao</v>
      </c>
      <c r="Y617" t="str">
        <v>Nenhuma</v>
      </c>
      <c r="Z617">
        <v>52</v>
      </c>
      <c r="AA617">
        <v>63.3</v>
      </c>
      <c r="AB617">
        <v>1.66</v>
      </c>
      <c r="AC617">
        <v>0</v>
      </c>
      <c r="AD617">
        <v>126</v>
      </c>
      <c r="AE617">
        <v>84</v>
      </c>
      <c r="AF617" t="str">
        <v>Rural</v>
      </c>
      <c r="AG617" t="str">
        <v>Nao</v>
      </c>
    </row>
    <row r="618" spans="2:33" x14ac:dyDescent="0.45">
      <c r="B618" s="4">
        <v>617</v>
      </c>
      <c r="C618" s="4" t="s">
        <v>43</v>
      </c>
      <c r="D618" s="4" t="s">
        <v>16</v>
      </c>
      <c r="E618" s="4" t="s">
        <v>35</v>
      </c>
      <c r="F618" s="4" t="s">
        <v>42</v>
      </c>
      <c r="G618" s="4" t="s">
        <v>30</v>
      </c>
      <c r="H618" s="4" t="s">
        <v>28</v>
      </c>
      <c r="I618" s="4">
        <v>42</v>
      </c>
      <c r="J618" s="5">
        <v>75.5</v>
      </c>
      <c r="K618" s="6">
        <v>1.72</v>
      </c>
      <c r="L618" s="4">
        <v>2</v>
      </c>
      <c r="M618" s="4">
        <v>114</v>
      </c>
      <c r="N618" s="4">
        <v>91</v>
      </c>
      <c r="O618" s="4" t="s">
        <v>21</v>
      </c>
      <c r="P618" s="7" t="s">
        <v>19</v>
      </c>
      <c r="S618">
        <v>1328</v>
      </c>
      <c r="T618" t="str">
        <v>Maputo Cidade</v>
      </c>
      <c r="U618" t="str">
        <v>Masculino</v>
      </c>
      <c r="V618" t="str">
        <v>Solteiro(a)</v>
      </c>
      <c r="W618" t="str">
        <v>Secundaria</v>
      </c>
      <c r="X618" t="str">
        <v>Nao</v>
      </c>
      <c r="Y618" t="str">
        <v>Malaria</v>
      </c>
      <c r="Z618">
        <v>40</v>
      </c>
      <c r="AA618">
        <v>64.900000000000006</v>
      </c>
      <c r="AB618">
        <v>1.58</v>
      </c>
      <c r="AC618">
        <v>4</v>
      </c>
      <c r="AD618">
        <v>127</v>
      </c>
      <c r="AE618">
        <v>102</v>
      </c>
      <c r="AF618" t="str">
        <v>Urbana</v>
      </c>
      <c r="AG618" t="str">
        <v>Sim</v>
      </c>
    </row>
    <row r="619" spans="2:33" x14ac:dyDescent="0.45">
      <c r="B619" s="4">
        <v>618</v>
      </c>
      <c r="C619" s="4" t="s">
        <v>41</v>
      </c>
      <c r="D619" s="4" t="s">
        <v>23</v>
      </c>
      <c r="E619" s="4" t="s">
        <v>17</v>
      </c>
      <c r="F619" s="4" t="s">
        <v>24</v>
      </c>
      <c r="G619" s="4" t="s">
        <v>19</v>
      </c>
      <c r="H619" s="4" t="s">
        <v>28</v>
      </c>
      <c r="I619" s="4">
        <v>13</v>
      </c>
      <c r="J619" s="5">
        <v>53.7</v>
      </c>
      <c r="K619" s="6">
        <v>1.64</v>
      </c>
      <c r="L619" s="4">
        <v>0</v>
      </c>
      <c r="M619" s="4">
        <v>108</v>
      </c>
      <c r="N619" s="4">
        <v>75</v>
      </c>
      <c r="O619" s="4" t="s">
        <v>26</v>
      </c>
      <c r="P619" s="7" t="s">
        <v>19</v>
      </c>
      <c r="S619">
        <v>1329</v>
      </c>
      <c r="T619" t="str">
        <v>Tete</v>
      </c>
      <c r="U619" t="str">
        <v>Masculino</v>
      </c>
      <c r="V619" t="str">
        <v>Casado(a)</v>
      </c>
      <c r="W619" t="str">
        <v>Primaria</v>
      </c>
      <c r="X619" t="str">
        <v>Nao</v>
      </c>
      <c r="Y619" t="str">
        <v>Malaria</v>
      </c>
      <c r="Z619">
        <v>40</v>
      </c>
      <c r="AA619">
        <v>45.1</v>
      </c>
      <c r="AB619">
        <v>1.86</v>
      </c>
      <c r="AC619">
        <v>3</v>
      </c>
      <c r="AD619">
        <v>121</v>
      </c>
      <c r="AE619">
        <v>88</v>
      </c>
      <c r="AF619" t="str">
        <v>Rural</v>
      </c>
      <c r="AG619" t="str">
        <v>Nao</v>
      </c>
    </row>
    <row r="620" spans="2:33" x14ac:dyDescent="0.45">
      <c r="B620" s="4">
        <v>619</v>
      </c>
      <c r="C620" s="4" t="s">
        <v>33</v>
      </c>
      <c r="D620" s="4" t="s">
        <v>16</v>
      </c>
      <c r="E620" s="4" t="s">
        <v>35</v>
      </c>
      <c r="F620" s="4" t="s">
        <v>24</v>
      </c>
      <c r="G620" s="4" t="s">
        <v>30</v>
      </c>
      <c r="H620" s="4" t="s">
        <v>38</v>
      </c>
      <c r="I620" s="4">
        <v>16</v>
      </c>
      <c r="J620" s="5">
        <v>50.1</v>
      </c>
      <c r="K620" s="6">
        <v>1.63</v>
      </c>
      <c r="L620" s="4">
        <v>1</v>
      </c>
      <c r="M620" s="4">
        <v>96</v>
      </c>
      <c r="N620" s="4">
        <v>78</v>
      </c>
      <c r="O620" s="4" t="s">
        <v>21</v>
      </c>
      <c r="P620" s="7" t="s">
        <v>19</v>
      </c>
      <c r="S620">
        <v>1330</v>
      </c>
      <c r="T620" t="str">
        <v>Nampula</v>
      </c>
      <c r="U620" t="str">
        <v>Masculino</v>
      </c>
      <c r="V620" t="str">
        <v>Solteiro(a)</v>
      </c>
      <c r="W620" t="str">
        <v>Nenhuma</v>
      </c>
      <c r="X620" t="str">
        <v>Nao</v>
      </c>
      <c r="Y620" t="str">
        <v>Diabetes</v>
      </c>
      <c r="Z620">
        <v>51</v>
      </c>
      <c r="AA620">
        <v>72.599999999999994</v>
      </c>
      <c r="AB620">
        <v>1.54</v>
      </c>
      <c r="AC620">
        <v>2</v>
      </c>
      <c r="AD620">
        <v>126</v>
      </c>
      <c r="AE620">
        <v>149</v>
      </c>
      <c r="AF620" t="str">
        <v>Urbana</v>
      </c>
      <c r="AG620" t="str">
        <v>Sim</v>
      </c>
    </row>
    <row r="621" spans="2:33" x14ac:dyDescent="0.45">
      <c r="B621" s="4">
        <v>620</v>
      </c>
      <c r="C621" s="4" t="s">
        <v>15</v>
      </c>
      <c r="D621" s="4" t="s">
        <v>16</v>
      </c>
      <c r="E621" s="4" t="s">
        <v>37</v>
      </c>
      <c r="F621" s="4" t="s">
        <v>28</v>
      </c>
      <c r="G621" s="4" t="s">
        <v>30</v>
      </c>
      <c r="H621" s="4" t="s">
        <v>32</v>
      </c>
      <c r="I621" s="4">
        <v>35</v>
      </c>
      <c r="J621" s="5">
        <v>49</v>
      </c>
      <c r="K621" s="6">
        <v>1.59</v>
      </c>
      <c r="L621" s="4">
        <v>2</v>
      </c>
      <c r="M621" s="4">
        <v>116</v>
      </c>
      <c r="N621" s="4">
        <v>162</v>
      </c>
      <c r="O621" s="4" t="s">
        <v>26</v>
      </c>
      <c r="P621" s="7" t="s">
        <v>19</v>
      </c>
      <c r="S621">
        <v>1334</v>
      </c>
      <c r="T621" t="str">
        <v>Zambezia</v>
      </c>
      <c r="U621" t="str">
        <v>Masculino</v>
      </c>
      <c r="V621" t="str">
        <v>Casado(a)</v>
      </c>
      <c r="W621" t="str">
        <v>Primaria</v>
      </c>
      <c r="X621" t="str">
        <v>Nao</v>
      </c>
      <c r="Y621" t="str">
        <v>Malaria</v>
      </c>
      <c r="Z621">
        <v>13</v>
      </c>
      <c r="AA621">
        <v>63.1</v>
      </c>
      <c r="AB621">
        <v>1.67</v>
      </c>
      <c r="AC621">
        <v>2</v>
      </c>
      <c r="AD621">
        <v>101</v>
      </c>
      <c r="AE621">
        <v>75</v>
      </c>
      <c r="AF621" t="str">
        <v>Urbana</v>
      </c>
      <c r="AG621" t="str">
        <v>Nao</v>
      </c>
    </row>
    <row r="622" spans="2:33" x14ac:dyDescent="0.45">
      <c r="B622" s="4">
        <v>621</v>
      </c>
      <c r="C622" s="4" t="s">
        <v>27</v>
      </c>
      <c r="D622" s="4" t="s">
        <v>23</v>
      </c>
      <c r="E622" s="4" t="s">
        <v>17</v>
      </c>
      <c r="F622" s="4" t="s">
        <v>24</v>
      </c>
      <c r="G622" s="4" t="s">
        <v>19</v>
      </c>
      <c r="H622" s="4" t="s">
        <v>32</v>
      </c>
      <c r="I622" s="4">
        <v>5</v>
      </c>
      <c r="J622" s="5">
        <v>36.1</v>
      </c>
      <c r="K622" s="6">
        <v>1.22</v>
      </c>
      <c r="L622" s="4">
        <v>10</v>
      </c>
      <c r="M622" s="4">
        <v>105</v>
      </c>
      <c r="N622" s="4">
        <v>174</v>
      </c>
      <c r="O622" s="4" t="s">
        <v>21</v>
      </c>
      <c r="P622" s="7" t="s">
        <v>19</v>
      </c>
      <c r="S622">
        <v>1335</v>
      </c>
      <c r="T622" t="str">
        <v>Zambezia</v>
      </c>
      <c r="U622" t="str">
        <v>Masculino</v>
      </c>
      <c r="V622" t="str">
        <v>Solteiro(a)</v>
      </c>
      <c r="W622" t="str">
        <v>Secundaria</v>
      </c>
      <c r="X622" t="str">
        <v>Sim</v>
      </c>
      <c r="Y622" t="str">
        <v>Malaria</v>
      </c>
      <c r="Z622">
        <v>2</v>
      </c>
      <c r="AA622">
        <v>15.3</v>
      </c>
      <c r="AB622">
        <v>0.7</v>
      </c>
      <c r="AC622">
        <v>3</v>
      </c>
      <c r="AD622">
        <v>115</v>
      </c>
      <c r="AE622">
        <v>90</v>
      </c>
      <c r="AF622" t="str">
        <v>Urbana</v>
      </c>
      <c r="AG622" t="str">
        <v>Nao</v>
      </c>
    </row>
    <row r="623" spans="2:33" x14ac:dyDescent="0.45">
      <c r="B623" s="4">
        <v>622</v>
      </c>
      <c r="C623" s="4" t="s">
        <v>22</v>
      </c>
      <c r="D623" s="4" t="s">
        <v>16</v>
      </c>
      <c r="E623" s="4" t="s">
        <v>35</v>
      </c>
      <c r="F623" s="4" t="s">
        <v>18</v>
      </c>
      <c r="G623" s="4" t="s">
        <v>19</v>
      </c>
      <c r="H623" s="4" t="s">
        <v>20</v>
      </c>
      <c r="I623" s="4">
        <v>13</v>
      </c>
      <c r="J623" s="5">
        <v>47.6</v>
      </c>
      <c r="K623" s="6">
        <v>1.73</v>
      </c>
      <c r="L623" s="4">
        <v>5</v>
      </c>
      <c r="M623" s="4">
        <v>100</v>
      </c>
      <c r="N623" s="4">
        <v>72</v>
      </c>
      <c r="O623" s="4" t="s">
        <v>26</v>
      </c>
      <c r="P623" s="7" t="s">
        <v>19</v>
      </c>
      <c r="S623">
        <v>1336</v>
      </c>
      <c r="T623" t="str">
        <v>Maputo Provincia</v>
      </c>
      <c r="U623" t="str">
        <v>Masculino</v>
      </c>
      <c r="V623" t="str">
        <v>Casado(a)</v>
      </c>
      <c r="W623" t="str">
        <v>Primaria</v>
      </c>
      <c r="X623" t="str">
        <v>Sim</v>
      </c>
      <c r="Y623" t="str">
        <v>Diarreia</v>
      </c>
      <c r="Z623">
        <v>39</v>
      </c>
      <c r="AA623">
        <v>81.3</v>
      </c>
      <c r="AB623">
        <v>1.86</v>
      </c>
      <c r="AC623">
        <v>6</v>
      </c>
      <c r="AD623">
        <v>116</v>
      </c>
      <c r="AE623">
        <v>103</v>
      </c>
      <c r="AF623" t="str">
        <v>Urbana</v>
      </c>
      <c r="AG623" t="str">
        <v>Sim</v>
      </c>
    </row>
    <row r="624" spans="2:33" x14ac:dyDescent="0.45">
      <c r="B624" s="4">
        <v>623</v>
      </c>
      <c r="C624" s="4" t="s">
        <v>39</v>
      </c>
      <c r="D624" s="4" t="s">
        <v>23</v>
      </c>
      <c r="E624" s="4" t="s">
        <v>35</v>
      </c>
      <c r="F624" s="4" t="s">
        <v>28</v>
      </c>
      <c r="G624" s="4" t="s">
        <v>19</v>
      </c>
      <c r="H624" s="4" t="s">
        <v>20</v>
      </c>
      <c r="I624" s="4">
        <v>41</v>
      </c>
      <c r="J624" s="5">
        <v>66</v>
      </c>
      <c r="K624" s="6">
        <v>1.85</v>
      </c>
      <c r="L624" s="4">
        <v>1</v>
      </c>
      <c r="M624" s="4">
        <v>114</v>
      </c>
      <c r="N624" s="4">
        <v>99</v>
      </c>
      <c r="O624" s="4" t="s">
        <v>26</v>
      </c>
      <c r="P624" s="7" t="s">
        <v>19</v>
      </c>
      <c r="S624">
        <v>1338</v>
      </c>
      <c r="T624" t="str">
        <v>Nampula</v>
      </c>
      <c r="U624" t="str">
        <v>Masculino</v>
      </c>
      <c r="V624" t="str">
        <v>Solteiro(a)</v>
      </c>
      <c r="W624" t="str">
        <v>Secundaria</v>
      </c>
      <c r="X624" t="str">
        <v>Nao</v>
      </c>
      <c r="Y624" t="str">
        <v>Diabetes</v>
      </c>
      <c r="Z624">
        <v>32</v>
      </c>
      <c r="AA624">
        <v>50.6</v>
      </c>
      <c r="AB624">
        <v>1.5</v>
      </c>
      <c r="AC624">
        <v>9</v>
      </c>
      <c r="AD624">
        <v>126</v>
      </c>
      <c r="AE624">
        <v>170</v>
      </c>
      <c r="AF624" t="str">
        <v>Rural</v>
      </c>
      <c r="AG624" t="str">
        <v>Sim</v>
      </c>
    </row>
    <row r="625" spans="2:33" x14ac:dyDescent="0.45">
      <c r="B625" s="4">
        <v>624</v>
      </c>
      <c r="C625" s="4" t="s">
        <v>40</v>
      </c>
      <c r="D625" s="4" t="s">
        <v>23</v>
      </c>
      <c r="E625" s="4" t="s">
        <v>35</v>
      </c>
      <c r="F625" s="4" t="s">
        <v>18</v>
      </c>
      <c r="G625" s="4" t="s">
        <v>19</v>
      </c>
      <c r="H625" s="4" t="s">
        <v>38</v>
      </c>
      <c r="I625" s="4">
        <v>18</v>
      </c>
      <c r="J625" s="5">
        <v>78.5</v>
      </c>
      <c r="K625" s="6">
        <v>1.74</v>
      </c>
      <c r="L625" s="4">
        <v>4</v>
      </c>
      <c r="M625" s="4">
        <v>108</v>
      </c>
      <c r="N625" s="4">
        <v>74</v>
      </c>
      <c r="O625" s="4" t="s">
        <v>21</v>
      </c>
      <c r="P625" s="7" t="s">
        <v>19</v>
      </c>
      <c r="S625">
        <v>1339</v>
      </c>
      <c r="T625" t="str">
        <v>Nampula</v>
      </c>
      <c r="U625" t="str">
        <v>Masculino</v>
      </c>
      <c r="V625" t="str">
        <v>Viuvo(a)</v>
      </c>
      <c r="W625" t="str">
        <v>Nenhuma</v>
      </c>
      <c r="X625" t="str">
        <v>Nao</v>
      </c>
      <c r="Y625" t="str">
        <v>Malaria</v>
      </c>
      <c r="Z625">
        <v>27</v>
      </c>
      <c r="AA625">
        <v>64.400000000000006</v>
      </c>
      <c r="AB625">
        <v>1.67</v>
      </c>
      <c r="AC625">
        <v>2</v>
      </c>
      <c r="AD625">
        <v>121</v>
      </c>
      <c r="AE625">
        <v>85</v>
      </c>
      <c r="AF625" t="str">
        <v>Rural</v>
      </c>
      <c r="AG625" t="str">
        <v>Nao</v>
      </c>
    </row>
    <row r="626" spans="2:33" x14ac:dyDescent="0.45">
      <c r="B626" s="4">
        <v>625</v>
      </c>
      <c r="C626" s="4" t="s">
        <v>43</v>
      </c>
      <c r="D626" s="4" t="s">
        <v>16</v>
      </c>
      <c r="E626" s="4" t="s">
        <v>35</v>
      </c>
      <c r="F626" s="4" t="s">
        <v>42</v>
      </c>
      <c r="G626" s="4" t="s">
        <v>30</v>
      </c>
      <c r="H626" s="4" t="s">
        <v>20</v>
      </c>
      <c r="I626" s="4">
        <v>59</v>
      </c>
      <c r="J626" s="5">
        <v>73.599999999999994</v>
      </c>
      <c r="K626" s="6">
        <v>1.83</v>
      </c>
      <c r="L626" s="4">
        <v>4</v>
      </c>
      <c r="M626" s="4">
        <v>108</v>
      </c>
      <c r="N626" s="4">
        <v>79</v>
      </c>
      <c r="O626" s="4" t="s">
        <v>21</v>
      </c>
      <c r="P626" s="7" t="s">
        <v>19</v>
      </c>
      <c r="S626">
        <v>1340</v>
      </c>
      <c r="T626" t="str">
        <v>Tete</v>
      </c>
      <c r="U626" t="str">
        <v>Masculino</v>
      </c>
      <c r="V626" t="str">
        <v>Divorciado(a)</v>
      </c>
      <c r="W626" t="str">
        <v>Primaria</v>
      </c>
      <c r="X626" t="str">
        <v>Nao</v>
      </c>
      <c r="Y626" t="str">
        <v>Diarreia</v>
      </c>
      <c r="Z626">
        <v>16</v>
      </c>
      <c r="AA626">
        <v>62.9</v>
      </c>
      <c r="AB626">
        <v>1.72</v>
      </c>
      <c r="AC626">
        <v>1</v>
      </c>
      <c r="AD626">
        <v>97</v>
      </c>
      <c r="AE626">
        <v>101</v>
      </c>
      <c r="AF626" t="str">
        <v>Rural</v>
      </c>
      <c r="AG626" t="str">
        <v>Nao</v>
      </c>
    </row>
    <row r="627" spans="2:33" x14ac:dyDescent="0.45">
      <c r="B627" s="4">
        <v>626</v>
      </c>
      <c r="C627" s="4" t="s">
        <v>31</v>
      </c>
      <c r="D627" s="4" t="s">
        <v>16</v>
      </c>
      <c r="E627" s="4" t="s">
        <v>37</v>
      </c>
      <c r="F627" s="4" t="s">
        <v>28</v>
      </c>
      <c r="G627" s="4" t="s">
        <v>19</v>
      </c>
      <c r="H627" s="4" t="s">
        <v>28</v>
      </c>
      <c r="I627" s="4">
        <v>8</v>
      </c>
      <c r="J627" s="5">
        <v>32.200000000000003</v>
      </c>
      <c r="K627" s="6">
        <v>1.1000000000000001</v>
      </c>
      <c r="L627" s="4">
        <v>3</v>
      </c>
      <c r="M627" s="4">
        <v>96</v>
      </c>
      <c r="N627" s="4">
        <v>81</v>
      </c>
      <c r="O627" s="4" t="s">
        <v>26</v>
      </c>
      <c r="P627" s="7" t="s">
        <v>19</v>
      </c>
      <c r="S627">
        <v>1341</v>
      </c>
      <c r="T627" t="str">
        <v>Inhambane</v>
      </c>
      <c r="U627" t="str">
        <v>Masculino</v>
      </c>
      <c r="V627" t="str">
        <v>Casado(a)</v>
      </c>
      <c r="W627" t="str">
        <v>Primaria</v>
      </c>
      <c r="X627" t="str">
        <v>Sim</v>
      </c>
      <c r="Y627" t="str">
        <v>Malaria</v>
      </c>
      <c r="Z627">
        <v>20</v>
      </c>
      <c r="AA627">
        <v>88.6</v>
      </c>
      <c r="AB627">
        <v>1.52</v>
      </c>
      <c r="AC627">
        <v>1</v>
      </c>
      <c r="AD627">
        <v>120</v>
      </c>
      <c r="AE627">
        <v>81</v>
      </c>
      <c r="AF627" t="str">
        <v>Urbana</v>
      </c>
      <c r="AG627" t="str">
        <v>Sim</v>
      </c>
    </row>
    <row r="628" spans="2:33" x14ac:dyDescent="0.45">
      <c r="B628" s="4">
        <v>627</v>
      </c>
      <c r="C628" s="4" t="s">
        <v>22</v>
      </c>
      <c r="D628" s="4" t="s">
        <v>16</v>
      </c>
      <c r="E628" s="4" t="s">
        <v>35</v>
      </c>
      <c r="F628" s="4" t="s">
        <v>24</v>
      </c>
      <c r="G628" s="4" t="s">
        <v>19</v>
      </c>
      <c r="H628" s="4" t="s">
        <v>28</v>
      </c>
      <c r="I628" s="4">
        <v>45</v>
      </c>
      <c r="J628" s="5">
        <v>51.1</v>
      </c>
      <c r="K628" s="6">
        <v>1.76</v>
      </c>
      <c r="L628" s="4">
        <v>1</v>
      </c>
      <c r="M628" s="4">
        <v>115</v>
      </c>
      <c r="N628" s="4">
        <v>100</v>
      </c>
      <c r="O628" s="4" t="s">
        <v>26</v>
      </c>
      <c r="P628" s="7" t="s">
        <v>19</v>
      </c>
      <c r="S628">
        <v>1342</v>
      </c>
      <c r="T628" t="str">
        <v>Nampula</v>
      </c>
      <c r="U628" t="str">
        <v>Masculino</v>
      </c>
      <c r="V628" t="str">
        <v>Casado(a)</v>
      </c>
      <c r="W628" t="str">
        <v>Primaria</v>
      </c>
      <c r="X628" t="str">
        <v>Nao</v>
      </c>
      <c r="Y628" t="str">
        <v>HIV/SIDA</v>
      </c>
      <c r="Z628">
        <v>5</v>
      </c>
      <c r="AA628">
        <v>33.200000000000003</v>
      </c>
      <c r="AB628">
        <v>1.4</v>
      </c>
      <c r="AC628">
        <v>4</v>
      </c>
      <c r="AD628">
        <v>111</v>
      </c>
      <c r="AE628">
        <v>91</v>
      </c>
      <c r="AF628" t="str">
        <v>Urbana</v>
      </c>
      <c r="AG628" t="str">
        <v>Nao</v>
      </c>
    </row>
    <row r="629" spans="2:33" x14ac:dyDescent="0.45">
      <c r="B629" s="4">
        <v>628</v>
      </c>
      <c r="C629" s="4" t="s">
        <v>31</v>
      </c>
      <c r="D629" s="4" t="s">
        <v>16</v>
      </c>
      <c r="E629" s="4" t="s">
        <v>17</v>
      </c>
      <c r="F629" s="4" t="s">
        <v>42</v>
      </c>
      <c r="G629" s="4" t="s">
        <v>30</v>
      </c>
      <c r="H629" s="4" t="s">
        <v>32</v>
      </c>
      <c r="I629" s="4">
        <v>24</v>
      </c>
      <c r="J629" s="5">
        <v>72.400000000000006</v>
      </c>
      <c r="K629" s="6">
        <v>1.75</v>
      </c>
      <c r="L629" s="4">
        <v>1</v>
      </c>
      <c r="M629" s="4">
        <v>100</v>
      </c>
      <c r="N629" s="4">
        <v>155</v>
      </c>
      <c r="O629" s="4" t="s">
        <v>26</v>
      </c>
      <c r="P629" s="7" t="s">
        <v>19</v>
      </c>
      <c r="S629">
        <v>1345</v>
      </c>
      <c r="T629" t="str">
        <v>Niassa</v>
      </c>
      <c r="U629" t="str">
        <v>Masculino</v>
      </c>
      <c r="V629" t="str">
        <v>Solteiro(a)</v>
      </c>
      <c r="W629" t="str">
        <v>Nenhuma</v>
      </c>
      <c r="X629" t="str">
        <v>Nao</v>
      </c>
      <c r="Y629" t="str">
        <v>Malaria</v>
      </c>
      <c r="Z629">
        <v>42</v>
      </c>
      <c r="AA629">
        <v>47.1</v>
      </c>
      <c r="AB629">
        <v>1.87</v>
      </c>
      <c r="AC629">
        <v>0</v>
      </c>
      <c r="AD629">
        <v>116</v>
      </c>
      <c r="AE629">
        <v>87</v>
      </c>
      <c r="AF629" t="str">
        <v>Rural</v>
      </c>
      <c r="AG629" t="str">
        <v>Sim</v>
      </c>
    </row>
    <row r="630" spans="2:33" x14ac:dyDescent="0.45">
      <c r="B630" s="4">
        <v>629</v>
      </c>
      <c r="C630" s="4" t="s">
        <v>41</v>
      </c>
      <c r="D630" s="4" t="s">
        <v>16</v>
      </c>
      <c r="E630" s="4" t="s">
        <v>35</v>
      </c>
      <c r="F630" s="4" t="s">
        <v>18</v>
      </c>
      <c r="G630" s="4" t="s">
        <v>19</v>
      </c>
      <c r="H630" s="4" t="s">
        <v>28</v>
      </c>
      <c r="I630" s="4">
        <v>33</v>
      </c>
      <c r="J630" s="5">
        <v>79</v>
      </c>
      <c r="K630" s="6">
        <v>1.6</v>
      </c>
      <c r="L630" s="4">
        <v>2</v>
      </c>
      <c r="M630" s="4">
        <v>108</v>
      </c>
      <c r="N630" s="4">
        <v>70</v>
      </c>
      <c r="O630" s="4" t="s">
        <v>26</v>
      </c>
      <c r="P630" s="7" t="s">
        <v>19</v>
      </c>
      <c r="S630">
        <v>1347</v>
      </c>
      <c r="T630" t="str">
        <v>Tete</v>
      </c>
      <c r="U630" t="str">
        <v>Masculino</v>
      </c>
      <c r="V630" t="str">
        <v>Viuvo(a)</v>
      </c>
      <c r="W630" t="str">
        <v>Primaria</v>
      </c>
      <c r="X630" t="str">
        <v>Nao</v>
      </c>
      <c r="Y630" t="str">
        <v>Diabetes</v>
      </c>
      <c r="Z630">
        <v>0</v>
      </c>
      <c r="AA630">
        <v>10.8</v>
      </c>
      <c r="AB630">
        <v>0.87</v>
      </c>
      <c r="AC630">
        <v>2</v>
      </c>
      <c r="AD630">
        <v>111</v>
      </c>
      <c r="AE630">
        <v>173</v>
      </c>
      <c r="AF630" t="str">
        <v>Urbana</v>
      </c>
      <c r="AG630" t="str">
        <v>Nao</v>
      </c>
    </row>
    <row r="631" spans="2:33" x14ac:dyDescent="0.45">
      <c r="B631" s="4">
        <v>630</v>
      </c>
      <c r="C631" s="4" t="s">
        <v>29</v>
      </c>
      <c r="D631" s="4" t="s">
        <v>23</v>
      </c>
      <c r="E631" s="4" t="s">
        <v>17</v>
      </c>
      <c r="F631" s="4" t="s">
        <v>24</v>
      </c>
      <c r="G631" s="4" t="s">
        <v>19</v>
      </c>
      <c r="H631" s="4" t="s">
        <v>36</v>
      </c>
      <c r="I631" s="4">
        <v>1</v>
      </c>
      <c r="J631" s="5">
        <v>17.5</v>
      </c>
      <c r="K631" s="6">
        <v>0.63</v>
      </c>
      <c r="L631" s="4">
        <v>0</v>
      </c>
      <c r="M631" s="4">
        <v>134</v>
      </c>
      <c r="N631" s="4">
        <v>88</v>
      </c>
      <c r="O631" s="4" t="s">
        <v>26</v>
      </c>
      <c r="P631" s="7" t="s">
        <v>19</v>
      </c>
      <c r="S631">
        <v>1352</v>
      </c>
      <c r="T631" t="str">
        <v>Sofala</v>
      </c>
      <c r="U631" t="str">
        <v>Masculino</v>
      </c>
      <c r="V631" t="str">
        <v>Viuvo(a)</v>
      </c>
      <c r="W631" t="str">
        <v>Primaria</v>
      </c>
      <c r="X631" t="str">
        <v>Nao</v>
      </c>
      <c r="Y631" t="str">
        <v>Malaria</v>
      </c>
      <c r="Z631">
        <v>63</v>
      </c>
      <c r="AA631">
        <v>65</v>
      </c>
      <c r="AB631">
        <v>1.73</v>
      </c>
      <c r="AC631">
        <v>3</v>
      </c>
      <c r="AD631">
        <v>137</v>
      </c>
      <c r="AE631">
        <v>91</v>
      </c>
      <c r="AF631" t="str">
        <v>Urbana</v>
      </c>
      <c r="AG631" t="str">
        <v>Sim</v>
      </c>
    </row>
    <row r="632" spans="2:33" x14ac:dyDescent="0.45">
      <c r="B632" s="4">
        <v>631</v>
      </c>
      <c r="C632" s="4" t="s">
        <v>33</v>
      </c>
      <c r="D632" s="4" t="s">
        <v>16</v>
      </c>
      <c r="E632" s="4" t="s">
        <v>17</v>
      </c>
      <c r="F632" s="4" t="s">
        <v>28</v>
      </c>
      <c r="G632" s="4" t="s">
        <v>19</v>
      </c>
      <c r="H632" s="4" t="s">
        <v>25</v>
      </c>
      <c r="I632" s="4">
        <v>52</v>
      </c>
      <c r="J632" s="5">
        <v>83.3</v>
      </c>
      <c r="K632" s="6">
        <v>1.53</v>
      </c>
      <c r="L632" s="4">
        <v>3</v>
      </c>
      <c r="M632" s="4">
        <v>125</v>
      </c>
      <c r="N632" s="4">
        <v>90</v>
      </c>
      <c r="O632" s="4" t="s">
        <v>21</v>
      </c>
      <c r="P632" s="7" t="s">
        <v>19</v>
      </c>
      <c r="S632">
        <v>1353</v>
      </c>
      <c r="T632" t="str">
        <v>Manica</v>
      </c>
      <c r="U632" t="str">
        <v>Masculino</v>
      </c>
      <c r="V632" t="str">
        <v>Casado(a)</v>
      </c>
      <c r="W632" t="str">
        <v>Secundaria</v>
      </c>
      <c r="X632" t="str">
        <v>Nao</v>
      </c>
      <c r="Y632" t="str">
        <v>Malaria</v>
      </c>
      <c r="Z632">
        <v>1</v>
      </c>
      <c r="AA632">
        <v>7.1</v>
      </c>
      <c r="AB632">
        <v>0.67</v>
      </c>
      <c r="AC632">
        <v>6</v>
      </c>
      <c r="AD632">
        <v>98</v>
      </c>
      <c r="AE632">
        <v>86</v>
      </c>
      <c r="AF632" t="str">
        <v>Rural</v>
      </c>
      <c r="AG632" t="str">
        <v>Nao</v>
      </c>
    </row>
    <row r="633" spans="2:33" x14ac:dyDescent="0.45">
      <c r="B633" s="4">
        <v>632</v>
      </c>
      <c r="C633" s="4" t="s">
        <v>22</v>
      </c>
      <c r="D633" s="4" t="s">
        <v>16</v>
      </c>
      <c r="E633" s="4" t="s">
        <v>17</v>
      </c>
      <c r="F633" s="4" t="s">
        <v>28</v>
      </c>
      <c r="G633" s="4" t="s">
        <v>30</v>
      </c>
      <c r="H633" s="4" t="s">
        <v>20</v>
      </c>
      <c r="I633" s="4">
        <v>13</v>
      </c>
      <c r="J633" s="5">
        <v>39.200000000000003</v>
      </c>
      <c r="K633" s="6">
        <v>1.51</v>
      </c>
      <c r="L633" s="4">
        <v>1</v>
      </c>
      <c r="M633" s="4">
        <v>101</v>
      </c>
      <c r="N633" s="4">
        <v>81</v>
      </c>
      <c r="O633" s="4" t="s">
        <v>21</v>
      </c>
      <c r="P633" s="7" t="s">
        <v>19</v>
      </c>
      <c r="S633">
        <v>1354</v>
      </c>
      <c r="T633" t="str">
        <v>Manica</v>
      </c>
      <c r="U633" t="str">
        <v>Masculino</v>
      </c>
      <c r="V633" t="str">
        <v>Viuvo(a)</v>
      </c>
      <c r="W633" t="str">
        <v>Primaria</v>
      </c>
      <c r="X633" t="str">
        <v>Nao</v>
      </c>
      <c r="Y633" t="str">
        <v>Pneumonia</v>
      </c>
      <c r="Z633">
        <v>30</v>
      </c>
      <c r="AA633">
        <v>75.5</v>
      </c>
      <c r="AB633">
        <v>1.75</v>
      </c>
      <c r="AC633">
        <v>3</v>
      </c>
      <c r="AD633">
        <v>123</v>
      </c>
      <c r="AE633">
        <v>92</v>
      </c>
      <c r="AF633" t="str">
        <v>Urbana</v>
      </c>
      <c r="AG633" t="str">
        <v>Nao</v>
      </c>
    </row>
    <row r="634" spans="2:33" x14ac:dyDescent="0.45">
      <c r="B634" s="4">
        <v>633</v>
      </c>
      <c r="C634" s="4" t="s">
        <v>29</v>
      </c>
      <c r="D634" s="4" t="s">
        <v>16</v>
      </c>
      <c r="E634" s="4" t="s">
        <v>17</v>
      </c>
      <c r="F634" s="4" t="s">
        <v>24</v>
      </c>
      <c r="G634" s="4" t="s">
        <v>19</v>
      </c>
      <c r="H634" s="4" t="s">
        <v>20</v>
      </c>
      <c r="I634" s="4">
        <v>2</v>
      </c>
      <c r="J634" s="5">
        <v>13.8</v>
      </c>
      <c r="K634" s="6">
        <v>0.75</v>
      </c>
      <c r="L634" s="4">
        <v>0</v>
      </c>
      <c r="M634" s="4">
        <v>97</v>
      </c>
      <c r="N634" s="4">
        <v>82</v>
      </c>
      <c r="O634" s="4" t="s">
        <v>21</v>
      </c>
      <c r="P634" s="7" t="s">
        <v>19</v>
      </c>
      <c r="S634">
        <v>1355</v>
      </c>
      <c r="T634" t="str">
        <v>Sofala</v>
      </c>
      <c r="U634" t="str">
        <v>Masculino</v>
      </c>
      <c r="V634" t="str">
        <v>Divorciado(a)</v>
      </c>
      <c r="W634" t="str">
        <v>Primaria</v>
      </c>
      <c r="X634" t="str">
        <v>Nao</v>
      </c>
      <c r="Y634" t="str">
        <v>Tuberculose</v>
      </c>
      <c r="Z634">
        <v>21</v>
      </c>
      <c r="AA634">
        <v>83.7</v>
      </c>
      <c r="AB634">
        <v>1.68</v>
      </c>
      <c r="AC634">
        <v>1</v>
      </c>
      <c r="AD634">
        <v>114</v>
      </c>
      <c r="AE634">
        <v>87</v>
      </c>
      <c r="AF634" t="str">
        <v>Urbana</v>
      </c>
      <c r="AG634" t="str">
        <v>Nao</v>
      </c>
    </row>
    <row r="635" spans="2:33" x14ac:dyDescent="0.45">
      <c r="B635" s="4">
        <v>634</v>
      </c>
      <c r="C635" s="4" t="s">
        <v>15</v>
      </c>
      <c r="D635" s="4" t="s">
        <v>23</v>
      </c>
      <c r="E635" s="4" t="s">
        <v>35</v>
      </c>
      <c r="F635" s="4" t="s">
        <v>28</v>
      </c>
      <c r="G635" s="4" t="s">
        <v>19</v>
      </c>
      <c r="H635" s="4" t="s">
        <v>28</v>
      </c>
      <c r="I635" s="4">
        <v>38</v>
      </c>
      <c r="J635" s="5">
        <v>55</v>
      </c>
      <c r="K635" s="6">
        <v>1.5</v>
      </c>
      <c r="L635" s="4">
        <v>6</v>
      </c>
      <c r="M635" s="4">
        <v>131</v>
      </c>
      <c r="N635" s="4">
        <v>100</v>
      </c>
      <c r="O635" s="4" t="s">
        <v>21</v>
      </c>
      <c r="P635" s="7" t="s">
        <v>30</v>
      </c>
      <c r="S635">
        <v>1359</v>
      </c>
      <c r="T635" t="str">
        <v>Maputo Provincia</v>
      </c>
      <c r="U635" t="str">
        <v>Masculino</v>
      </c>
      <c r="V635" t="str">
        <v>Solteiro(a)</v>
      </c>
      <c r="W635" t="str">
        <v>Primaria</v>
      </c>
      <c r="X635" t="str">
        <v>Sim</v>
      </c>
      <c r="Y635" t="str">
        <v>Hipertensao</v>
      </c>
      <c r="Z635">
        <v>48</v>
      </c>
      <c r="AA635">
        <v>85.9</v>
      </c>
      <c r="AB635">
        <v>1.5</v>
      </c>
      <c r="AC635">
        <v>2</v>
      </c>
      <c r="AD635">
        <v>130</v>
      </c>
      <c r="AE635">
        <v>84</v>
      </c>
      <c r="AF635" t="str">
        <v>Urbana</v>
      </c>
      <c r="AG635" t="str">
        <v>Nao</v>
      </c>
    </row>
    <row r="636" spans="2:33" x14ac:dyDescent="0.45">
      <c r="B636" s="4">
        <v>635</v>
      </c>
      <c r="C636" s="4" t="s">
        <v>39</v>
      </c>
      <c r="D636" s="4" t="s">
        <v>16</v>
      </c>
      <c r="E636" s="4" t="s">
        <v>17</v>
      </c>
      <c r="F636" s="4" t="s">
        <v>18</v>
      </c>
      <c r="G636" s="4" t="s">
        <v>19</v>
      </c>
      <c r="H636" s="4" t="s">
        <v>36</v>
      </c>
      <c r="I636" s="4">
        <v>61</v>
      </c>
      <c r="J636" s="5">
        <v>47.1</v>
      </c>
      <c r="K636" s="6">
        <v>1.51</v>
      </c>
      <c r="L636" s="4">
        <v>4</v>
      </c>
      <c r="M636" s="4">
        <v>151</v>
      </c>
      <c r="N636" s="4">
        <v>72</v>
      </c>
      <c r="O636" s="4" t="s">
        <v>26</v>
      </c>
      <c r="P636" s="7" t="s">
        <v>19</v>
      </c>
      <c r="S636">
        <v>1360</v>
      </c>
      <c r="T636" t="str">
        <v>Manica</v>
      </c>
      <c r="U636" t="str">
        <v>Masculino</v>
      </c>
      <c r="V636" t="str">
        <v>Viuvo(a)</v>
      </c>
      <c r="W636" t="str">
        <v>Primaria</v>
      </c>
      <c r="X636" t="str">
        <v>Nao</v>
      </c>
      <c r="Y636" t="str">
        <v>Nenhuma</v>
      </c>
      <c r="Z636">
        <v>26</v>
      </c>
      <c r="AA636">
        <v>84.9</v>
      </c>
      <c r="AB636">
        <v>1.53</v>
      </c>
      <c r="AC636">
        <v>0</v>
      </c>
      <c r="AD636">
        <v>113</v>
      </c>
      <c r="AE636">
        <v>82</v>
      </c>
      <c r="AF636" t="str">
        <v>Rural</v>
      </c>
      <c r="AG636" t="str">
        <v>Nao</v>
      </c>
    </row>
    <row r="637" spans="2:33" x14ac:dyDescent="0.45">
      <c r="B637" s="4">
        <v>636</v>
      </c>
      <c r="C637" s="4" t="s">
        <v>43</v>
      </c>
      <c r="D637" s="4" t="s">
        <v>23</v>
      </c>
      <c r="E637" s="4" t="s">
        <v>44</v>
      </c>
      <c r="F637" s="4" t="s">
        <v>24</v>
      </c>
      <c r="G637" s="4" t="s">
        <v>19</v>
      </c>
      <c r="H637" s="4" t="s">
        <v>36</v>
      </c>
      <c r="I637" s="4">
        <v>7</v>
      </c>
      <c r="J637" s="5">
        <v>20.7</v>
      </c>
      <c r="K637" s="6">
        <v>1.28</v>
      </c>
      <c r="L637" s="4">
        <v>4</v>
      </c>
      <c r="M637" s="4">
        <v>117</v>
      </c>
      <c r="N637" s="4">
        <v>81</v>
      </c>
      <c r="O637" s="4" t="s">
        <v>21</v>
      </c>
      <c r="P637" s="7" t="s">
        <v>19</v>
      </c>
      <c r="S637">
        <v>1362</v>
      </c>
      <c r="T637" t="str">
        <v>Niassa</v>
      </c>
      <c r="U637" t="str">
        <v>Masculino</v>
      </c>
      <c r="V637" t="str">
        <v>Casado(a)</v>
      </c>
      <c r="W637" t="str">
        <v>Nenhuma</v>
      </c>
      <c r="X637" t="str">
        <v>Nao</v>
      </c>
      <c r="Y637" t="str">
        <v>Malaria</v>
      </c>
      <c r="Z637">
        <v>18</v>
      </c>
      <c r="AA637">
        <v>71.2</v>
      </c>
      <c r="AB637">
        <v>1.78</v>
      </c>
      <c r="AC637">
        <v>5</v>
      </c>
      <c r="AD637">
        <v>105</v>
      </c>
      <c r="AE637">
        <v>91</v>
      </c>
      <c r="AF637" t="str">
        <v>Rural</v>
      </c>
      <c r="AG637" t="str">
        <v>Nao</v>
      </c>
    </row>
    <row r="638" spans="2:33" x14ac:dyDescent="0.45">
      <c r="B638" s="4">
        <v>637</v>
      </c>
      <c r="C638" s="4" t="s">
        <v>27</v>
      </c>
      <c r="D638" s="4" t="s">
        <v>23</v>
      </c>
      <c r="E638" s="4" t="s">
        <v>17</v>
      </c>
      <c r="F638" s="4" t="s">
        <v>18</v>
      </c>
      <c r="G638" s="4" t="s">
        <v>30</v>
      </c>
      <c r="H638" s="4" t="s">
        <v>28</v>
      </c>
      <c r="I638" s="4">
        <v>47</v>
      </c>
      <c r="J638" s="5">
        <v>86.9</v>
      </c>
      <c r="K638" s="6">
        <v>1.63</v>
      </c>
      <c r="L638" s="4">
        <v>1</v>
      </c>
      <c r="M638" s="4">
        <v>132</v>
      </c>
      <c r="N638" s="4">
        <v>98</v>
      </c>
      <c r="O638" s="4" t="s">
        <v>21</v>
      </c>
      <c r="P638" s="7" t="s">
        <v>30</v>
      </c>
      <c r="S638">
        <v>1363</v>
      </c>
      <c r="T638" t="str">
        <v>Tete</v>
      </c>
      <c r="U638" t="str">
        <v>Masculino</v>
      </c>
      <c r="V638" t="str">
        <v>Divorciado(a)</v>
      </c>
      <c r="W638" t="str">
        <v>Secundaria</v>
      </c>
      <c r="X638" t="str">
        <v>Nao</v>
      </c>
      <c r="Y638" t="str">
        <v>Nenhuma</v>
      </c>
      <c r="Z638">
        <v>38</v>
      </c>
      <c r="AA638">
        <v>74.8</v>
      </c>
      <c r="AB638">
        <v>1.72</v>
      </c>
      <c r="AC638">
        <v>0</v>
      </c>
      <c r="AD638">
        <v>104</v>
      </c>
      <c r="AE638">
        <v>72</v>
      </c>
      <c r="AF638" t="str">
        <v>Rural</v>
      </c>
      <c r="AG638" t="str">
        <v>Nao</v>
      </c>
    </row>
    <row r="639" spans="2:33" x14ac:dyDescent="0.45">
      <c r="B639" s="4">
        <v>638</v>
      </c>
      <c r="C639" s="4" t="s">
        <v>27</v>
      </c>
      <c r="D639" s="4" t="s">
        <v>23</v>
      </c>
      <c r="E639" s="4" t="s">
        <v>17</v>
      </c>
      <c r="F639" s="4" t="s">
        <v>18</v>
      </c>
      <c r="G639" s="4" t="s">
        <v>30</v>
      </c>
      <c r="H639" s="4" t="s">
        <v>28</v>
      </c>
      <c r="I639" s="4">
        <v>3</v>
      </c>
      <c r="J639" s="5">
        <v>10.1</v>
      </c>
      <c r="K639" s="6">
        <v>0.63</v>
      </c>
      <c r="L639" s="4">
        <v>1</v>
      </c>
      <c r="M639" s="4">
        <v>92</v>
      </c>
      <c r="N639" s="4">
        <v>71</v>
      </c>
      <c r="O639" s="4" t="s">
        <v>21</v>
      </c>
      <c r="P639" s="7" t="s">
        <v>19</v>
      </c>
      <c r="S639">
        <v>1365</v>
      </c>
      <c r="T639" t="str">
        <v>Manica</v>
      </c>
      <c r="U639" t="str">
        <v>Masculino</v>
      </c>
      <c r="V639" t="str">
        <v>Casado(a)</v>
      </c>
      <c r="W639" t="str">
        <v>Secundaria</v>
      </c>
      <c r="X639" t="str">
        <v>Nao</v>
      </c>
      <c r="Y639" t="str">
        <v>Diarreia</v>
      </c>
      <c r="Z639">
        <v>58</v>
      </c>
      <c r="AA639">
        <v>78.900000000000006</v>
      </c>
      <c r="AB639">
        <v>1.75</v>
      </c>
      <c r="AC639">
        <v>2</v>
      </c>
      <c r="AD639">
        <v>123</v>
      </c>
      <c r="AE639">
        <v>99</v>
      </c>
      <c r="AF639" t="str">
        <v>Rural</v>
      </c>
      <c r="AG639" t="str">
        <v>Nao</v>
      </c>
    </row>
    <row r="640" spans="2:33" x14ac:dyDescent="0.45">
      <c r="B640" s="4">
        <v>639</v>
      </c>
      <c r="C640" s="4" t="s">
        <v>31</v>
      </c>
      <c r="D640" s="4" t="s">
        <v>23</v>
      </c>
      <c r="E640" s="4" t="s">
        <v>35</v>
      </c>
      <c r="F640" s="4" t="s">
        <v>24</v>
      </c>
      <c r="G640" s="4" t="s">
        <v>19</v>
      </c>
      <c r="H640" s="4" t="s">
        <v>20</v>
      </c>
      <c r="I640" s="4">
        <v>16</v>
      </c>
      <c r="J640" s="5">
        <v>61</v>
      </c>
      <c r="K640" s="6">
        <v>1.58</v>
      </c>
      <c r="L640" s="4">
        <v>4</v>
      </c>
      <c r="M640" s="4">
        <v>112</v>
      </c>
      <c r="N640" s="4">
        <v>101</v>
      </c>
      <c r="O640" s="4" t="s">
        <v>26</v>
      </c>
      <c r="P640" s="7" t="s">
        <v>19</v>
      </c>
      <c r="S640">
        <v>1366</v>
      </c>
      <c r="T640" t="str">
        <v>Cabo Delgado</v>
      </c>
      <c r="U640" t="str">
        <v>Masculino</v>
      </c>
      <c r="V640" t="str">
        <v>Casado(a)</v>
      </c>
      <c r="W640" t="str">
        <v>Secundaria</v>
      </c>
      <c r="X640" t="str">
        <v>Sim</v>
      </c>
      <c r="Y640" t="str">
        <v>Malaria</v>
      </c>
      <c r="Z640">
        <v>56</v>
      </c>
      <c r="AA640">
        <v>80.5</v>
      </c>
      <c r="AB640">
        <v>1.76</v>
      </c>
      <c r="AC640">
        <v>1</v>
      </c>
      <c r="AD640">
        <v>122</v>
      </c>
      <c r="AE640">
        <v>104</v>
      </c>
      <c r="AF640" t="str">
        <v>Rural</v>
      </c>
      <c r="AG640" t="str">
        <v>Nao</v>
      </c>
    </row>
    <row r="641" spans="2:33" x14ac:dyDescent="0.45">
      <c r="B641" s="4">
        <v>640</v>
      </c>
      <c r="C641" s="4" t="s">
        <v>22</v>
      </c>
      <c r="D641" s="4" t="s">
        <v>16</v>
      </c>
      <c r="E641" s="4" t="s">
        <v>35</v>
      </c>
      <c r="F641" s="4" t="s">
        <v>18</v>
      </c>
      <c r="G641" s="4" t="s">
        <v>19</v>
      </c>
      <c r="H641" s="4" t="s">
        <v>28</v>
      </c>
      <c r="I641" s="4">
        <v>2</v>
      </c>
      <c r="J641" s="5">
        <v>15.7</v>
      </c>
      <c r="K641" s="6">
        <v>0.65</v>
      </c>
      <c r="L641" s="4">
        <v>3</v>
      </c>
      <c r="M641" s="4">
        <v>92</v>
      </c>
      <c r="N641" s="4">
        <v>77</v>
      </c>
      <c r="O641" s="4" t="s">
        <v>21</v>
      </c>
      <c r="P641" s="7" t="s">
        <v>19</v>
      </c>
      <c r="S641">
        <v>1371</v>
      </c>
      <c r="T641" t="str">
        <v>Nampula</v>
      </c>
      <c r="U641" t="str">
        <v>Masculino</v>
      </c>
      <c r="V641" t="str">
        <v>Viuvo(a)</v>
      </c>
      <c r="W641" t="str">
        <v>Primaria</v>
      </c>
      <c r="X641" t="str">
        <v>Sim</v>
      </c>
      <c r="Y641" t="str">
        <v>Nenhuma</v>
      </c>
      <c r="Z641">
        <v>22</v>
      </c>
      <c r="AA641">
        <v>92</v>
      </c>
      <c r="AB641">
        <v>1.86</v>
      </c>
      <c r="AC641">
        <v>10</v>
      </c>
      <c r="AD641">
        <v>105</v>
      </c>
      <c r="AE641">
        <v>83</v>
      </c>
      <c r="AF641" t="str">
        <v>Rural</v>
      </c>
      <c r="AG641" t="str">
        <v>Nao</v>
      </c>
    </row>
    <row r="642" spans="2:33" x14ac:dyDescent="0.45">
      <c r="B642" s="4">
        <v>641</v>
      </c>
      <c r="C642" s="4" t="s">
        <v>15</v>
      </c>
      <c r="D642" s="4" t="s">
        <v>16</v>
      </c>
      <c r="E642" s="4" t="s">
        <v>35</v>
      </c>
      <c r="F642" s="4" t="s">
        <v>24</v>
      </c>
      <c r="G642" s="4" t="s">
        <v>30</v>
      </c>
      <c r="H642" s="4" t="s">
        <v>32</v>
      </c>
      <c r="I642" s="4">
        <v>1</v>
      </c>
      <c r="J642" s="5">
        <v>9.3000000000000007</v>
      </c>
      <c r="K642" s="6">
        <v>0.88</v>
      </c>
      <c r="L642" s="4">
        <v>3</v>
      </c>
      <c r="M642" s="4">
        <v>111</v>
      </c>
      <c r="N642" s="4">
        <v>134</v>
      </c>
      <c r="O642" s="4" t="s">
        <v>26</v>
      </c>
      <c r="P642" s="7" t="s">
        <v>19</v>
      </c>
      <c r="S642">
        <v>1372</v>
      </c>
      <c r="T642" t="str">
        <v>Manica</v>
      </c>
      <c r="U642" t="str">
        <v>Masculino</v>
      </c>
      <c r="V642" t="str">
        <v>Casado(a)</v>
      </c>
      <c r="W642" t="str">
        <v>Primaria</v>
      </c>
      <c r="X642" t="str">
        <v>Sim</v>
      </c>
      <c r="Y642" t="str">
        <v>Diarreia</v>
      </c>
      <c r="Z642">
        <v>21</v>
      </c>
      <c r="AA642">
        <v>60.7</v>
      </c>
      <c r="AB642">
        <v>1.62</v>
      </c>
      <c r="AC642">
        <v>8</v>
      </c>
      <c r="AD642">
        <v>118</v>
      </c>
      <c r="AE642">
        <v>85</v>
      </c>
      <c r="AF642" t="str">
        <v>Urbana</v>
      </c>
      <c r="AG642" t="str">
        <v>Nao</v>
      </c>
    </row>
    <row r="643" spans="2:33" x14ac:dyDescent="0.45">
      <c r="B643" s="4">
        <v>642</v>
      </c>
      <c r="C643" s="4" t="s">
        <v>43</v>
      </c>
      <c r="D643" s="4" t="s">
        <v>16</v>
      </c>
      <c r="E643" s="4" t="s">
        <v>35</v>
      </c>
      <c r="F643" s="4" t="s">
        <v>24</v>
      </c>
      <c r="G643" s="4" t="s">
        <v>30</v>
      </c>
      <c r="H643" s="4" t="s">
        <v>28</v>
      </c>
      <c r="I643" s="4">
        <v>56</v>
      </c>
      <c r="J643" s="5">
        <v>56.7</v>
      </c>
      <c r="K643" s="6">
        <v>1.67</v>
      </c>
      <c r="L643" s="4">
        <v>2</v>
      </c>
      <c r="M643" s="4">
        <v>132</v>
      </c>
      <c r="N643" s="4">
        <v>75</v>
      </c>
      <c r="O643" s="4" t="s">
        <v>21</v>
      </c>
      <c r="P643" s="7" t="s">
        <v>30</v>
      </c>
      <c r="S643">
        <v>1377</v>
      </c>
      <c r="T643" t="str">
        <v>Sofala</v>
      </c>
      <c r="U643" t="str">
        <v>Masculino</v>
      </c>
      <c r="V643" t="str">
        <v>Casado(a)</v>
      </c>
      <c r="W643" t="str">
        <v>Primaria</v>
      </c>
      <c r="X643" t="str">
        <v>Nao</v>
      </c>
      <c r="Y643" t="str">
        <v>Pneumonia</v>
      </c>
      <c r="Z643">
        <v>44</v>
      </c>
      <c r="AA643">
        <v>86.7</v>
      </c>
      <c r="AB643">
        <v>1.73</v>
      </c>
      <c r="AC643">
        <v>1</v>
      </c>
      <c r="AD643">
        <v>121</v>
      </c>
      <c r="AE643">
        <v>99</v>
      </c>
      <c r="AF643" t="str">
        <v>Rural</v>
      </c>
      <c r="AG643" t="str">
        <v>Sim</v>
      </c>
    </row>
    <row r="644" spans="2:33" x14ac:dyDescent="0.45">
      <c r="B644" s="4">
        <v>643</v>
      </c>
      <c r="C644" s="4" t="s">
        <v>22</v>
      </c>
      <c r="D644" s="4" t="s">
        <v>23</v>
      </c>
      <c r="E644" s="4" t="s">
        <v>35</v>
      </c>
      <c r="F644" s="4" t="s">
        <v>18</v>
      </c>
      <c r="G644" s="4" t="s">
        <v>19</v>
      </c>
      <c r="H644" s="4" t="s">
        <v>36</v>
      </c>
      <c r="I644" s="4">
        <v>61</v>
      </c>
      <c r="J644" s="5">
        <v>47.3</v>
      </c>
      <c r="K644" s="6">
        <v>1.58</v>
      </c>
      <c r="L644" s="4">
        <v>9</v>
      </c>
      <c r="M644" s="4">
        <v>136</v>
      </c>
      <c r="N644" s="4">
        <v>76</v>
      </c>
      <c r="O644" s="4" t="s">
        <v>21</v>
      </c>
      <c r="P644" s="7" t="s">
        <v>19</v>
      </c>
      <c r="S644">
        <v>1378</v>
      </c>
      <c r="T644" t="str">
        <v>Gaza</v>
      </c>
      <c r="U644" t="str">
        <v>Masculino</v>
      </c>
      <c r="V644" t="str">
        <v>Solteiro(a)</v>
      </c>
      <c r="W644" t="str">
        <v>Nenhuma</v>
      </c>
      <c r="X644" t="str">
        <v>Nao</v>
      </c>
      <c r="Y644" t="str">
        <v>Nenhuma</v>
      </c>
      <c r="Z644">
        <v>11</v>
      </c>
      <c r="AA644">
        <v>21.4</v>
      </c>
      <c r="AB644">
        <v>1.1299999999999999</v>
      </c>
      <c r="AC644">
        <v>1</v>
      </c>
      <c r="AD644">
        <v>105</v>
      </c>
      <c r="AE644">
        <v>95</v>
      </c>
      <c r="AF644" t="str">
        <v>Urbana</v>
      </c>
      <c r="AG644" t="str">
        <v>Nao</v>
      </c>
    </row>
    <row r="645" spans="2:33" x14ac:dyDescent="0.45">
      <c r="B645" s="4">
        <v>644</v>
      </c>
      <c r="C645" s="4" t="s">
        <v>40</v>
      </c>
      <c r="D645" s="4" t="s">
        <v>16</v>
      </c>
      <c r="E645" s="4" t="s">
        <v>17</v>
      </c>
      <c r="F645" s="4" t="s">
        <v>24</v>
      </c>
      <c r="G645" s="4" t="s">
        <v>19</v>
      </c>
      <c r="H645" s="4" t="s">
        <v>36</v>
      </c>
      <c r="I645" s="4">
        <v>39</v>
      </c>
      <c r="J645" s="5">
        <v>86.1</v>
      </c>
      <c r="K645" s="6">
        <v>1.87</v>
      </c>
      <c r="L645" s="4">
        <v>4</v>
      </c>
      <c r="M645" s="4">
        <v>140</v>
      </c>
      <c r="N645" s="4">
        <v>79</v>
      </c>
      <c r="O645" s="4" t="s">
        <v>26</v>
      </c>
      <c r="P645" s="7" t="s">
        <v>19</v>
      </c>
      <c r="S645">
        <v>1380</v>
      </c>
      <c r="T645" t="str">
        <v>Zambezia</v>
      </c>
      <c r="U645" t="str">
        <v>Masculino</v>
      </c>
      <c r="V645" t="str">
        <v>Solteiro(a)</v>
      </c>
      <c r="W645" t="str">
        <v>Secundaria</v>
      </c>
      <c r="X645" t="str">
        <v>Nao</v>
      </c>
      <c r="Y645" t="str">
        <v>Malaria</v>
      </c>
      <c r="Z645">
        <v>0</v>
      </c>
      <c r="AA645">
        <v>15.6</v>
      </c>
      <c r="AB645">
        <v>0.76</v>
      </c>
      <c r="AC645">
        <v>1</v>
      </c>
      <c r="AD645">
        <v>94</v>
      </c>
      <c r="AE645">
        <v>73</v>
      </c>
      <c r="AF645" t="str">
        <v>Rural</v>
      </c>
      <c r="AG645" t="str">
        <v>Nao</v>
      </c>
    </row>
    <row r="646" spans="2:33" x14ac:dyDescent="0.45">
      <c r="B646" s="4">
        <v>645</v>
      </c>
      <c r="C646" s="4" t="s">
        <v>45</v>
      </c>
      <c r="D646" s="4" t="s">
        <v>16</v>
      </c>
      <c r="E646" s="4" t="s">
        <v>35</v>
      </c>
      <c r="F646" s="4" t="s">
        <v>18</v>
      </c>
      <c r="G646" s="4" t="s">
        <v>19</v>
      </c>
      <c r="H646" s="4" t="s">
        <v>32</v>
      </c>
      <c r="I646" s="4">
        <v>12</v>
      </c>
      <c r="J646" s="5">
        <v>45.8</v>
      </c>
      <c r="K646" s="6">
        <v>1.69</v>
      </c>
      <c r="L646" s="4">
        <v>3</v>
      </c>
      <c r="M646" s="4">
        <v>118</v>
      </c>
      <c r="N646" s="4">
        <v>137</v>
      </c>
      <c r="O646" s="4" t="s">
        <v>26</v>
      </c>
      <c r="P646" s="7" t="s">
        <v>19</v>
      </c>
      <c r="S646">
        <v>1381</v>
      </c>
      <c r="T646" t="str">
        <v>Gaza</v>
      </c>
      <c r="U646" t="str">
        <v>Masculino</v>
      </c>
      <c r="V646" t="str">
        <v>Casado(a)</v>
      </c>
      <c r="W646" t="str">
        <v>Primaria</v>
      </c>
      <c r="X646" t="str">
        <v>Nao</v>
      </c>
      <c r="Y646" t="str">
        <v>Malaria</v>
      </c>
      <c r="Z646">
        <v>45</v>
      </c>
      <c r="AA646">
        <v>53.9</v>
      </c>
      <c r="AB646">
        <v>1.65</v>
      </c>
      <c r="AC646">
        <v>1</v>
      </c>
      <c r="AD646">
        <v>106</v>
      </c>
      <c r="AE646">
        <v>73</v>
      </c>
      <c r="AF646" t="str">
        <v>Rural</v>
      </c>
      <c r="AG646" t="str">
        <v>Nao</v>
      </c>
    </row>
    <row r="647" spans="2:33" x14ac:dyDescent="0.45">
      <c r="B647" s="4">
        <v>646</v>
      </c>
      <c r="C647" s="4" t="s">
        <v>22</v>
      </c>
      <c r="D647" s="4" t="s">
        <v>23</v>
      </c>
      <c r="E647" s="4" t="s">
        <v>17</v>
      </c>
      <c r="F647" s="4" t="s">
        <v>24</v>
      </c>
      <c r="G647" s="4" t="s">
        <v>19</v>
      </c>
      <c r="H647" s="4" t="s">
        <v>20</v>
      </c>
      <c r="I647" s="4">
        <v>12</v>
      </c>
      <c r="J647" s="5">
        <v>64</v>
      </c>
      <c r="K647" s="6">
        <v>1.56</v>
      </c>
      <c r="L647" s="4">
        <v>2</v>
      </c>
      <c r="M647" s="4">
        <v>112</v>
      </c>
      <c r="N647" s="4">
        <v>81</v>
      </c>
      <c r="O647" s="4" t="s">
        <v>26</v>
      </c>
      <c r="P647" s="7" t="s">
        <v>19</v>
      </c>
      <c r="S647">
        <v>1382</v>
      </c>
      <c r="T647" t="str">
        <v>Sofala</v>
      </c>
      <c r="U647" t="str">
        <v>Masculino</v>
      </c>
      <c r="V647" t="str">
        <v>Casado(a)</v>
      </c>
      <c r="W647" t="str">
        <v>Primaria</v>
      </c>
      <c r="X647" t="str">
        <v>Sim</v>
      </c>
      <c r="Y647" t="str">
        <v>Diarreia</v>
      </c>
      <c r="Z647">
        <v>6</v>
      </c>
      <c r="AA647">
        <v>22.2</v>
      </c>
      <c r="AB647">
        <v>1.23</v>
      </c>
      <c r="AC647">
        <v>2</v>
      </c>
      <c r="AD647">
        <v>112</v>
      </c>
      <c r="AE647">
        <v>88</v>
      </c>
      <c r="AF647" t="str">
        <v>Rural</v>
      </c>
      <c r="AG647" t="str">
        <v>Nao</v>
      </c>
    </row>
    <row r="648" spans="2:33" x14ac:dyDescent="0.45">
      <c r="B648" s="4">
        <v>647</v>
      </c>
      <c r="C648" s="4" t="s">
        <v>31</v>
      </c>
      <c r="D648" s="4" t="s">
        <v>23</v>
      </c>
      <c r="E648" s="4" t="s">
        <v>35</v>
      </c>
      <c r="F648" s="4" t="s">
        <v>24</v>
      </c>
      <c r="G648" s="4" t="s">
        <v>19</v>
      </c>
      <c r="H648" s="4" t="s">
        <v>25</v>
      </c>
      <c r="I648" s="4">
        <v>40</v>
      </c>
      <c r="J648" s="5">
        <v>57.4</v>
      </c>
      <c r="K648" s="6">
        <v>1.88</v>
      </c>
      <c r="L648" s="4">
        <v>2</v>
      </c>
      <c r="M648" s="4">
        <v>110</v>
      </c>
      <c r="N648" s="4">
        <v>96</v>
      </c>
      <c r="O648" s="4" t="s">
        <v>26</v>
      </c>
      <c r="P648" s="7" t="s">
        <v>19</v>
      </c>
      <c r="S648">
        <v>1386</v>
      </c>
      <c r="T648" t="str">
        <v>Maputo Cidade</v>
      </c>
      <c r="U648" t="str">
        <v>Masculino</v>
      </c>
      <c r="V648" t="str">
        <v>Solteiro(a)</v>
      </c>
      <c r="W648" t="str">
        <v>Secundaria</v>
      </c>
      <c r="X648" t="str">
        <v>Nao</v>
      </c>
      <c r="Y648" t="str">
        <v>HIV/SIDA</v>
      </c>
      <c r="Z648">
        <v>3</v>
      </c>
      <c r="AA648">
        <v>8</v>
      </c>
      <c r="AB648">
        <v>0.88</v>
      </c>
      <c r="AC648">
        <v>4</v>
      </c>
      <c r="AD648">
        <v>104</v>
      </c>
      <c r="AE648">
        <v>74</v>
      </c>
      <c r="AF648" t="str">
        <v>Rural</v>
      </c>
      <c r="AG648" t="str">
        <v>Nao</v>
      </c>
    </row>
    <row r="649" spans="2:33" x14ac:dyDescent="0.45">
      <c r="B649" s="4">
        <v>648</v>
      </c>
      <c r="C649" s="4" t="s">
        <v>29</v>
      </c>
      <c r="D649" s="4" t="s">
        <v>23</v>
      </c>
      <c r="E649" s="4" t="s">
        <v>35</v>
      </c>
      <c r="F649" s="4" t="s">
        <v>24</v>
      </c>
      <c r="G649" s="4" t="s">
        <v>19</v>
      </c>
      <c r="H649" s="4" t="s">
        <v>20</v>
      </c>
      <c r="I649" s="4">
        <v>2</v>
      </c>
      <c r="J649" s="5">
        <v>8.3000000000000007</v>
      </c>
      <c r="K649" s="6">
        <v>0.85</v>
      </c>
      <c r="L649" s="4">
        <v>4</v>
      </c>
      <c r="M649" s="4">
        <v>92</v>
      </c>
      <c r="N649" s="4">
        <v>104</v>
      </c>
      <c r="O649" s="4" t="s">
        <v>26</v>
      </c>
      <c r="P649" s="7" t="s">
        <v>19</v>
      </c>
      <c r="S649">
        <v>1390</v>
      </c>
      <c r="T649" t="str">
        <v>Zambezia</v>
      </c>
      <c r="U649" t="str">
        <v>Masculino</v>
      </c>
      <c r="V649" t="str">
        <v>Casado(a)</v>
      </c>
      <c r="W649" t="str">
        <v>Primaria</v>
      </c>
      <c r="X649" t="str">
        <v>Sim</v>
      </c>
      <c r="Y649" t="str">
        <v>Tuberculose</v>
      </c>
      <c r="Z649">
        <v>61</v>
      </c>
      <c r="AA649">
        <v>82.9</v>
      </c>
      <c r="AB649">
        <v>1.74</v>
      </c>
      <c r="AC649">
        <v>4</v>
      </c>
      <c r="AD649">
        <v>115</v>
      </c>
      <c r="AE649">
        <v>79</v>
      </c>
      <c r="AF649" t="str">
        <v>Urbana</v>
      </c>
      <c r="AG649" t="str">
        <v>Nao</v>
      </c>
    </row>
    <row r="650" spans="2:33" x14ac:dyDescent="0.45">
      <c r="B650" s="4">
        <v>649</v>
      </c>
      <c r="C650" s="4" t="s">
        <v>41</v>
      </c>
      <c r="D650" s="4" t="s">
        <v>23</v>
      </c>
      <c r="E650" s="4" t="s">
        <v>17</v>
      </c>
      <c r="F650" s="4" t="s">
        <v>24</v>
      </c>
      <c r="G650" s="4" t="s">
        <v>19</v>
      </c>
      <c r="H650" s="4" t="s">
        <v>34</v>
      </c>
      <c r="I650" s="4">
        <v>55</v>
      </c>
      <c r="J650" s="5">
        <v>75.3</v>
      </c>
      <c r="K650" s="6">
        <v>1.66</v>
      </c>
      <c r="L650" s="4">
        <v>2</v>
      </c>
      <c r="M650" s="4">
        <v>116</v>
      </c>
      <c r="N650" s="4">
        <v>91</v>
      </c>
      <c r="O650" s="4" t="s">
        <v>21</v>
      </c>
      <c r="P650" s="7" t="s">
        <v>19</v>
      </c>
      <c r="S650">
        <v>1392</v>
      </c>
      <c r="T650" t="str">
        <v>Sofala</v>
      </c>
      <c r="U650" t="str">
        <v>Masculino</v>
      </c>
      <c r="V650" t="str">
        <v>Casado(a)</v>
      </c>
      <c r="W650" t="str">
        <v>Superior</v>
      </c>
      <c r="X650" t="str">
        <v>Nao</v>
      </c>
      <c r="Y650" t="str">
        <v>Diarreia</v>
      </c>
      <c r="Z650">
        <v>1</v>
      </c>
      <c r="AA650">
        <v>12.7</v>
      </c>
      <c r="AB650">
        <v>1.02</v>
      </c>
      <c r="AC650">
        <v>3</v>
      </c>
      <c r="AD650">
        <v>93</v>
      </c>
      <c r="AE650">
        <v>87</v>
      </c>
      <c r="AF650" t="str">
        <v>Rural</v>
      </c>
      <c r="AG650" t="str">
        <v>Nao</v>
      </c>
    </row>
    <row r="651" spans="2:33" x14ac:dyDescent="0.45">
      <c r="B651" s="4">
        <v>650</v>
      </c>
      <c r="C651" s="4" t="s">
        <v>27</v>
      </c>
      <c r="D651" s="4" t="s">
        <v>16</v>
      </c>
      <c r="E651" s="4" t="s">
        <v>17</v>
      </c>
      <c r="F651" s="4" t="s">
        <v>24</v>
      </c>
      <c r="G651" s="4" t="s">
        <v>19</v>
      </c>
      <c r="H651" s="4" t="s">
        <v>38</v>
      </c>
      <c r="I651" s="4">
        <v>12</v>
      </c>
      <c r="J651" s="5">
        <v>46.9</v>
      </c>
      <c r="K651" s="6">
        <v>1.52</v>
      </c>
      <c r="L651" s="4">
        <v>1</v>
      </c>
      <c r="M651" s="4">
        <v>103</v>
      </c>
      <c r="N651" s="4">
        <v>99</v>
      </c>
      <c r="O651" s="4" t="s">
        <v>21</v>
      </c>
      <c r="P651" s="7" t="s">
        <v>19</v>
      </c>
      <c r="S651">
        <v>1398</v>
      </c>
      <c r="T651" t="str">
        <v>Sofala</v>
      </c>
      <c r="U651" t="str">
        <v>Masculino</v>
      </c>
      <c r="V651" t="str">
        <v>Solteiro(a)</v>
      </c>
      <c r="W651" t="str">
        <v>Primaria</v>
      </c>
      <c r="X651" t="str">
        <v>Sim</v>
      </c>
      <c r="Y651" t="str">
        <v>Diabetes</v>
      </c>
      <c r="Z651">
        <v>44</v>
      </c>
      <c r="AA651">
        <v>72.099999999999994</v>
      </c>
      <c r="AB651">
        <v>1.53</v>
      </c>
      <c r="AC651">
        <v>4</v>
      </c>
      <c r="AD651">
        <v>114</v>
      </c>
      <c r="AE651">
        <v>163</v>
      </c>
      <c r="AF651" t="str">
        <v>Rural</v>
      </c>
      <c r="AG651" t="str">
        <v>Nao</v>
      </c>
    </row>
    <row r="652" spans="2:33" x14ac:dyDescent="0.45">
      <c r="B652" s="4">
        <v>651</v>
      </c>
      <c r="C652" s="4" t="s">
        <v>15</v>
      </c>
      <c r="D652" s="4" t="s">
        <v>16</v>
      </c>
      <c r="E652" s="4" t="s">
        <v>35</v>
      </c>
      <c r="F652" s="4" t="s">
        <v>24</v>
      </c>
      <c r="G652" s="4" t="s">
        <v>30</v>
      </c>
      <c r="H652" s="4" t="s">
        <v>20</v>
      </c>
      <c r="I652" s="4">
        <v>47</v>
      </c>
      <c r="J652" s="5">
        <v>50.6</v>
      </c>
      <c r="K652" s="6">
        <v>1.54</v>
      </c>
      <c r="L652" s="4">
        <v>1</v>
      </c>
      <c r="M652" s="4">
        <v>128</v>
      </c>
      <c r="N652" s="4">
        <v>74</v>
      </c>
      <c r="O652" s="4" t="s">
        <v>26</v>
      </c>
      <c r="P652" s="7" t="s">
        <v>19</v>
      </c>
      <c r="S652">
        <v>1400</v>
      </c>
      <c r="T652" t="str">
        <v>Tete</v>
      </c>
      <c r="U652" t="str">
        <v>Masculino</v>
      </c>
      <c r="V652" t="str">
        <v>Casado(a)</v>
      </c>
      <c r="W652" t="str">
        <v>Secundaria</v>
      </c>
      <c r="X652" t="str">
        <v>Nao</v>
      </c>
      <c r="Y652" t="str">
        <v>Malaria</v>
      </c>
      <c r="Z652">
        <v>50</v>
      </c>
      <c r="AA652">
        <v>94.8</v>
      </c>
      <c r="AB652">
        <v>1.69</v>
      </c>
      <c r="AC652">
        <v>2</v>
      </c>
      <c r="AD652">
        <v>138</v>
      </c>
      <c r="AE652">
        <v>91</v>
      </c>
      <c r="AF652" t="str">
        <v>Rural</v>
      </c>
      <c r="AG652" t="str">
        <v>Sim</v>
      </c>
    </row>
    <row r="653" spans="2:33" x14ac:dyDescent="0.45">
      <c r="B653" s="4">
        <v>652</v>
      </c>
      <c r="C653" s="4" t="s">
        <v>40</v>
      </c>
      <c r="D653" s="4" t="s">
        <v>16</v>
      </c>
      <c r="E653" s="4" t="s">
        <v>35</v>
      </c>
      <c r="F653" s="4" t="s">
        <v>24</v>
      </c>
      <c r="G653" s="4" t="s">
        <v>19</v>
      </c>
      <c r="H653" s="4" t="s">
        <v>46</v>
      </c>
      <c r="I653" s="4">
        <v>23</v>
      </c>
      <c r="J653" s="5">
        <v>70.099999999999994</v>
      </c>
      <c r="K653" s="6">
        <v>1.64</v>
      </c>
      <c r="L653" s="4">
        <v>2</v>
      </c>
      <c r="M653" s="4">
        <v>97</v>
      </c>
      <c r="N653" s="4">
        <v>75</v>
      </c>
      <c r="O653" s="4" t="s">
        <v>26</v>
      </c>
      <c r="P653" s="7" t="s">
        <v>19</v>
      </c>
      <c r="S653">
        <v>1403</v>
      </c>
      <c r="T653" t="str">
        <v>Manica</v>
      </c>
      <c r="U653" t="str">
        <v>Masculino</v>
      </c>
      <c r="V653" t="str">
        <v>Casado(a)</v>
      </c>
      <c r="W653" t="str">
        <v>Secundaria</v>
      </c>
      <c r="X653" t="str">
        <v>Sim</v>
      </c>
      <c r="Y653" t="str">
        <v>Pneumonia</v>
      </c>
      <c r="Z653">
        <v>14</v>
      </c>
      <c r="AA653">
        <v>60.1</v>
      </c>
      <c r="AB653">
        <v>1.67</v>
      </c>
      <c r="AC653">
        <v>4</v>
      </c>
      <c r="AD653">
        <v>107</v>
      </c>
      <c r="AE653">
        <v>91</v>
      </c>
      <c r="AF653" t="str">
        <v>Rural</v>
      </c>
      <c r="AG653" t="str">
        <v>Nao</v>
      </c>
    </row>
    <row r="654" spans="2:33" x14ac:dyDescent="0.45">
      <c r="B654" s="4">
        <v>653</v>
      </c>
      <c r="C654" s="4" t="s">
        <v>33</v>
      </c>
      <c r="D654" s="4" t="s">
        <v>16</v>
      </c>
      <c r="E654" s="4" t="s">
        <v>17</v>
      </c>
      <c r="F654" s="4" t="s">
        <v>18</v>
      </c>
      <c r="G654" s="4" t="s">
        <v>30</v>
      </c>
      <c r="H654" s="4" t="s">
        <v>28</v>
      </c>
      <c r="I654" s="4">
        <v>85</v>
      </c>
      <c r="J654" s="5">
        <v>81</v>
      </c>
      <c r="K654" s="6">
        <v>1.61</v>
      </c>
      <c r="L654" s="4">
        <v>6</v>
      </c>
      <c r="M654" s="4">
        <v>133</v>
      </c>
      <c r="N654" s="4">
        <v>89</v>
      </c>
      <c r="O654" s="4" t="s">
        <v>21</v>
      </c>
      <c r="P654" s="7" t="s">
        <v>19</v>
      </c>
      <c r="S654">
        <v>1404</v>
      </c>
      <c r="T654" t="str">
        <v>Gaza</v>
      </c>
      <c r="U654" t="str">
        <v>Masculino</v>
      </c>
      <c r="V654" t="str">
        <v>Casado(a)</v>
      </c>
      <c r="W654" t="str">
        <v>Primaria</v>
      </c>
      <c r="X654" t="str">
        <v>Nao</v>
      </c>
      <c r="Y654" t="str">
        <v>Diarreia</v>
      </c>
      <c r="Z654">
        <v>46</v>
      </c>
      <c r="AA654">
        <v>51.4</v>
      </c>
      <c r="AB654">
        <v>1.83</v>
      </c>
      <c r="AC654">
        <v>2</v>
      </c>
      <c r="AD654">
        <v>129</v>
      </c>
      <c r="AE654">
        <v>98</v>
      </c>
      <c r="AF654" t="str">
        <v>Rural</v>
      </c>
      <c r="AG654" t="str">
        <v>Sim</v>
      </c>
    </row>
    <row r="655" spans="2:33" x14ac:dyDescent="0.45">
      <c r="B655" s="4">
        <v>654</v>
      </c>
      <c r="C655" s="4" t="s">
        <v>27</v>
      </c>
      <c r="D655" s="4" t="s">
        <v>16</v>
      </c>
      <c r="E655" s="4" t="s">
        <v>35</v>
      </c>
      <c r="F655" s="4" t="s">
        <v>18</v>
      </c>
      <c r="G655" s="4" t="s">
        <v>30</v>
      </c>
      <c r="H655" s="4" t="s">
        <v>20</v>
      </c>
      <c r="I655" s="4">
        <v>3</v>
      </c>
      <c r="J655" s="5">
        <v>13.6</v>
      </c>
      <c r="K655" s="6">
        <v>0.87</v>
      </c>
      <c r="L655" s="4">
        <v>6</v>
      </c>
      <c r="M655" s="4">
        <v>97</v>
      </c>
      <c r="N655" s="4">
        <v>94</v>
      </c>
      <c r="O655" s="4" t="s">
        <v>21</v>
      </c>
      <c r="P655" s="7" t="s">
        <v>19</v>
      </c>
      <c r="S655">
        <v>1406</v>
      </c>
      <c r="T655" t="str">
        <v>Tete</v>
      </c>
      <c r="U655" t="str">
        <v>Masculino</v>
      </c>
      <c r="V655" t="str">
        <v>Casado(a)</v>
      </c>
      <c r="W655" t="str">
        <v>Primaria</v>
      </c>
      <c r="X655" t="str">
        <v>Nao</v>
      </c>
      <c r="Y655" t="str">
        <v>Hipertensao</v>
      </c>
      <c r="Z655">
        <v>57</v>
      </c>
      <c r="AA655">
        <v>48.4</v>
      </c>
      <c r="AB655">
        <v>1.74</v>
      </c>
      <c r="AC655">
        <v>6</v>
      </c>
      <c r="AD655">
        <v>126</v>
      </c>
      <c r="AE655">
        <v>81</v>
      </c>
      <c r="AF655" t="str">
        <v>Rural</v>
      </c>
      <c r="AG655" t="str">
        <v>Nao</v>
      </c>
    </row>
    <row r="656" spans="2:33" x14ac:dyDescent="0.45">
      <c r="B656" s="4">
        <v>655</v>
      </c>
      <c r="C656" s="4" t="s">
        <v>29</v>
      </c>
      <c r="D656" s="4" t="s">
        <v>16</v>
      </c>
      <c r="E656" s="4" t="s">
        <v>35</v>
      </c>
      <c r="F656" s="4" t="s">
        <v>28</v>
      </c>
      <c r="G656" s="4" t="s">
        <v>30</v>
      </c>
      <c r="H656" s="4" t="s">
        <v>46</v>
      </c>
      <c r="I656" s="4">
        <v>17</v>
      </c>
      <c r="J656" s="5">
        <v>47.5</v>
      </c>
      <c r="K656" s="6">
        <v>1.56</v>
      </c>
      <c r="L656" s="4">
        <v>2</v>
      </c>
      <c r="M656" s="4">
        <v>101</v>
      </c>
      <c r="N656" s="4">
        <v>84</v>
      </c>
      <c r="O656" s="4" t="s">
        <v>21</v>
      </c>
      <c r="P656" s="7" t="s">
        <v>19</v>
      </c>
      <c r="S656">
        <v>1409</v>
      </c>
      <c r="T656" t="str">
        <v>Maputo Cidade</v>
      </c>
      <c r="U656" t="str">
        <v>Masculino</v>
      </c>
      <c r="V656" t="str">
        <v>Casado(a)</v>
      </c>
      <c r="W656" t="str">
        <v>Nenhuma</v>
      </c>
      <c r="X656" t="str">
        <v>Nao</v>
      </c>
      <c r="Y656" t="str">
        <v>Nenhuma</v>
      </c>
      <c r="Z656">
        <v>37</v>
      </c>
      <c r="AA656">
        <v>53.5</v>
      </c>
      <c r="AB656">
        <v>1.69</v>
      </c>
      <c r="AC656">
        <v>4</v>
      </c>
      <c r="AD656">
        <v>121</v>
      </c>
      <c r="AE656">
        <v>73</v>
      </c>
      <c r="AF656" t="str">
        <v>Urbana</v>
      </c>
      <c r="AG656" t="str">
        <v>Sim</v>
      </c>
    </row>
    <row r="657" spans="2:33" x14ac:dyDescent="0.45">
      <c r="B657" s="4">
        <v>656</v>
      </c>
      <c r="C657" s="4" t="s">
        <v>43</v>
      </c>
      <c r="D657" s="4" t="s">
        <v>23</v>
      </c>
      <c r="E657" s="4" t="s">
        <v>35</v>
      </c>
      <c r="F657" s="4" t="s">
        <v>24</v>
      </c>
      <c r="G657" s="4" t="s">
        <v>19</v>
      </c>
      <c r="H657" s="4" t="s">
        <v>20</v>
      </c>
      <c r="I657" s="4">
        <v>19</v>
      </c>
      <c r="J657" s="5">
        <v>78.7</v>
      </c>
      <c r="K657" s="6">
        <v>1.68</v>
      </c>
      <c r="L657" s="4">
        <v>2</v>
      </c>
      <c r="M657" s="4">
        <v>99</v>
      </c>
      <c r="N657" s="4">
        <v>85</v>
      </c>
      <c r="O657" s="4" t="s">
        <v>21</v>
      </c>
      <c r="P657" s="7" t="s">
        <v>19</v>
      </c>
      <c r="S657">
        <v>1411</v>
      </c>
      <c r="T657" t="str">
        <v>Sofala</v>
      </c>
      <c r="U657" t="str">
        <v>Masculino</v>
      </c>
      <c r="V657" t="str">
        <v>Solteiro(a)</v>
      </c>
      <c r="W657" t="str">
        <v>Secundaria</v>
      </c>
      <c r="X657" t="str">
        <v>Nao</v>
      </c>
      <c r="Y657" t="str">
        <v>Diarreia</v>
      </c>
      <c r="Z657">
        <v>28</v>
      </c>
      <c r="AA657">
        <v>64.2</v>
      </c>
      <c r="AB657">
        <v>1.76</v>
      </c>
      <c r="AC657">
        <v>3</v>
      </c>
      <c r="AD657">
        <v>110</v>
      </c>
      <c r="AE657">
        <v>85</v>
      </c>
      <c r="AF657" t="str">
        <v>Rural</v>
      </c>
      <c r="AG657" t="str">
        <v>Nao</v>
      </c>
    </row>
    <row r="658" spans="2:33" x14ac:dyDescent="0.45">
      <c r="B658" s="4">
        <v>657</v>
      </c>
      <c r="C658" s="4" t="s">
        <v>43</v>
      </c>
      <c r="D658" s="4" t="s">
        <v>16</v>
      </c>
      <c r="E658" s="4" t="s">
        <v>17</v>
      </c>
      <c r="F658" s="4" t="s">
        <v>18</v>
      </c>
      <c r="G658" s="4" t="s">
        <v>30</v>
      </c>
      <c r="H658" s="4" t="s">
        <v>25</v>
      </c>
      <c r="I658" s="4">
        <v>1</v>
      </c>
      <c r="J658" s="5">
        <v>12</v>
      </c>
      <c r="K658" s="6">
        <v>0.9</v>
      </c>
      <c r="L658" s="4">
        <v>3</v>
      </c>
      <c r="M658" s="4">
        <v>110</v>
      </c>
      <c r="N658" s="4">
        <v>99</v>
      </c>
      <c r="O658" s="4" t="s">
        <v>26</v>
      </c>
      <c r="P658" s="7" t="s">
        <v>19</v>
      </c>
      <c r="S658">
        <v>1413</v>
      </c>
      <c r="T658" t="str">
        <v>Sofala</v>
      </c>
      <c r="U658" t="str">
        <v>Masculino</v>
      </c>
      <c r="V658" t="str">
        <v>Solteiro(a)</v>
      </c>
      <c r="W658" t="str">
        <v>Primaria</v>
      </c>
      <c r="X658" t="str">
        <v>Sim</v>
      </c>
      <c r="Y658" t="str">
        <v>Malaria</v>
      </c>
      <c r="Z658">
        <v>23</v>
      </c>
      <c r="AA658">
        <v>46.2</v>
      </c>
      <c r="AB658">
        <v>1.58</v>
      </c>
      <c r="AC658">
        <v>4</v>
      </c>
      <c r="AD658">
        <v>129</v>
      </c>
      <c r="AE658">
        <v>90</v>
      </c>
      <c r="AF658" t="str">
        <v>Rural</v>
      </c>
      <c r="AG658" t="str">
        <v>Sim</v>
      </c>
    </row>
    <row r="659" spans="2:33" x14ac:dyDescent="0.45">
      <c r="B659" s="4">
        <v>658</v>
      </c>
      <c r="C659" s="4" t="s">
        <v>31</v>
      </c>
      <c r="D659" s="4" t="s">
        <v>16</v>
      </c>
      <c r="E659" s="4" t="s">
        <v>17</v>
      </c>
      <c r="F659" s="4" t="s">
        <v>18</v>
      </c>
      <c r="G659" s="4" t="s">
        <v>19</v>
      </c>
      <c r="H659" s="4" t="s">
        <v>36</v>
      </c>
      <c r="I659" s="4">
        <v>9</v>
      </c>
      <c r="J659" s="5">
        <v>19.2</v>
      </c>
      <c r="K659" s="6">
        <v>1.37</v>
      </c>
      <c r="L659" s="4">
        <v>1</v>
      </c>
      <c r="M659" s="4">
        <v>133</v>
      </c>
      <c r="N659" s="4">
        <v>81</v>
      </c>
      <c r="O659" s="4" t="s">
        <v>26</v>
      </c>
      <c r="P659" s="7" t="s">
        <v>19</v>
      </c>
      <c r="S659">
        <v>1415</v>
      </c>
      <c r="T659" t="str">
        <v>Nampula</v>
      </c>
      <c r="U659" t="str">
        <v>Masculino</v>
      </c>
      <c r="V659" t="str">
        <v>Solteiro(a)</v>
      </c>
      <c r="W659" t="str">
        <v>Secundaria</v>
      </c>
      <c r="X659" t="str">
        <v>Sim</v>
      </c>
      <c r="Y659" t="str">
        <v>Nenhuma</v>
      </c>
      <c r="Z659">
        <v>33</v>
      </c>
      <c r="AA659">
        <v>83.2</v>
      </c>
      <c r="AB659">
        <v>1.61</v>
      </c>
      <c r="AC659">
        <v>3</v>
      </c>
      <c r="AD659">
        <v>110</v>
      </c>
      <c r="AE659">
        <v>94</v>
      </c>
      <c r="AF659" t="str">
        <v>Urbana</v>
      </c>
      <c r="AG659" t="str">
        <v>Nao</v>
      </c>
    </row>
    <row r="660" spans="2:33" x14ac:dyDescent="0.45">
      <c r="B660" s="4">
        <v>659</v>
      </c>
      <c r="C660" s="4" t="s">
        <v>41</v>
      </c>
      <c r="D660" s="4" t="s">
        <v>16</v>
      </c>
      <c r="E660" s="4" t="s">
        <v>17</v>
      </c>
      <c r="F660" s="4" t="s">
        <v>42</v>
      </c>
      <c r="G660" s="4" t="s">
        <v>30</v>
      </c>
      <c r="H660" s="4" t="s">
        <v>36</v>
      </c>
      <c r="I660" s="4">
        <v>9</v>
      </c>
      <c r="J660" s="5">
        <v>33.4</v>
      </c>
      <c r="K660" s="6">
        <v>1.37</v>
      </c>
      <c r="L660" s="4">
        <v>2</v>
      </c>
      <c r="M660" s="4">
        <v>122</v>
      </c>
      <c r="N660" s="4">
        <v>84</v>
      </c>
      <c r="O660" s="4" t="s">
        <v>21</v>
      </c>
      <c r="P660" s="7" t="s">
        <v>19</v>
      </c>
      <c r="S660">
        <v>1417</v>
      </c>
      <c r="T660" t="str">
        <v>Nampula</v>
      </c>
      <c r="U660" t="str">
        <v>Masculino</v>
      </c>
      <c r="V660" t="str">
        <v>Viuvo(a)</v>
      </c>
      <c r="W660" t="str">
        <v>Primaria</v>
      </c>
      <c r="X660" t="str">
        <v>Nao</v>
      </c>
      <c r="Y660" t="str">
        <v>Hipertensao</v>
      </c>
      <c r="Z660">
        <v>4</v>
      </c>
      <c r="AA660">
        <v>8.6</v>
      </c>
      <c r="AB660">
        <v>0.67</v>
      </c>
      <c r="AC660">
        <v>1</v>
      </c>
      <c r="AD660">
        <v>127</v>
      </c>
      <c r="AE660">
        <v>91</v>
      </c>
      <c r="AF660" t="str">
        <v>Rural</v>
      </c>
      <c r="AG660" t="str">
        <v>Nao</v>
      </c>
    </row>
    <row r="661" spans="2:33" x14ac:dyDescent="0.45">
      <c r="B661" s="4">
        <v>660</v>
      </c>
      <c r="C661" s="4" t="s">
        <v>39</v>
      </c>
      <c r="D661" s="4" t="s">
        <v>23</v>
      </c>
      <c r="E661" s="4" t="s">
        <v>17</v>
      </c>
      <c r="F661" s="4" t="s">
        <v>28</v>
      </c>
      <c r="G661" s="4" t="s">
        <v>19</v>
      </c>
      <c r="H661" s="4" t="s">
        <v>28</v>
      </c>
      <c r="I661" s="4">
        <v>7</v>
      </c>
      <c r="J661" s="5">
        <v>18.600000000000001</v>
      </c>
      <c r="K661" s="6">
        <v>1.37</v>
      </c>
      <c r="L661" s="4">
        <v>1</v>
      </c>
      <c r="M661" s="4">
        <v>99</v>
      </c>
      <c r="N661" s="4">
        <v>75</v>
      </c>
      <c r="O661" s="4" t="s">
        <v>21</v>
      </c>
      <c r="P661" s="7" t="s">
        <v>19</v>
      </c>
      <c r="S661">
        <v>1418</v>
      </c>
      <c r="T661" t="str">
        <v>Manica</v>
      </c>
      <c r="U661" t="str">
        <v>Masculino</v>
      </c>
      <c r="V661" t="str">
        <v>Casado(a)</v>
      </c>
      <c r="W661" t="str">
        <v>Primaria</v>
      </c>
      <c r="X661" t="str">
        <v>Nao</v>
      </c>
      <c r="Y661" t="str">
        <v>Nenhuma</v>
      </c>
      <c r="Z661">
        <v>74</v>
      </c>
      <c r="AA661">
        <v>88.9</v>
      </c>
      <c r="AB661">
        <v>1.84</v>
      </c>
      <c r="AC661">
        <v>3</v>
      </c>
      <c r="AD661">
        <v>137</v>
      </c>
      <c r="AE661">
        <v>102</v>
      </c>
      <c r="AF661" t="str">
        <v>Rural</v>
      </c>
      <c r="AG661" t="str">
        <v>Nao</v>
      </c>
    </row>
    <row r="662" spans="2:33" x14ac:dyDescent="0.45">
      <c r="B662" s="4">
        <v>661</v>
      </c>
      <c r="C662" s="4" t="s">
        <v>39</v>
      </c>
      <c r="D662" s="4" t="s">
        <v>23</v>
      </c>
      <c r="E662" s="4" t="s">
        <v>35</v>
      </c>
      <c r="F662" s="4" t="s">
        <v>28</v>
      </c>
      <c r="G662" s="4" t="s">
        <v>30</v>
      </c>
      <c r="H662" s="4" t="s">
        <v>20</v>
      </c>
      <c r="I662" s="4">
        <v>22</v>
      </c>
      <c r="J662" s="5">
        <v>60.7</v>
      </c>
      <c r="K662" s="6">
        <v>1.63</v>
      </c>
      <c r="L662" s="4">
        <v>2</v>
      </c>
      <c r="M662" s="4">
        <v>100</v>
      </c>
      <c r="N662" s="4">
        <v>84</v>
      </c>
      <c r="O662" s="4" t="s">
        <v>21</v>
      </c>
      <c r="P662" s="7" t="s">
        <v>19</v>
      </c>
      <c r="S662">
        <v>1419</v>
      </c>
      <c r="T662" t="str">
        <v>Zambezia</v>
      </c>
      <c r="U662" t="str">
        <v>Masculino</v>
      </c>
      <c r="V662" t="str">
        <v>Viuvo(a)</v>
      </c>
      <c r="W662" t="str">
        <v>Primaria</v>
      </c>
      <c r="X662" t="str">
        <v>Nao</v>
      </c>
      <c r="Y662" t="str">
        <v>Diabetes</v>
      </c>
      <c r="Z662">
        <v>20</v>
      </c>
      <c r="AA662">
        <v>85.4</v>
      </c>
      <c r="AB662">
        <v>1.87</v>
      </c>
      <c r="AC662">
        <v>0</v>
      </c>
      <c r="AD662">
        <v>116</v>
      </c>
      <c r="AE662">
        <v>157</v>
      </c>
      <c r="AF662" t="str">
        <v>Rural</v>
      </c>
      <c r="AG662" t="str">
        <v>Sim</v>
      </c>
    </row>
    <row r="663" spans="2:33" x14ac:dyDescent="0.45">
      <c r="B663" s="4">
        <v>662</v>
      </c>
      <c r="C663" s="4" t="s">
        <v>27</v>
      </c>
      <c r="D663" s="4" t="s">
        <v>23</v>
      </c>
      <c r="E663" s="4" t="s">
        <v>17</v>
      </c>
      <c r="F663" s="4" t="s">
        <v>18</v>
      </c>
      <c r="G663" s="4" t="s">
        <v>19</v>
      </c>
      <c r="H663" s="4" t="s">
        <v>34</v>
      </c>
      <c r="I663" s="4">
        <v>3</v>
      </c>
      <c r="J663" s="5">
        <v>8.1999999999999993</v>
      </c>
      <c r="K663" s="6">
        <v>0.9</v>
      </c>
      <c r="L663" s="4">
        <v>1</v>
      </c>
      <c r="M663" s="4">
        <v>96</v>
      </c>
      <c r="N663" s="4">
        <v>95</v>
      </c>
      <c r="O663" s="4" t="s">
        <v>21</v>
      </c>
      <c r="P663" s="7" t="s">
        <v>19</v>
      </c>
      <c r="S663">
        <v>1424</v>
      </c>
      <c r="T663" t="str">
        <v>Sofala</v>
      </c>
      <c r="U663" t="str">
        <v>Masculino</v>
      </c>
      <c r="V663" t="str">
        <v>Casado(a)</v>
      </c>
      <c r="W663" t="str">
        <v>Secundaria</v>
      </c>
      <c r="X663" t="str">
        <v>Nao</v>
      </c>
      <c r="Y663" t="str">
        <v>Nenhuma</v>
      </c>
      <c r="Z663">
        <v>37</v>
      </c>
      <c r="AA663">
        <v>45.3</v>
      </c>
      <c r="AB663">
        <v>1.57</v>
      </c>
      <c r="AC663">
        <v>1</v>
      </c>
      <c r="AD663">
        <v>118</v>
      </c>
      <c r="AE663">
        <v>101</v>
      </c>
      <c r="AF663" t="str">
        <v>Rural</v>
      </c>
      <c r="AG663" t="str">
        <v>Sim</v>
      </c>
    </row>
    <row r="664" spans="2:33" x14ac:dyDescent="0.45">
      <c r="B664" s="4">
        <v>663</v>
      </c>
      <c r="C664" s="4" t="s">
        <v>22</v>
      </c>
      <c r="D664" s="4" t="s">
        <v>16</v>
      </c>
      <c r="E664" s="4" t="s">
        <v>17</v>
      </c>
      <c r="F664" s="4" t="s">
        <v>18</v>
      </c>
      <c r="G664" s="4" t="s">
        <v>30</v>
      </c>
      <c r="H664" s="4" t="s">
        <v>20</v>
      </c>
      <c r="I664" s="4">
        <v>54</v>
      </c>
      <c r="J664" s="5">
        <v>70.099999999999994</v>
      </c>
      <c r="K664" s="6">
        <v>1.76</v>
      </c>
      <c r="L664" s="4">
        <v>5</v>
      </c>
      <c r="M664" s="4">
        <v>115</v>
      </c>
      <c r="N664" s="4">
        <v>89</v>
      </c>
      <c r="O664" s="4" t="s">
        <v>21</v>
      </c>
      <c r="P664" s="7" t="s">
        <v>19</v>
      </c>
      <c r="S664">
        <v>1425</v>
      </c>
      <c r="T664" t="str">
        <v>Zambezia</v>
      </c>
      <c r="U664" t="str">
        <v>Masculino</v>
      </c>
      <c r="V664" t="str">
        <v>Solteiro(a)</v>
      </c>
      <c r="W664" t="str">
        <v>Superior</v>
      </c>
      <c r="X664" t="str">
        <v>Nao</v>
      </c>
      <c r="Y664" t="str">
        <v>Diarreia</v>
      </c>
      <c r="Z664">
        <v>24</v>
      </c>
      <c r="AA664">
        <v>74.400000000000006</v>
      </c>
      <c r="AB664">
        <v>1.67</v>
      </c>
      <c r="AC664">
        <v>7</v>
      </c>
      <c r="AD664">
        <v>97</v>
      </c>
      <c r="AE664">
        <v>98</v>
      </c>
      <c r="AF664" t="str">
        <v>Rural</v>
      </c>
      <c r="AG664" t="str">
        <v>Nao</v>
      </c>
    </row>
    <row r="665" spans="2:33" x14ac:dyDescent="0.45">
      <c r="B665" s="4">
        <v>664</v>
      </c>
      <c r="C665" s="4" t="s">
        <v>22</v>
      </c>
      <c r="D665" s="4" t="s">
        <v>16</v>
      </c>
      <c r="E665" s="4" t="s">
        <v>35</v>
      </c>
      <c r="F665" s="4" t="s">
        <v>18</v>
      </c>
      <c r="G665" s="4" t="s">
        <v>19</v>
      </c>
      <c r="H665" s="4" t="s">
        <v>20</v>
      </c>
      <c r="I665" s="4">
        <v>5</v>
      </c>
      <c r="J665" s="5">
        <v>21.7</v>
      </c>
      <c r="K665" s="6">
        <v>1.31</v>
      </c>
      <c r="L665" s="4">
        <v>3</v>
      </c>
      <c r="M665" s="4">
        <v>109</v>
      </c>
      <c r="N665" s="4">
        <v>90</v>
      </c>
      <c r="O665" s="4" t="s">
        <v>26</v>
      </c>
      <c r="P665" s="7" t="s">
        <v>19</v>
      </c>
      <c r="S665">
        <v>1427</v>
      </c>
      <c r="T665" t="str">
        <v>Niassa</v>
      </c>
      <c r="U665" t="str">
        <v>Masculino</v>
      </c>
      <c r="V665" t="str">
        <v>Solteiro(a)</v>
      </c>
      <c r="W665" t="str">
        <v>Primaria</v>
      </c>
      <c r="X665" t="str">
        <v>Nao</v>
      </c>
      <c r="Y665" t="str">
        <v>Diabetes</v>
      </c>
      <c r="Z665">
        <v>39</v>
      </c>
      <c r="AA665">
        <v>79.099999999999994</v>
      </c>
      <c r="AB665">
        <v>1.65</v>
      </c>
      <c r="AC665">
        <v>2</v>
      </c>
      <c r="AD665">
        <v>110</v>
      </c>
      <c r="AE665">
        <v>142</v>
      </c>
      <c r="AF665" t="str">
        <v>Rural</v>
      </c>
      <c r="AG665" t="str">
        <v>Nao</v>
      </c>
    </row>
    <row r="666" spans="2:33" x14ac:dyDescent="0.45">
      <c r="B666" s="4">
        <v>665</v>
      </c>
      <c r="C666" s="4" t="s">
        <v>22</v>
      </c>
      <c r="D666" s="4" t="s">
        <v>16</v>
      </c>
      <c r="E666" s="4" t="s">
        <v>35</v>
      </c>
      <c r="F666" s="4" t="s">
        <v>24</v>
      </c>
      <c r="G666" s="4" t="s">
        <v>19</v>
      </c>
      <c r="H666" s="4" t="s">
        <v>25</v>
      </c>
      <c r="I666" s="4">
        <v>37</v>
      </c>
      <c r="J666" s="5">
        <v>77.7</v>
      </c>
      <c r="K666" s="6">
        <v>1.8</v>
      </c>
      <c r="L666" s="4">
        <v>7</v>
      </c>
      <c r="M666" s="4">
        <v>123</v>
      </c>
      <c r="N666" s="4">
        <v>81</v>
      </c>
      <c r="O666" s="4" t="s">
        <v>21</v>
      </c>
      <c r="P666" s="7" t="s">
        <v>19</v>
      </c>
      <c r="S666">
        <v>1431</v>
      </c>
      <c r="T666" t="str">
        <v>Cabo Delgado</v>
      </c>
      <c r="U666" t="str">
        <v>Masculino</v>
      </c>
      <c r="V666" t="str">
        <v>Divorciado(a)</v>
      </c>
      <c r="W666" t="str">
        <v>Superior</v>
      </c>
      <c r="X666" t="str">
        <v>Nao</v>
      </c>
      <c r="Y666" t="str">
        <v>Diabetes</v>
      </c>
      <c r="Z666">
        <v>36</v>
      </c>
      <c r="AA666">
        <v>75</v>
      </c>
      <c r="AB666">
        <v>1.63</v>
      </c>
      <c r="AC666">
        <v>5</v>
      </c>
      <c r="AD666">
        <v>122</v>
      </c>
      <c r="AE666">
        <v>159</v>
      </c>
      <c r="AF666" t="str">
        <v>Rural</v>
      </c>
      <c r="AG666" t="str">
        <v>Sim</v>
      </c>
    </row>
    <row r="667" spans="2:33" x14ac:dyDescent="0.45">
      <c r="B667" s="4">
        <v>666</v>
      </c>
      <c r="C667" s="4" t="s">
        <v>31</v>
      </c>
      <c r="D667" s="4" t="s">
        <v>23</v>
      </c>
      <c r="E667" s="4" t="s">
        <v>17</v>
      </c>
      <c r="F667" s="4" t="s">
        <v>24</v>
      </c>
      <c r="G667" s="4" t="s">
        <v>19</v>
      </c>
      <c r="H667" s="4" t="s">
        <v>34</v>
      </c>
      <c r="I667" s="4">
        <v>16</v>
      </c>
      <c r="J667" s="5">
        <v>53</v>
      </c>
      <c r="K667" s="6">
        <v>1.49</v>
      </c>
      <c r="L667" s="4">
        <v>3</v>
      </c>
      <c r="M667" s="4">
        <v>109</v>
      </c>
      <c r="N667" s="4">
        <v>94</v>
      </c>
      <c r="O667" s="4" t="s">
        <v>21</v>
      </c>
      <c r="P667" s="7" t="s">
        <v>19</v>
      </c>
      <c r="S667">
        <v>1432</v>
      </c>
      <c r="T667" t="str">
        <v>Niassa</v>
      </c>
      <c r="U667" t="str">
        <v>Masculino</v>
      </c>
      <c r="V667" t="str">
        <v>Casado(a)</v>
      </c>
      <c r="W667" t="str">
        <v>Primaria</v>
      </c>
      <c r="X667" t="str">
        <v>Nao</v>
      </c>
      <c r="Y667" t="str">
        <v>HIV/SIDA</v>
      </c>
      <c r="Z667">
        <v>44</v>
      </c>
      <c r="AA667">
        <v>93.9</v>
      </c>
      <c r="AB667">
        <v>1.48</v>
      </c>
      <c r="AC667">
        <v>9</v>
      </c>
      <c r="AD667">
        <v>119</v>
      </c>
      <c r="AE667">
        <v>97</v>
      </c>
      <c r="AF667" t="str">
        <v>Urbana</v>
      </c>
      <c r="AG667" t="str">
        <v>Sim</v>
      </c>
    </row>
    <row r="668" spans="2:33" x14ac:dyDescent="0.45">
      <c r="B668" s="4">
        <v>667</v>
      </c>
      <c r="C668" s="4" t="s">
        <v>27</v>
      </c>
      <c r="D668" s="4" t="s">
        <v>16</v>
      </c>
      <c r="E668" s="4" t="s">
        <v>17</v>
      </c>
      <c r="F668" s="4" t="s">
        <v>18</v>
      </c>
      <c r="G668" s="4" t="s">
        <v>19</v>
      </c>
      <c r="H668" s="4" t="s">
        <v>46</v>
      </c>
      <c r="I668" s="4">
        <v>28</v>
      </c>
      <c r="J668" s="5">
        <v>76.7</v>
      </c>
      <c r="K668" s="6">
        <v>1.65</v>
      </c>
      <c r="L668" s="4">
        <v>4</v>
      </c>
      <c r="M668" s="4">
        <v>125</v>
      </c>
      <c r="N668" s="4">
        <v>73</v>
      </c>
      <c r="O668" s="4" t="s">
        <v>26</v>
      </c>
      <c r="P668" s="7" t="s">
        <v>30</v>
      </c>
      <c r="S668">
        <v>1434</v>
      </c>
      <c r="T668" t="str">
        <v>Sofala</v>
      </c>
      <c r="U668" t="str">
        <v>Masculino</v>
      </c>
      <c r="V668" t="str">
        <v>Casado(a)</v>
      </c>
      <c r="W668" t="str">
        <v>Primaria</v>
      </c>
      <c r="X668" t="str">
        <v>Nao</v>
      </c>
      <c r="Y668" t="str">
        <v>Malaria</v>
      </c>
      <c r="Z668">
        <v>37</v>
      </c>
      <c r="AA668">
        <v>45.4</v>
      </c>
      <c r="AB668">
        <v>1.76</v>
      </c>
      <c r="AC668">
        <v>5</v>
      </c>
      <c r="AD668">
        <v>102</v>
      </c>
      <c r="AE668">
        <v>75</v>
      </c>
      <c r="AF668" t="str">
        <v>Urbana</v>
      </c>
      <c r="AG668" t="str">
        <v>Nao</v>
      </c>
    </row>
    <row r="669" spans="2:33" x14ac:dyDescent="0.45">
      <c r="B669" s="4">
        <v>668</v>
      </c>
      <c r="C669" s="4" t="s">
        <v>41</v>
      </c>
      <c r="D669" s="4" t="s">
        <v>16</v>
      </c>
      <c r="E669" s="4" t="s">
        <v>35</v>
      </c>
      <c r="F669" s="4" t="s">
        <v>28</v>
      </c>
      <c r="G669" s="4" t="s">
        <v>30</v>
      </c>
      <c r="H669" s="4" t="s">
        <v>36</v>
      </c>
      <c r="I669" s="4">
        <v>12</v>
      </c>
      <c r="J669" s="5">
        <v>45.3</v>
      </c>
      <c r="K669" s="6">
        <v>1.72</v>
      </c>
      <c r="L669" s="4">
        <v>1</v>
      </c>
      <c r="M669" s="4">
        <v>131</v>
      </c>
      <c r="N669" s="4">
        <v>99</v>
      </c>
      <c r="O669" s="4" t="s">
        <v>26</v>
      </c>
      <c r="P669" s="7" t="s">
        <v>19</v>
      </c>
      <c r="S669">
        <v>1435</v>
      </c>
      <c r="T669" t="str">
        <v>Niassa</v>
      </c>
      <c r="U669" t="str">
        <v>Masculino</v>
      </c>
      <c r="V669" t="str">
        <v>Casado(a)</v>
      </c>
      <c r="W669" t="str">
        <v>Superior</v>
      </c>
      <c r="X669" t="str">
        <v>Nao</v>
      </c>
      <c r="Y669" t="str">
        <v>Diabetes</v>
      </c>
      <c r="Z669">
        <v>33</v>
      </c>
      <c r="AA669">
        <v>46.4</v>
      </c>
      <c r="AB669">
        <v>1.87</v>
      </c>
      <c r="AC669">
        <v>1</v>
      </c>
      <c r="AD669">
        <v>117</v>
      </c>
      <c r="AE669">
        <v>141</v>
      </c>
      <c r="AF669" t="str">
        <v>Rural</v>
      </c>
      <c r="AG669" t="str">
        <v>Sim</v>
      </c>
    </row>
    <row r="670" spans="2:33" x14ac:dyDescent="0.45">
      <c r="B670" s="4">
        <v>669</v>
      </c>
      <c r="C670" s="4" t="s">
        <v>22</v>
      </c>
      <c r="D670" s="4" t="s">
        <v>23</v>
      </c>
      <c r="E670" s="4" t="s">
        <v>17</v>
      </c>
      <c r="F670" s="4" t="s">
        <v>18</v>
      </c>
      <c r="G670" s="4" t="s">
        <v>19</v>
      </c>
      <c r="H670" s="4" t="s">
        <v>28</v>
      </c>
      <c r="I670" s="4">
        <v>56</v>
      </c>
      <c r="J670" s="5">
        <v>76.599999999999994</v>
      </c>
      <c r="K670" s="6">
        <v>1.71</v>
      </c>
      <c r="L670" s="4">
        <v>4</v>
      </c>
      <c r="M670" s="4">
        <v>115</v>
      </c>
      <c r="N670" s="4">
        <v>87</v>
      </c>
      <c r="O670" s="4" t="s">
        <v>26</v>
      </c>
      <c r="P670" s="7" t="s">
        <v>19</v>
      </c>
      <c r="S670">
        <v>1436</v>
      </c>
      <c r="T670" t="str">
        <v>Cabo Delgado</v>
      </c>
      <c r="U670" t="str">
        <v>Masculino</v>
      </c>
      <c r="V670" t="str">
        <v>Casado(a)</v>
      </c>
      <c r="W670" t="str">
        <v>Primaria</v>
      </c>
      <c r="X670" t="str">
        <v>Nao</v>
      </c>
      <c r="Y670" t="str">
        <v>Pneumonia</v>
      </c>
      <c r="Z670">
        <v>0</v>
      </c>
      <c r="AA670">
        <v>14.4</v>
      </c>
      <c r="AB670">
        <v>0.9</v>
      </c>
      <c r="AC670">
        <v>0</v>
      </c>
      <c r="AD670">
        <v>108</v>
      </c>
      <c r="AE670">
        <v>84</v>
      </c>
      <c r="AF670" t="str">
        <v>Rural</v>
      </c>
      <c r="AG670" t="str">
        <v>Nao</v>
      </c>
    </row>
    <row r="671" spans="2:33" x14ac:dyDescent="0.45">
      <c r="B671" s="4">
        <v>670</v>
      </c>
      <c r="C671" s="4" t="s">
        <v>22</v>
      </c>
      <c r="D671" s="4" t="s">
        <v>16</v>
      </c>
      <c r="E671" s="4" t="s">
        <v>17</v>
      </c>
      <c r="F671" s="4" t="s">
        <v>24</v>
      </c>
      <c r="G671" s="4" t="s">
        <v>19</v>
      </c>
      <c r="H671" s="4" t="s">
        <v>25</v>
      </c>
      <c r="I671" s="4">
        <v>4</v>
      </c>
      <c r="J671" s="5">
        <v>17.8</v>
      </c>
      <c r="K671" s="6">
        <v>1.01</v>
      </c>
      <c r="L671" s="4">
        <v>2</v>
      </c>
      <c r="M671" s="4">
        <v>101</v>
      </c>
      <c r="N671" s="4">
        <v>94</v>
      </c>
      <c r="O671" s="4" t="s">
        <v>21</v>
      </c>
      <c r="P671" s="7" t="s">
        <v>19</v>
      </c>
      <c r="S671">
        <v>1437</v>
      </c>
      <c r="T671" t="str">
        <v>Gaza</v>
      </c>
      <c r="U671" t="str">
        <v>Masculino</v>
      </c>
      <c r="V671" t="str">
        <v>Casado(a)</v>
      </c>
      <c r="W671" t="str">
        <v>Secundaria</v>
      </c>
      <c r="X671" t="str">
        <v>Nao</v>
      </c>
      <c r="Y671" t="str">
        <v>Pneumonia</v>
      </c>
      <c r="Z671">
        <v>1</v>
      </c>
      <c r="AA671">
        <v>8.4</v>
      </c>
      <c r="AB671">
        <v>0.99</v>
      </c>
      <c r="AC671">
        <v>5</v>
      </c>
      <c r="AD671">
        <v>108</v>
      </c>
      <c r="AE671">
        <v>87</v>
      </c>
      <c r="AF671" t="str">
        <v>Rural</v>
      </c>
      <c r="AG671" t="str">
        <v>Nao</v>
      </c>
    </row>
    <row r="672" spans="2:33" x14ac:dyDescent="0.45">
      <c r="B672" s="4">
        <v>671</v>
      </c>
      <c r="C672" s="4" t="s">
        <v>41</v>
      </c>
      <c r="D672" s="4" t="s">
        <v>16</v>
      </c>
      <c r="E672" s="4" t="s">
        <v>17</v>
      </c>
      <c r="F672" s="4" t="s">
        <v>24</v>
      </c>
      <c r="G672" s="4" t="s">
        <v>19</v>
      </c>
      <c r="H672" s="4" t="s">
        <v>20</v>
      </c>
      <c r="I672" s="4">
        <v>6</v>
      </c>
      <c r="J672" s="5">
        <v>32</v>
      </c>
      <c r="K672" s="6">
        <v>1.3</v>
      </c>
      <c r="L672" s="4">
        <v>4</v>
      </c>
      <c r="M672" s="4">
        <v>110</v>
      </c>
      <c r="N672" s="4">
        <v>75</v>
      </c>
      <c r="O672" s="4" t="s">
        <v>26</v>
      </c>
      <c r="P672" s="7" t="s">
        <v>19</v>
      </c>
      <c r="S672">
        <v>1438</v>
      </c>
      <c r="T672" t="str">
        <v>Manica</v>
      </c>
      <c r="U672" t="str">
        <v>Masculino</v>
      </c>
      <c r="V672" t="str">
        <v>Casado(a)</v>
      </c>
      <c r="W672" t="str">
        <v>Primaria</v>
      </c>
      <c r="X672" t="str">
        <v>Nao</v>
      </c>
      <c r="Y672" t="str">
        <v>HIV/SIDA</v>
      </c>
      <c r="Z672">
        <v>26</v>
      </c>
      <c r="AA672">
        <v>71.5</v>
      </c>
      <c r="AB672">
        <v>1.5</v>
      </c>
      <c r="AC672">
        <v>6</v>
      </c>
      <c r="AD672">
        <v>108</v>
      </c>
      <c r="AE672">
        <v>76</v>
      </c>
      <c r="AF672" t="str">
        <v>Urbana</v>
      </c>
      <c r="AG672" t="str">
        <v>Nao</v>
      </c>
    </row>
    <row r="673" spans="2:33" x14ac:dyDescent="0.45">
      <c r="B673" s="4">
        <v>672</v>
      </c>
      <c r="C673" s="4" t="s">
        <v>22</v>
      </c>
      <c r="D673" s="4" t="s">
        <v>16</v>
      </c>
      <c r="E673" s="4" t="s">
        <v>17</v>
      </c>
      <c r="F673" s="4" t="s">
        <v>28</v>
      </c>
      <c r="G673" s="4" t="s">
        <v>19</v>
      </c>
      <c r="H673" s="4" t="s">
        <v>20</v>
      </c>
      <c r="I673" s="4">
        <v>29</v>
      </c>
      <c r="J673" s="5">
        <v>60.8</v>
      </c>
      <c r="K673" s="6">
        <v>1.5</v>
      </c>
      <c r="L673" s="4">
        <v>2</v>
      </c>
      <c r="M673" s="4">
        <v>107</v>
      </c>
      <c r="N673" s="4">
        <v>92</v>
      </c>
      <c r="O673" s="4" t="s">
        <v>26</v>
      </c>
      <c r="P673" s="7" t="s">
        <v>19</v>
      </c>
      <c r="S673">
        <v>1439</v>
      </c>
      <c r="T673" t="str">
        <v>Nampula</v>
      </c>
      <c r="U673" t="str">
        <v>Masculino</v>
      </c>
      <c r="V673" t="str">
        <v>Casado(a)</v>
      </c>
      <c r="W673" t="str">
        <v>Primaria</v>
      </c>
      <c r="X673" t="str">
        <v>Sim</v>
      </c>
      <c r="Y673" t="str">
        <v>HIV/SIDA</v>
      </c>
      <c r="Z673">
        <v>82</v>
      </c>
      <c r="AA673">
        <v>82.4</v>
      </c>
      <c r="AB673">
        <v>1.75</v>
      </c>
      <c r="AC673">
        <v>3</v>
      </c>
      <c r="AD673">
        <v>130</v>
      </c>
      <c r="AE673">
        <v>88</v>
      </c>
      <c r="AF673" t="str">
        <v>Rural</v>
      </c>
      <c r="AG673" t="str">
        <v>Nao</v>
      </c>
    </row>
    <row r="674" spans="2:33" x14ac:dyDescent="0.45">
      <c r="B674" s="4">
        <v>673</v>
      </c>
      <c r="C674" s="4" t="s">
        <v>45</v>
      </c>
      <c r="D674" s="4" t="s">
        <v>16</v>
      </c>
      <c r="E674" s="4" t="s">
        <v>35</v>
      </c>
      <c r="F674" s="4" t="s">
        <v>18</v>
      </c>
      <c r="G674" s="4" t="s">
        <v>19</v>
      </c>
      <c r="H674" s="4" t="s">
        <v>20</v>
      </c>
      <c r="I674" s="4">
        <v>10</v>
      </c>
      <c r="J674" s="5">
        <v>20.2</v>
      </c>
      <c r="K674" s="6">
        <v>1.1100000000000001</v>
      </c>
      <c r="L674" s="4">
        <v>7</v>
      </c>
      <c r="M674" s="4">
        <v>100</v>
      </c>
      <c r="N674" s="4">
        <v>74</v>
      </c>
      <c r="O674" s="4" t="s">
        <v>26</v>
      </c>
      <c r="P674" s="7" t="s">
        <v>19</v>
      </c>
      <c r="S674">
        <v>1440</v>
      </c>
      <c r="T674" t="str">
        <v>Maputo Cidade</v>
      </c>
      <c r="U674" t="str">
        <v>Masculino</v>
      </c>
      <c r="V674" t="str">
        <v>Solteiro(a)</v>
      </c>
      <c r="W674" t="str">
        <v>Primaria</v>
      </c>
      <c r="X674" t="str">
        <v>Nao</v>
      </c>
      <c r="Y674" t="str">
        <v>Diabetes</v>
      </c>
      <c r="Z674">
        <v>45</v>
      </c>
      <c r="AA674">
        <v>77</v>
      </c>
      <c r="AB674">
        <v>1.75</v>
      </c>
      <c r="AC674">
        <v>6</v>
      </c>
      <c r="AD674">
        <v>110</v>
      </c>
      <c r="AE674">
        <v>131</v>
      </c>
      <c r="AF674" t="str">
        <v>Rural</v>
      </c>
      <c r="AG674" t="str">
        <v>Nao</v>
      </c>
    </row>
    <row r="675" spans="2:33" x14ac:dyDescent="0.45">
      <c r="B675" s="4">
        <v>674</v>
      </c>
      <c r="C675" s="4" t="s">
        <v>41</v>
      </c>
      <c r="D675" s="4" t="s">
        <v>16</v>
      </c>
      <c r="E675" s="4" t="s">
        <v>17</v>
      </c>
      <c r="F675" s="4" t="s">
        <v>24</v>
      </c>
      <c r="G675" s="4" t="s">
        <v>19</v>
      </c>
      <c r="H675" s="4" t="s">
        <v>20</v>
      </c>
      <c r="I675" s="4">
        <v>23</v>
      </c>
      <c r="J675" s="5">
        <v>63.9</v>
      </c>
      <c r="K675" s="6">
        <v>1.49</v>
      </c>
      <c r="L675" s="4">
        <v>3</v>
      </c>
      <c r="M675" s="4">
        <v>120</v>
      </c>
      <c r="N675" s="4">
        <v>79</v>
      </c>
      <c r="O675" s="4" t="s">
        <v>21</v>
      </c>
      <c r="P675" s="7" t="s">
        <v>19</v>
      </c>
      <c r="S675">
        <v>1443</v>
      </c>
      <c r="T675" t="str">
        <v>Sofala</v>
      </c>
      <c r="U675" t="str">
        <v>Masculino</v>
      </c>
      <c r="V675" t="str">
        <v>Solteiro(a)</v>
      </c>
      <c r="W675" t="str">
        <v>Secundaria</v>
      </c>
      <c r="X675" t="str">
        <v>Nao</v>
      </c>
      <c r="Y675" t="str">
        <v>Malaria</v>
      </c>
      <c r="Z675">
        <v>18</v>
      </c>
      <c r="AA675">
        <v>62.6</v>
      </c>
      <c r="AB675">
        <v>1.5</v>
      </c>
      <c r="AC675">
        <v>1</v>
      </c>
      <c r="AD675">
        <v>119</v>
      </c>
      <c r="AE675">
        <v>80</v>
      </c>
      <c r="AF675" t="str">
        <v>Rural</v>
      </c>
      <c r="AG675" t="str">
        <v>Nao</v>
      </c>
    </row>
    <row r="676" spans="2:33" x14ac:dyDescent="0.45">
      <c r="B676" s="4">
        <v>675</v>
      </c>
      <c r="C676" s="4" t="s">
        <v>45</v>
      </c>
      <c r="D676" s="4" t="s">
        <v>23</v>
      </c>
      <c r="E676" s="4" t="s">
        <v>37</v>
      </c>
      <c r="F676" s="4" t="s">
        <v>28</v>
      </c>
      <c r="G676" s="4" t="s">
        <v>19</v>
      </c>
      <c r="H676" s="4" t="s">
        <v>25</v>
      </c>
      <c r="I676" s="4">
        <v>18</v>
      </c>
      <c r="J676" s="5">
        <v>67.900000000000006</v>
      </c>
      <c r="K676" s="6">
        <v>1.83</v>
      </c>
      <c r="L676" s="4">
        <v>0</v>
      </c>
      <c r="M676" s="4">
        <v>107</v>
      </c>
      <c r="N676" s="4">
        <v>92</v>
      </c>
      <c r="O676" s="4" t="s">
        <v>26</v>
      </c>
      <c r="P676" s="7" t="s">
        <v>19</v>
      </c>
      <c r="S676">
        <v>1445</v>
      </c>
      <c r="T676" t="str">
        <v>Sofala</v>
      </c>
      <c r="U676" t="str">
        <v>Masculino</v>
      </c>
      <c r="V676" t="str">
        <v>Divorciado(a)</v>
      </c>
      <c r="W676" t="str">
        <v>Secundaria</v>
      </c>
      <c r="X676" t="str">
        <v>Sim</v>
      </c>
      <c r="Y676" t="str">
        <v>Nenhuma</v>
      </c>
      <c r="Z676">
        <v>10</v>
      </c>
      <c r="AA676">
        <v>21.4</v>
      </c>
      <c r="AB676">
        <v>1.1399999999999999</v>
      </c>
      <c r="AC676">
        <v>0</v>
      </c>
      <c r="AD676">
        <v>112</v>
      </c>
      <c r="AE676">
        <v>101</v>
      </c>
      <c r="AF676" t="str">
        <v>Urbana</v>
      </c>
      <c r="AG676" t="str">
        <v>Nao</v>
      </c>
    </row>
    <row r="677" spans="2:33" x14ac:dyDescent="0.45">
      <c r="B677" s="4">
        <v>676</v>
      </c>
      <c r="C677" s="4" t="s">
        <v>27</v>
      </c>
      <c r="D677" s="4" t="s">
        <v>23</v>
      </c>
      <c r="E677" s="4" t="s">
        <v>35</v>
      </c>
      <c r="F677" s="4" t="s">
        <v>18</v>
      </c>
      <c r="G677" s="4" t="s">
        <v>19</v>
      </c>
      <c r="H677" s="4" t="s">
        <v>36</v>
      </c>
      <c r="I677" s="4">
        <v>33</v>
      </c>
      <c r="J677" s="5">
        <v>48.3</v>
      </c>
      <c r="K677" s="6">
        <v>1.54</v>
      </c>
      <c r="L677" s="4">
        <v>6</v>
      </c>
      <c r="M677" s="4">
        <v>119</v>
      </c>
      <c r="N677" s="4">
        <v>77</v>
      </c>
      <c r="O677" s="4" t="s">
        <v>21</v>
      </c>
      <c r="P677" s="7" t="s">
        <v>19</v>
      </c>
      <c r="S677">
        <v>1447</v>
      </c>
      <c r="T677" t="str">
        <v>Sofala</v>
      </c>
      <c r="U677" t="str">
        <v>Masculino</v>
      </c>
      <c r="V677" t="str">
        <v>Solteiro(a)</v>
      </c>
      <c r="W677" t="str">
        <v>Secundaria</v>
      </c>
      <c r="X677" t="str">
        <v>Nao</v>
      </c>
      <c r="Y677" t="str">
        <v>Hipertensao</v>
      </c>
      <c r="Z677">
        <v>4</v>
      </c>
      <c r="AA677">
        <v>11.6</v>
      </c>
      <c r="AB677">
        <v>0.79</v>
      </c>
      <c r="AC677">
        <v>1</v>
      </c>
      <c r="AD677">
        <v>127</v>
      </c>
      <c r="AE677">
        <v>95</v>
      </c>
      <c r="AF677" t="str">
        <v>Urbana</v>
      </c>
      <c r="AG677" t="str">
        <v>Nao</v>
      </c>
    </row>
    <row r="678" spans="2:33" x14ac:dyDescent="0.45">
      <c r="B678" s="4">
        <v>677</v>
      </c>
      <c r="C678" s="4" t="s">
        <v>22</v>
      </c>
      <c r="D678" s="4" t="s">
        <v>16</v>
      </c>
      <c r="E678" s="4" t="s">
        <v>17</v>
      </c>
      <c r="F678" s="4" t="s">
        <v>18</v>
      </c>
      <c r="G678" s="4" t="s">
        <v>19</v>
      </c>
      <c r="H678" s="4" t="s">
        <v>25</v>
      </c>
      <c r="I678" s="4">
        <v>19</v>
      </c>
      <c r="J678" s="5">
        <v>55.9</v>
      </c>
      <c r="K678" s="6">
        <v>1.57</v>
      </c>
      <c r="L678" s="4">
        <v>2</v>
      </c>
      <c r="M678" s="4">
        <v>110</v>
      </c>
      <c r="N678" s="4">
        <v>79</v>
      </c>
      <c r="O678" s="4" t="s">
        <v>26</v>
      </c>
      <c r="P678" s="7" t="s">
        <v>19</v>
      </c>
      <c r="S678">
        <v>1449</v>
      </c>
      <c r="T678" t="str">
        <v>Inhambane</v>
      </c>
      <c r="U678" t="str">
        <v>Masculino</v>
      </c>
      <c r="V678" t="str">
        <v>Solteiro(a)</v>
      </c>
      <c r="W678" t="str">
        <v>Secundaria</v>
      </c>
      <c r="X678" t="str">
        <v>Nao</v>
      </c>
      <c r="Y678" t="str">
        <v>Nenhuma</v>
      </c>
      <c r="Z678">
        <v>34</v>
      </c>
      <c r="AA678">
        <v>58.6</v>
      </c>
      <c r="AB678">
        <v>1.79</v>
      </c>
      <c r="AC678">
        <v>4</v>
      </c>
      <c r="AD678">
        <v>104</v>
      </c>
      <c r="AE678">
        <v>73</v>
      </c>
      <c r="AF678" t="str">
        <v>Rural</v>
      </c>
      <c r="AG678" t="str">
        <v>Nao</v>
      </c>
    </row>
    <row r="679" spans="2:33" x14ac:dyDescent="0.45">
      <c r="B679" s="4">
        <v>678</v>
      </c>
      <c r="C679" s="4" t="s">
        <v>43</v>
      </c>
      <c r="D679" s="4" t="s">
        <v>23</v>
      </c>
      <c r="E679" s="4" t="s">
        <v>44</v>
      </c>
      <c r="F679" s="4" t="s">
        <v>24</v>
      </c>
      <c r="G679" s="4" t="s">
        <v>19</v>
      </c>
      <c r="H679" s="4" t="s">
        <v>20</v>
      </c>
      <c r="I679" s="4">
        <v>18</v>
      </c>
      <c r="J679" s="5">
        <v>94.9</v>
      </c>
      <c r="K679" s="6">
        <v>1.73</v>
      </c>
      <c r="L679" s="4">
        <v>8</v>
      </c>
      <c r="M679" s="4">
        <v>104</v>
      </c>
      <c r="N679" s="4">
        <v>79</v>
      </c>
      <c r="O679" s="4" t="s">
        <v>26</v>
      </c>
      <c r="P679" s="7" t="s">
        <v>19</v>
      </c>
      <c r="S679">
        <v>1450</v>
      </c>
      <c r="T679" t="str">
        <v>Maputo Provincia</v>
      </c>
      <c r="U679" t="str">
        <v>Masculino</v>
      </c>
      <c r="V679" t="str">
        <v>Casado(a)</v>
      </c>
      <c r="W679" t="str">
        <v>Primaria</v>
      </c>
      <c r="X679" t="str">
        <v>Nao</v>
      </c>
      <c r="Y679" t="str">
        <v>Diarreia</v>
      </c>
      <c r="Z679">
        <v>58</v>
      </c>
      <c r="AA679">
        <v>59</v>
      </c>
      <c r="AB679">
        <v>1.89</v>
      </c>
      <c r="AC679">
        <v>2</v>
      </c>
      <c r="AD679">
        <v>114</v>
      </c>
      <c r="AE679">
        <v>73</v>
      </c>
      <c r="AF679" t="str">
        <v>Rural</v>
      </c>
      <c r="AG679" t="str">
        <v>Nao</v>
      </c>
    </row>
    <row r="680" spans="2:33" x14ac:dyDescent="0.45">
      <c r="B680" s="4">
        <v>679</v>
      </c>
      <c r="C680" s="4" t="s">
        <v>29</v>
      </c>
      <c r="D680" s="4" t="s">
        <v>23</v>
      </c>
      <c r="E680" s="4" t="s">
        <v>35</v>
      </c>
      <c r="F680" s="4" t="s">
        <v>24</v>
      </c>
      <c r="G680" s="4" t="s">
        <v>19</v>
      </c>
      <c r="H680" s="4" t="s">
        <v>32</v>
      </c>
      <c r="I680" s="4">
        <v>16</v>
      </c>
      <c r="J680" s="5">
        <v>47.4</v>
      </c>
      <c r="K680" s="6">
        <v>1.68</v>
      </c>
      <c r="L680" s="4">
        <v>6</v>
      </c>
      <c r="M680" s="4">
        <v>102</v>
      </c>
      <c r="N680" s="4">
        <v>163</v>
      </c>
      <c r="O680" s="4" t="s">
        <v>26</v>
      </c>
      <c r="P680" s="7" t="s">
        <v>19</v>
      </c>
      <c r="S680">
        <v>1451</v>
      </c>
      <c r="T680" t="str">
        <v>Manica</v>
      </c>
      <c r="U680" t="str">
        <v>Masculino</v>
      </c>
      <c r="V680" t="str">
        <v>Casado(a)</v>
      </c>
      <c r="W680" t="str">
        <v>Primaria</v>
      </c>
      <c r="X680" t="str">
        <v>Nao</v>
      </c>
      <c r="Y680" t="str">
        <v>Diabetes</v>
      </c>
      <c r="Z680">
        <v>14</v>
      </c>
      <c r="AA680">
        <v>49</v>
      </c>
      <c r="AB680">
        <v>1.47</v>
      </c>
      <c r="AC680">
        <v>10</v>
      </c>
      <c r="AD680">
        <v>107</v>
      </c>
      <c r="AE680">
        <v>155</v>
      </c>
      <c r="AF680" t="str">
        <v>Rural</v>
      </c>
      <c r="AG680" t="str">
        <v>Nao</v>
      </c>
    </row>
    <row r="681" spans="2:33" x14ac:dyDescent="0.45">
      <c r="B681" s="4">
        <v>680</v>
      </c>
      <c r="C681" s="4" t="s">
        <v>33</v>
      </c>
      <c r="D681" s="4" t="s">
        <v>16</v>
      </c>
      <c r="E681" s="4" t="s">
        <v>17</v>
      </c>
      <c r="F681" s="4" t="s">
        <v>18</v>
      </c>
      <c r="G681" s="4" t="s">
        <v>19</v>
      </c>
      <c r="H681" s="4" t="s">
        <v>34</v>
      </c>
      <c r="I681" s="4">
        <v>6</v>
      </c>
      <c r="J681" s="5">
        <v>31.4</v>
      </c>
      <c r="K681" s="6">
        <v>1.25</v>
      </c>
      <c r="L681" s="4">
        <v>3</v>
      </c>
      <c r="M681" s="4">
        <v>109</v>
      </c>
      <c r="N681" s="4">
        <v>89</v>
      </c>
      <c r="O681" s="4" t="s">
        <v>21</v>
      </c>
      <c r="P681" s="7" t="s">
        <v>19</v>
      </c>
      <c r="S681">
        <v>1454</v>
      </c>
      <c r="T681" t="str">
        <v>Manica</v>
      </c>
      <c r="U681" t="str">
        <v>Masculino</v>
      </c>
      <c r="V681" t="str">
        <v>Solteiro(a)</v>
      </c>
      <c r="W681" t="str">
        <v>Secundaria</v>
      </c>
      <c r="X681" t="str">
        <v>Sim</v>
      </c>
      <c r="Y681" t="str">
        <v>Nenhuma</v>
      </c>
      <c r="Z681">
        <v>23</v>
      </c>
      <c r="AA681">
        <v>61.4</v>
      </c>
      <c r="AB681">
        <v>1.88</v>
      </c>
      <c r="AC681">
        <v>9</v>
      </c>
      <c r="AD681">
        <v>120</v>
      </c>
      <c r="AE681">
        <v>98</v>
      </c>
      <c r="AF681" t="str">
        <v>Rural</v>
      </c>
      <c r="AG681" t="str">
        <v>Nao</v>
      </c>
    </row>
    <row r="682" spans="2:33" x14ac:dyDescent="0.45">
      <c r="B682" s="4">
        <v>681</v>
      </c>
      <c r="C682" s="4" t="s">
        <v>31</v>
      </c>
      <c r="D682" s="4" t="s">
        <v>16</v>
      </c>
      <c r="E682" s="4" t="s">
        <v>37</v>
      </c>
      <c r="F682" s="4" t="s">
        <v>18</v>
      </c>
      <c r="G682" s="4" t="s">
        <v>30</v>
      </c>
      <c r="H682" s="4" t="s">
        <v>20</v>
      </c>
      <c r="I682" s="4">
        <v>36</v>
      </c>
      <c r="J682" s="5">
        <v>67.7</v>
      </c>
      <c r="K682" s="6">
        <v>1.64</v>
      </c>
      <c r="L682" s="4">
        <v>3</v>
      </c>
      <c r="M682" s="4">
        <v>111</v>
      </c>
      <c r="N682" s="4">
        <v>101</v>
      </c>
      <c r="O682" s="4" t="s">
        <v>21</v>
      </c>
      <c r="P682" s="7" t="s">
        <v>19</v>
      </c>
      <c r="S682">
        <v>1455</v>
      </c>
      <c r="T682" t="str">
        <v>Inhambane</v>
      </c>
      <c r="U682" t="str">
        <v>Masculino</v>
      </c>
      <c r="V682" t="str">
        <v>Solteiro(a)</v>
      </c>
      <c r="W682" t="str">
        <v>Primaria</v>
      </c>
      <c r="X682" t="str">
        <v>Nao</v>
      </c>
      <c r="Y682" t="str">
        <v>Malaria</v>
      </c>
      <c r="Z682">
        <v>0</v>
      </c>
      <c r="AA682">
        <v>6.7</v>
      </c>
      <c r="AB682">
        <v>0.85</v>
      </c>
      <c r="AC682">
        <v>4</v>
      </c>
      <c r="AD682">
        <v>103</v>
      </c>
      <c r="AE682">
        <v>93</v>
      </c>
      <c r="AF682" t="str">
        <v>Rural</v>
      </c>
      <c r="AG682" t="str">
        <v>Nao</v>
      </c>
    </row>
    <row r="683" spans="2:33" x14ac:dyDescent="0.45">
      <c r="B683" s="4">
        <v>682</v>
      </c>
      <c r="C683" s="4" t="s">
        <v>29</v>
      </c>
      <c r="D683" s="4" t="s">
        <v>23</v>
      </c>
      <c r="E683" s="4" t="s">
        <v>35</v>
      </c>
      <c r="F683" s="4" t="s">
        <v>24</v>
      </c>
      <c r="G683" s="4" t="s">
        <v>19</v>
      </c>
      <c r="H683" s="4" t="s">
        <v>34</v>
      </c>
      <c r="I683" s="4">
        <v>14</v>
      </c>
      <c r="J683" s="5">
        <v>58.3</v>
      </c>
      <c r="K683" s="6">
        <v>1.68</v>
      </c>
      <c r="L683" s="4">
        <v>9</v>
      </c>
      <c r="M683" s="4">
        <v>126</v>
      </c>
      <c r="N683" s="4">
        <v>72</v>
      </c>
      <c r="O683" s="4" t="s">
        <v>21</v>
      </c>
      <c r="P683" s="7" t="s">
        <v>30</v>
      </c>
      <c r="S683">
        <v>1458</v>
      </c>
      <c r="T683" t="str">
        <v>Zambezia</v>
      </c>
      <c r="U683" t="str">
        <v>Masculino</v>
      </c>
      <c r="V683" t="str">
        <v>Casado(a)</v>
      </c>
      <c r="W683" t="str">
        <v>Primaria</v>
      </c>
      <c r="X683" t="str">
        <v>Nao</v>
      </c>
      <c r="Y683" t="str">
        <v>Nenhuma</v>
      </c>
      <c r="Z683">
        <v>13</v>
      </c>
      <c r="AA683">
        <v>53.1</v>
      </c>
      <c r="AB683">
        <v>1.58</v>
      </c>
      <c r="AC683">
        <v>2</v>
      </c>
      <c r="AD683">
        <v>104</v>
      </c>
      <c r="AE683">
        <v>80</v>
      </c>
      <c r="AF683" t="str">
        <v>Rural</v>
      </c>
      <c r="AG683" t="str">
        <v>Nao</v>
      </c>
    </row>
    <row r="684" spans="2:33" x14ac:dyDescent="0.45">
      <c r="B684" s="4">
        <v>683</v>
      </c>
      <c r="C684" s="4" t="s">
        <v>31</v>
      </c>
      <c r="D684" s="4" t="s">
        <v>16</v>
      </c>
      <c r="E684" s="4" t="s">
        <v>35</v>
      </c>
      <c r="F684" s="4" t="s">
        <v>24</v>
      </c>
      <c r="G684" s="4" t="s">
        <v>19</v>
      </c>
      <c r="H684" s="4" t="s">
        <v>20</v>
      </c>
      <c r="I684" s="4">
        <v>45</v>
      </c>
      <c r="J684" s="5">
        <v>91.8</v>
      </c>
      <c r="K684" s="6">
        <v>1.72</v>
      </c>
      <c r="L684" s="4">
        <v>2</v>
      </c>
      <c r="M684" s="4">
        <v>112</v>
      </c>
      <c r="N684" s="4">
        <v>77</v>
      </c>
      <c r="O684" s="4" t="s">
        <v>26</v>
      </c>
      <c r="P684" s="7" t="s">
        <v>30</v>
      </c>
      <c r="S684">
        <v>1459</v>
      </c>
      <c r="T684" t="str">
        <v>Maputo Cidade</v>
      </c>
      <c r="U684" t="str">
        <v>Masculino</v>
      </c>
      <c r="V684" t="str">
        <v>Casado(a)</v>
      </c>
      <c r="W684" t="str">
        <v>Secundaria</v>
      </c>
      <c r="X684" t="str">
        <v>Nao</v>
      </c>
      <c r="Y684" t="str">
        <v>Nenhuma</v>
      </c>
      <c r="Z684">
        <v>17</v>
      </c>
      <c r="AA684">
        <v>38.5</v>
      </c>
      <c r="AB684">
        <v>1.61</v>
      </c>
      <c r="AC684">
        <v>3</v>
      </c>
      <c r="AD684">
        <v>116</v>
      </c>
      <c r="AE684">
        <v>103</v>
      </c>
      <c r="AF684" t="str">
        <v>Rural</v>
      </c>
      <c r="AG684" t="str">
        <v>Sim</v>
      </c>
    </row>
    <row r="685" spans="2:33" x14ac:dyDescent="0.45">
      <c r="B685" s="4">
        <v>684</v>
      </c>
      <c r="C685" s="4" t="s">
        <v>27</v>
      </c>
      <c r="D685" s="4" t="s">
        <v>23</v>
      </c>
      <c r="E685" s="4" t="s">
        <v>17</v>
      </c>
      <c r="F685" s="4" t="s">
        <v>28</v>
      </c>
      <c r="G685" s="4" t="s">
        <v>19</v>
      </c>
      <c r="H685" s="4" t="s">
        <v>20</v>
      </c>
      <c r="I685" s="4">
        <v>4</v>
      </c>
      <c r="J685" s="5">
        <v>14</v>
      </c>
      <c r="K685" s="6">
        <v>0.63</v>
      </c>
      <c r="L685" s="4">
        <v>4</v>
      </c>
      <c r="M685" s="4">
        <v>115</v>
      </c>
      <c r="N685" s="4">
        <v>102</v>
      </c>
      <c r="O685" s="4" t="s">
        <v>21</v>
      </c>
      <c r="P685" s="7" t="s">
        <v>19</v>
      </c>
      <c r="S685">
        <v>1460</v>
      </c>
      <c r="T685" t="str">
        <v>Manica</v>
      </c>
      <c r="U685" t="str">
        <v>Masculino</v>
      </c>
      <c r="V685" t="str">
        <v>Solteiro(a)</v>
      </c>
      <c r="W685" t="str">
        <v>Primaria</v>
      </c>
      <c r="X685" t="str">
        <v>Nao</v>
      </c>
      <c r="Y685" t="str">
        <v>Nenhuma</v>
      </c>
      <c r="Z685">
        <v>51</v>
      </c>
      <c r="AA685">
        <v>61.4</v>
      </c>
      <c r="AB685">
        <v>1.68</v>
      </c>
      <c r="AC685">
        <v>5</v>
      </c>
      <c r="AD685">
        <v>130</v>
      </c>
      <c r="AE685">
        <v>75</v>
      </c>
      <c r="AF685" t="str">
        <v>Rural</v>
      </c>
      <c r="AG685" t="str">
        <v>Nao</v>
      </c>
    </row>
    <row r="686" spans="2:33" x14ac:dyDescent="0.45">
      <c r="B686" s="4">
        <v>685</v>
      </c>
      <c r="C686" s="4" t="s">
        <v>33</v>
      </c>
      <c r="D686" s="4" t="s">
        <v>16</v>
      </c>
      <c r="E686" s="4" t="s">
        <v>35</v>
      </c>
      <c r="F686" s="4" t="s">
        <v>18</v>
      </c>
      <c r="G686" s="4" t="s">
        <v>30</v>
      </c>
      <c r="H686" s="4" t="s">
        <v>38</v>
      </c>
      <c r="I686" s="4">
        <v>10</v>
      </c>
      <c r="J686" s="5">
        <v>29</v>
      </c>
      <c r="K686" s="6">
        <v>1.35</v>
      </c>
      <c r="L686" s="4">
        <v>4</v>
      </c>
      <c r="M686" s="4">
        <v>109</v>
      </c>
      <c r="N686" s="4">
        <v>98</v>
      </c>
      <c r="O686" s="4" t="s">
        <v>21</v>
      </c>
      <c r="P686" s="7" t="s">
        <v>19</v>
      </c>
      <c r="S686">
        <v>1461</v>
      </c>
      <c r="T686" t="str">
        <v>Maputo Provincia</v>
      </c>
      <c r="U686" t="str">
        <v>Masculino</v>
      </c>
      <c r="V686" t="str">
        <v>Casado(a)</v>
      </c>
      <c r="W686" t="str">
        <v>Nenhuma</v>
      </c>
      <c r="X686" t="str">
        <v>Sim</v>
      </c>
      <c r="Y686" t="str">
        <v>Malaria</v>
      </c>
      <c r="Z686">
        <v>9</v>
      </c>
      <c r="AA686">
        <v>19.5</v>
      </c>
      <c r="AB686">
        <v>1.36</v>
      </c>
      <c r="AC686">
        <v>4</v>
      </c>
      <c r="AD686">
        <v>94</v>
      </c>
      <c r="AE686">
        <v>98</v>
      </c>
      <c r="AF686" t="str">
        <v>Urbana</v>
      </c>
      <c r="AG686" t="str">
        <v>Nao</v>
      </c>
    </row>
    <row r="687" spans="2:33" x14ac:dyDescent="0.45">
      <c r="B687" s="4">
        <v>686</v>
      </c>
      <c r="C687" s="4" t="s">
        <v>22</v>
      </c>
      <c r="D687" s="4" t="s">
        <v>16</v>
      </c>
      <c r="E687" s="4" t="s">
        <v>17</v>
      </c>
      <c r="F687" s="4" t="s">
        <v>24</v>
      </c>
      <c r="G687" s="4" t="s">
        <v>19</v>
      </c>
      <c r="H687" s="4" t="s">
        <v>25</v>
      </c>
      <c r="I687" s="4">
        <v>23</v>
      </c>
      <c r="J687" s="5">
        <v>76.900000000000006</v>
      </c>
      <c r="K687" s="6">
        <v>1.78</v>
      </c>
      <c r="L687" s="4">
        <v>1</v>
      </c>
      <c r="M687" s="4">
        <v>120</v>
      </c>
      <c r="N687" s="4">
        <v>73</v>
      </c>
      <c r="O687" s="4" t="s">
        <v>21</v>
      </c>
      <c r="P687" s="7" t="s">
        <v>30</v>
      </c>
      <c r="S687">
        <v>1462</v>
      </c>
      <c r="T687" t="str">
        <v>Nampula</v>
      </c>
      <c r="U687" t="str">
        <v>Masculino</v>
      </c>
      <c r="V687" t="str">
        <v>Casado(a)</v>
      </c>
      <c r="W687" t="str">
        <v>Primaria</v>
      </c>
      <c r="X687" t="str">
        <v>Nao</v>
      </c>
      <c r="Y687" t="str">
        <v>HIV/SIDA</v>
      </c>
      <c r="Z687">
        <v>39</v>
      </c>
      <c r="AA687">
        <v>64.7</v>
      </c>
      <c r="AB687">
        <v>1.77</v>
      </c>
      <c r="AC687">
        <v>7</v>
      </c>
      <c r="AD687">
        <v>125</v>
      </c>
      <c r="AE687">
        <v>98</v>
      </c>
      <c r="AF687" t="str">
        <v>Rural</v>
      </c>
      <c r="AG687" t="str">
        <v>Nao</v>
      </c>
    </row>
    <row r="688" spans="2:33" x14ac:dyDescent="0.45">
      <c r="B688" s="4">
        <v>687</v>
      </c>
      <c r="C688" s="4" t="s">
        <v>41</v>
      </c>
      <c r="D688" s="4" t="s">
        <v>16</v>
      </c>
      <c r="E688" s="4" t="s">
        <v>17</v>
      </c>
      <c r="F688" s="4" t="s">
        <v>24</v>
      </c>
      <c r="G688" s="4" t="s">
        <v>30</v>
      </c>
      <c r="H688" s="4" t="s">
        <v>20</v>
      </c>
      <c r="I688" s="4">
        <v>13</v>
      </c>
      <c r="J688" s="5">
        <v>57.9</v>
      </c>
      <c r="K688" s="6">
        <v>1.7</v>
      </c>
      <c r="L688" s="4">
        <v>5</v>
      </c>
      <c r="M688" s="4">
        <v>111</v>
      </c>
      <c r="N688" s="4">
        <v>102</v>
      </c>
      <c r="O688" s="4" t="s">
        <v>26</v>
      </c>
      <c r="P688" s="7" t="s">
        <v>19</v>
      </c>
      <c r="S688">
        <v>1463</v>
      </c>
      <c r="T688" t="str">
        <v>Sofala</v>
      </c>
      <c r="U688" t="str">
        <v>Masculino</v>
      </c>
      <c r="V688" t="str">
        <v>Solteiro(a)</v>
      </c>
      <c r="W688" t="str">
        <v>Nenhuma</v>
      </c>
      <c r="X688" t="str">
        <v>Nao</v>
      </c>
      <c r="Y688" t="str">
        <v>HIV/SIDA</v>
      </c>
      <c r="Z688">
        <v>44</v>
      </c>
      <c r="AA688">
        <v>56.3</v>
      </c>
      <c r="AB688">
        <v>1.52</v>
      </c>
      <c r="AC688">
        <v>2</v>
      </c>
      <c r="AD688">
        <v>113</v>
      </c>
      <c r="AE688">
        <v>96</v>
      </c>
      <c r="AF688" t="str">
        <v>Urbana</v>
      </c>
      <c r="AG688" t="str">
        <v>Nao</v>
      </c>
    </row>
    <row r="689" spans="2:33" x14ac:dyDescent="0.45">
      <c r="B689" s="4">
        <v>688</v>
      </c>
      <c r="C689" s="4" t="s">
        <v>33</v>
      </c>
      <c r="D689" s="4" t="s">
        <v>16</v>
      </c>
      <c r="E689" s="4" t="s">
        <v>17</v>
      </c>
      <c r="F689" s="4" t="s">
        <v>28</v>
      </c>
      <c r="G689" s="4" t="s">
        <v>30</v>
      </c>
      <c r="H689" s="4" t="s">
        <v>20</v>
      </c>
      <c r="I689" s="4">
        <v>12</v>
      </c>
      <c r="J689" s="5">
        <v>48.1</v>
      </c>
      <c r="K689" s="6">
        <v>1.62</v>
      </c>
      <c r="L689" s="4">
        <v>0</v>
      </c>
      <c r="M689" s="4">
        <v>97</v>
      </c>
      <c r="N689" s="4">
        <v>98</v>
      </c>
      <c r="O689" s="4" t="s">
        <v>21</v>
      </c>
      <c r="P689" s="7" t="s">
        <v>19</v>
      </c>
      <c r="S689">
        <v>1466</v>
      </c>
      <c r="T689" t="str">
        <v>Sofala</v>
      </c>
      <c r="U689" t="str">
        <v>Masculino</v>
      </c>
      <c r="V689" t="str">
        <v>Solteiro(a)</v>
      </c>
      <c r="W689" t="str">
        <v>Primaria</v>
      </c>
      <c r="X689" t="str">
        <v>Nao</v>
      </c>
      <c r="Y689" t="str">
        <v>Malaria</v>
      </c>
      <c r="Z689">
        <v>35</v>
      </c>
      <c r="AA689">
        <v>48.7</v>
      </c>
      <c r="AB689">
        <v>1.89</v>
      </c>
      <c r="AC689">
        <v>0</v>
      </c>
      <c r="AD689">
        <v>107</v>
      </c>
      <c r="AE689">
        <v>83</v>
      </c>
      <c r="AF689" t="str">
        <v>Urbana</v>
      </c>
      <c r="AG689" t="str">
        <v>Nao</v>
      </c>
    </row>
    <row r="690" spans="2:33" x14ac:dyDescent="0.45">
      <c r="B690" s="4">
        <v>689</v>
      </c>
      <c r="C690" s="4" t="s">
        <v>22</v>
      </c>
      <c r="D690" s="4" t="s">
        <v>16</v>
      </c>
      <c r="E690" s="4" t="s">
        <v>17</v>
      </c>
      <c r="F690" s="4" t="s">
        <v>24</v>
      </c>
      <c r="G690" s="4" t="s">
        <v>30</v>
      </c>
      <c r="H690" s="4" t="s">
        <v>46</v>
      </c>
      <c r="I690" s="4">
        <v>37</v>
      </c>
      <c r="J690" s="5">
        <v>80.3</v>
      </c>
      <c r="K690" s="6">
        <v>1.77</v>
      </c>
      <c r="L690" s="4">
        <v>2</v>
      </c>
      <c r="M690" s="4">
        <v>108</v>
      </c>
      <c r="N690" s="4">
        <v>96</v>
      </c>
      <c r="O690" s="4" t="s">
        <v>21</v>
      </c>
      <c r="P690" s="7" t="s">
        <v>19</v>
      </c>
      <c r="S690">
        <v>1468</v>
      </c>
      <c r="T690" t="str">
        <v>Niassa</v>
      </c>
      <c r="U690" t="str">
        <v>Masculino</v>
      </c>
      <c r="V690" t="str">
        <v>Solteiro(a)</v>
      </c>
      <c r="W690" t="str">
        <v>Primaria</v>
      </c>
      <c r="X690" t="str">
        <v>Nao</v>
      </c>
      <c r="Y690" t="str">
        <v>Hipertensao</v>
      </c>
      <c r="Z690">
        <v>6</v>
      </c>
      <c r="AA690">
        <v>21.7</v>
      </c>
      <c r="AB690">
        <v>1.32</v>
      </c>
      <c r="AC690">
        <v>0</v>
      </c>
      <c r="AD690">
        <v>116</v>
      </c>
      <c r="AE690">
        <v>70</v>
      </c>
      <c r="AF690" t="str">
        <v>Urbana</v>
      </c>
      <c r="AG690" t="str">
        <v>Nao</v>
      </c>
    </row>
    <row r="691" spans="2:33" x14ac:dyDescent="0.45">
      <c r="B691" s="4">
        <v>690</v>
      </c>
      <c r="C691" s="4" t="s">
        <v>33</v>
      </c>
      <c r="D691" s="4" t="s">
        <v>23</v>
      </c>
      <c r="E691" s="4" t="s">
        <v>17</v>
      </c>
      <c r="F691" s="4" t="s">
        <v>24</v>
      </c>
      <c r="G691" s="4" t="s">
        <v>19</v>
      </c>
      <c r="H691" s="4" t="s">
        <v>34</v>
      </c>
      <c r="I691" s="4">
        <v>9</v>
      </c>
      <c r="J691" s="5">
        <v>18.600000000000001</v>
      </c>
      <c r="K691" s="6">
        <v>1.18</v>
      </c>
      <c r="L691" s="4">
        <v>10</v>
      </c>
      <c r="M691" s="4">
        <v>103</v>
      </c>
      <c r="N691" s="4">
        <v>74</v>
      </c>
      <c r="O691" s="4" t="s">
        <v>26</v>
      </c>
      <c r="P691" s="7" t="s">
        <v>19</v>
      </c>
      <c r="S691">
        <v>1469</v>
      </c>
      <c r="T691" t="str">
        <v>Cabo Delgado</v>
      </c>
      <c r="U691" t="str">
        <v>Masculino</v>
      </c>
      <c r="V691" t="str">
        <v>Casado(a)</v>
      </c>
      <c r="W691" t="str">
        <v>Secundaria</v>
      </c>
      <c r="X691" t="str">
        <v>Nao</v>
      </c>
      <c r="Y691" t="str">
        <v>Nenhuma</v>
      </c>
      <c r="Z691">
        <v>81</v>
      </c>
      <c r="AA691">
        <v>71.900000000000006</v>
      </c>
      <c r="AB691">
        <v>1.66</v>
      </c>
      <c r="AC691">
        <v>2</v>
      </c>
      <c r="AD691">
        <v>127</v>
      </c>
      <c r="AE691">
        <v>101</v>
      </c>
      <c r="AF691" t="str">
        <v>Rural</v>
      </c>
      <c r="AG691" t="str">
        <v>Nao</v>
      </c>
    </row>
    <row r="692" spans="2:33" x14ac:dyDescent="0.45">
      <c r="B692" s="4">
        <v>691</v>
      </c>
      <c r="C692" s="4" t="s">
        <v>40</v>
      </c>
      <c r="D692" s="4" t="s">
        <v>23</v>
      </c>
      <c r="E692" s="4" t="s">
        <v>17</v>
      </c>
      <c r="F692" s="4" t="s">
        <v>24</v>
      </c>
      <c r="G692" s="4" t="s">
        <v>19</v>
      </c>
      <c r="H692" s="4" t="s">
        <v>32</v>
      </c>
      <c r="I692" s="4">
        <v>39</v>
      </c>
      <c r="J692" s="5">
        <v>66.400000000000006</v>
      </c>
      <c r="K692" s="6">
        <v>1.52</v>
      </c>
      <c r="L692" s="4">
        <v>3</v>
      </c>
      <c r="M692" s="4">
        <v>127</v>
      </c>
      <c r="N692" s="4">
        <v>137</v>
      </c>
      <c r="O692" s="4" t="s">
        <v>21</v>
      </c>
      <c r="P692" s="7" t="s">
        <v>30</v>
      </c>
      <c r="S692">
        <v>1471</v>
      </c>
      <c r="T692" t="str">
        <v>Manica</v>
      </c>
      <c r="U692" t="str">
        <v>Masculino</v>
      </c>
      <c r="V692" t="str">
        <v>Casado(a)</v>
      </c>
      <c r="W692" t="str">
        <v>Secundaria</v>
      </c>
      <c r="X692" t="str">
        <v>Nao</v>
      </c>
      <c r="Y692" t="str">
        <v>Nenhuma</v>
      </c>
      <c r="Z692">
        <v>40</v>
      </c>
      <c r="AA692">
        <v>54.4</v>
      </c>
      <c r="AB692">
        <v>1.55</v>
      </c>
      <c r="AC692">
        <v>3</v>
      </c>
      <c r="AD692">
        <v>108</v>
      </c>
      <c r="AE692">
        <v>98</v>
      </c>
      <c r="AF692" t="str">
        <v>Urbana</v>
      </c>
      <c r="AG692" t="str">
        <v>Nao</v>
      </c>
    </row>
    <row r="693" spans="2:33" x14ac:dyDescent="0.45">
      <c r="B693" s="4">
        <v>692</v>
      </c>
      <c r="C693" s="4" t="s">
        <v>31</v>
      </c>
      <c r="D693" s="4" t="s">
        <v>16</v>
      </c>
      <c r="E693" s="4" t="s">
        <v>17</v>
      </c>
      <c r="F693" s="4" t="s">
        <v>42</v>
      </c>
      <c r="G693" s="4" t="s">
        <v>19</v>
      </c>
      <c r="H693" s="4" t="s">
        <v>28</v>
      </c>
      <c r="I693" s="4">
        <v>55</v>
      </c>
      <c r="J693" s="5">
        <v>77.7</v>
      </c>
      <c r="K693" s="6">
        <v>1.84</v>
      </c>
      <c r="L693" s="4">
        <v>2</v>
      </c>
      <c r="M693" s="4">
        <v>121</v>
      </c>
      <c r="N693" s="4">
        <v>94</v>
      </c>
      <c r="O693" s="4" t="s">
        <v>21</v>
      </c>
      <c r="P693" s="7" t="s">
        <v>19</v>
      </c>
      <c r="S693">
        <v>1474</v>
      </c>
      <c r="T693" t="str">
        <v>Nampula</v>
      </c>
      <c r="U693" t="str">
        <v>Masculino</v>
      </c>
      <c r="V693" t="str">
        <v>Casado(a)</v>
      </c>
      <c r="W693" t="str">
        <v>Nenhuma</v>
      </c>
      <c r="X693" t="str">
        <v>Nao</v>
      </c>
      <c r="Y693" t="str">
        <v>Nenhuma</v>
      </c>
      <c r="Z693">
        <v>21</v>
      </c>
      <c r="AA693">
        <v>63.2</v>
      </c>
      <c r="AB693">
        <v>1.87</v>
      </c>
      <c r="AC693">
        <v>0</v>
      </c>
      <c r="AD693">
        <v>113</v>
      </c>
      <c r="AE693">
        <v>71</v>
      </c>
      <c r="AF693" t="str">
        <v>Urbana</v>
      </c>
      <c r="AG693" t="str">
        <v>Sim</v>
      </c>
    </row>
    <row r="694" spans="2:33" x14ac:dyDescent="0.45">
      <c r="B694" s="4">
        <v>693</v>
      </c>
      <c r="C694" s="4" t="s">
        <v>41</v>
      </c>
      <c r="D694" s="4" t="s">
        <v>16</v>
      </c>
      <c r="E694" s="4" t="s">
        <v>17</v>
      </c>
      <c r="F694" s="4" t="s">
        <v>18</v>
      </c>
      <c r="G694" s="4" t="s">
        <v>30</v>
      </c>
      <c r="H694" s="4" t="s">
        <v>36</v>
      </c>
      <c r="I694" s="4">
        <v>40</v>
      </c>
      <c r="J694" s="5">
        <v>45.7</v>
      </c>
      <c r="K694" s="6">
        <v>1.89</v>
      </c>
      <c r="L694" s="4">
        <v>6</v>
      </c>
      <c r="M694" s="4">
        <v>139</v>
      </c>
      <c r="N694" s="4">
        <v>75</v>
      </c>
      <c r="O694" s="4" t="s">
        <v>21</v>
      </c>
      <c r="P694" s="7" t="s">
        <v>19</v>
      </c>
      <c r="S694">
        <v>1475</v>
      </c>
      <c r="T694" t="str">
        <v>Inhambane</v>
      </c>
      <c r="U694" t="str">
        <v>Masculino</v>
      </c>
      <c r="V694" t="str">
        <v>Casado(a)</v>
      </c>
      <c r="W694" t="str">
        <v>Secundaria</v>
      </c>
      <c r="X694" t="str">
        <v>Sim</v>
      </c>
      <c r="Y694" t="str">
        <v>Malaria</v>
      </c>
      <c r="Z694">
        <v>16</v>
      </c>
      <c r="AA694">
        <v>41.6</v>
      </c>
      <c r="AB694">
        <v>1.74</v>
      </c>
      <c r="AC694">
        <v>3</v>
      </c>
      <c r="AD694">
        <v>113</v>
      </c>
      <c r="AE694">
        <v>105</v>
      </c>
      <c r="AF694" t="str">
        <v>Urbana</v>
      </c>
      <c r="AG694" t="str">
        <v>Nao</v>
      </c>
    </row>
    <row r="695" spans="2:33" x14ac:dyDescent="0.45">
      <c r="B695" s="4">
        <v>694</v>
      </c>
      <c r="C695" s="4" t="s">
        <v>31</v>
      </c>
      <c r="D695" s="4" t="s">
        <v>16</v>
      </c>
      <c r="E695" s="4" t="s">
        <v>35</v>
      </c>
      <c r="F695" s="4" t="s">
        <v>18</v>
      </c>
      <c r="G695" s="4" t="s">
        <v>19</v>
      </c>
      <c r="H695" s="4" t="s">
        <v>38</v>
      </c>
      <c r="I695" s="4">
        <v>35</v>
      </c>
      <c r="J695" s="5">
        <v>89.3</v>
      </c>
      <c r="K695" s="6">
        <v>1.87</v>
      </c>
      <c r="L695" s="4">
        <v>8</v>
      </c>
      <c r="M695" s="4">
        <v>117</v>
      </c>
      <c r="N695" s="4">
        <v>102</v>
      </c>
      <c r="O695" s="4" t="s">
        <v>26</v>
      </c>
      <c r="P695" s="7" t="s">
        <v>19</v>
      </c>
      <c r="S695">
        <v>1476</v>
      </c>
      <c r="T695" t="str">
        <v>Zambezia</v>
      </c>
      <c r="U695" t="str">
        <v>Masculino</v>
      </c>
      <c r="V695" t="str">
        <v>Casado(a)</v>
      </c>
      <c r="W695" t="str">
        <v>Superior</v>
      </c>
      <c r="X695" t="str">
        <v>Nao</v>
      </c>
      <c r="Y695" t="str">
        <v>Hipertensao</v>
      </c>
      <c r="Z695">
        <v>15</v>
      </c>
      <c r="AA695">
        <v>51.5</v>
      </c>
      <c r="AB695">
        <v>1.63</v>
      </c>
      <c r="AC695">
        <v>3</v>
      </c>
      <c r="AD695">
        <v>131</v>
      </c>
      <c r="AE695">
        <v>96</v>
      </c>
      <c r="AF695" t="str">
        <v>Urbana</v>
      </c>
      <c r="AG695" t="str">
        <v>Nao</v>
      </c>
    </row>
    <row r="696" spans="2:33" x14ac:dyDescent="0.45">
      <c r="B696" s="4">
        <v>695</v>
      </c>
      <c r="C696" s="4" t="s">
        <v>15</v>
      </c>
      <c r="D696" s="4" t="s">
        <v>16</v>
      </c>
      <c r="E696" s="4" t="s">
        <v>17</v>
      </c>
      <c r="F696" s="4" t="s">
        <v>28</v>
      </c>
      <c r="G696" s="4" t="s">
        <v>19</v>
      </c>
      <c r="H696" s="4" t="s">
        <v>20</v>
      </c>
      <c r="I696" s="4">
        <v>26</v>
      </c>
      <c r="J696" s="5">
        <v>49.2</v>
      </c>
      <c r="K696" s="6">
        <v>1.78</v>
      </c>
      <c r="L696" s="4">
        <v>2</v>
      </c>
      <c r="M696" s="4">
        <v>101</v>
      </c>
      <c r="N696" s="4">
        <v>94</v>
      </c>
      <c r="O696" s="4" t="s">
        <v>21</v>
      </c>
      <c r="P696" s="7" t="s">
        <v>19</v>
      </c>
      <c r="S696">
        <v>1478</v>
      </c>
      <c r="T696" t="str">
        <v>Zambezia</v>
      </c>
      <c r="U696" t="str">
        <v>Masculino</v>
      </c>
      <c r="V696" t="str">
        <v>Casado(a)</v>
      </c>
      <c r="W696" t="str">
        <v>Secundaria</v>
      </c>
      <c r="X696" t="str">
        <v>Nao</v>
      </c>
      <c r="Y696" t="str">
        <v>Malaria</v>
      </c>
      <c r="Z696">
        <v>28</v>
      </c>
      <c r="AA696">
        <v>73.599999999999994</v>
      </c>
      <c r="AB696">
        <v>1.87</v>
      </c>
      <c r="AC696">
        <v>0</v>
      </c>
      <c r="AD696">
        <v>115</v>
      </c>
      <c r="AE696">
        <v>85</v>
      </c>
      <c r="AF696" t="str">
        <v>Rural</v>
      </c>
      <c r="AG696" t="str">
        <v>Nao</v>
      </c>
    </row>
    <row r="697" spans="2:33" x14ac:dyDescent="0.45">
      <c r="B697" s="4">
        <v>696</v>
      </c>
      <c r="C697" s="4" t="s">
        <v>15</v>
      </c>
      <c r="D697" s="4" t="s">
        <v>16</v>
      </c>
      <c r="E697" s="4" t="s">
        <v>44</v>
      </c>
      <c r="F697" s="4" t="s">
        <v>24</v>
      </c>
      <c r="G697" s="4" t="s">
        <v>19</v>
      </c>
      <c r="H697" s="4" t="s">
        <v>36</v>
      </c>
      <c r="I697" s="4">
        <v>8</v>
      </c>
      <c r="J697" s="5">
        <v>23</v>
      </c>
      <c r="K697" s="6">
        <v>1.1399999999999999</v>
      </c>
      <c r="L697" s="4">
        <v>9</v>
      </c>
      <c r="M697" s="4">
        <v>124</v>
      </c>
      <c r="N697" s="4">
        <v>81</v>
      </c>
      <c r="O697" s="4" t="s">
        <v>26</v>
      </c>
      <c r="P697" s="7" t="s">
        <v>19</v>
      </c>
      <c r="S697">
        <v>1481</v>
      </c>
      <c r="T697" t="str">
        <v>Inhambane</v>
      </c>
      <c r="U697" t="str">
        <v>Masculino</v>
      </c>
      <c r="V697" t="str">
        <v>Solteiro(a)</v>
      </c>
      <c r="W697" t="str">
        <v>Primaria</v>
      </c>
      <c r="X697" t="str">
        <v>Nao</v>
      </c>
      <c r="Y697" t="str">
        <v>Tuberculose</v>
      </c>
      <c r="Z697">
        <v>23</v>
      </c>
      <c r="AA697">
        <v>62.3</v>
      </c>
      <c r="AB697">
        <v>1.6</v>
      </c>
      <c r="AC697">
        <v>4</v>
      </c>
      <c r="AD697">
        <v>109</v>
      </c>
      <c r="AE697">
        <v>97</v>
      </c>
      <c r="AF697" t="str">
        <v>Rural</v>
      </c>
      <c r="AG697" t="str">
        <v>Nao</v>
      </c>
    </row>
    <row r="698" spans="2:33" x14ac:dyDescent="0.45">
      <c r="B698" s="4">
        <v>697</v>
      </c>
      <c r="C698" s="4" t="s">
        <v>27</v>
      </c>
      <c r="D698" s="4" t="s">
        <v>16</v>
      </c>
      <c r="E698" s="4" t="s">
        <v>37</v>
      </c>
      <c r="F698" s="4" t="s">
        <v>28</v>
      </c>
      <c r="G698" s="4" t="s">
        <v>19</v>
      </c>
      <c r="H698" s="4" t="s">
        <v>46</v>
      </c>
      <c r="I698" s="4">
        <v>19</v>
      </c>
      <c r="J698" s="5">
        <v>49.9</v>
      </c>
      <c r="K698" s="6">
        <v>1.73</v>
      </c>
      <c r="L698" s="4">
        <v>6</v>
      </c>
      <c r="M698" s="4">
        <v>106</v>
      </c>
      <c r="N698" s="4">
        <v>95</v>
      </c>
      <c r="O698" s="4" t="s">
        <v>26</v>
      </c>
      <c r="P698" s="7" t="s">
        <v>19</v>
      </c>
      <c r="S698">
        <v>1487</v>
      </c>
      <c r="T698" t="str">
        <v>Manica</v>
      </c>
      <c r="U698" t="str">
        <v>Masculino</v>
      </c>
      <c r="V698" t="str">
        <v>Casado(a)</v>
      </c>
      <c r="W698" t="str">
        <v>Primaria</v>
      </c>
      <c r="X698" t="str">
        <v>Nao</v>
      </c>
      <c r="Y698" t="str">
        <v>Tuberculose</v>
      </c>
      <c r="Z698">
        <v>38</v>
      </c>
      <c r="AA698">
        <v>85</v>
      </c>
      <c r="AB698">
        <v>1.88</v>
      </c>
      <c r="AC698">
        <v>2</v>
      </c>
      <c r="AD698">
        <v>126</v>
      </c>
      <c r="AE698">
        <v>91</v>
      </c>
      <c r="AF698" t="str">
        <v>Urbana</v>
      </c>
      <c r="AG698" t="str">
        <v>Nao</v>
      </c>
    </row>
    <row r="699" spans="2:33" x14ac:dyDescent="0.45">
      <c r="B699" s="4">
        <v>698</v>
      </c>
      <c r="C699" s="4" t="s">
        <v>31</v>
      </c>
      <c r="D699" s="4" t="s">
        <v>16</v>
      </c>
      <c r="E699" s="4" t="s">
        <v>37</v>
      </c>
      <c r="F699" s="4" t="s">
        <v>24</v>
      </c>
      <c r="G699" s="4" t="s">
        <v>19</v>
      </c>
      <c r="H699" s="4" t="s">
        <v>20</v>
      </c>
      <c r="I699" s="4">
        <v>21</v>
      </c>
      <c r="J699" s="5">
        <v>50.8</v>
      </c>
      <c r="K699" s="6">
        <v>1.65</v>
      </c>
      <c r="L699" s="4">
        <v>3</v>
      </c>
      <c r="M699" s="4">
        <v>120</v>
      </c>
      <c r="N699" s="4">
        <v>78</v>
      </c>
      <c r="O699" s="4" t="s">
        <v>26</v>
      </c>
      <c r="P699" s="7" t="s">
        <v>19</v>
      </c>
      <c r="S699">
        <v>1488</v>
      </c>
      <c r="T699" t="str">
        <v>Inhambane</v>
      </c>
      <c r="U699" t="str">
        <v>Masculino</v>
      </c>
      <c r="V699" t="str">
        <v>Solteiro(a)</v>
      </c>
      <c r="W699" t="str">
        <v>Primaria</v>
      </c>
      <c r="X699" t="str">
        <v>Sim</v>
      </c>
      <c r="Y699" t="str">
        <v>Malaria</v>
      </c>
      <c r="Z699">
        <v>62</v>
      </c>
      <c r="AA699">
        <v>69</v>
      </c>
      <c r="AB699">
        <v>1.66</v>
      </c>
      <c r="AC699">
        <v>2</v>
      </c>
      <c r="AD699">
        <v>118</v>
      </c>
      <c r="AE699">
        <v>92</v>
      </c>
      <c r="AF699" t="str">
        <v>Urbana</v>
      </c>
      <c r="AG699" t="str">
        <v>Nao</v>
      </c>
    </row>
    <row r="700" spans="2:33" x14ac:dyDescent="0.45">
      <c r="B700" s="4">
        <v>699</v>
      </c>
      <c r="C700" s="4" t="s">
        <v>22</v>
      </c>
      <c r="D700" s="4" t="s">
        <v>23</v>
      </c>
      <c r="E700" s="4" t="s">
        <v>17</v>
      </c>
      <c r="F700" s="4" t="s">
        <v>28</v>
      </c>
      <c r="G700" s="4" t="s">
        <v>19</v>
      </c>
      <c r="H700" s="4" t="s">
        <v>20</v>
      </c>
      <c r="I700" s="4">
        <v>4</v>
      </c>
      <c r="J700" s="5">
        <v>13</v>
      </c>
      <c r="K700" s="6">
        <v>1.04</v>
      </c>
      <c r="L700" s="4">
        <v>1</v>
      </c>
      <c r="M700" s="4">
        <v>96</v>
      </c>
      <c r="N700" s="4">
        <v>103</v>
      </c>
      <c r="O700" s="4" t="s">
        <v>21</v>
      </c>
      <c r="P700" s="7" t="s">
        <v>19</v>
      </c>
      <c r="S700">
        <v>1495</v>
      </c>
      <c r="T700" t="str">
        <v>Manica</v>
      </c>
      <c r="U700" t="str">
        <v>Masculino</v>
      </c>
      <c r="V700" t="str">
        <v>Solteiro(a)</v>
      </c>
      <c r="W700" t="str">
        <v>Secundaria</v>
      </c>
      <c r="X700" t="str">
        <v>Sim</v>
      </c>
      <c r="Y700" t="str">
        <v>Hipertensao</v>
      </c>
      <c r="Z700">
        <v>5</v>
      </c>
      <c r="AA700">
        <v>24.1</v>
      </c>
      <c r="AB700">
        <v>1.1299999999999999</v>
      </c>
      <c r="AC700">
        <v>3</v>
      </c>
      <c r="AD700">
        <v>123</v>
      </c>
      <c r="AE700">
        <v>96</v>
      </c>
      <c r="AF700" t="str">
        <v>Rural</v>
      </c>
      <c r="AG700" t="str">
        <v>Nao</v>
      </c>
    </row>
    <row r="701" spans="2:33" x14ac:dyDescent="0.45">
      <c r="B701" s="4">
        <v>700</v>
      </c>
      <c r="C701" s="4" t="s">
        <v>31</v>
      </c>
      <c r="D701" s="4" t="s">
        <v>16</v>
      </c>
      <c r="E701" s="4" t="s">
        <v>17</v>
      </c>
      <c r="F701" s="4" t="s">
        <v>24</v>
      </c>
      <c r="G701" s="4" t="s">
        <v>19</v>
      </c>
      <c r="H701" s="4" t="s">
        <v>36</v>
      </c>
      <c r="I701" s="4">
        <v>24</v>
      </c>
      <c r="J701" s="5">
        <v>55.2</v>
      </c>
      <c r="K701" s="6">
        <v>1.58</v>
      </c>
      <c r="L701" s="4">
        <v>3</v>
      </c>
      <c r="M701" s="4">
        <v>140</v>
      </c>
      <c r="N701" s="4">
        <v>78</v>
      </c>
      <c r="O701" s="4" t="s">
        <v>26</v>
      </c>
      <c r="P701" s="7" t="s">
        <v>19</v>
      </c>
      <c r="S701">
        <v>1496</v>
      </c>
      <c r="T701" t="str">
        <v>Maputo Provincia</v>
      </c>
      <c r="U701" t="str">
        <v>Masculino</v>
      </c>
      <c r="V701" t="str">
        <v>Viuvo(a)</v>
      </c>
      <c r="W701" t="str">
        <v>Nenhuma</v>
      </c>
      <c r="X701" t="str">
        <v>Sim</v>
      </c>
      <c r="Y701" t="str">
        <v>Diarreia</v>
      </c>
      <c r="Z701">
        <v>34</v>
      </c>
      <c r="AA701">
        <v>77.599999999999994</v>
      </c>
      <c r="AB701">
        <v>1.56</v>
      </c>
      <c r="AC701">
        <v>0</v>
      </c>
      <c r="AD701">
        <v>109</v>
      </c>
      <c r="AE701">
        <v>79</v>
      </c>
      <c r="AF701" t="str">
        <v>Rural</v>
      </c>
      <c r="AG701" t="str">
        <v>Nao</v>
      </c>
    </row>
    <row r="702" spans="2:33" x14ac:dyDescent="0.45">
      <c r="B702" s="4">
        <v>701</v>
      </c>
      <c r="C702" s="4" t="s">
        <v>41</v>
      </c>
      <c r="D702" s="4" t="s">
        <v>16</v>
      </c>
      <c r="E702" s="4" t="s">
        <v>44</v>
      </c>
      <c r="F702" s="4" t="s">
        <v>24</v>
      </c>
      <c r="G702" s="4" t="s">
        <v>19</v>
      </c>
      <c r="H702" s="4" t="s">
        <v>20</v>
      </c>
      <c r="I702" s="4">
        <v>41</v>
      </c>
      <c r="J702" s="5">
        <v>67</v>
      </c>
      <c r="K702" s="6">
        <v>1.69</v>
      </c>
      <c r="L702" s="4">
        <v>3</v>
      </c>
      <c r="M702" s="4">
        <v>104</v>
      </c>
      <c r="N702" s="4">
        <v>70</v>
      </c>
      <c r="O702" s="4" t="s">
        <v>21</v>
      </c>
      <c r="P702" s="7" t="s">
        <v>19</v>
      </c>
      <c r="S702">
        <v>1497</v>
      </c>
      <c r="T702" t="str">
        <v>Tete</v>
      </c>
      <c r="U702" t="str">
        <v>Masculino</v>
      </c>
      <c r="V702" t="str">
        <v>Solteiro(a)</v>
      </c>
      <c r="W702" t="str">
        <v>Superior</v>
      </c>
      <c r="X702" t="str">
        <v>Nao</v>
      </c>
      <c r="Y702" t="str">
        <v>Diarreia</v>
      </c>
      <c r="Z702">
        <v>14</v>
      </c>
      <c r="AA702">
        <v>64.2</v>
      </c>
      <c r="AB702">
        <v>1.5</v>
      </c>
      <c r="AC702">
        <v>0</v>
      </c>
      <c r="AD702">
        <v>111</v>
      </c>
      <c r="AE702">
        <v>89</v>
      </c>
      <c r="AF702" t="str">
        <v>Rural</v>
      </c>
      <c r="AG702" t="str">
        <v>Nao</v>
      </c>
    </row>
    <row r="703" spans="2:33" x14ac:dyDescent="0.45">
      <c r="B703" s="4">
        <v>702</v>
      </c>
      <c r="C703" s="4" t="s">
        <v>27</v>
      </c>
      <c r="D703" s="4" t="s">
        <v>23</v>
      </c>
      <c r="E703" s="4" t="s">
        <v>17</v>
      </c>
      <c r="F703" s="4" t="s">
        <v>24</v>
      </c>
      <c r="G703" s="4" t="s">
        <v>19</v>
      </c>
      <c r="H703" s="4" t="s">
        <v>28</v>
      </c>
      <c r="I703" s="4">
        <v>29</v>
      </c>
      <c r="J703" s="5">
        <v>75.5</v>
      </c>
      <c r="K703" s="6">
        <v>1.68</v>
      </c>
      <c r="L703" s="4">
        <v>3</v>
      </c>
      <c r="M703" s="4">
        <v>110</v>
      </c>
      <c r="N703" s="4">
        <v>100</v>
      </c>
      <c r="O703" s="4" t="s">
        <v>26</v>
      </c>
      <c r="P703" s="7" t="s">
        <v>30</v>
      </c>
      <c r="S703">
        <v>1499</v>
      </c>
      <c r="T703" t="str">
        <v>Sofala</v>
      </c>
      <c r="U703" t="str">
        <v>Masculino</v>
      </c>
      <c r="V703" t="str">
        <v>Solteiro(a)</v>
      </c>
      <c r="W703" t="str">
        <v>Primaria</v>
      </c>
      <c r="X703" t="str">
        <v>Nao</v>
      </c>
      <c r="Y703" t="str">
        <v>Malaria</v>
      </c>
      <c r="Z703">
        <v>24</v>
      </c>
      <c r="AA703">
        <v>52.7</v>
      </c>
      <c r="AB703">
        <v>1.54</v>
      </c>
      <c r="AC703">
        <v>6</v>
      </c>
      <c r="AD703">
        <v>114</v>
      </c>
      <c r="AE703">
        <v>76</v>
      </c>
      <c r="AF703" t="str">
        <v>Rural</v>
      </c>
      <c r="AG703" t="str">
        <v>Nao</v>
      </c>
    </row>
    <row r="704" spans="2:33" x14ac:dyDescent="0.45">
      <c r="B704" s="4">
        <v>703</v>
      </c>
      <c r="C704" s="4" t="s">
        <v>22</v>
      </c>
      <c r="D704" s="4" t="s">
        <v>23</v>
      </c>
      <c r="E704" s="4" t="s">
        <v>44</v>
      </c>
      <c r="F704" s="4" t="s">
        <v>24</v>
      </c>
      <c r="G704" s="4" t="s">
        <v>19</v>
      </c>
      <c r="H704" s="4" t="s">
        <v>28</v>
      </c>
      <c r="I704" s="4">
        <v>10</v>
      </c>
      <c r="J704" s="5">
        <v>19.3</v>
      </c>
      <c r="K704" s="6">
        <v>1.22</v>
      </c>
      <c r="L704" s="4">
        <v>3</v>
      </c>
      <c r="M704" s="4">
        <v>99</v>
      </c>
      <c r="N704" s="4">
        <v>78</v>
      </c>
      <c r="O704" s="4" t="s">
        <v>26</v>
      </c>
      <c r="P704" s="7" t="s">
        <v>19</v>
      </c>
      <c r="S704">
        <v>1505</v>
      </c>
      <c r="T704" t="str">
        <v>Inhambane</v>
      </c>
      <c r="U704" t="str">
        <v>Masculino</v>
      </c>
      <c r="V704" t="str">
        <v>Viuvo(a)</v>
      </c>
      <c r="W704" t="str">
        <v>Superior</v>
      </c>
      <c r="X704" t="str">
        <v>Sim</v>
      </c>
      <c r="Y704" t="str">
        <v>Nenhuma</v>
      </c>
      <c r="Z704">
        <v>47</v>
      </c>
      <c r="AA704">
        <v>88.4</v>
      </c>
      <c r="AB704">
        <v>1.81</v>
      </c>
      <c r="AC704">
        <v>2</v>
      </c>
      <c r="AD704">
        <v>127</v>
      </c>
      <c r="AE704">
        <v>75</v>
      </c>
      <c r="AF704" t="str">
        <v>Rural</v>
      </c>
      <c r="AG704" t="str">
        <v>Sim</v>
      </c>
    </row>
    <row r="705" spans="2:33" x14ac:dyDescent="0.45">
      <c r="B705" s="4">
        <v>704</v>
      </c>
      <c r="C705" s="4" t="s">
        <v>15</v>
      </c>
      <c r="D705" s="4" t="s">
        <v>23</v>
      </c>
      <c r="E705" s="4" t="s">
        <v>35</v>
      </c>
      <c r="F705" s="4" t="s">
        <v>18</v>
      </c>
      <c r="G705" s="4" t="s">
        <v>19</v>
      </c>
      <c r="H705" s="4" t="s">
        <v>38</v>
      </c>
      <c r="I705" s="4">
        <v>4</v>
      </c>
      <c r="J705" s="5">
        <v>14.5</v>
      </c>
      <c r="K705" s="6">
        <v>0.73</v>
      </c>
      <c r="L705" s="4">
        <v>2</v>
      </c>
      <c r="M705" s="4">
        <v>110</v>
      </c>
      <c r="N705" s="4">
        <v>77</v>
      </c>
      <c r="O705" s="4" t="s">
        <v>26</v>
      </c>
      <c r="P705" s="7" t="s">
        <v>19</v>
      </c>
      <c r="S705">
        <v>1509</v>
      </c>
      <c r="T705" t="str">
        <v>Zambezia</v>
      </c>
      <c r="U705" t="str">
        <v>Masculino</v>
      </c>
      <c r="V705" t="str">
        <v>Casado(a)</v>
      </c>
      <c r="W705" t="str">
        <v>Secundaria</v>
      </c>
      <c r="X705" t="str">
        <v>Nao</v>
      </c>
      <c r="Y705" t="str">
        <v>Diabetes</v>
      </c>
      <c r="Z705">
        <v>38</v>
      </c>
      <c r="AA705">
        <v>73.5</v>
      </c>
      <c r="AB705">
        <v>1.74</v>
      </c>
      <c r="AC705">
        <v>5</v>
      </c>
      <c r="AD705">
        <v>128</v>
      </c>
      <c r="AE705">
        <v>147</v>
      </c>
      <c r="AF705" t="str">
        <v>Urbana</v>
      </c>
      <c r="AG705" t="str">
        <v>Sim</v>
      </c>
    </row>
    <row r="706" spans="2:33" x14ac:dyDescent="0.45">
      <c r="B706" s="4">
        <v>705</v>
      </c>
      <c r="C706" s="4" t="s">
        <v>40</v>
      </c>
      <c r="D706" s="4" t="s">
        <v>16</v>
      </c>
      <c r="E706" s="4" t="s">
        <v>17</v>
      </c>
      <c r="F706" s="4" t="s">
        <v>24</v>
      </c>
      <c r="G706" s="4" t="s">
        <v>19</v>
      </c>
      <c r="H706" s="4" t="s">
        <v>28</v>
      </c>
      <c r="I706" s="4">
        <v>8</v>
      </c>
      <c r="J706" s="5">
        <v>28.5</v>
      </c>
      <c r="K706" s="6">
        <v>1.1000000000000001</v>
      </c>
      <c r="L706" s="4">
        <v>1</v>
      </c>
      <c r="M706" s="4">
        <v>103</v>
      </c>
      <c r="N706" s="4">
        <v>71</v>
      </c>
      <c r="O706" s="4" t="s">
        <v>26</v>
      </c>
      <c r="P706" s="7" t="s">
        <v>19</v>
      </c>
      <c r="S706">
        <v>1511</v>
      </c>
      <c r="T706" t="str">
        <v>Maputo Cidade</v>
      </c>
      <c r="U706" t="str">
        <v>Masculino</v>
      </c>
      <c r="V706" t="str">
        <v>Solteiro(a)</v>
      </c>
      <c r="W706" t="str">
        <v>Superior</v>
      </c>
      <c r="X706" t="str">
        <v>Sim</v>
      </c>
      <c r="Y706" t="str">
        <v>Diarreia</v>
      </c>
      <c r="Z706">
        <v>13</v>
      </c>
      <c r="AA706">
        <v>38.700000000000003</v>
      </c>
      <c r="AB706">
        <v>1.46</v>
      </c>
      <c r="AC706">
        <v>1</v>
      </c>
      <c r="AD706">
        <v>95</v>
      </c>
      <c r="AE706">
        <v>91</v>
      </c>
      <c r="AF706" t="str">
        <v>Rural</v>
      </c>
      <c r="AG706" t="str">
        <v>Nao</v>
      </c>
    </row>
    <row r="707" spans="2:33" x14ac:dyDescent="0.45">
      <c r="B707" s="4">
        <v>706</v>
      </c>
      <c r="C707" s="4" t="s">
        <v>27</v>
      </c>
      <c r="D707" s="4" t="s">
        <v>16</v>
      </c>
      <c r="E707" s="4" t="s">
        <v>37</v>
      </c>
      <c r="F707" s="4" t="s">
        <v>24</v>
      </c>
      <c r="G707" s="4" t="s">
        <v>19</v>
      </c>
      <c r="H707" s="4" t="s">
        <v>28</v>
      </c>
      <c r="I707" s="4">
        <v>22</v>
      </c>
      <c r="J707" s="5">
        <v>91.2</v>
      </c>
      <c r="K707" s="6">
        <v>1.78</v>
      </c>
      <c r="L707" s="4">
        <v>4</v>
      </c>
      <c r="M707" s="4">
        <v>114</v>
      </c>
      <c r="N707" s="4">
        <v>102</v>
      </c>
      <c r="O707" s="4" t="s">
        <v>26</v>
      </c>
      <c r="P707" s="7" t="s">
        <v>19</v>
      </c>
      <c r="S707">
        <v>1512</v>
      </c>
      <c r="T707" t="str">
        <v>Inhambane</v>
      </c>
      <c r="U707" t="str">
        <v>Masculino</v>
      </c>
      <c r="V707" t="str">
        <v>Solteiro(a)</v>
      </c>
      <c r="W707" t="str">
        <v>Nenhuma</v>
      </c>
      <c r="X707" t="str">
        <v>Nao</v>
      </c>
      <c r="Y707" t="str">
        <v>Diarreia</v>
      </c>
      <c r="Z707">
        <v>4</v>
      </c>
      <c r="AA707">
        <v>6.1</v>
      </c>
      <c r="AB707">
        <v>0.9</v>
      </c>
      <c r="AC707">
        <v>4</v>
      </c>
      <c r="AD707">
        <v>105</v>
      </c>
      <c r="AE707">
        <v>99</v>
      </c>
      <c r="AF707" t="str">
        <v>Rural</v>
      </c>
      <c r="AG707" t="str">
        <v>Nao</v>
      </c>
    </row>
    <row r="708" spans="2:33" x14ac:dyDescent="0.45">
      <c r="B708" s="4">
        <v>707</v>
      </c>
      <c r="C708" s="4" t="s">
        <v>22</v>
      </c>
      <c r="D708" s="4" t="s">
        <v>23</v>
      </c>
      <c r="E708" s="4" t="s">
        <v>44</v>
      </c>
      <c r="F708" s="4" t="s">
        <v>18</v>
      </c>
      <c r="G708" s="4" t="s">
        <v>19</v>
      </c>
      <c r="H708" s="4" t="s">
        <v>28</v>
      </c>
      <c r="I708" s="4">
        <v>5</v>
      </c>
      <c r="J708" s="5">
        <v>28.1</v>
      </c>
      <c r="K708" s="6">
        <v>1.37</v>
      </c>
      <c r="L708" s="4">
        <v>2</v>
      </c>
      <c r="M708" s="4">
        <v>104</v>
      </c>
      <c r="N708" s="4">
        <v>94</v>
      </c>
      <c r="O708" s="4" t="s">
        <v>21</v>
      </c>
      <c r="P708" s="7" t="s">
        <v>30</v>
      </c>
      <c r="S708">
        <v>1516</v>
      </c>
      <c r="T708" t="str">
        <v>Nampula</v>
      </c>
      <c r="U708" t="str">
        <v>Masculino</v>
      </c>
      <c r="V708" t="str">
        <v>Casado(a)</v>
      </c>
      <c r="W708" t="str">
        <v>Primaria</v>
      </c>
      <c r="X708" t="str">
        <v>Nao</v>
      </c>
      <c r="Y708" t="str">
        <v>Nenhuma</v>
      </c>
      <c r="Z708">
        <v>42</v>
      </c>
      <c r="AA708">
        <v>56</v>
      </c>
      <c r="AB708">
        <v>1.58</v>
      </c>
      <c r="AC708">
        <v>3</v>
      </c>
      <c r="AD708">
        <v>126</v>
      </c>
      <c r="AE708">
        <v>93</v>
      </c>
      <c r="AF708" t="str">
        <v>Rural</v>
      </c>
      <c r="AG708" t="str">
        <v>Sim</v>
      </c>
    </row>
    <row r="709" spans="2:33" x14ac:dyDescent="0.45">
      <c r="B709" s="4">
        <v>708</v>
      </c>
      <c r="C709" s="4" t="s">
        <v>27</v>
      </c>
      <c r="D709" s="4" t="s">
        <v>23</v>
      </c>
      <c r="E709" s="4" t="s">
        <v>35</v>
      </c>
      <c r="F709" s="4" t="s">
        <v>24</v>
      </c>
      <c r="G709" s="4" t="s">
        <v>19</v>
      </c>
      <c r="H709" s="4" t="s">
        <v>28</v>
      </c>
      <c r="I709" s="4">
        <v>3</v>
      </c>
      <c r="J709" s="5">
        <v>8.4</v>
      </c>
      <c r="K709" s="6">
        <v>0.86</v>
      </c>
      <c r="L709" s="4">
        <v>10</v>
      </c>
      <c r="M709" s="4">
        <v>116</v>
      </c>
      <c r="N709" s="4">
        <v>83</v>
      </c>
      <c r="O709" s="4" t="s">
        <v>21</v>
      </c>
      <c r="P709" s="7" t="s">
        <v>30</v>
      </c>
      <c r="S709">
        <v>1517</v>
      </c>
      <c r="T709" t="str">
        <v>Zambezia</v>
      </c>
      <c r="U709" t="str">
        <v>Masculino</v>
      </c>
      <c r="V709" t="str">
        <v>Solteiro(a)</v>
      </c>
      <c r="W709" t="str">
        <v>Primaria</v>
      </c>
      <c r="X709" t="str">
        <v>Sim</v>
      </c>
      <c r="Y709" t="str">
        <v>Tuberculose</v>
      </c>
      <c r="Z709">
        <v>9</v>
      </c>
      <c r="AA709">
        <v>21.8</v>
      </c>
      <c r="AB709">
        <v>1.1299999999999999</v>
      </c>
      <c r="AC709">
        <v>8</v>
      </c>
      <c r="AD709">
        <v>100</v>
      </c>
      <c r="AE709">
        <v>93</v>
      </c>
      <c r="AF709" t="str">
        <v>Urbana</v>
      </c>
      <c r="AG709" t="str">
        <v>Nao</v>
      </c>
    </row>
    <row r="710" spans="2:33" x14ac:dyDescent="0.45">
      <c r="B710" s="4">
        <v>709</v>
      </c>
      <c r="C710" s="4" t="s">
        <v>40</v>
      </c>
      <c r="D710" s="4" t="s">
        <v>16</v>
      </c>
      <c r="E710" s="4" t="s">
        <v>37</v>
      </c>
      <c r="F710" s="4" t="s">
        <v>24</v>
      </c>
      <c r="G710" s="4" t="s">
        <v>30</v>
      </c>
      <c r="H710" s="4" t="s">
        <v>20</v>
      </c>
      <c r="I710" s="4">
        <v>11</v>
      </c>
      <c r="J710" s="5">
        <v>37</v>
      </c>
      <c r="K710" s="6">
        <v>1.06</v>
      </c>
      <c r="L710" s="4">
        <v>0</v>
      </c>
      <c r="M710" s="4">
        <v>111</v>
      </c>
      <c r="N710" s="4">
        <v>80</v>
      </c>
      <c r="O710" s="4" t="s">
        <v>21</v>
      </c>
      <c r="P710" s="7" t="s">
        <v>19</v>
      </c>
      <c r="S710">
        <v>1518</v>
      </c>
      <c r="T710" t="str">
        <v>Nampula</v>
      </c>
      <c r="U710" t="str">
        <v>Masculino</v>
      </c>
      <c r="V710" t="str">
        <v>Casado(a)</v>
      </c>
      <c r="W710" t="str">
        <v>Primaria</v>
      </c>
      <c r="X710" t="str">
        <v>Nao</v>
      </c>
      <c r="Y710" t="str">
        <v>Malaria</v>
      </c>
      <c r="Z710">
        <v>0</v>
      </c>
      <c r="AA710">
        <v>12.1</v>
      </c>
      <c r="AB710">
        <v>0.85</v>
      </c>
      <c r="AC710">
        <v>2</v>
      </c>
      <c r="AD710">
        <v>109</v>
      </c>
      <c r="AE710">
        <v>90</v>
      </c>
      <c r="AF710" t="str">
        <v>Urbana</v>
      </c>
      <c r="AG710" t="str">
        <v>Nao</v>
      </c>
    </row>
    <row r="711" spans="2:33" x14ac:dyDescent="0.45">
      <c r="B711" s="4">
        <v>710</v>
      </c>
      <c r="C711" s="4" t="s">
        <v>22</v>
      </c>
      <c r="D711" s="4" t="s">
        <v>23</v>
      </c>
      <c r="E711" s="4" t="s">
        <v>35</v>
      </c>
      <c r="F711" s="4" t="s">
        <v>18</v>
      </c>
      <c r="G711" s="4" t="s">
        <v>19</v>
      </c>
      <c r="H711" s="4" t="s">
        <v>25</v>
      </c>
      <c r="I711" s="4">
        <v>43</v>
      </c>
      <c r="J711" s="5">
        <v>69</v>
      </c>
      <c r="K711" s="6">
        <v>1.71</v>
      </c>
      <c r="L711" s="4">
        <v>2</v>
      </c>
      <c r="M711" s="4">
        <v>110</v>
      </c>
      <c r="N711" s="4">
        <v>96</v>
      </c>
      <c r="O711" s="4" t="s">
        <v>26</v>
      </c>
      <c r="P711" s="7" t="s">
        <v>19</v>
      </c>
      <c r="S711">
        <v>1519</v>
      </c>
      <c r="T711" t="str">
        <v>Tete</v>
      </c>
      <c r="U711" t="str">
        <v>Masculino</v>
      </c>
      <c r="V711" t="str">
        <v>Solteiro(a)</v>
      </c>
      <c r="W711" t="str">
        <v>Secundaria</v>
      </c>
      <c r="X711" t="str">
        <v>Sim</v>
      </c>
      <c r="Y711" t="str">
        <v>Malaria</v>
      </c>
      <c r="Z711">
        <v>2</v>
      </c>
      <c r="AA711">
        <v>7</v>
      </c>
      <c r="AB711">
        <v>1.03</v>
      </c>
      <c r="AC711">
        <v>1</v>
      </c>
      <c r="AD711">
        <v>107</v>
      </c>
      <c r="AE711">
        <v>81</v>
      </c>
      <c r="AF711" t="str">
        <v>Rural</v>
      </c>
      <c r="AG711" t="str">
        <v>Nao</v>
      </c>
    </row>
    <row r="712" spans="2:33" x14ac:dyDescent="0.45">
      <c r="B712" s="4">
        <v>711</v>
      </c>
      <c r="C712" s="4" t="s">
        <v>15</v>
      </c>
      <c r="D712" s="4" t="s">
        <v>23</v>
      </c>
      <c r="E712" s="4" t="s">
        <v>35</v>
      </c>
      <c r="F712" s="4" t="s">
        <v>28</v>
      </c>
      <c r="G712" s="4" t="s">
        <v>19</v>
      </c>
      <c r="H712" s="4" t="s">
        <v>20</v>
      </c>
      <c r="I712" s="4">
        <v>16</v>
      </c>
      <c r="J712" s="5">
        <v>55.9</v>
      </c>
      <c r="K712" s="6">
        <v>1.69</v>
      </c>
      <c r="L712" s="4">
        <v>2</v>
      </c>
      <c r="M712" s="4">
        <v>96</v>
      </c>
      <c r="N712" s="4">
        <v>104</v>
      </c>
      <c r="O712" s="4" t="s">
        <v>26</v>
      </c>
      <c r="P712" s="7" t="s">
        <v>19</v>
      </c>
      <c r="S712">
        <v>1522</v>
      </c>
      <c r="T712" t="str">
        <v>Maputo Cidade</v>
      </c>
      <c r="U712" t="str">
        <v>Masculino</v>
      </c>
      <c r="V712" t="str">
        <v>Solteiro(a)</v>
      </c>
      <c r="W712" t="str">
        <v>Primaria</v>
      </c>
      <c r="X712" t="str">
        <v>Nao</v>
      </c>
      <c r="Y712" t="str">
        <v>HIV/SIDA</v>
      </c>
      <c r="Z712">
        <v>21</v>
      </c>
      <c r="AA712">
        <v>51.2</v>
      </c>
      <c r="AB712">
        <v>1.77</v>
      </c>
      <c r="AC712">
        <v>6</v>
      </c>
      <c r="AD712">
        <v>115</v>
      </c>
      <c r="AE712">
        <v>86</v>
      </c>
      <c r="AF712" t="str">
        <v>Rural</v>
      </c>
      <c r="AG712" t="str">
        <v>Sim</v>
      </c>
    </row>
    <row r="713" spans="2:33" x14ac:dyDescent="0.45">
      <c r="B713" s="4">
        <v>712</v>
      </c>
      <c r="C713" s="4" t="s">
        <v>39</v>
      </c>
      <c r="D713" s="4" t="s">
        <v>23</v>
      </c>
      <c r="E713" s="4" t="s">
        <v>35</v>
      </c>
      <c r="F713" s="4" t="s">
        <v>42</v>
      </c>
      <c r="G713" s="4" t="s">
        <v>30</v>
      </c>
      <c r="H713" s="4" t="s">
        <v>46</v>
      </c>
      <c r="I713" s="4">
        <v>21</v>
      </c>
      <c r="J713" s="5">
        <v>65.2</v>
      </c>
      <c r="K713" s="6">
        <v>1.58</v>
      </c>
      <c r="L713" s="4">
        <v>1</v>
      </c>
      <c r="M713" s="4">
        <v>129</v>
      </c>
      <c r="N713" s="4">
        <v>92</v>
      </c>
      <c r="O713" s="4" t="s">
        <v>26</v>
      </c>
      <c r="P713" s="7" t="s">
        <v>30</v>
      </c>
      <c r="S713">
        <v>1526</v>
      </c>
      <c r="T713" t="str">
        <v>Manica</v>
      </c>
      <c r="U713" t="str">
        <v>Masculino</v>
      </c>
      <c r="V713" t="str">
        <v>Casado(a)</v>
      </c>
      <c r="W713" t="str">
        <v>Secundaria</v>
      </c>
      <c r="X713" t="str">
        <v>Sim</v>
      </c>
      <c r="Y713" t="str">
        <v>HIV/SIDA</v>
      </c>
      <c r="Z713">
        <v>34</v>
      </c>
      <c r="AA713">
        <v>69.3</v>
      </c>
      <c r="AB713">
        <v>1.8</v>
      </c>
      <c r="AC713">
        <v>6</v>
      </c>
      <c r="AD713">
        <v>125</v>
      </c>
      <c r="AE713">
        <v>94</v>
      </c>
      <c r="AF713" t="str">
        <v>Rural</v>
      </c>
      <c r="AG713" t="str">
        <v>Nao</v>
      </c>
    </row>
    <row r="714" spans="2:33" x14ac:dyDescent="0.45">
      <c r="B714" s="4">
        <v>713</v>
      </c>
      <c r="C714" s="4" t="s">
        <v>15</v>
      </c>
      <c r="D714" s="4" t="s">
        <v>16</v>
      </c>
      <c r="E714" s="4" t="s">
        <v>35</v>
      </c>
      <c r="F714" s="4" t="s">
        <v>24</v>
      </c>
      <c r="G714" s="4" t="s">
        <v>19</v>
      </c>
      <c r="H714" s="4" t="s">
        <v>36</v>
      </c>
      <c r="I714" s="4">
        <v>26</v>
      </c>
      <c r="J714" s="5">
        <v>64.5</v>
      </c>
      <c r="K714" s="6">
        <v>1.75</v>
      </c>
      <c r="L714" s="4">
        <v>0</v>
      </c>
      <c r="M714" s="4">
        <v>138</v>
      </c>
      <c r="N714" s="4">
        <v>74</v>
      </c>
      <c r="O714" s="4" t="s">
        <v>26</v>
      </c>
      <c r="P714" s="7" t="s">
        <v>19</v>
      </c>
      <c r="S714">
        <v>1527</v>
      </c>
      <c r="T714" t="str">
        <v>Manica</v>
      </c>
      <c r="U714" t="str">
        <v>Masculino</v>
      </c>
      <c r="V714" t="str">
        <v>Casado(a)</v>
      </c>
      <c r="W714" t="str">
        <v>Nenhuma</v>
      </c>
      <c r="X714" t="str">
        <v>Nao</v>
      </c>
      <c r="Y714" t="str">
        <v>Diarreia</v>
      </c>
      <c r="Z714">
        <v>33</v>
      </c>
      <c r="AA714">
        <v>74.8</v>
      </c>
      <c r="AB714">
        <v>1.78</v>
      </c>
      <c r="AC714">
        <v>3</v>
      </c>
      <c r="AD714">
        <v>113</v>
      </c>
      <c r="AE714">
        <v>104</v>
      </c>
      <c r="AF714" t="str">
        <v>Rural</v>
      </c>
      <c r="AG714" t="str">
        <v>Nao</v>
      </c>
    </row>
    <row r="715" spans="2:33" x14ac:dyDescent="0.45">
      <c r="B715" s="4">
        <v>714</v>
      </c>
      <c r="C715" s="4" t="s">
        <v>41</v>
      </c>
      <c r="D715" s="4" t="s">
        <v>23</v>
      </c>
      <c r="E715" s="4" t="s">
        <v>35</v>
      </c>
      <c r="F715" s="4" t="s">
        <v>24</v>
      </c>
      <c r="G715" s="4" t="s">
        <v>30</v>
      </c>
      <c r="H715" s="4" t="s">
        <v>36</v>
      </c>
      <c r="I715" s="4">
        <v>51</v>
      </c>
      <c r="J715" s="5">
        <v>83.5</v>
      </c>
      <c r="K715" s="6">
        <v>1.72</v>
      </c>
      <c r="L715" s="4">
        <v>5</v>
      </c>
      <c r="M715" s="4">
        <v>138</v>
      </c>
      <c r="N715" s="4">
        <v>88</v>
      </c>
      <c r="O715" s="4" t="s">
        <v>21</v>
      </c>
      <c r="P715" s="7" t="s">
        <v>19</v>
      </c>
      <c r="S715">
        <v>1531</v>
      </c>
      <c r="T715" t="str">
        <v>Manica</v>
      </c>
      <c r="U715" t="str">
        <v>Masculino</v>
      </c>
      <c r="V715" t="str">
        <v>Casado(a)</v>
      </c>
      <c r="W715" t="str">
        <v>Nenhuma</v>
      </c>
      <c r="X715" t="str">
        <v>Nao</v>
      </c>
      <c r="Y715" t="str">
        <v>Diabetes</v>
      </c>
      <c r="Z715">
        <v>0</v>
      </c>
      <c r="AA715">
        <v>17.5</v>
      </c>
      <c r="AB715">
        <v>0.81</v>
      </c>
      <c r="AC715">
        <v>0</v>
      </c>
      <c r="AD715">
        <v>107</v>
      </c>
      <c r="AE715">
        <v>142</v>
      </c>
      <c r="AF715" t="str">
        <v>Rural</v>
      </c>
      <c r="AG715" t="str">
        <v>Nao</v>
      </c>
    </row>
    <row r="716" spans="2:33" x14ac:dyDescent="0.45">
      <c r="B716" s="4">
        <v>715</v>
      </c>
      <c r="C716" s="4" t="s">
        <v>22</v>
      </c>
      <c r="D716" s="4" t="s">
        <v>23</v>
      </c>
      <c r="E716" s="4" t="s">
        <v>17</v>
      </c>
      <c r="F716" s="4" t="s">
        <v>18</v>
      </c>
      <c r="G716" s="4" t="s">
        <v>19</v>
      </c>
      <c r="H716" s="4" t="s">
        <v>28</v>
      </c>
      <c r="I716" s="4">
        <v>43</v>
      </c>
      <c r="J716" s="5">
        <v>77.599999999999994</v>
      </c>
      <c r="K716" s="6">
        <v>1.62</v>
      </c>
      <c r="L716" s="4">
        <v>7</v>
      </c>
      <c r="M716" s="4">
        <v>127</v>
      </c>
      <c r="N716" s="4">
        <v>76</v>
      </c>
      <c r="O716" s="4" t="s">
        <v>26</v>
      </c>
      <c r="P716" s="7" t="s">
        <v>30</v>
      </c>
      <c r="S716">
        <v>1533</v>
      </c>
      <c r="T716" t="str">
        <v>Zambezia</v>
      </c>
      <c r="U716" t="str">
        <v>Masculino</v>
      </c>
      <c r="V716" t="str">
        <v>Casado(a)</v>
      </c>
      <c r="W716" t="str">
        <v>Secundaria</v>
      </c>
      <c r="X716" t="str">
        <v>Sim</v>
      </c>
      <c r="Y716" t="str">
        <v>Malaria</v>
      </c>
      <c r="Z716">
        <v>0</v>
      </c>
      <c r="AA716">
        <v>15.7</v>
      </c>
      <c r="AB716">
        <v>0.67</v>
      </c>
      <c r="AC716">
        <v>1</v>
      </c>
      <c r="AD716">
        <v>105</v>
      </c>
      <c r="AE716">
        <v>88</v>
      </c>
      <c r="AF716" t="str">
        <v>Urbana</v>
      </c>
      <c r="AG716" t="str">
        <v>Nao</v>
      </c>
    </row>
    <row r="717" spans="2:33" x14ac:dyDescent="0.45">
      <c r="B717" s="4">
        <v>716</v>
      </c>
      <c r="C717" s="4" t="s">
        <v>40</v>
      </c>
      <c r="D717" s="4" t="s">
        <v>23</v>
      </c>
      <c r="E717" s="4" t="s">
        <v>35</v>
      </c>
      <c r="F717" s="4" t="s">
        <v>28</v>
      </c>
      <c r="G717" s="4" t="s">
        <v>19</v>
      </c>
      <c r="H717" s="4" t="s">
        <v>28</v>
      </c>
      <c r="I717" s="4">
        <v>15</v>
      </c>
      <c r="J717" s="5">
        <v>52</v>
      </c>
      <c r="K717" s="6">
        <v>1.55</v>
      </c>
      <c r="L717" s="4">
        <v>3</v>
      </c>
      <c r="M717" s="4">
        <v>99</v>
      </c>
      <c r="N717" s="4">
        <v>72</v>
      </c>
      <c r="O717" s="4" t="s">
        <v>21</v>
      </c>
      <c r="P717" s="7" t="s">
        <v>19</v>
      </c>
      <c r="S717">
        <v>1535</v>
      </c>
      <c r="T717" t="str">
        <v>Inhambane</v>
      </c>
      <c r="U717" t="str">
        <v>Masculino</v>
      </c>
      <c r="V717" t="str">
        <v>Casado(a)</v>
      </c>
      <c r="W717" t="str">
        <v>Primaria</v>
      </c>
      <c r="X717" t="str">
        <v>Nao</v>
      </c>
      <c r="Y717" t="str">
        <v>HIV/SIDA</v>
      </c>
      <c r="Z717">
        <v>54</v>
      </c>
      <c r="AA717">
        <v>87.4</v>
      </c>
      <c r="AB717">
        <v>1.74</v>
      </c>
      <c r="AC717">
        <v>2</v>
      </c>
      <c r="AD717">
        <v>128</v>
      </c>
      <c r="AE717">
        <v>93</v>
      </c>
      <c r="AF717" t="str">
        <v>Rural</v>
      </c>
      <c r="AG717" t="str">
        <v>Nao</v>
      </c>
    </row>
    <row r="718" spans="2:33" x14ac:dyDescent="0.45">
      <c r="B718" s="4">
        <v>717</v>
      </c>
      <c r="C718" s="4" t="s">
        <v>27</v>
      </c>
      <c r="D718" s="4" t="s">
        <v>23</v>
      </c>
      <c r="E718" s="4" t="s">
        <v>35</v>
      </c>
      <c r="F718" s="4" t="s">
        <v>18</v>
      </c>
      <c r="G718" s="4" t="s">
        <v>19</v>
      </c>
      <c r="H718" s="4" t="s">
        <v>28</v>
      </c>
      <c r="I718" s="4">
        <v>55</v>
      </c>
      <c r="J718" s="5">
        <v>89.2</v>
      </c>
      <c r="K718" s="6">
        <v>1.53</v>
      </c>
      <c r="L718" s="4">
        <v>1</v>
      </c>
      <c r="M718" s="4">
        <v>121</v>
      </c>
      <c r="N718" s="4">
        <v>74</v>
      </c>
      <c r="O718" s="4" t="s">
        <v>26</v>
      </c>
      <c r="P718" s="7" t="s">
        <v>30</v>
      </c>
      <c r="S718">
        <v>1537</v>
      </c>
      <c r="T718" t="str">
        <v>Sofala</v>
      </c>
      <c r="U718" t="str">
        <v>Masculino</v>
      </c>
      <c r="V718" t="str">
        <v>Solteiro(a)</v>
      </c>
      <c r="W718" t="str">
        <v>Nenhuma</v>
      </c>
      <c r="X718" t="str">
        <v>Nao</v>
      </c>
      <c r="Y718" t="str">
        <v>HIV/SIDA</v>
      </c>
      <c r="Z718">
        <v>17</v>
      </c>
      <c r="AA718">
        <v>39.4</v>
      </c>
      <c r="AB718">
        <v>1.68</v>
      </c>
      <c r="AC718">
        <v>3</v>
      </c>
      <c r="AD718">
        <v>119</v>
      </c>
      <c r="AE718">
        <v>102</v>
      </c>
      <c r="AF718" t="str">
        <v>Rural</v>
      </c>
      <c r="AG718" t="str">
        <v>Nao</v>
      </c>
    </row>
    <row r="719" spans="2:33" x14ac:dyDescent="0.45">
      <c r="B719" s="4">
        <v>718</v>
      </c>
      <c r="C719" s="4" t="s">
        <v>27</v>
      </c>
      <c r="D719" s="4" t="s">
        <v>23</v>
      </c>
      <c r="E719" s="4" t="s">
        <v>35</v>
      </c>
      <c r="F719" s="4" t="s">
        <v>28</v>
      </c>
      <c r="G719" s="4" t="s">
        <v>19</v>
      </c>
      <c r="H719" s="4" t="s">
        <v>36</v>
      </c>
      <c r="I719" s="4">
        <v>42</v>
      </c>
      <c r="J719" s="5">
        <v>67.400000000000006</v>
      </c>
      <c r="K719" s="6">
        <v>1.68</v>
      </c>
      <c r="L719" s="4">
        <v>7</v>
      </c>
      <c r="M719" s="4">
        <v>141</v>
      </c>
      <c r="N719" s="4">
        <v>100</v>
      </c>
      <c r="O719" s="4" t="s">
        <v>26</v>
      </c>
      <c r="P719" s="7" t="s">
        <v>19</v>
      </c>
      <c r="S719">
        <v>1538</v>
      </c>
      <c r="T719" t="str">
        <v>Maputo Cidade</v>
      </c>
      <c r="U719" t="str">
        <v>Masculino</v>
      </c>
      <c r="V719" t="str">
        <v>Casado(a)</v>
      </c>
      <c r="W719" t="str">
        <v>Primaria</v>
      </c>
      <c r="X719" t="str">
        <v>Nao</v>
      </c>
      <c r="Y719" t="str">
        <v>Diarreia</v>
      </c>
      <c r="Z719">
        <v>13</v>
      </c>
      <c r="AA719">
        <v>57.6</v>
      </c>
      <c r="AB719">
        <v>1.68</v>
      </c>
      <c r="AC719">
        <v>2</v>
      </c>
      <c r="AD719">
        <v>111</v>
      </c>
      <c r="AE719">
        <v>76</v>
      </c>
      <c r="AF719" t="str">
        <v>Rural</v>
      </c>
      <c r="AG719" t="str">
        <v>Nao</v>
      </c>
    </row>
    <row r="720" spans="2:33" x14ac:dyDescent="0.45">
      <c r="B720" s="4">
        <v>719</v>
      </c>
      <c r="C720" s="4" t="s">
        <v>43</v>
      </c>
      <c r="D720" s="4" t="s">
        <v>23</v>
      </c>
      <c r="E720" s="4" t="s">
        <v>17</v>
      </c>
      <c r="F720" s="4" t="s">
        <v>24</v>
      </c>
      <c r="G720" s="4" t="s">
        <v>19</v>
      </c>
      <c r="H720" s="4" t="s">
        <v>38</v>
      </c>
      <c r="I720" s="4">
        <v>27</v>
      </c>
      <c r="J720" s="5">
        <v>74.400000000000006</v>
      </c>
      <c r="K720" s="6">
        <v>1.85</v>
      </c>
      <c r="L720" s="4">
        <v>1</v>
      </c>
      <c r="M720" s="4">
        <v>116</v>
      </c>
      <c r="N720" s="4">
        <v>84</v>
      </c>
      <c r="O720" s="4" t="s">
        <v>21</v>
      </c>
      <c r="P720" s="7" t="s">
        <v>19</v>
      </c>
      <c r="S720">
        <v>1539</v>
      </c>
      <c r="T720" t="str">
        <v>Nampula</v>
      </c>
      <c r="U720" t="str">
        <v>Masculino</v>
      </c>
      <c r="V720" t="str">
        <v>Solteiro(a)</v>
      </c>
      <c r="W720" t="str">
        <v>Nenhuma</v>
      </c>
      <c r="X720" t="str">
        <v>Nao</v>
      </c>
      <c r="Y720" t="str">
        <v>Nenhuma</v>
      </c>
      <c r="Z720">
        <v>11</v>
      </c>
      <c r="AA720">
        <v>19.3</v>
      </c>
      <c r="AB720">
        <v>1.1399999999999999</v>
      </c>
      <c r="AC720">
        <v>1</v>
      </c>
      <c r="AD720">
        <v>100</v>
      </c>
      <c r="AE720">
        <v>85</v>
      </c>
      <c r="AF720" t="str">
        <v>Rural</v>
      </c>
      <c r="AG720" t="str">
        <v>Nao</v>
      </c>
    </row>
    <row r="721" spans="2:33" x14ac:dyDescent="0.45">
      <c r="B721" s="4">
        <v>720</v>
      </c>
      <c r="C721" s="4" t="s">
        <v>39</v>
      </c>
      <c r="D721" s="4" t="s">
        <v>23</v>
      </c>
      <c r="E721" s="4" t="s">
        <v>35</v>
      </c>
      <c r="F721" s="4" t="s">
        <v>24</v>
      </c>
      <c r="G721" s="4" t="s">
        <v>19</v>
      </c>
      <c r="H721" s="4" t="s">
        <v>28</v>
      </c>
      <c r="I721" s="4">
        <v>48</v>
      </c>
      <c r="J721" s="5">
        <v>83.1</v>
      </c>
      <c r="K721" s="6">
        <v>1.63</v>
      </c>
      <c r="L721" s="4">
        <v>3</v>
      </c>
      <c r="M721" s="4">
        <v>120</v>
      </c>
      <c r="N721" s="4">
        <v>89</v>
      </c>
      <c r="O721" s="4" t="s">
        <v>21</v>
      </c>
      <c r="P721" s="7" t="s">
        <v>30</v>
      </c>
      <c r="S721">
        <v>1540</v>
      </c>
      <c r="T721" t="str">
        <v>Nampula</v>
      </c>
      <c r="U721" t="str">
        <v>Masculino</v>
      </c>
      <c r="V721" t="str">
        <v>Solteiro(a)</v>
      </c>
      <c r="W721" t="str">
        <v>Primaria</v>
      </c>
      <c r="X721" t="str">
        <v>Nao</v>
      </c>
      <c r="Y721" t="str">
        <v>Pneumonia</v>
      </c>
      <c r="Z721">
        <v>12</v>
      </c>
      <c r="AA721">
        <v>59.7</v>
      </c>
      <c r="AB721">
        <v>1.66</v>
      </c>
      <c r="AC721">
        <v>2</v>
      </c>
      <c r="AD721">
        <v>109</v>
      </c>
      <c r="AE721">
        <v>89</v>
      </c>
      <c r="AF721" t="str">
        <v>Urbana</v>
      </c>
      <c r="AG721" t="str">
        <v>Sim</v>
      </c>
    </row>
    <row r="722" spans="2:33" x14ac:dyDescent="0.45">
      <c r="B722" s="4">
        <v>721</v>
      </c>
      <c r="C722" s="4" t="s">
        <v>45</v>
      </c>
      <c r="D722" s="4" t="s">
        <v>23</v>
      </c>
      <c r="E722" s="4" t="s">
        <v>17</v>
      </c>
      <c r="F722" s="4" t="s">
        <v>24</v>
      </c>
      <c r="G722" s="4" t="s">
        <v>19</v>
      </c>
      <c r="H722" s="4" t="s">
        <v>36</v>
      </c>
      <c r="I722" s="4">
        <v>11</v>
      </c>
      <c r="J722" s="5">
        <v>21.4</v>
      </c>
      <c r="K722" s="6">
        <v>1.33</v>
      </c>
      <c r="L722" s="4">
        <v>4</v>
      </c>
      <c r="M722" s="4">
        <v>119</v>
      </c>
      <c r="N722" s="4">
        <v>78</v>
      </c>
      <c r="O722" s="4" t="s">
        <v>26</v>
      </c>
      <c r="P722" s="7" t="s">
        <v>19</v>
      </c>
      <c r="S722">
        <v>1541</v>
      </c>
      <c r="T722" t="str">
        <v>Gaza</v>
      </c>
      <c r="U722" t="str">
        <v>Masculino</v>
      </c>
      <c r="V722" t="str">
        <v>Casado(a)</v>
      </c>
      <c r="W722" t="str">
        <v>Secundaria</v>
      </c>
      <c r="X722" t="str">
        <v>Nao</v>
      </c>
      <c r="Y722" t="str">
        <v>Malaria</v>
      </c>
      <c r="Z722">
        <v>47</v>
      </c>
      <c r="AA722">
        <v>48.7</v>
      </c>
      <c r="AB722">
        <v>1.7</v>
      </c>
      <c r="AC722">
        <v>9</v>
      </c>
      <c r="AD722">
        <v>114</v>
      </c>
      <c r="AE722">
        <v>98</v>
      </c>
      <c r="AF722" t="str">
        <v>Rural</v>
      </c>
      <c r="AG722" t="str">
        <v>Nao</v>
      </c>
    </row>
    <row r="723" spans="2:33" x14ac:dyDescent="0.45">
      <c r="B723" s="4">
        <v>722</v>
      </c>
      <c r="C723" s="4" t="s">
        <v>39</v>
      </c>
      <c r="D723" s="4" t="s">
        <v>16</v>
      </c>
      <c r="E723" s="4" t="s">
        <v>17</v>
      </c>
      <c r="F723" s="4" t="s">
        <v>28</v>
      </c>
      <c r="G723" s="4" t="s">
        <v>19</v>
      </c>
      <c r="H723" s="4" t="s">
        <v>36</v>
      </c>
      <c r="I723" s="4">
        <v>36</v>
      </c>
      <c r="J723" s="5">
        <v>91.8</v>
      </c>
      <c r="K723" s="6">
        <v>1.69</v>
      </c>
      <c r="L723" s="4">
        <v>8</v>
      </c>
      <c r="M723" s="4">
        <v>124</v>
      </c>
      <c r="N723" s="4">
        <v>103</v>
      </c>
      <c r="O723" s="4" t="s">
        <v>26</v>
      </c>
      <c r="P723" s="7" t="s">
        <v>30</v>
      </c>
      <c r="S723">
        <v>1542</v>
      </c>
      <c r="T723" t="str">
        <v>Sofala</v>
      </c>
      <c r="U723" t="str">
        <v>Masculino</v>
      </c>
      <c r="V723" t="str">
        <v>Casado(a)</v>
      </c>
      <c r="W723" t="str">
        <v>Primaria</v>
      </c>
      <c r="X723" t="str">
        <v>Nao</v>
      </c>
      <c r="Y723" t="str">
        <v>Diabetes</v>
      </c>
      <c r="Z723">
        <v>7</v>
      </c>
      <c r="AA723">
        <v>35.1</v>
      </c>
      <c r="AB723">
        <v>1.18</v>
      </c>
      <c r="AC723">
        <v>4</v>
      </c>
      <c r="AD723">
        <v>117</v>
      </c>
      <c r="AE723">
        <v>130</v>
      </c>
      <c r="AF723" t="str">
        <v>Urbana</v>
      </c>
      <c r="AG723" t="str">
        <v>Sim</v>
      </c>
    </row>
    <row r="724" spans="2:33" x14ac:dyDescent="0.45">
      <c r="B724" s="4">
        <v>723</v>
      </c>
      <c r="C724" s="4" t="s">
        <v>27</v>
      </c>
      <c r="D724" s="4" t="s">
        <v>23</v>
      </c>
      <c r="E724" s="4" t="s">
        <v>37</v>
      </c>
      <c r="F724" s="4" t="s">
        <v>18</v>
      </c>
      <c r="G724" s="4" t="s">
        <v>30</v>
      </c>
      <c r="H724" s="4" t="s">
        <v>46</v>
      </c>
      <c r="I724" s="4">
        <v>9</v>
      </c>
      <c r="J724" s="5">
        <v>29.6</v>
      </c>
      <c r="K724" s="6">
        <v>1.33</v>
      </c>
      <c r="L724" s="4">
        <v>2</v>
      </c>
      <c r="M724" s="4">
        <v>118</v>
      </c>
      <c r="N724" s="4">
        <v>86</v>
      </c>
      <c r="O724" s="4" t="s">
        <v>21</v>
      </c>
      <c r="P724" s="7" t="s">
        <v>30</v>
      </c>
      <c r="S724">
        <v>1544</v>
      </c>
      <c r="T724" t="str">
        <v>Zambezia</v>
      </c>
      <c r="U724" t="str">
        <v>Masculino</v>
      </c>
      <c r="V724" t="str">
        <v>Solteiro(a)</v>
      </c>
      <c r="W724" t="str">
        <v>Primaria</v>
      </c>
      <c r="X724" t="str">
        <v>Nao</v>
      </c>
      <c r="Y724" t="str">
        <v>Pneumonia</v>
      </c>
      <c r="Z724">
        <v>23</v>
      </c>
      <c r="AA724">
        <v>88.4</v>
      </c>
      <c r="AB724">
        <v>1.5</v>
      </c>
      <c r="AC724">
        <v>3</v>
      </c>
      <c r="AD724">
        <v>110</v>
      </c>
      <c r="AE724">
        <v>85</v>
      </c>
      <c r="AF724" t="str">
        <v>Urbana</v>
      </c>
      <c r="AG724" t="str">
        <v>Nao</v>
      </c>
    </row>
    <row r="725" spans="2:33" x14ac:dyDescent="0.45">
      <c r="B725" s="4">
        <v>724</v>
      </c>
      <c r="C725" s="4" t="s">
        <v>41</v>
      </c>
      <c r="D725" s="4" t="s">
        <v>23</v>
      </c>
      <c r="E725" s="4" t="s">
        <v>35</v>
      </c>
      <c r="F725" s="4" t="s">
        <v>24</v>
      </c>
      <c r="G725" s="4" t="s">
        <v>19</v>
      </c>
      <c r="H725" s="4" t="s">
        <v>20</v>
      </c>
      <c r="I725" s="4">
        <v>18</v>
      </c>
      <c r="J725" s="5">
        <v>79.400000000000006</v>
      </c>
      <c r="K725" s="6">
        <v>1.82</v>
      </c>
      <c r="L725" s="4">
        <v>2</v>
      </c>
      <c r="M725" s="4">
        <v>119</v>
      </c>
      <c r="N725" s="4">
        <v>100</v>
      </c>
      <c r="O725" s="4" t="s">
        <v>21</v>
      </c>
      <c r="P725" s="7" t="s">
        <v>19</v>
      </c>
      <c r="S725">
        <v>1547</v>
      </c>
      <c r="T725" t="str">
        <v>Cabo Delgado</v>
      </c>
      <c r="U725" t="str">
        <v>Masculino</v>
      </c>
      <c r="V725" t="str">
        <v>Solteiro(a)</v>
      </c>
      <c r="W725" t="str">
        <v>Secundaria</v>
      </c>
      <c r="X725" t="str">
        <v>Nao</v>
      </c>
      <c r="Y725" t="str">
        <v>Diabetes</v>
      </c>
      <c r="Z725">
        <v>44</v>
      </c>
      <c r="AA725">
        <v>93.9</v>
      </c>
      <c r="AB725">
        <v>1.89</v>
      </c>
      <c r="AC725">
        <v>4</v>
      </c>
      <c r="AD725">
        <v>124</v>
      </c>
      <c r="AE725">
        <v>165</v>
      </c>
      <c r="AF725" t="str">
        <v>Rural</v>
      </c>
      <c r="AG725" t="str">
        <v>Sim</v>
      </c>
    </row>
    <row r="726" spans="2:33" x14ac:dyDescent="0.45">
      <c r="B726" s="4">
        <v>725</v>
      </c>
      <c r="C726" s="4" t="s">
        <v>15</v>
      </c>
      <c r="D726" s="4" t="s">
        <v>16</v>
      </c>
      <c r="E726" s="4" t="s">
        <v>35</v>
      </c>
      <c r="F726" s="4" t="s">
        <v>24</v>
      </c>
      <c r="G726" s="4" t="s">
        <v>19</v>
      </c>
      <c r="H726" s="4" t="s">
        <v>46</v>
      </c>
      <c r="I726" s="4">
        <v>2</v>
      </c>
      <c r="J726" s="5">
        <v>9</v>
      </c>
      <c r="K726" s="6">
        <v>0.78</v>
      </c>
      <c r="L726" s="4">
        <v>1</v>
      </c>
      <c r="M726" s="4">
        <v>108</v>
      </c>
      <c r="N726" s="4">
        <v>79</v>
      </c>
      <c r="O726" s="4" t="s">
        <v>21</v>
      </c>
      <c r="P726" s="7" t="s">
        <v>19</v>
      </c>
      <c r="S726">
        <v>1548</v>
      </c>
      <c r="T726" t="str">
        <v>Nampula</v>
      </c>
      <c r="U726" t="str">
        <v>Masculino</v>
      </c>
      <c r="V726" t="str">
        <v>Solteiro(a)</v>
      </c>
      <c r="W726" t="str">
        <v>Secundaria</v>
      </c>
      <c r="X726" t="str">
        <v>Nao</v>
      </c>
      <c r="Y726" t="str">
        <v>Hipertensao</v>
      </c>
      <c r="Z726">
        <v>7</v>
      </c>
      <c r="AA726">
        <v>30.2</v>
      </c>
      <c r="AB726">
        <v>1.24</v>
      </c>
      <c r="AC726">
        <v>1</v>
      </c>
      <c r="AD726">
        <v>136</v>
      </c>
      <c r="AE726">
        <v>94</v>
      </c>
      <c r="AF726" t="str">
        <v>Urbana</v>
      </c>
      <c r="AG726" t="str">
        <v>Nao</v>
      </c>
    </row>
    <row r="727" spans="2:33" x14ac:dyDescent="0.45">
      <c r="B727" s="4">
        <v>726</v>
      </c>
      <c r="C727" s="4" t="s">
        <v>29</v>
      </c>
      <c r="D727" s="4" t="s">
        <v>16</v>
      </c>
      <c r="E727" s="4" t="s">
        <v>17</v>
      </c>
      <c r="F727" s="4" t="s">
        <v>18</v>
      </c>
      <c r="G727" s="4" t="s">
        <v>19</v>
      </c>
      <c r="H727" s="4" t="s">
        <v>25</v>
      </c>
      <c r="I727" s="4">
        <v>8</v>
      </c>
      <c r="J727" s="5">
        <v>35</v>
      </c>
      <c r="K727" s="6">
        <v>1.38</v>
      </c>
      <c r="L727" s="4">
        <v>6</v>
      </c>
      <c r="M727" s="4">
        <v>111</v>
      </c>
      <c r="N727" s="4">
        <v>78</v>
      </c>
      <c r="O727" s="4" t="s">
        <v>21</v>
      </c>
      <c r="P727" s="7" t="s">
        <v>19</v>
      </c>
      <c r="S727">
        <v>1550</v>
      </c>
      <c r="T727" t="str">
        <v>Sofala</v>
      </c>
      <c r="U727" t="str">
        <v>Masculino</v>
      </c>
      <c r="V727" t="str">
        <v>Casado(a)</v>
      </c>
      <c r="W727" t="str">
        <v>Primaria</v>
      </c>
      <c r="X727" t="str">
        <v>Nao</v>
      </c>
      <c r="Y727" t="str">
        <v>Malaria</v>
      </c>
      <c r="Z727">
        <v>0</v>
      </c>
      <c r="AA727">
        <v>17.8</v>
      </c>
      <c r="AB727">
        <v>0.89</v>
      </c>
      <c r="AC727">
        <v>0</v>
      </c>
      <c r="AD727">
        <v>115</v>
      </c>
      <c r="AE727">
        <v>75</v>
      </c>
      <c r="AF727" t="str">
        <v>Rural</v>
      </c>
      <c r="AG727" t="str">
        <v>Sim</v>
      </c>
    </row>
    <row r="728" spans="2:33" x14ac:dyDescent="0.45">
      <c r="B728" s="4">
        <v>727</v>
      </c>
      <c r="C728" s="4" t="s">
        <v>45</v>
      </c>
      <c r="D728" s="4" t="s">
        <v>16</v>
      </c>
      <c r="E728" s="4" t="s">
        <v>17</v>
      </c>
      <c r="F728" s="4" t="s">
        <v>28</v>
      </c>
      <c r="G728" s="4" t="s">
        <v>19</v>
      </c>
      <c r="H728" s="4" t="s">
        <v>28</v>
      </c>
      <c r="I728" s="4">
        <v>9</v>
      </c>
      <c r="J728" s="5">
        <v>20.7</v>
      </c>
      <c r="K728" s="6">
        <v>1.33</v>
      </c>
      <c r="L728" s="4">
        <v>2</v>
      </c>
      <c r="M728" s="4">
        <v>103</v>
      </c>
      <c r="N728" s="4">
        <v>100</v>
      </c>
      <c r="O728" s="4" t="s">
        <v>21</v>
      </c>
      <c r="P728" s="7" t="s">
        <v>19</v>
      </c>
      <c r="S728">
        <v>1551</v>
      </c>
      <c r="T728" t="str">
        <v>Manica</v>
      </c>
      <c r="U728" t="str">
        <v>Masculino</v>
      </c>
      <c r="V728" t="str">
        <v>Casado(a)</v>
      </c>
      <c r="W728" t="str">
        <v>Secundaria</v>
      </c>
      <c r="X728" t="str">
        <v>Nao</v>
      </c>
      <c r="Y728" t="str">
        <v>Hipertensao</v>
      </c>
      <c r="Z728">
        <v>33</v>
      </c>
      <c r="AA728">
        <v>62.7</v>
      </c>
      <c r="AB728">
        <v>1.67</v>
      </c>
      <c r="AC728">
        <v>7</v>
      </c>
      <c r="AD728">
        <v>136</v>
      </c>
      <c r="AE728">
        <v>88</v>
      </c>
      <c r="AF728" t="str">
        <v>Rural</v>
      </c>
      <c r="AG728" t="str">
        <v>Nao</v>
      </c>
    </row>
    <row r="729" spans="2:33" x14ac:dyDescent="0.45">
      <c r="B729" s="4">
        <v>728</v>
      </c>
      <c r="C729" s="4" t="s">
        <v>22</v>
      </c>
      <c r="D729" s="4" t="s">
        <v>23</v>
      </c>
      <c r="E729" s="4" t="s">
        <v>17</v>
      </c>
      <c r="F729" s="4" t="s">
        <v>28</v>
      </c>
      <c r="G729" s="4" t="s">
        <v>19</v>
      </c>
      <c r="H729" s="4" t="s">
        <v>36</v>
      </c>
      <c r="I729" s="4">
        <v>16</v>
      </c>
      <c r="J729" s="5">
        <v>51</v>
      </c>
      <c r="K729" s="6">
        <v>1.49</v>
      </c>
      <c r="L729" s="4">
        <v>2</v>
      </c>
      <c r="M729" s="4">
        <v>124</v>
      </c>
      <c r="N729" s="4">
        <v>104</v>
      </c>
      <c r="O729" s="4" t="s">
        <v>26</v>
      </c>
      <c r="P729" s="7" t="s">
        <v>19</v>
      </c>
      <c r="S729">
        <v>1553</v>
      </c>
      <c r="T729" t="str">
        <v>Cabo Delgado</v>
      </c>
      <c r="U729" t="str">
        <v>Masculino</v>
      </c>
      <c r="V729" t="str">
        <v>Casado(a)</v>
      </c>
      <c r="W729" t="str">
        <v>Secundaria</v>
      </c>
      <c r="X729" t="str">
        <v>Nao</v>
      </c>
      <c r="Y729" t="str">
        <v>Malaria</v>
      </c>
      <c r="Z729">
        <v>49</v>
      </c>
      <c r="AA729">
        <v>85</v>
      </c>
      <c r="AB729">
        <v>1.59</v>
      </c>
      <c r="AC729">
        <v>3</v>
      </c>
      <c r="AD729">
        <v>113</v>
      </c>
      <c r="AE729">
        <v>80</v>
      </c>
      <c r="AF729" t="str">
        <v>Rural</v>
      </c>
      <c r="AG729" t="str">
        <v>Sim</v>
      </c>
    </row>
    <row r="730" spans="2:33" x14ac:dyDescent="0.45">
      <c r="B730" s="4">
        <v>729</v>
      </c>
      <c r="C730" s="4" t="s">
        <v>45</v>
      </c>
      <c r="D730" s="4" t="s">
        <v>23</v>
      </c>
      <c r="E730" s="4" t="s">
        <v>37</v>
      </c>
      <c r="F730" s="4" t="s">
        <v>24</v>
      </c>
      <c r="G730" s="4" t="s">
        <v>19</v>
      </c>
      <c r="H730" s="4" t="s">
        <v>25</v>
      </c>
      <c r="I730" s="4">
        <v>13</v>
      </c>
      <c r="J730" s="5">
        <v>60.7</v>
      </c>
      <c r="K730" s="6">
        <v>1.68</v>
      </c>
      <c r="L730" s="4">
        <v>9</v>
      </c>
      <c r="M730" s="4">
        <v>112</v>
      </c>
      <c r="N730" s="4">
        <v>92</v>
      </c>
      <c r="O730" s="4" t="s">
        <v>26</v>
      </c>
      <c r="P730" s="7" t="s">
        <v>19</v>
      </c>
      <c r="S730">
        <v>1555</v>
      </c>
      <c r="T730" t="str">
        <v>Zambezia</v>
      </c>
      <c r="U730" t="str">
        <v>Masculino</v>
      </c>
      <c r="V730" t="str">
        <v>Divorciado(a)</v>
      </c>
      <c r="W730" t="str">
        <v>Nenhuma</v>
      </c>
      <c r="X730" t="str">
        <v>Nao</v>
      </c>
      <c r="Y730" t="str">
        <v>Malaria</v>
      </c>
      <c r="Z730">
        <v>23</v>
      </c>
      <c r="AA730">
        <v>64</v>
      </c>
      <c r="AB730">
        <v>1.68</v>
      </c>
      <c r="AC730">
        <v>4</v>
      </c>
      <c r="AD730">
        <v>104</v>
      </c>
      <c r="AE730">
        <v>94</v>
      </c>
      <c r="AF730" t="str">
        <v>Rural</v>
      </c>
      <c r="AG730" t="str">
        <v>Sim</v>
      </c>
    </row>
    <row r="731" spans="2:33" x14ac:dyDescent="0.45">
      <c r="B731" s="4">
        <v>730</v>
      </c>
      <c r="C731" s="4" t="s">
        <v>22</v>
      </c>
      <c r="D731" s="4" t="s">
        <v>23</v>
      </c>
      <c r="E731" s="4" t="s">
        <v>17</v>
      </c>
      <c r="F731" s="4" t="s">
        <v>24</v>
      </c>
      <c r="G731" s="4" t="s">
        <v>19</v>
      </c>
      <c r="H731" s="4" t="s">
        <v>20</v>
      </c>
      <c r="I731" s="4">
        <v>24</v>
      </c>
      <c r="J731" s="5">
        <v>49.2</v>
      </c>
      <c r="K731" s="6">
        <v>1.71</v>
      </c>
      <c r="L731" s="4">
        <v>6</v>
      </c>
      <c r="M731" s="4">
        <v>110</v>
      </c>
      <c r="N731" s="4">
        <v>86</v>
      </c>
      <c r="O731" s="4" t="s">
        <v>21</v>
      </c>
      <c r="P731" s="7" t="s">
        <v>19</v>
      </c>
      <c r="S731">
        <v>1557</v>
      </c>
      <c r="T731" t="str">
        <v>Manica</v>
      </c>
      <c r="U731" t="str">
        <v>Masculino</v>
      </c>
      <c r="V731" t="str">
        <v>Casado(a)</v>
      </c>
      <c r="W731" t="str">
        <v>Secundaria</v>
      </c>
      <c r="X731" t="str">
        <v>Sim</v>
      </c>
      <c r="Y731" t="str">
        <v>Diabetes</v>
      </c>
      <c r="Z731">
        <v>32</v>
      </c>
      <c r="AA731">
        <v>76.099999999999994</v>
      </c>
      <c r="AB731">
        <v>1.55</v>
      </c>
      <c r="AC731">
        <v>2</v>
      </c>
      <c r="AD731">
        <v>103</v>
      </c>
      <c r="AE731">
        <v>175</v>
      </c>
      <c r="AF731" t="str">
        <v>Urbana</v>
      </c>
      <c r="AG731" t="str">
        <v>Nao</v>
      </c>
    </row>
    <row r="732" spans="2:33" x14ac:dyDescent="0.45">
      <c r="B732" s="4">
        <v>731</v>
      </c>
      <c r="C732" s="4" t="s">
        <v>27</v>
      </c>
      <c r="D732" s="4" t="s">
        <v>23</v>
      </c>
      <c r="E732" s="4" t="s">
        <v>44</v>
      </c>
      <c r="F732" s="4" t="s">
        <v>18</v>
      </c>
      <c r="G732" s="4" t="s">
        <v>19</v>
      </c>
      <c r="H732" s="4" t="s">
        <v>34</v>
      </c>
      <c r="I732" s="4">
        <v>90</v>
      </c>
      <c r="J732" s="5">
        <v>74.900000000000006</v>
      </c>
      <c r="K732" s="6">
        <v>1.89</v>
      </c>
      <c r="L732" s="4">
        <v>1</v>
      </c>
      <c r="M732" s="4">
        <v>124</v>
      </c>
      <c r="N732" s="4">
        <v>82</v>
      </c>
      <c r="O732" s="4" t="s">
        <v>26</v>
      </c>
      <c r="P732" s="7" t="s">
        <v>19</v>
      </c>
      <c r="S732">
        <v>1559</v>
      </c>
      <c r="T732" t="str">
        <v>Maputo Cidade</v>
      </c>
      <c r="U732" t="str">
        <v>Masculino</v>
      </c>
      <c r="V732" t="str">
        <v>Solteiro(a)</v>
      </c>
      <c r="W732" t="str">
        <v>Primaria</v>
      </c>
      <c r="X732" t="str">
        <v>Nao</v>
      </c>
      <c r="Y732" t="str">
        <v>HIV/SIDA</v>
      </c>
      <c r="Z732">
        <v>30</v>
      </c>
      <c r="AA732">
        <v>68.2</v>
      </c>
      <c r="AB732">
        <v>1.75</v>
      </c>
      <c r="AC732">
        <v>9</v>
      </c>
      <c r="AD732">
        <v>111</v>
      </c>
      <c r="AE732">
        <v>82</v>
      </c>
      <c r="AF732" t="str">
        <v>Urbana</v>
      </c>
      <c r="AG732" t="str">
        <v>Nao</v>
      </c>
    </row>
    <row r="733" spans="2:33" x14ac:dyDescent="0.45">
      <c r="B733" s="4">
        <v>732</v>
      </c>
      <c r="C733" s="4" t="s">
        <v>22</v>
      </c>
      <c r="D733" s="4" t="s">
        <v>16</v>
      </c>
      <c r="E733" s="4" t="s">
        <v>17</v>
      </c>
      <c r="F733" s="4" t="s">
        <v>24</v>
      </c>
      <c r="G733" s="4" t="s">
        <v>19</v>
      </c>
      <c r="H733" s="4" t="s">
        <v>34</v>
      </c>
      <c r="I733" s="4">
        <v>22</v>
      </c>
      <c r="J733" s="5">
        <v>86.6</v>
      </c>
      <c r="K733" s="6">
        <v>1.54</v>
      </c>
      <c r="L733" s="4">
        <v>6</v>
      </c>
      <c r="M733" s="4">
        <v>110</v>
      </c>
      <c r="N733" s="4">
        <v>93</v>
      </c>
      <c r="O733" s="4" t="s">
        <v>26</v>
      </c>
      <c r="P733" s="7" t="s">
        <v>19</v>
      </c>
      <c r="S733">
        <v>1560</v>
      </c>
      <c r="T733" t="str">
        <v>Niassa</v>
      </c>
      <c r="U733" t="str">
        <v>Masculino</v>
      </c>
      <c r="V733" t="str">
        <v>Casado(a)</v>
      </c>
      <c r="W733" t="str">
        <v>Secundaria</v>
      </c>
      <c r="X733" t="str">
        <v>Sim</v>
      </c>
      <c r="Y733" t="str">
        <v>Tuberculose</v>
      </c>
      <c r="Z733">
        <v>9</v>
      </c>
      <c r="AA733">
        <v>36.700000000000003</v>
      </c>
      <c r="AB733">
        <v>1.41</v>
      </c>
      <c r="AC733">
        <v>10</v>
      </c>
      <c r="AD733">
        <v>112</v>
      </c>
      <c r="AE733">
        <v>97</v>
      </c>
      <c r="AF733" t="str">
        <v>Urbana</v>
      </c>
      <c r="AG733" t="str">
        <v>Nao</v>
      </c>
    </row>
    <row r="734" spans="2:33" x14ac:dyDescent="0.45">
      <c r="B734" s="4">
        <v>733</v>
      </c>
      <c r="C734" s="4" t="s">
        <v>41</v>
      </c>
      <c r="D734" s="4" t="s">
        <v>23</v>
      </c>
      <c r="E734" s="4" t="s">
        <v>35</v>
      </c>
      <c r="F734" s="4" t="s">
        <v>18</v>
      </c>
      <c r="G734" s="4" t="s">
        <v>19</v>
      </c>
      <c r="H734" s="4" t="s">
        <v>28</v>
      </c>
      <c r="I734" s="4">
        <v>0</v>
      </c>
      <c r="J734" s="5">
        <v>11.5</v>
      </c>
      <c r="K734" s="6">
        <v>1.03</v>
      </c>
      <c r="L734" s="4">
        <v>0</v>
      </c>
      <c r="M734" s="4">
        <v>106</v>
      </c>
      <c r="N734" s="4">
        <v>83</v>
      </c>
      <c r="O734" s="4" t="s">
        <v>26</v>
      </c>
      <c r="P734" s="7" t="s">
        <v>19</v>
      </c>
      <c r="S734">
        <v>1562</v>
      </c>
      <c r="T734" t="str">
        <v>Manica</v>
      </c>
      <c r="U734" t="str">
        <v>Masculino</v>
      </c>
      <c r="V734" t="str">
        <v>Casado(a)</v>
      </c>
      <c r="W734" t="str">
        <v>Secundaria</v>
      </c>
      <c r="X734" t="str">
        <v>Nao</v>
      </c>
      <c r="Y734" t="str">
        <v>Hipertensao</v>
      </c>
      <c r="Z734">
        <v>5</v>
      </c>
      <c r="AA734">
        <v>32.1</v>
      </c>
      <c r="AB734">
        <v>1.07</v>
      </c>
      <c r="AC734">
        <v>4</v>
      </c>
      <c r="AD734">
        <v>123</v>
      </c>
      <c r="AE734">
        <v>85</v>
      </c>
      <c r="AF734" t="str">
        <v>Rural</v>
      </c>
      <c r="AG734" t="str">
        <v>Nao</v>
      </c>
    </row>
    <row r="735" spans="2:33" x14ac:dyDescent="0.45">
      <c r="B735" s="4">
        <v>734</v>
      </c>
      <c r="C735" s="4" t="s">
        <v>15</v>
      </c>
      <c r="D735" s="4" t="s">
        <v>23</v>
      </c>
      <c r="E735" s="4" t="s">
        <v>35</v>
      </c>
      <c r="F735" s="4" t="s">
        <v>24</v>
      </c>
      <c r="G735" s="4" t="s">
        <v>30</v>
      </c>
      <c r="H735" s="4" t="s">
        <v>34</v>
      </c>
      <c r="I735" s="4">
        <v>3</v>
      </c>
      <c r="J735" s="5">
        <v>17.600000000000001</v>
      </c>
      <c r="K735" s="6">
        <v>0.8</v>
      </c>
      <c r="L735" s="4">
        <v>2</v>
      </c>
      <c r="M735" s="4">
        <v>109</v>
      </c>
      <c r="N735" s="4">
        <v>90</v>
      </c>
      <c r="O735" s="4" t="s">
        <v>21</v>
      </c>
      <c r="P735" s="7" t="s">
        <v>19</v>
      </c>
      <c r="S735">
        <v>1563</v>
      </c>
      <c r="T735" t="str">
        <v>Manica</v>
      </c>
      <c r="U735" t="str">
        <v>Masculino</v>
      </c>
      <c r="V735" t="str">
        <v>Casado(a)</v>
      </c>
      <c r="W735" t="str">
        <v>Nenhuma</v>
      </c>
      <c r="X735" t="str">
        <v>Nao</v>
      </c>
      <c r="Y735" t="str">
        <v>Hipertensao</v>
      </c>
      <c r="Z735">
        <v>13</v>
      </c>
      <c r="AA735">
        <v>46.4</v>
      </c>
      <c r="AB735">
        <v>1.48</v>
      </c>
      <c r="AC735">
        <v>3</v>
      </c>
      <c r="AD735">
        <v>111</v>
      </c>
      <c r="AE735">
        <v>96</v>
      </c>
      <c r="AF735" t="str">
        <v>Rural</v>
      </c>
      <c r="AG735" t="str">
        <v>Nao</v>
      </c>
    </row>
    <row r="736" spans="2:33" x14ac:dyDescent="0.45">
      <c r="B736" s="4">
        <v>735</v>
      </c>
      <c r="C736" s="4" t="s">
        <v>31</v>
      </c>
      <c r="D736" s="4" t="s">
        <v>16</v>
      </c>
      <c r="E736" s="4" t="s">
        <v>17</v>
      </c>
      <c r="F736" s="4" t="s">
        <v>18</v>
      </c>
      <c r="G736" s="4" t="s">
        <v>19</v>
      </c>
      <c r="H736" s="4" t="s">
        <v>20</v>
      </c>
      <c r="I736" s="4">
        <v>71</v>
      </c>
      <c r="J736" s="5">
        <v>88</v>
      </c>
      <c r="K736" s="6">
        <v>1.6</v>
      </c>
      <c r="L736" s="4">
        <v>5</v>
      </c>
      <c r="M736" s="4">
        <v>114</v>
      </c>
      <c r="N736" s="4">
        <v>77</v>
      </c>
      <c r="O736" s="4" t="s">
        <v>26</v>
      </c>
      <c r="P736" s="7" t="s">
        <v>19</v>
      </c>
      <c r="S736">
        <v>1564</v>
      </c>
      <c r="T736" t="str">
        <v>Tete</v>
      </c>
      <c r="U736" t="str">
        <v>Masculino</v>
      </c>
      <c r="V736" t="str">
        <v>Casado(a)</v>
      </c>
      <c r="W736" t="str">
        <v>Nenhuma</v>
      </c>
      <c r="X736" t="str">
        <v>Nao</v>
      </c>
      <c r="Y736" t="str">
        <v>Nenhuma</v>
      </c>
      <c r="Z736">
        <v>2</v>
      </c>
      <c r="AA736">
        <v>7.6</v>
      </c>
      <c r="AB736">
        <v>0.9</v>
      </c>
      <c r="AC736">
        <v>5</v>
      </c>
      <c r="AD736">
        <v>103</v>
      </c>
      <c r="AE736">
        <v>74</v>
      </c>
      <c r="AF736" t="str">
        <v>Rural</v>
      </c>
      <c r="AG736" t="str">
        <v>Nao</v>
      </c>
    </row>
    <row r="737" spans="2:33" x14ac:dyDescent="0.45">
      <c r="B737" s="4">
        <v>736</v>
      </c>
      <c r="C737" s="4" t="s">
        <v>41</v>
      </c>
      <c r="D737" s="4" t="s">
        <v>16</v>
      </c>
      <c r="E737" s="4" t="s">
        <v>17</v>
      </c>
      <c r="F737" s="4" t="s">
        <v>18</v>
      </c>
      <c r="G737" s="4" t="s">
        <v>30</v>
      </c>
      <c r="H737" s="4" t="s">
        <v>20</v>
      </c>
      <c r="I737" s="4">
        <v>5</v>
      </c>
      <c r="J737" s="5">
        <v>33.200000000000003</v>
      </c>
      <c r="K737" s="6">
        <v>1.1599999999999999</v>
      </c>
      <c r="L737" s="4">
        <v>2</v>
      </c>
      <c r="M737" s="4">
        <v>102</v>
      </c>
      <c r="N737" s="4">
        <v>74</v>
      </c>
      <c r="O737" s="4" t="s">
        <v>26</v>
      </c>
      <c r="P737" s="7" t="s">
        <v>19</v>
      </c>
      <c r="S737">
        <v>1567</v>
      </c>
      <c r="T737" t="str">
        <v>Maputo Provincia</v>
      </c>
      <c r="U737" t="str">
        <v>Masculino</v>
      </c>
      <c r="V737" t="str">
        <v>Casado(a)</v>
      </c>
      <c r="W737" t="str">
        <v>Nenhuma</v>
      </c>
      <c r="X737" t="str">
        <v>Sim</v>
      </c>
      <c r="Y737" t="str">
        <v>Hipertensao</v>
      </c>
      <c r="Z737">
        <v>19</v>
      </c>
      <c r="AA737">
        <v>66.8</v>
      </c>
      <c r="AB737">
        <v>1.88</v>
      </c>
      <c r="AC737">
        <v>0</v>
      </c>
      <c r="AD737">
        <v>141</v>
      </c>
      <c r="AE737">
        <v>104</v>
      </c>
      <c r="AF737" t="str">
        <v>Urbana</v>
      </c>
      <c r="AG737" t="str">
        <v>Sim</v>
      </c>
    </row>
    <row r="738" spans="2:33" x14ac:dyDescent="0.45">
      <c r="B738" s="4">
        <v>737</v>
      </c>
      <c r="C738" s="4" t="s">
        <v>31</v>
      </c>
      <c r="D738" s="4" t="s">
        <v>23</v>
      </c>
      <c r="E738" s="4" t="s">
        <v>35</v>
      </c>
      <c r="F738" s="4" t="s">
        <v>28</v>
      </c>
      <c r="G738" s="4" t="s">
        <v>19</v>
      </c>
      <c r="H738" s="4" t="s">
        <v>46</v>
      </c>
      <c r="I738" s="4">
        <v>20</v>
      </c>
      <c r="J738" s="5">
        <v>56.4</v>
      </c>
      <c r="K738" s="6">
        <v>1.5</v>
      </c>
      <c r="L738" s="4">
        <v>6</v>
      </c>
      <c r="M738" s="4">
        <v>121</v>
      </c>
      <c r="N738" s="4">
        <v>94</v>
      </c>
      <c r="O738" s="4" t="s">
        <v>26</v>
      </c>
      <c r="P738" s="7" t="s">
        <v>19</v>
      </c>
      <c r="S738">
        <v>1571</v>
      </c>
      <c r="T738" t="str">
        <v>Manica</v>
      </c>
      <c r="U738" t="str">
        <v>Masculino</v>
      </c>
      <c r="V738" t="str">
        <v>Casado(a)</v>
      </c>
      <c r="W738" t="str">
        <v>Primaria</v>
      </c>
      <c r="X738" t="str">
        <v>Nao</v>
      </c>
      <c r="Y738" t="str">
        <v>Pneumonia</v>
      </c>
      <c r="Z738">
        <v>24</v>
      </c>
      <c r="AA738">
        <v>66.099999999999994</v>
      </c>
      <c r="AB738">
        <v>1.64</v>
      </c>
      <c r="AC738">
        <v>1</v>
      </c>
      <c r="AD738">
        <v>104</v>
      </c>
      <c r="AE738">
        <v>76</v>
      </c>
      <c r="AF738" t="str">
        <v>Rural</v>
      </c>
      <c r="AG738" t="str">
        <v>Sim</v>
      </c>
    </row>
    <row r="739" spans="2:33" x14ac:dyDescent="0.45">
      <c r="B739" s="4">
        <v>738</v>
      </c>
      <c r="C739" s="4" t="s">
        <v>45</v>
      </c>
      <c r="D739" s="4" t="s">
        <v>16</v>
      </c>
      <c r="E739" s="4" t="s">
        <v>37</v>
      </c>
      <c r="F739" s="4" t="s">
        <v>18</v>
      </c>
      <c r="G739" s="4" t="s">
        <v>19</v>
      </c>
      <c r="H739" s="4" t="s">
        <v>25</v>
      </c>
      <c r="I739" s="4">
        <v>2</v>
      </c>
      <c r="J739" s="5">
        <v>14.6</v>
      </c>
      <c r="K739" s="6">
        <v>0.75</v>
      </c>
      <c r="L739" s="4">
        <v>5</v>
      </c>
      <c r="M739" s="4">
        <v>105</v>
      </c>
      <c r="N739" s="4">
        <v>71</v>
      </c>
      <c r="O739" s="4" t="s">
        <v>21</v>
      </c>
      <c r="P739" s="7" t="s">
        <v>19</v>
      </c>
      <c r="S739">
        <v>1572</v>
      </c>
      <c r="T739" t="str">
        <v>Manica</v>
      </c>
      <c r="U739" t="str">
        <v>Masculino</v>
      </c>
      <c r="V739" t="str">
        <v>Divorciado(a)</v>
      </c>
      <c r="W739" t="str">
        <v>Secundaria</v>
      </c>
      <c r="X739" t="str">
        <v>Nao</v>
      </c>
      <c r="Y739" t="str">
        <v>HIV/SIDA</v>
      </c>
      <c r="Z739">
        <v>13</v>
      </c>
      <c r="AA739">
        <v>55.4</v>
      </c>
      <c r="AB739">
        <v>1.52</v>
      </c>
      <c r="AC739">
        <v>0</v>
      </c>
      <c r="AD739">
        <v>103</v>
      </c>
      <c r="AE739">
        <v>103</v>
      </c>
      <c r="AF739" t="str">
        <v>Urbana</v>
      </c>
      <c r="AG739" t="str">
        <v>Nao</v>
      </c>
    </row>
    <row r="740" spans="2:33" x14ac:dyDescent="0.45">
      <c r="B740" s="4">
        <v>739</v>
      </c>
      <c r="C740" s="4" t="s">
        <v>15</v>
      </c>
      <c r="D740" s="4" t="s">
        <v>16</v>
      </c>
      <c r="E740" s="4" t="s">
        <v>35</v>
      </c>
      <c r="F740" s="4" t="s">
        <v>18</v>
      </c>
      <c r="G740" s="4" t="s">
        <v>19</v>
      </c>
      <c r="H740" s="4" t="s">
        <v>36</v>
      </c>
      <c r="I740" s="4">
        <v>77</v>
      </c>
      <c r="J740" s="5">
        <v>66</v>
      </c>
      <c r="K740" s="6">
        <v>1.63</v>
      </c>
      <c r="L740" s="4">
        <v>3</v>
      </c>
      <c r="M740" s="4">
        <v>154</v>
      </c>
      <c r="N740" s="4">
        <v>77</v>
      </c>
      <c r="O740" s="4" t="s">
        <v>21</v>
      </c>
      <c r="P740" s="7" t="s">
        <v>19</v>
      </c>
      <c r="S740">
        <v>1574</v>
      </c>
      <c r="T740" t="str">
        <v>Niassa</v>
      </c>
      <c r="U740" t="str">
        <v>Masculino</v>
      </c>
      <c r="V740" t="str">
        <v>Divorciado(a)</v>
      </c>
      <c r="W740" t="str">
        <v>Secundaria</v>
      </c>
      <c r="X740" t="str">
        <v>Nao</v>
      </c>
      <c r="Y740" t="str">
        <v>Malaria</v>
      </c>
      <c r="Z740">
        <v>55</v>
      </c>
      <c r="AA740">
        <v>94</v>
      </c>
      <c r="AB740">
        <v>1.5</v>
      </c>
      <c r="AC740">
        <v>2</v>
      </c>
      <c r="AD740">
        <v>129</v>
      </c>
      <c r="AE740">
        <v>89</v>
      </c>
      <c r="AF740" t="str">
        <v>Rural</v>
      </c>
      <c r="AG740" t="str">
        <v>Nao</v>
      </c>
    </row>
    <row r="741" spans="2:33" x14ac:dyDescent="0.45">
      <c r="B741" s="4">
        <v>740</v>
      </c>
      <c r="C741" s="4" t="s">
        <v>22</v>
      </c>
      <c r="D741" s="4" t="s">
        <v>16</v>
      </c>
      <c r="E741" s="4" t="s">
        <v>44</v>
      </c>
      <c r="F741" s="4" t="s">
        <v>28</v>
      </c>
      <c r="G741" s="4" t="s">
        <v>19</v>
      </c>
      <c r="H741" s="4" t="s">
        <v>28</v>
      </c>
      <c r="I741" s="4">
        <v>5</v>
      </c>
      <c r="J741" s="5">
        <v>31.6</v>
      </c>
      <c r="K741" s="6">
        <v>1.08</v>
      </c>
      <c r="L741" s="4">
        <v>2</v>
      </c>
      <c r="M741" s="4">
        <v>102</v>
      </c>
      <c r="N741" s="4">
        <v>90</v>
      </c>
      <c r="O741" s="4" t="s">
        <v>21</v>
      </c>
      <c r="P741" s="7" t="s">
        <v>19</v>
      </c>
      <c r="S741">
        <v>1575</v>
      </c>
      <c r="T741" t="str">
        <v>Niassa</v>
      </c>
      <c r="U741" t="str">
        <v>Masculino</v>
      </c>
      <c r="V741" t="str">
        <v>Viuvo(a)</v>
      </c>
      <c r="W741" t="str">
        <v>Superior</v>
      </c>
      <c r="X741" t="str">
        <v>Sim</v>
      </c>
      <c r="Y741" t="str">
        <v>HIV/SIDA</v>
      </c>
      <c r="Z741">
        <v>28</v>
      </c>
      <c r="AA741">
        <v>59.2</v>
      </c>
      <c r="AB741">
        <v>1.72</v>
      </c>
      <c r="AC741">
        <v>6</v>
      </c>
      <c r="AD741">
        <v>115</v>
      </c>
      <c r="AE741">
        <v>87</v>
      </c>
      <c r="AF741" t="str">
        <v>Rural</v>
      </c>
      <c r="AG741" t="str">
        <v>Sim</v>
      </c>
    </row>
    <row r="742" spans="2:33" x14ac:dyDescent="0.45">
      <c r="B742" s="4">
        <v>741</v>
      </c>
      <c r="C742" s="4" t="s">
        <v>45</v>
      </c>
      <c r="D742" s="4" t="s">
        <v>16</v>
      </c>
      <c r="E742" s="4" t="s">
        <v>17</v>
      </c>
      <c r="F742" s="4" t="s">
        <v>24</v>
      </c>
      <c r="G742" s="4" t="s">
        <v>19</v>
      </c>
      <c r="H742" s="4" t="s">
        <v>28</v>
      </c>
      <c r="I742" s="4">
        <v>6</v>
      </c>
      <c r="J742" s="5">
        <v>36.1</v>
      </c>
      <c r="K742" s="6">
        <v>1.0900000000000001</v>
      </c>
      <c r="L742" s="4">
        <v>6</v>
      </c>
      <c r="M742" s="4">
        <v>107</v>
      </c>
      <c r="N742" s="4">
        <v>94</v>
      </c>
      <c r="O742" s="4" t="s">
        <v>21</v>
      </c>
      <c r="P742" s="7" t="s">
        <v>19</v>
      </c>
      <c r="S742">
        <v>1579</v>
      </c>
      <c r="T742" t="str">
        <v>Nampula</v>
      </c>
      <c r="U742" t="str">
        <v>Masculino</v>
      </c>
      <c r="V742" t="str">
        <v>Solteiro(a)</v>
      </c>
      <c r="W742" t="str">
        <v>Superior</v>
      </c>
      <c r="X742" t="str">
        <v>Nao</v>
      </c>
      <c r="Y742" t="str">
        <v>Malaria</v>
      </c>
      <c r="Z742">
        <v>10</v>
      </c>
      <c r="AA742">
        <v>23</v>
      </c>
      <c r="AB742">
        <v>1.06</v>
      </c>
      <c r="AC742">
        <v>6</v>
      </c>
      <c r="AD742">
        <v>97</v>
      </c>
      <c r="AE742">
        <v>80</v>
      </c>
      <c r="AF742" t="str">
        <v>Urbana</v>
      </c>
      <c r="AG742" t="str">
        <v>Nao</v>
      </c>
    </row>
    <row r="743" spans="2:33" x14ac:dyDescent="0.45">
      <c r="B743" s="4">
        <v>742</v>
      </c>
      <c r="C743" s="4" t="s">
        <v>27</v>
      </c>
      <c r="D743" s="4" t="s">
        <v>23</v>
      </c>
      <c r="E743" s="4" t="s">
        <v>35</v>
      </c>
      <c r="F743" s="4" t="s">
        <v>42</v>
      </c>
      <c r="G743" s="4" t="s">
        <v>30</v>
      </c>
      <c r="H743" s="4" t="s">
        <v>28</v>
      </c>
      <c r="I743" s="4">
        <v>37</v>
      </c>
      <c r="J743" s="5">
        <v>93.5</v>
      </c>
      <c r="K743" s="6">
        <v>1.67</v>
      </c>
      <c r="L743" s="4">
        <v>5</v>
      </c>
      <c r="M743" s="4">
        <v>108</v>
      </c>
      <c r="N743" s="4">
        <v>70</v>
      </c>
      <c r="O743" s="4" t="s">
        <v>21</v>
      </c>
      <c r="P743" s="7" t="s">
        <v>19</v>
      </c>
      <c r="S743">
        <v>1581</v>
      </c>
      <c r="T743" t="str">
        <v>Niassa</v>
      </c>
      <c r="U743" t="str">
        <v>Masculino</v>
      </c>
      <c r="V743" t="str">
        <v>Solteiro(a)</v>
      </c>
      <c r="W743" t="str">
        <v>Secundaria</v>
      </c>
      <c r="X743" t="str">
        <v>Sim</v>
      </c>
      <c r="Y743" t="str">
        <v>Nenhuma</v>
      </c>
      <c r="Z743">
        <v>34</v>
      </c>
      <c r="AA743">
        <v>63.1</v>
      </c>
      <c r="AB743">
        <v>1.5</v>
      </c>
      <c r="AC743">
        <v>2</v>
      </c>
      <c r="AD743">
        <v>119</v>
      </c>
      <c r="AE743">
        <v>81</v>
      </c>
      <c r="AF743" t="str">
        <v>Urbana</v>
      </c>
      <c r="AG743" t="str">
        <v>Nao</v>
      </c>
    </row>
    <row r="744" spans="2:33" x14ac:dyDescent="0.45">
      <c r="B744" s="4">
        <v>743</v>
      </c>
      <c r="C744" s="4" t="s">
        <v>27</v>
      </c>
      <c r="D744" s="4" t="s">
        <v>23</v>
      </c>
      <c r="E744" s="4" t="s">
        <v>35</v>
      </c>
      <c r="F744" s="4" t="s">
        <v>24</v>
      </c>
      <c r="G744" s="4" t="s">
        <v>30</v>
      </c>
      <c r="H744" s="4" t="s">
        <v>28</v>
      </c>
      <c r="I744" s="4">
        <v>32</v>
      </c>
      <c r="J744" s="5">
        <v>71.2</v>
      </c>
      <c r="K744" s="6">
        <v>1.73</v>
      </c>
      <c r="L744" s="4">
        <v>2</v>
      </c>
      <c r="M744" s="4">
        <v>116</v>
      </c>
      <c r="N744" s="4">
        <v>72</v>
      </c>
      <c r="O744" s="4" t="s">
        <v>21</v>
      </c>
      <c r="P744" s="7" t="s">
        <v>19</v>
      </c>
      <c r="S744">
        <v>1582</v>
      </c>
      <c r="T744" t="str">
        <v>Nampula</v>
      </c>
      <c r="U744" t="str">
        <v>Masculino</v>
      </c>
      <c r="V744" t="str">
        <v>Casado(a)</v>
      </c>
      <c r="W744" t="str">
        <v>Primaria</v>
      </c>
      <c r="X744" t="str">
        <v>Sim</v>
      </c>
      <c r="Y744" t="str">
        <v>Nenhuma</v>
      </c>
      <c r="Z744">
        <v>39</v>
      </c>
      <c r="AA744">
        <v>88.3</v>
      </c>
      <c r="AB744">
        <v>1.6</v>
      </c>
      <c r="AC744">
        <v>3</v>
      </c>
      <c r="AD744">
        <v>120</v>
      </c>
      <c r="AE744">
        <v>96</v>
      </c>
      <c r="AF744" t="str">
        <v>Rural</v>
      </c>
      <c r="AG744" t="str">
        <v>Nao</v>
      </c>
    </row>
    <row r="745" spans="2:33" x14ac:dyDescent="0.45">
      <c r="B745" s="4">
        <v>744</v>
      </c>
      <c r="C745" s="4" t="s">
        <v>41</v>
      </c>
      <c r="D745" s="4" t="s">
        <v>23</v>
      </c>
      <c r="E745" s="4" t="s">
        <v>17</v>
      </c>
      <c r="F745" s="4" t="s">
        <v>18</v>
      </c>
      <c r="G745" s="4" t="s">
        <v>30</v>
      </c>
      <c r="H745" s="4" t="s">
        <v>25</v>
      </c>
      <c r="I745" s="4">
        <v>1</v>
      </c>
      <c r="J745" s="5">
        <v>15.8</v>
      </c>
      <c r="K745" s="6">
        <v>0.67</v>
      </c>
      <c r="L745" s="4">
        <v>4</v>
      </c>
      <c r="M745" s="4">
        <v>101</v>
      </c>
      <c r="N745" s="4">
        <v>97</v>
      </c>
      <c r="O745" s="4" t="s">
        <v>26</v>
      </c>
      <c r="P745" s="7" t="s">
        <v>19</v>
      </c>
      <c r="S745">
        <v>1583</v>
      </c>
      <c r="T745" t="str">
        <v>Maputo Cidade</v>
      </c>
      <c r="U745" t="str">
        <v>Masculino</v>
      </c>
      <c r="V745" t="str">
        <v>Divorciado(a)</v>
      </c>
      <c r="W745" t="str">
        <v>Secundaria</v>
      </c>
      <c r="X745" t="str">
        <v>Nao</v>
      </c>
      <c r="Y745" t="str">
        <v>HIV/SIDA</v>
      </c>
      <c r="Z745">
        <v>21</v>
      </c>
      <c r="AA745">
        <v>74.400000000000006</v>
      </c>
      <c r="AB745">
        <v>1.7</v>
      </c>
      <c r="AC745">
        <v>7</v>
      </c>
      <c r="AD745">
        <v>99</v>
      </c>
      <c r="AE745">
        <v>102</v>
      </c>
      <c r="AF745" t="str">
        <v>Rural</v>
      </c>
      <c r="AG745" t="str">
        <v>Nao</v>
      </c>
    </row>
    <row r="746" spans="2:33" x14ac:dyDescent="0.45">
      <c r="B746" s="4">
        <v>745</v>
      </c>
      <c r="C746" s="4" t="s">
        <v>22</v>
      </c>
      <c r="D746" s="4" t="s">
        <v>23</v>
      </c>
      <c r="E746" s="4" t="s">
        <v>35</v>
      </c>
      <c r="F746" s="4" t="s">
        <v>28</v>
      </c>
      <c r="G746" s="4" t="s">
        <v>19</v>
      </c>
      <c r="H746" s="4" t="s">
        <v>20</v>
      </c>
      <c r="I746" s="4">
        <v>4</v>
      </c>
      <c r="J746" s="5">
        <v>11.2</v>
      </c>
      <c r="K746" s="6">
        <v>0.6</v>
      </c>
      <c r="L746" s="4">
        <v>3</v>
      </c>
      <c r="M746" s="4">
        <v>102</v>
      </c>
      <c r="N746" s="4">
        <v>79</v>
      </c>
      <c r="O746" s="4" t="s">
        <v>21</v>
      </c>
      <c r="P746" s="7" t="s">
        <v>30</v>
      </c>
      <c r="S746">
        <v>1584</v>
      </c>
      <c r="T746" t="str">
        <v>Sofala</v>
      </c>
      <c r="U746" t="str">
        <v>Masculino</v>
      </c>
      <c r="V746" t="str">
        <v>Solteiro(a)</v>
      </c>
      <c r="W746" t="str">
        <v>Nenhuma</v>
      </c>
      <c r="X746" t="str">
        <v>Nao</v>
      </c>
      <c r="Y746" t="str">
        <v>Nenhuma</v>
      </c>
      <c r="Z746">
        <v>7</v>
      </c>
      <c r="AA746">
        <v>29.1</v>
      </c>
      <c r="AB746">
        <v>1.17</v>
      </c>
      <c r="AC746">
        <v>7</v>
      </c>
      <c r="AD746">
        <v>97</v>
      </c>
      <c r="AE746">
        <v>86</v>
      </c>
      <c r="AF746" t="str">
        <v>Rural</v>
      </c>
      <c r="AG746" t="str">
        <v>Nao</v>
      </c>
    </row>
    <row r="747" spans="2:33" x14ac:dyDescent="0.45">
      <c r="B747" s="4">
        <v>746</v>
      </c>
      <c r="C747" s="4" t="s">
        <v>22</v>
      </c>
      <c r="D747" s="4" t="s">
        <v>23</v>
      </c>
      <c r="E747" s="4" t="s">
        <v>17</v>
      </c>
      <c r="F747" s="4" t="s">
        <v>18</v>
      </c>
      <c r="G747" s="4" t="s">
        <v>30</v>
      </c>
      <c r="H747" s="4" t="s">
        <v>32</v>
      </c>
      <c r="I747" s="4">
        <v>74</v>
      </c>
      <c r="J747" s="5">
        <v>54.3</v>
      </c>
      <c r="K747" s="6">
        <v>1.81</v>
      </c>
      <c r="L747" s="4">
        <v>4</v>
      </c>
      <c r="M747" s="4">
        <v>139</v>
      </c>
      <c r="N747" s="4">
        <v>161</v>
      </c>
      <c r="O747" s="4" t="s">
        <v>26</v>
      </c>
      <c r="P747" s="7" t="s">
        <v>30</v>
      </c>
      <c r="S747">
        <v>1586</v>
      </c>
      <c r="T747" t="str">
        <v>Maputo Provincia</v>
      </c>
      <c r="U747" t="str">
        <v>Masculino</v>
      </c>
      <c r="V747" t="str">
        <v>Solteiro(a)</v>
      </c>
      <c r="W747" t="str">
        <v>Primaria</v>
      </c>
      <c r="X747" t="str">
        <v>Nao</v>
      </c>
      <c r="Y747" t="str">
        <v>Diarreia</v>
      </c>
      <c r="Z747">
        <v>37</v>
      </c>
      <c r="AA747">
        <v>60.9</v>
      </c>
      <c r="AB747">
        <v>1.58</v>
      </c>
      <c r="AC747">
        <v>2</v>
      </c>
      <c r="AD747">
        <v>109</v>
      </c>
      <c r="AE747">
        <v>88</v>
      </c>
      <c r="AF747" t="str">
        <v>Rural</v>
      </c>
      <c r="AG747" t="str">
        <v>Sim</v>
      </c>
    </row>
    <row r="748" spans="2:33" x14ac:dyDescent="0.45">
      <c r="B748" s="4">
        <v>747</v>
      </c>
      <c r="C748" s="4" t="s">
        <v>27</v>
      </c>
      <c r="D748" s="4" t="s">
        <v>16</v>
      </c>
      <c r="E748" s="4" t="s">
        <v>17</v>
      </c>
      <c r="F748" s="4" t="s">
        <v>18</v>
      </c>
      <c r="G748" s="4" t="s">
        <v>19</v>
      </c>
      <c r="H748" s="4" t="s">
        <v>20</v>
      </c>
      <c r="I748" s="4">
        <v>10</v>
      </c>
      <c r="J748" s="5">
        <v>20.399999999999999</v>
      </c>
      <c r="K748" s="6">
        <v>1.1200000000000001</v>
      </c>
      <c r="L748" s="4">
        <v>1</v>
      </c>
      <c r="M748" s="4">
        <v>117</v>
      </c>
      <c r="N748" s="4">
        <v>93</v>
      </c>
      <c r="O748" s="4" t="s">
        <v>26</v>
      </c>
      <c r="P748" s="7" t="s">
        <v>19</v>
      </c>
      <c r="S748">
        <v>1587</v>
      </c>
      <c r="T748" t="str">
        <v>Cabo Delgado</v>
      </c>
      <c r="U748" t="str">
        <v>Masculino</v>
      </c>
      <c r="V748" t="str">
        <v>Divorciado(a)</v>
      </c>
      <c r="W748" t="str">
        <v>Primaria</v>
      </c>
      <c r="X748" t="str">
        <v>Nao</v>
      </c>
      <c r="Y748" t="str">
        <v>Malaria</v>
      </c>
      <c r="Z748">
        <v>11</v>
      </c>
      <c r="AA748">
        <v>22</v>
      </c>
      <c r="AB748">
        <v>1.32</v>
      </c>
      <c r="AC748">
        <v>2</v>
      </c>
      <c r="AD748">
        <v>101</v>
      </c>
      <c r="AE748">
        <v>90</v>
      </c>
      <c r="AF748" t="str">
        <v>Rural</v>
      </c>
      <c r="AG748" t="str">
        <v>Nao</v>
      </c>
    </row>
    <row r="749" spans="2:33" x14ac:dyDescent="0.45">
      <c r="B749" s="4">
        <v>748</v>
      </c>
      <c r="C749" s="4" t="s">
        <v>15</v>
      </c>
      <c r="D749" s="4" t="s">
        <v>16</v>
      </c>
      <c r="E749" s="4" t="s">
        <v>35</v>
      </c>
      <c r="F749" s="4" t="s">
        <v>28</v>
      </c>
      <c r="G749" s="4" t="s">
        <v>19</v>
      </c>
      <c r="H749" s="4" t="s">
        <v>20</v>
      </c>
      <c r="I749" s="4">
        <v>41</v>
      </c>
      <c r="J749" s="5">
        <v>82</v>
      </c>
      <c r="K749" s="6">
        <v>1.87</v>
      </c>
      <c r="L749" s="4">
        <v>2</v>
      </c>
      <c r="M749" s="4">
        <v>104</v>
      </c>
      <c r="N749" s="4">
        <v>81</v>
      </c>
      <c r="O749" s="4" t="s">
        <v>26</v>
      </c>
      <c r="P749" s="7" t="s">
        <v>19</v>
      </c>
      <c r="S749">
        <v>1589</v>
      </c>
      <c r="T749" t="str">
        <v>Sofala</v>
      </c>
      <c r="U749" t="str">
        <v>Masculino</v>
      </c>
      <c r="V749" t="str">
        <v>Casado(a)</v>
      </c>
      <c r="W749" t="str">
        <v>Primaria</v>
      </c>
      <c r="X749" t="str">
        <v>Nao</v>
      </c>
      <c r="Y749" t="str">
        <v>Diarreia</v>
      </c>
      <c r="Z749">
        <v>5</v>
      </c>
      <c r="AA749">
        <v>22.8</v>
      </c>
      <c r="AB749">
        <v>1.19</v>
      </c>
      <c r="AC749">
        <v>10</v>
      </c>
      <c r="AD749">
        <v>106</v>
      </c>
      <c r="AE749">
        <v>105</v>
      </c>
      <c r="AF749" t="str">
        <v>Urbana</v>
      </c>
      <c r="AG749" t="str">
        <v>Nao</v>
      </c>
    </row>
    <row r="750" spans="2:33" x14ac:dyDescent="0.45">
      <c r="B750" s="4">
        <v>749</v>
      </c>
      <c r="C750" s="4" t="s">
        <v>22</v>
      </c>
      <c r="D750" s="4" t="s">
        <v>23</v>
      </c>
      <c r="E750" s="4" t="s">
        <v>17</v>
      </c>
      <c r="F750" s="4" t="s">
        <v>18</v>
      </c>
      <c r="G750" s="4" t="s">
        <v>19</v>
      </c>
      <c r="H750" s="4" t="s">
        <v>46</v>
      </c>
      <c r="I750" s="4">
        <v>38</v>
      </c>
      <c r="J750" s="5">
        <v>60.1</v>
      </c>
      <c r="K750" s="6">
        <v>1.75</v>
      </c>
      <c r="L750" s="4">
        <v>6</v>
      </c>
      <c r="M750" s="4">
        <v>101</v>
      </c>
      <c r="N750" s="4">
        <v>104</v>
      </c>
      <c r="O750" s="4" t="s">
        <v>26</v>
      </c>
      <c r="P750" s="7" t="s">
        <v>19</v>
      </c>
      <c r="S750">
        <v>1590</v>
      </c>
      <c r="T750" t="str">
        <v>Maputo Cidade</v>
      </c>
      <c r="U750" t="str">
        <v>Masculino</v>
      </c>
      <c r="V750" t="str">
        <v>Solteiro(a)</v>
      </c>
      <c r="W750" t="str">
        <v>Primaria</v>
      </c>
      <c r="X750" t="str">
        <v>Nao</v>
      </c>
      <c r="Y750" t="str">
        <v>Nenhuma</v>
      </c>
      <c r="Z750">
        <v>34</v>
      </c>
      <c r="AA750">
        <v>77.400000000000006</v>
      </c>
      <c r="AB750">
        <v>1.8</v>
      </c>
      <c r="AC750">
        <v>3</v>
      </c>
      <c r="AD750">
        <v>117</v>
      </c>
      <c r="AE750">
        <v>82</v>
      </c>
      <c r="AF750" t="str">
        <v>Rural</v>
      </c>
      <c r="AG750" t="str">
        <v>Sim</v>
      </c>
    </row>
    <row r="751" spans="2:33" x14ac:dyDescent="0.45">
      <c r="B751" s="4">
        <v>750</v>
      </c>
      <c r="C751" s="4" t="s">
        <v>31</v>
      </c>
      <c r="D751" s="4" t="s">
        <v>16</v>
      </c>
      <c r="E751" s="4" t="s">
        <v>35</v>
      </c>
      <c r="F751" s="4" t="s">
        <v>24</v>
      </c>
      <c r="G751" s="4" t="s">
        <v>19</v>
      </c>
      <c r="H751" s="4" t="s">
        <v>20</v>
      </c>
      <c r="I751" s="4">
        <v>6</v>
      </c>
      <c r="J751" s="5">
        <v>27.4</v>
      </c>
      <c r="K751" s="6">
        <v>1.23</v>
      </c>
      <c r="L751" s="4">
        <v>10</v>
      </c>
      <c r="M751" s="4">
        <v>95</v>
      </c>
      <c r="N751" s="4">
        <v>87</v>
      </c>
      <c r="O751" s="4" t="s">
        <v>26</v>
      </c>
      <c r="P751" s="7" t="s">
        <v>19</v>
      </c>
      <c r="S751">
        <v>1592</v>
      </c>
      <c r="T751" t="str">
        <v>Tete</v>
      </c>
      <c r="U751" t="str">
        <v>Masculino</v>
      </c>
      <c r="V751" t="str">
        <v>Casado(a)</v>
      </c>
      <c r="W751" t="str">
        <v>Secundaria</v>
      </c>
      <c r="X751" t="str">
        <v>Sim</v>
      </c>
      <c r="Y751" t="str">
        <v>Pneumonia</v>
      </c>
      <c r="Z751">
        <v>44</v>
      </c>
      <c r="AA751">
        <v>56.1</v>
      </c>
      <c r="AB751">
        <v>1.69</v>
      </c>
      <c r="AC751">
        <v>1</v>
      </c>
      <c r="AD751">
        <v>123</v>
      </c>
      <c r="AE751">
        <v>70</v>
      </c>
      <c r="AF751" t="str">
        <v>Rural</v>
      </c>
      <c r="AG751" t="str">
        <v>Nao</v>
      </c>
    </row>
    <row r="752" spans="2:33" x14ac:dyDescent="0.45">
      <c r="B752" s="4">
        <v>751</v>
      </c>
      <c r="C752" s="4" t="s">
        <v>29</v>
      </c>
      <c r="D752" s="4" t="s">
        <v>23</v>
      </c>
      <c r="E752" s="4" t="s">
        <v>17</v>
      </c>
      <c r="F752" s="4" t="s">
        <v>28</v>
      </c>
      <c r="G752" s="4" t="s">
        <v>19</v>
      </c>
      <c r="H752" s="4" t="s">
        <v>34</v>
      </c>
      <c r="I752" s="4">
        <v>73</v>
      </c>
      <c r="J752" s="5">
        <v>66.599999999999994</v>
      </c>
      <c r="K752" s="6">
        <v>1.85</v>
      </c>
      <c r="L752" s="4">
        <v>0</v>
      </c>
      <c r="M752" s="4">
        <v>128</v>
      </c>
      <c r="N752" s="4">
        <v>103</v>
      </c>
      <c r="O752" s="4" t="s">
        <v>21</v>
      </c>
      <c r="P752" s="7" t="s">
        <v>19</v>
      </c>
      <c r="S752">
        <v>1593</v>
      </c>
      <c r="T752" t="str">
        <v>Inhambane</v>
      </c>
      <c r="U752" t="str">
        <v>Masculino</v>
      </c>
      <c r="V752" t="str">
        <v>Solteiro(a)</v>
      </c>
      <c r="W752" t="str">
        <v>Secundaria</v>
      </c>
      <c r="X752" t="str">
        <v>Nao</v>
      </c>
      <c r="Y752" t="str">
        <v>Hipertensao</v>
      </c>
      <c r="Z752">
        <v>76</v>
      </c>
      <c r="AA752">
        <v>87.5</v>
      </c>
      <c r="AB752">
        <v>1.67</v>
      </c>
      <c r="AC752">
        <v>1</v>
      </c>
      <c r="AD752">
        <v>148</v>
      </c>
      <c r="AE752">
        <v>92</v>
      </c>
      <c r="AF752" t="str">
        <v>Rural</v>
      </c>
      <c r="AG752" t="str">
        <v>Nao</v>
      </c>
    </row>
    <row r="753" spans="2:33" x14ac:dyDescent="0.45">
      <c r="B753" s="4">
        <v>752</v>
      </c>
      <c r="C753" s="4" t="s">
        <v>41</v>
      </c>
      <c r="D753" s="4" t="s">
        <v>16</v>
      </c>
      <c r="E753" s="4" t="s">
        <v>17</v>
      </c>
      <c r="F753" s="4" t="s">
        <v>24</v>
      </c>
      <c r="G753" s="4" t="s">
        <v>19</v>
      </c>
      <c r="H753" s="4" t="s">
        <v>20</v>
      </c>
      <c r="I753" s="4">
        <v>64</v>
      </c>
      <c r="J753" s="5">
        <v>75.900000000000006</v>
      </c>
      <c r="K753" s="6">
        <v>1.55</v>
      </c>
      <c r="L753" s="4">
        <v>0</v>
      </c>
      <c r="M753" s="4">
        <v>128</v>
      </c>
      <c r="N753" s="4">
        <v>82</v>
      </c>
      <c r="O753" s="4" t="s">
        <v>21</v>
      </c>
      <c r="P753" s="7" t="s">
        <v>19</v>
      </c>
      <c r="S753">
        <v>1595</v>
      </c>
      <c r="T753" t="str">
        <v>Nampula</v>
      </c>
      <c r="U753" t="str">
        <v>Masculino</v>
      </c>
      <c r="V753" t="str">
        <v>Casado(a)</v>
      </c>
      <c r="W753" t="str">
        <v>Secundaria</v>
      </c>
      <c r="X753" t="str">
        <v>Nao</v>
      </c>
      <c r="Y753" t="str">
        <v>Diarreia</v>
      </c>
      <c r="Z753">
        <v>1</v>
      </c>
      <c r="AA753">
        <v>15.8</v>
      </c>
      <c r="AB753">
        <v>0.85</v>
      </c>
      <c r="AC753">
        <v>4</v>
      </c>
      <c r="AD753">
        <v>106</v>
      </c>
      <c r="AE753">
        <v>95</v>
      </c>
      <c r="AF753" t="str">
        <v>Rural</v>
      </c>
      <c r="AG753" t="str">
        <v>Nao</v>
      </c>
    </row>
    <row r="754" spans="2:33" x14ac:dyDescent="0.45">
      <c r="B754" s="4">
        <v>753</v>
      </c>
      <c r="C754" s="4" t="s">
        <v>33</v>
      </c>
      <c r="D754" s="4" t="s">
        <v>16</v>
      </c>
      <c r="E754" s="4" t="s">
        <v>35</v>
      </c>
      <c r="F754" s="4" t="s">
        <v>18</v>
      </c>
      <c r="G754" s="4" t="s">
        <v>19</v>
      </c>
      <c r="H754" s="4" t="s">
        <v>36</v>
      </c>
      <c r="I754" s="4">
        <v>15</v>
      </c>
      <c r="J754" s="5">
        <v>55.2</v>
      </c>
      <c r="K754" s="6">
        <v>1.61</v>
      </c>
      <c r="L754" s="4">
        <v>4</v>
      </c>
      <c r="M754" s="4">
        <v>116</v>
      </c>
      <c r="N754" s="4">
        <v>93</v>
      </c>
      <c r="O754" s="4" t="s">
        <v>21</v>
      </c>
      <c r="P754" s="7" t="s">
        <v>19</v>
      </c>
      <c r="S754">
        <v>1596</v>
      </c>
      <c r="T754" t="str">
        <v>Nampula</v>
      </c>
      <c r="U754" t="str">
        <v>Masculino</v>
      </c>
      <c r="V754" t="str">
        <v>Casado(a)</v>
      </c>
      <c r="W754" t="str">
        <v>Secundaria</v>
      </c>
      <c r="X754" t="str">
        <v>Nao</v>
      </c>
      <c r="Y754" t="str">
        <v>Malaria</v>
      </c>
      <c r="Z754">
        <v>61</v>
      </c>
      <c r="AA754">
        <v>67.900000000000006</v>
      </c>
      <c r="AB754">
        <v>1.88</v>
      </c>
      <c r="AC754">
        <v>3</v>
      </c>
      <c r="AD754">
        <v>112</v>
      </c>
      <c r="AE754">
        <v>78</v>
      </c>
      <c r="AF754" t="str">
        <v>Rural</v>
      </c>
      <c r="AG754" t="str">
        <v>Nao</v>
      </c>
    </row>
    <row r="755" spans="2:33" x14ac:dyDescent="0.45">
      <c r="B755" s="4">
        <v>754</v>
      </c>
      <c r="C755" s="4" t="s">
        <v>33</v>
      </c>
      <c r="D755" s="4" t="s">
        <v>16</v>
      </c>
      <c r="E755" s="4" t="s">
        <v>44</v>
      </c>
      <c r="F755" s="4" t="s">
        <v>24</v>
      </c>
      <c r="G755" s="4" t="s">
        <v>19</v>
      </c>
      <c r="H755" s="4" t="s">
        <v>28</v>
      </c>
      <c r="I755" s="4">
        <v>32</v>
      </c>
      <c r="J755" s="5">
        <v>45.7</v>
      </c>
      <c r="K755" s="6">
        <v>1.51</v>
      </c>
      <c r="L755" s="4">
        <v>6</v>
      </c>
      <c r="M755" s="4">
        <v>113</v>
      </c>
      <c r="N755" s="4">
        <v>81</v>
      </c>
      <c r="O755" s="4" t="s">
        <v>26</v>
      </c>
      <c r="P755" s="7" t="s">
        <v>19</v>
      </c>
      <c r="S755">
        <v>1598</v>
      </c>
      <c r="T755" t="str">
        <v>Zambezia</v>
      </c>
      <c r="U755" t="str">
        <v>Masculino</v>
      </c>
      <c r="V755" t="str">
        <v>Solteiro(a)</v>
      </c>
      <c r="W755" t="str">
        <v>Secundaria</v>
      </c>
      <c r="X755" t="str">
        <v>Nao</v>
      </c>
      <c r="Y755" t="str">
        <v>Pneumonia</v>
      </c>
      <c r="Z755">
        <v>22</v>
      </c>
      <c r="AA755">
        <v>63.3</v>
      </c>
      <c r="AB755">
        <v>1.62</v>
      </c>
      <c r="AC755">
        <v>2</v>
      </c>
      <c r="AD755">
        <v>116</v>
      </c>
      <c r="AE755">
        <v>102</v>
      </c>
      <c r="AF755" t="str">
        <v>Urbana</v>
      </c>
      <c r="AG755" t="str">
        <v>Nao</v>
      </c>
    </row>
    <row r="756" spans="2:33" x14ac:dyDescent="0.45">
      <c r="B756" s="4">
        <v>755</v>
      </c>
      <c r="C756" s="4" t="s">
        <v>45</v>
      </c>
      <c r="D756" s="4" t="s">
        <v>23</v>
      </c>
      <c r="E756" s="4" t="s">
        <v>35</v>
      </c>
      <c r="F756" s="4" t="s">
        <v>24</v>
      </c>
      <c r="G756" s="4" t="s">
        <v>30</v>
      </c>
      <c r="H756" s="4" t="s">
        <v>28</v>
      </c>
      <c r="I756" s="4">
        <v>2</v>
      </c>
      <c r="J756" s="5">
        <v>15.9</v>
      </c>
      <c r="K756" s="6">
        <v>1.03</v>
      </c>
      <c r="L756" s="4">
        <v>2</v>
      </c>
      <c r="M756" s="4">
        <v>100</v>
      </c>
      <c r="N756" s="4">
        <v>75</v>
      </c>
      <c r="O756" s="4" t="s">
        <v>21</v>
      </c>
      <c r="P756" s="7" t="s">
        <v>19</v>
      </c>
      <c r="S756">
        <v>1600</v>
      </c>
      <c r="T756" t="str">
        <v>Zambezia</v>
      </c>
      <c r="U756" t="str">
        <v>Masculino</v>
      </c>
      <c r="V756" t="str">
        <v>Casado(a)</v>
      </c>
      <c r="W756" t="str">
        <v>Nenhuma</v>
      </c>
      <c r="X756" t="str">
        <v>Nao</v>
      </c>
      <c r="Y756" t="str">
        <v>Diabetes</v>
      </c>
      <c r="Z756">
        <v>50</v>
      </c>
      <c r="AA756">
        <v>65.5</v>
      </c>
      <c r="AB756">
        <v>1.53</v>
      </c>
      <c r="AC756">
        <v>6</v>
      </c>
      <c r="AD756">
        <v>126</v>
      </c>
      <c r="AE756">
        <v>146</v>
      </c>
      <c r="AF756" t="str">
        <v>Rural</v>
      </c>
      <c r="AG756" t="str">
        <v>Sim</v>
      </c>
    </row>
    <row r="757" spans="2:33" x14ac:dyDescent="0.45">
      <c r="B757" s="4">
        <v>756</v>
      </c>
      <c r="C757" s="4" t="s">
        <v>31</v>
      </c>
      <c r="D757" s="4" t="s">
        <v>16</v>
      </c>
      <c r="E757" s="4" t="s">
        <v>37</v>
      </c>
      <c r="F757" s="4" t="s">
        <v>42</v>
      </c>
      <c r="G757" s="4" t="s">
        <v>30</v>
      </c>
      <c r="H757" s="4" t="s">
        <v>20</v>
      </c>
      <c r="I757" s="4">
        <v>17</v>
      </c>
      <c r="J757" s="5">
        <v>53.3</v>
      </c>
      <c r="K757" s="6">
        <v>1.54</v>
      </c>
      <c r="L757" s="4">
        <v>2</v>
      </c>
      <c r="M757" s="4">
        <v>95</v>
      </c>
      <c r="N757" s="4">
        <v>70</v>
      </c>
      <c r="O757" s="4" t="s">
        <v>21</v>
      </c>
      <c r="P757" s="7" t="s">
        <v>19</v>
      </c>
      <c r="S757">
        <v>1602</v>
      </c>
      <c r="T757" t="str">
        <v>Gaza</v>
      </c>
      <c r="U757" t="str">
        <v>Masculino</v>
      </c>
      <c r="V757" t="str">
        <v>Viuvo(a)</v>
      </c>
      <c r="W757" t="str">
        <v>Primaria</v>
      </c>
      <c r="X757" t="str">
        <v>Nao</v>
      </c>
      <c r="Y757" t="str">
        <v>Malaria</v>
      </c>
      <c r="Z757">
        <v>28</v>
      </c>
      <c r="AA757">
        <v>62.8</v>
      </c>
      <c r="AB757">
        <v>1.52</v>
      </c>
      <c r="AC757">
        <v>5</v>
      </c>
      <c r="AD757">
        <v>110</v>
      </c>
      <c r="AE757">
        <v>101</v>
      </c>
      <c r="AF757" t="str">
        <v>Rural</v>
      </c>
      <c r="AG757" t="str">
        <v>Nao</v>
      </c>
    </row>
    <row r="758" spans="2:33" x14ac:dyDescent="0.45">
      <c r="B758" s="4">
        <v>757</v>
      </c>
      <c r="C758" s="4" t="s">
        <v>22</v>
      </c>
      <c r="D758" s="4" t="s">
        <v>23</v>
      </c>
      <c r="E758" s="4" t="s">
        <v>35</v>
      </c>
      <c r="F758" s="4" t="s">
        <v>18</v>
      </c>
      <c r="G758" s="4" t="s">
        <v>19</v>
      </c>
      <c r="H758" s="4" t="s">
        <v>28</v>
      </c>
      <c r="I758" s="4">
        <v>22</v>
      </c>
      <c r="J758" s="5">
        <v>84.1</v>
      </c>
      <c r="K758" s="6">
        <v>1.71</v>
      </c>
      <c r="L758" s="4">
        <v>3</v>
      </c>
      <c r="M758" s="4">
        <v>114</v>
      </c>
      <c r="N758" s="4">
        <v>75</v>
      </c>
      <c r="O758" s="4" t="s">
        <v>26</v>
      </c>
      <c r="P758" s="7" t="s">
        <v>19</v>
      </c>
      <c r="S758">
        <v>1608</v>
      </c>
      <c r="T758" t="str">
        <v>Inhambane</v>
      </c>
      <c r="U758" t="str">
        <v>Masculino</v>
      </c>
      <c r="V758" t="str">
        <v>Casado(a)</v>
      </c>
      <c r="W758" t="str">
        <v>Primaria</v>
      </c>
      <c r="X758" t="str">
        <v>Nao</v>
      </c>
      <c r="Y758" t="str">
        <v>Hipertensao</v>
      </c>
      <c r="Z758">
        <v>43</v>
      </c>
      <c r="AA758">
        <v>49</v>
      </c>
      <c r="AB758">
        <v>1.58</v>
      </c>
      <c r="AC758">
        <v>1</v>
      </c>
      <c r="AD758">
        <v>127</v>
      </c>
      <c r="AE758">
        <v>92</v>
      </c>
      <c r="AF758" t="str">
        <v>Rural</v>
      </c>
      <c r="AG758" t="str">
        <v>Nao</v>
      </c>
    </row>
    <row r="759" spans="2:33" x14ac:dyDescent="0.45">
      <c r="B759" s="4">
        <v>758</v>
      </c>
      <c r="C759" s="4" t="s">
        <v>39</v>
      </c>
      <c r="D759" s="4" t="s">
        <v>16</v>
      </c>
      <c r="E759" s="4" t="s">
        <v>35</v>
      </c>
      <c r="F759" s="4" t="s">
        <v>24</v>
      </c>
      <c r="G759" s="4" t="s">
        <v>30</v>
      </c>
      <c r="H759" s="4" t="s">
        <v>34</v>
      </c>
      <c r="I759" s="4">
        <v>22</v>
      </c>
      <c r="J759" s="5">
        <v>50.3</v>
      </c>
      <c r="K759" s="6">
        <v>1.61</v>
      </c>
      <c r="L759" s="4">
        <v>1</v>
      </c>
      <c r="M759" s="4">
        <v>118</v>
      </c>
      <c r="N759" s="4">
        <v>81</v>
      </c>
      <c r="O759" s="4" t="s">
        <v>21</v>
      </c>
      <c r="P759" s="7" t="s">
        <v>19</v>
      </c>
      <c r="S759">
        <v>1609</v>
      </c>
      <c r="T759" t="str">
        <v>Niassa</v>
      </c>
      <c r="U759" t="str">
        <v>Masculino</v>
      </c>
      <c r="V759" t="str">
        <v>Divorciado(a)</v>
      </c>
      <c r="W759" t="str">
        <v>Nenhuma</v>
      </c>
      <c r="X759" t="str">
        <v>Nao</v>
      </c>
      <c r="Y759" t="str">
        <v>Nenhuma</v>
      </c>
      <c r="Z759">
        <v>47</v>
      </c>
      <c r="AA759">
        <v>74.900000000000006</v>
      </c>
      <c r="AB759">
        <v>1.48</v>
      </c>
      <c r="AC759">
        <v>2</v>
      </c>
      <c r="AD759">
        <v>111</v>
      </c>
      <c r="AE759">
        <v>85</v>
      </c>
      <c r="AF759" t="str">
        <v>Urbana</v>
      </c>
      <c r="AG759" t="str">
        <v>Nao</v>
      </c>
    </row>
    <row r="760" spans="2:33" x14ac:dyDescent="0.45">
      <c r="B760" s="4">
        <v>759</v>
      </c>
      <c r="C760" s="4" t="s">
        <v>29</v>
      </c>
      <c r="D760" s="4" t="s">
        <v>16</v>
      </c>
      <c r="E760" s="4" t="s">
        <v>17</v>
      </c>
      <c r="F760" s="4" t="s">
        <v>24</v>
      </c>
      <c r="G760" s="4" t="s">
        <v>19</v>
      </c>
      <c r="H760" s="4" t="s">
        <v>46</v>
      </c>
      <c r="I760" s="4">
        <v>35</v>
      </c>
      <c r="J760" s="5">
        <v>92.2</v>
      </c>
      <c r="K760" s="6">
        <v>1.78</v>
      </c>
      <c r="L760" s="4">
        <v>0</v>
      </c>
      <c r="M760" s="4">
        <v>125</v>
      </c>
      <c r="N760" s="4">
        <v>78</v>
      </c>
      <c r="O760" s="4" t="s">
        <v>21</v>
      </c>
      <c r="P760" s="7" t="s">
        <v>19</v>
      </c>
      <c r="S760">
        <v>1611</v>
      </c>
      <c r="T760" t="str">
        <v>Nampula</v>
      </c>
      <c r="U760" t="str">
        <v>Masculino</v>
      </c>
      <c r="V760" t="str">
        <v>Solteiro(a)</v>
      </c>
      <c r="W760" t="str">
        <v>Primaria</v>
      </c>
      <c r="X760" t="str">
        <v>Nao</v>
      </c>
      <c r="Y760" t="str">
        <v>Tuberculose</v>
      </c>
      <c r="Z760">
        <v>15</v>
      </c>
      <c r="AA760">
        <v>42.3</v>
      </c>
      <c r="AB760">
        <v>1.48</v>
      </c>
      <c r="AC760">
        <v>7</v>
      </c>
      <c r="AD760">
        <v>110</v>
      </c>
      <c r="AE760">
        <v>84</v>
      </c>
      <c r="AF760" t="str">
        <v>Urbana</v>
      </c>
      <c r="AG760" t="str">
        <v>Nao</v>
      </c>
    </row>
    <row r="761" spans="2:33" x14ac:dyDescent="0.45">
      <c r="B761" s="4">
        <v>760</v>
      </c>
      <c r="C761" s="4" t="s">
        <v>27</v>
      </c>
      <c r="D761" s="4" t="s">
        <v>23</v>
      </c>
      <c r="E761" s="4" t="s">
        <v>35</v>
      </c>
      <c r="F761" s="4" t="s">
        <v>28</v>
      </c>
      <c r="G761" s="4" t="s">
        <v>19</v>
      </c>
      <c r="H761" s="4" t="s">
        <v>20</v>
      </c>
      <c r="I761" s="4">
        <v>14</v>
      </c>
      <c r="J761" s="5">
        <v>60.3</v>
      </c>
      <c r="K761" s="6">
        <v>1.54</v>
      </c>
      <c r="L761" s="4">
        <v>3</v>
      </c>
      <c r="M761" s="4">
        <v>104</v>
      </c>
      <c r="N761" s="4">
        <v>101</v>
      </c>
      <c r="O761" s="4" t="s">
        <v>21</v>
      </c>
      <c r="P761" s="7" t="s">
        <v>19</v>
      </c>
      <c r="S761">
        <v>1613</v>
      </c>
      <c r="T761" t="str">
        <v>Tete</v>
      </c>
      <c r="U761" t="str">
        <v>Masculino</v>
      </c>
      <c r="V761" t="str">
        <v>Solteiro(a)</v>
      </c>
      <c r="W761" t="str">
        <v>Primaria</v>
      </c>
      <c r="X761" t="str">
        <v>Nao</v>
      </c>
      <c r="Y761" t="str">
        <v>Malaria</v>
      </c>
      <c r="Z761">
        <v>32</v>
      </c>
      <c r="AA761">
        <v>89.5</v>
      </c>
      <c r="AB761">
        <v>1.74</v>
      </c>
      <c r="AC761">
        <v>2</v>
      </c>
      <c r="AD761">
        <v>124</v>
      </c>
      <c r="AE761">
        <v>81</v>
      </c>
      <c r="AF761" t="str">
        <v>Rural</v>
      </c>
      <c r="AG761" t="str">
        <v>Sim</v>
      </c>
    </row>
    <row r="762" spans="2:33" x14ac:dyDescent="0.45">
      <c r="B762" s="4">
        <v>761</v>
      </c>
      <c r="C762" s="4" t="s">
        <v>43</v>
      </c>
      <c r="D762" s="4" t="s">
        <v>16</v>
      </c>
      <c r="E762" s="4" t="s">
        <v>35</v>
      </c>
      <c r="F762" s="4" t="s">
        <v>24</v>
      </c>
      <c r="G762" s="4" t="s">
        <v>30</v>
      </c>
      <c r="H762" s="4" t="s">
        <v>32</v>
      </c>
      <c r="I762" s="4">
        <v>34</v>
      </c>
      <c r="J762" s="5">
        <v>66</v>
      </c>
      <c r="K762" s="6">
        <v>1.82</v>
      </c>
      <c r="L762" s="4">
        <v>5</v>
      </c>
      <c r="M762" s="4">
        <v>104</v>
      </c>
      <c r="N762" s="4">
        <v>166</v>
      </c>
      <c r="O762" s="4" t="s">
        <v>21</v>
      </c>
      <c r="P762" s="7" t="s">
        <v>19</v>
      </c>
      <c r="S762">
        <v>1616</v>
      </c>
      <c r="T762" t="str">
        <v>Nampula</v>
      </c>
      <c r="U762" t="str">
        <v>Masculino</v>
      </c>
      <c r="V762" t="str">
        <v>Solteiro(a)</v>
      </c>
      <c r="W762" t="str">
        <v>Superior</v>
      </c>
      <c r="X762" t="str">
        <v>Nao</v>
      </c>
      <c r="Y762" t="str">
        <v>Hipertensao</v>
      </c>
      <c r="Z762">
        <v>43</v>
      </c>
      <c r="AA762">
        <v>74.400000000000006</v>
      </c>
      <c r="AB762">
        <v>1.87</v>
      </c>
      <c r="AC762">
        <v>10</v>
      </c>
      <c r="AD762">
        <v>147</v>
      </c>
      <c r="AE762">
        <v>86</v>
      </c>
      <c r="AF762" t="str">
        <v>Rural</v>
      </c>
      <c r="AG762" t="str">
        <v>Sim</v>
      </c>
    </row>
    <row r="763" spans="2:33" x14ac:dyDescent="0.45">
      <c r="B763" s="4">
        <v>762</v>
      </c>
      <c r="C763" s="4" t="s">
        <v>31</v>
      </c>
      <c r="D763" s="4" t="s">
        <v>23</v>
      </c>
      <c r="E763" s="4" t="s">
        <v>17</v>
      </c>
      <c r="F763" s="4" t="s">
        <v>18</v>
      </c>
      <c r="G763" s="4" t="s">
        <v>30</v>
      </c>
      <c r="H763" s="4" t="s">
        <v>38</v>
      </c>
      <c r="I763" s="4">
        <v>43</v>
      </c>
      <c r="J763" s="5">
        <v>64</v>
      </c>
      <c r="K763" s="6">
        <v>1.83</v>
      </c>
      <c r="L763" s="4">
        <v>3</v>
      </c>
      <c r="M763" s="4">
        <v>114</v>
      </c>
      <c r="N763" s="4">
        <v>104</v>
      </c>
      <c r="O763" s="4" t="s">
        <v>26</v>
      </c>
      <c r="P763" s="7" t="s">
        <v>30</v>
      </c>
      <c r="S763">
        <v>1620</v>
      </c>
      <c r="T763" t="str">
        <v>Tete</v>
      </c>
      <c r="U763" t="str">
        <v>Masculino</v>
      </c>
      <c r="V763" t="str">
        <v>Viuvo(a)</v>
      </c>
      <c r="W763" t="str">
        <v>Primaria</v>
      </c>
      <c r="X763" t="str">
        <v>Nao</v>
      </c>
      <c r="Y763" t="str">
        <v>Nenhuma</v>
      </c>
      <c r="Z763">
        <v>19</v>
      </c>
      <c r="AA763">
        <v>62.8</v>
      </c>
      <c r="AB763">
        <v>1.53</v>
      </c>
      <c r="AC763">
        <v>6</v>
      </c>
      <c r="AD763">
        <v>109</v>
      </c>
      <c r="AE763">
        <v>76</v>
      </c>
      <c r="AF763" t="str">
        <v>Urbana</v>
      </c>
      <c r="AG763" t="str">
        <v>Nao</v>
      </c>
    </row>
    <row r="764" spans="2:33" x14ac:dyDescent="0.45">
      <c r="B764" s="4">
        <v>763</v>
      </c>
      <c r="C764" s="4" t="s">
        <v>43</v>
      </c>
      <c r="D764" s="4" t="s">
        <v>16</v>
      </c>
      <c r="E764" s="4" t="s">
        <v>17</v>
      </c>
      <c r="F764" s="4" t="s">
        <v>24</v>
      </c>
      <c r="G764" s="4" t="s">
        <v>19</v>
      </c>
      <c r="H764" s="4" t="s">
        <v>20</v>
      </c>
      <c r="I764" s="4">
        <v>40</v>
      </c>
      <c r="J764" s="5">
        <v>74.900000000000006</v>
      </c>
      <c r="K764" s="6">
        <v>1.75</v>
      </c>
      <c r="L764" s="4">
        <v>3</v>
      </c>
      <c r="M764" s="4">
        <v>109</v>
      </c>
      <c r="N764" s="4">
        <v>78</v>
      </c>
      <c r="O764" s="4" t="s">
        <v>21</v>
      </c>
      <c r="P764" s="7" t="s">
        <v>19</v>
      </c>
      <c r="S764">
        <v>1623</v>
      </c>
      <c r="T764" t="str">
        <v>Maputo Cidade</v>
      </c>
      <c r="U764" t="str">
        <v>Masculino</v>
      </c>
      <c r="V764" t="str">
        <v>Casado(a)</v>
      </c>
      <c r="W764" t="str">
        <v>Primaria</v>
      </c>
      <c r="X764" t="str">
        <v>Nao</v>
      </c>
      <c r="Y764" t="str">
        <v>Hipertensao</v>
      </c>
      <c r="Z764">
        <v>38</v>
      </c>
      <c r="AA764">
        <v>57.8</v>
      </c>
      <c r="AB764">
        <v>1.78</v>
      </c>
      <c r="AC764">
        <v>1</v>
      </c>
      <c r="AD764">
        <v>142</v>
      </c>
      <c r="AE764">
        <v>92</v>
      </c>
      <c r="AF764" t="str">
        <v>Urbana</v>
      </c>
      <c r="AG764" t="str">
        <v>Nao</v>
      </c>
    </row>
    <row r="765" spans="2:33" x14ac:dyDescent="0.45">
      <c r="B765" s="4">
        <v>764</v>
      </c>
      <c r="C765" s="4" t="s">
        <v>41</v>
      </c>
      <c r="D765" s="4" t="s">
        <v>23</v>
      </c>
      <c r="E765" s="4" t="s">
        <v>37</v>
      </c>
      <c r="F765" s="4" t="s">
        <v>28</v>
      </c>
      <c r="G765" s="4" t="s">
        <v>19</v>
      </c>
      <c r="H765" s="4" t="s">
        <v>20</v>
      </c>
      <c r="I765" s="4">
        <v>22</v>
      </c>
      <c r="J765" s="5">
        <v>70.599999999999994</v>
      </c>
      <c r="K765" s="6">
        <v>1.82</v>
      </c>
      <c r="L765" s="4">
        <v>0</v>
      </c>
      <c r="M765" s="4">
        <v>117</v>
      </c>
      <c r="N765" s="4">
        <v>86</v>
      </c>
      <c r="O765" s="4" t="s">
        <v>26</v>
      </c>
      <c r="P765" s="7" t="s">
        <v>19</v>
      </c>
      <c r="S765">
        <v>1626</v>
      </c>
      <c r="T765" t="str">
        <v>Tete</v>
      </c>
      <c r="U765" t="str">
        <v>Masculino</v>
      </c>
      <c r="V765" t="str">
        <v>Casado(a)</v>
      </c>
      <c r="W765" t="str">
        <v>Secundaria</v>
      </c>
      <c r="X765" t="str">
        <v>Nao</v>
      </c>
      <c r="Y765" t="str">
        <v>Nenhuma</v>
      </c>
      <c r="Z765">
        <v>42</v>
      </c>
      <c r="AA765">
        <v>60.5</v>
      </c>
      <c r="AB765">
        <v>1.58</v>
      </c>
      <c r="AC765">
        <v>5</v>
      </c>
      <c r="AD765">
        <v>125</v>
      </c>
      <c r="AE765">
        <v>98</v>
      </c>
      <c r="AF765" t="str">
        <v>Rural</v>
      </c>
      <c r="AG765" t="str">
        <v>Sim</v>
      </c>
    </row>
    <row r="766" spans="2:33" x14ac:dyDescent="0.45">
      <c r="B766" s="4">
        <v>765</v>
      </c>
      <c r="C766" s="4" t="s">
        <v>33</v>
      </c>
      <c r="D766" s="4" t="s">
        <v>23</v>
      </c>
      <c r="E766" s="4" t="s">
        <v>17</v>
      </c>
      <c r="F766" s="4" t="s">
        <v>28</v>
      </c>
      <c r="G766" s="4" t="s">
        <v>30</v>
      </c>
      <c r="H766" s="4" t="s">
        <v>32</v>
      </c>
      <c r="I766" s="4">
        <v>58</v>
      </c>
      <c r="J766" s="5">
        <v>91.3</v>
      </c>
      <c r="K766" s="6">
        <v>1.87</v>
      </c>
      <c r="L766" s="4">
        <v>7</v>
      </c>
      <c r="M766" s="4">
        <v>130</v>
      </c>
      <c r="N766" s="4">
        <v>139</v>
      </c>
      <c r="O766" s="4" t="s">
        <v>21</v>
      </c>
      <c r="P766" s="7" t="s">
        <v>19</v>
      </c>
      <c r="S766">
        <v>1633</v>
      </c>
      <c r="T766" t="str">
        <v>Maputo Cidade</v>
      </c>
      <c r="U766" t="str">
        <v>Masculino</v>
      </c>
      <c r="V766" t="str">
        <v>Solteiro(a)</v>
      </c>
      <c r="W766" t="str">
        <v>Secundaria</v>
      </c>
      <c r="X766" t="str">
        <v>Sim</v>
      </c>
      <c r="Y766" t="str">
        <v>Pneumonia</v>
      </c>
      <c r="Z766">
        <v>28</v>
      </c>
      <c r="AA766">
        <v>75.599999999999994</v>
      </c>
      <c r="AB766">
        <v>1.66</v>
      </c>
      <c r="AC766">
        <v>1</v>
      </c>
      <c r="AD766">
        <v>117</v>
      </c>
      <c r="AE766">
        <v>93</v>
      </c>
      <c r="AF766" t="str">
        <v>Rural</v>
      </c>
      <c r="AG766" t="str">
        <v>Sim</v>
      </c>
    </row>
    <row r="767" spans="2:33" x14ac:dyDescent="0.45">
      <c r="B767" s="4">
        <v>766</v>
      </c>
      <c r="C767" s="4" t="s">
        <v>27</v>
      </c>
      <c r="D767" s="4" t="s">
        <v>23</v>
      </c>
      <c r="E767" s="4" t="s">
        <v>35</v>
      </c>
      <c r="F767" s="4" t="s">
        <v>18</v>
      </c>
      <c r="G767" s="4" t="s">
        <v>19</v>
      </c>
      <c r="H767" s="4" t="s">
        <v>20</v>
      </c>
      <c r="I767" s="4">
        <v>14</v>
      </c>
      <c r="J767" s="5">
        <v>56.4</v>
      </c>
      <c r="K767" s="6">
        <v>1.5</v>
      </c>
      <c r="L767" s="4">
        <v>0</v>
      </c>
      <c r="M767" s="4">
        <v>98</v>
      </c>
      <c r="N767" s="4">
        <v>70</v>
      </c>
      <c r="O767" s="4" t="s">
        <v>21</v>
      </c>
      <c r="P767" s="7" t="s">
        <v>30</v>
      </c>
      <c r="S767">
        <v>1634</v>
      </c>
      <c r="T767" t="str">
        <v>Nampula</v>
      </c>
      <c r="U767" t="str">
        <v>Masculino</v>
      </c>
      <c r="V767" t="str">
        <v>Casado(a)</v>
      </c>
      <c r="W767" t="str">
        <v>Primaria</v>
      </c>
      <c r="X767" t="str">
        <v>Nao</v>
      </c>
      <c r="Y767" t="str">
        <v>Pneumonia</v>
      </c>
      <c r="Z767">
        <v>70</v>
      </c>
      <c r="AA767">
        <v>79.900000000000006</v>
      </c>
      <c r="AB767">
        <v>1.74</v>
      </c>
      <c r="AC767">
        <v>4</v>
      </c>
      <c r="AD767">
        <v>121</v>
      </c>
      <c r="AE767">
        <v>90</v>
      </c>
      <c r="AF767" t="str">
        <v>Rural</v>
      </c>
      <c r="AG767" t="str">
        <v>Nao</v>
      </c>
    </row>
    <row r="768" spans="2:33" x14ac:dyDescent="0.45">
      <c r="B768" s="4">
        <v>767</v>
      </c>
      <c r="C768" s="4" t="s">
        <v>15</v>
      </c>
      <c r="D768" s="4" t="s">
        <v>16</v>
      </c>
      <c r="E768" s="4" t="s">
        <v>35</v>
      </c>
      <c r="F768" s="4" t="s">
        <v>18</v>
      </c>
      <c r="G768" s="4" t="s">
        <v>19</v>
      </c>
      <c r="H768" s="4" t="s">
        <v>28</v>
      </c>
      <c r="I768" s="4">
        <v>39</v>
      </c>
      <c r="J768" s="5">
        <v>63</v>
      </c>
      <c r="K768" s="6">
        <v>1.66</v>
      </c>
      <c r="L768" s="4">
        <v>9</v>
      </c>
      <c r="M768" s="4">
        <v>104</v>
      </c>
      <c r="N768" s="4">
        <v>87</v>
      </c>
      <c r="O768" s="4" t="s">
        <v>26</v>
      </c>
      <c r="P768" s="7" t="s">
        <v>19</v>
      </c>
      <c r="S768">
        <v>1635</v>
      </c>
      <c r="T768" t="str">
        <v>Niassa</v>
      </c>
      <c r="U768" t="str">
        <v>Masculino</v>
      </c>
      <c r="V768" t="str">
        <v>Solteiro(a)</v>
      </c>
      <c r="W768" t="str">
        <v>Nenhuma</v>
      </c>
      <c r="X768" t="str">
        <v>Nao</v>
      </c>
      <c r="Y768" t="str">
        <v>Nenhuma</v>
      </c>
      <c r="Z768">
        <v>76</v>
      </c>
      <c r="AA768">
        <v>67</v>
      </c>
      <c r="AB768">
        <v>1.54</v>
      </c>
      <c r="AC768">
        <v>2</v>
      </c>
      <c r="AD768">
        <v>113</v>
      </c>
      <c r="AE768">
        <v>82</v>
      </c>
      <c r="AF768" t="str">
        <v>Rural</v>
      </c>
      <c r="AG768" t="str">
        <v>Nao</v>
      </c>
    </row>
    <row r="769" spans="2:33" x14ac:dyDescent="0.45">
      <c r="B769" s="4">
        <v>768</v>
      </c>
      <c r="C769" s="4" t="s">
        <v>22</v>
      </c>
      <c r="D769" s="4" t="s">
        <v>23</v>
      </c>
      <c r="E769" s="4" t="s">
        <v>44</v>
      </c>
      <c r="F769" s="4" t="s">
        <v>28</v>
      </c>
      <c r="G769" s="4" t="s">
        <v>19</v>
      </c>
      <c r="H769" s="4" t="s">
        <v>28</v>
      </c>
      <c r="I769" s="4">
        <v>15</v>
      </c>
      <c r="J769" s="5">
        <v>41.1</v>
      </c>
      <c r="K769" s="6">
        <v>1.64</v>
      </c>
      <c r="L769" s="4">
        <v>3</v>
      </c>
      <c r="M769" s="4">
        <v>107</v>
      </c>
      <c r="N769" s="4">
        <v>80</v>
      </c>
      <c r="O769" s="4" t="s">
        <v>26</v>
      </c>
      <c r="P769" s="7" t="s">
        <v>19</v>
      </c>
      <c r="S769">
        <v>1636</v>
      </c>
      <c r="T769" t="str">
        <v>Nampula</v>
      </c>
      <c r="U769" t="str">
        <v>Masculino</v>
      </c>
      <c r="V769" t="str">
        <v>Casado(a)</v>
      </c>
      <c r="W769" t="str">
        <v>Primaria</v>
      </c>
      <c r="X769" t="str">
        <v>Sim</v>
      </c>
      <c r="Y769" t="str">
        <v>Diabetes</v>
      </c>
      <c r="Z769">
        <v>68</v>
      </c>
      <c r="AA769">
        <v>48.3</v>
      </c>
      <c r="AB769">
        <v>1.83</v>
      </c>
      <c r="AC769">
        <v>1</v>
      </c>
      <c r="AD769">
        <v>132</v>
      </c>
      <c r="AE769">
        <v>140</v>
      </c>
      <c r="AF769" t="str">
        <v>Urbana</v>
      </c>
      <c r="AG769" t="str">
        <v>Sim</v>
      </c>
    </row>
    <row r="770" spans="2:33" x14ac:dyDescent="0.45">
      <c r="B770" s="4">
        <v>769</v>
      </c>
      <c r="C770" s="4" t="s">
        <v>27</v>
      </c>
      <c r="D770" s="4" t="s">
        <v>16</v>
      </c>
      <c r="E770" s="4" t="s">
        <v>17</v>
      </c>
      <c r="F770" s="4" t="s">
        <v>42</v>
      </c>
      <c r="G770" s="4" t="s">
        <v>19</v>
      </c>
      <c r="H770" s="4" t="s">
        <v>28</v>
      </c>
      <c r="I770" s="4">
        <v>62</v>
      </c>
      <c r="J770" s="5">
        <v>68.400000000000006</v>
      </c>
      <c r="K770" s="6">
        <v>1.53</v>
      </c>
      <c r="L770" s="4">
        <v>4</v>
      </c>
      <c r="M770" s="4">
        <v>121</v>
      </c>
      <c r="N770" s="4">
        <v>83</v>
      </c>
      <c r="O770" s="4" t="s">
        <v>21</v>
      </c>
      <c r="P770" s="7" t="s">
        <v>19</v>
      </c>
      <c r="S770">
        <v>1639</v>
      </c>
      <c r="T770" t="str">
        <v>Nampula</v>
      </c>
      <c r="U770" t="str">
        <v>Masculino</v>
      </c>
      <c r="V770" t="str">
        <v>Divorciado(a)</v>
      </c>
      <c r="W770" t="str">
        <v>Primaria</v>
      </c>
      <c r="X770" t="str">
        <v>Sim</v>
      </c>
      <c r="Y770" t="str">
        <v>Malaria</v>
      </c>
      <c r="Z770">
        <v>86</v>
      </c>
      <c r="AA770">
        <v>86.7</v>
      </c>
      <c r="AB770">
        <v>1.8</v>
      </c>
      <c r="AC770">
        <v>10</v>
      </c>
      <c r="AD770">
        <v>134</v>
      </c>
      <c r="AE770">
        <v>87</v>
      </c>
      <c r="AF770" t="str">
        <v>Urbana</v>
      </c>
      <c r="AG770" t="str">
        <v>Sim</v>
      </c>
    </row>
    <row r="771" spans="2:33" x14ac:dyDescent="0.45">
      <c r="B771" s="4">
        <v>770</v>
      </c>
      <c r="C771" s="4" t="s">
        <v>33</v>
      </c>
      <c r="D771" s="4" t="s">
        <v>23</v>
      </c>
      <c r="E771" s="4" t="s">
        <v>35</v>
      </c>
      <c r="F771" s="4" t="s">
        <v>42</v>
      </c>
      <c r="G771" s="4" t="s">
        <v>19</v>
      </c>
      <c r="H771" s="4" t="s">
        <v>36</v>
      </c>
      <c r="I771" s="4">
        <v>22</v>
      </c>
      <c r="J771" s="5">
        <v>76.7</v>
      </c>
      <c r="K771" s="6">
        <v>1.5</v>
      </c>
      <c r="L771" s="4">
        <v>0</v>
      </c>
      <c r="M771" s="4">
        <v>145</v>
      </c>
      <c r="N771" s="4">
        <v>98</v>
      </c>
      <c r="O771" s="4" t="s">
        <v>26</v>
      </c>
      <c r="P771" s="7" t="s">
        <v>30</v>
      </c>
      <c r="S771">
        <v>1640</v>
      </c>
      <c r="T771" t="str">
        <v>Manica</v>
      </c>
      <c r="U771" t="str">
        <v>Masculino</v>
      </c>
      <c r="V771" t="str">
        <v>Viuvo(a)</v>
      </c>
      <c r="W771" t="str">
        <v>Primaria</v>
      </c>
      <c r="X771" t="str">
        <v>Nao</v>
      </c>
      <c r="Y771" t="str">
        <v>Diarreia</v>
      </c>
      <c r="Z771">
        <v>31</v>
      </c>
      <c r="AA771">
        <v>92.5</v>
      </c>
      <c r="AB771">
        <v>1.9</v>
      </c>
      <c r="AC771">
        <v>9</v>
      </c>
      <c r="AD771">
        <v>127</v>
      </c>
      <c r="AE771">
        <v>101</v>
      </c>
      <c r="AF771" t="str">
        <v>Rural</v>
      </c>
      <c r="AG771" t="str">
        <v>Sim</v>
      </c>
    </row>
    <row r="772" spans="2:33" x14ac:dyDescent="0.45">
      <c r="B772" s="4">
        <v>771</v>
      </c>
      <c r="C772" s="4" t="s">
        <v>27</v>
      </c>
      <c r="D772" s="4" t="s">
        <v>16</v>
      </c>
      <c r="E772" s="4" t="s">
        <v>44</v>
      </c>
      <c r="F772" s="4" t="s">
        <v>24</v>
      </c>
      <c r="G772" s="4" t="s">
        <v>30</v>
      </c>
      <c r="H772" s="4" t="s">
        <v>46</v>
      </c>
      <c r="I772" s="4">
        <v>23</v>
      </c>
      <c r="J772" s="5">
        <v>65.900000000000006</v>
      </c>
      <c r="K772" s="6">
        <v>1.58</v>
      </c>
      <c r="L772" s="4">
        <v>6</v>
      </c>
      <c r="M772" s="4">
        <v>108</v>
      </c>
      <c r="N772" s="4">
        <v>96</v>
      </c>
      <c r="O772" s="4" t="s">
        <v>26</v>
      </c>
      <c r="P772" s="7" t="s">
        <v>19</v>
      </c>
      <c r="S772">
        <v>1642</v>
      </c>
      <c r="T772" t="str">
        <v>Tete</v>
      </c>
      <c r="U772" t="str">
        <v>Masculino</v>
      </c>
      <c r="V772" t="str">
        <v>Viuvo(a)</v>
      </c>
      <c r="W772" t="str">
        <v>Secundaria</v>
      </c>
      <c r="X772" t="str">
        <v>Sim</v>
      </c>
      <c r="Y772" t="str">
        <v>Pneumonia</v>
      </c>
      <c r="Z772">
        <v>29</v>
      </c>
      <c r="AA772">
        <v>72.8</v>
      </c>
      <c r="AB772">
        <v>1.8</v>
      </c>
      <c r="AC772">
        <v>5</v>
      </c>
      <c r="AD772">
        <v>106</v>
      </c>
      <c r="AE772">
        <v>83</v>
      </c>
      <c r="AF772" t="str">
        <v>Rural</v>
      </c>
      <c r="AG772" t="str">
        <v>Nao</v>
      </c>
    </row>
    <row r="773" spans="2:33" x14ac:dyDescent="0.45">
      <c r="B773" s="4">
        <v>772</v>
      </c>
      <c r="C773" s="4" t="s">
        <v>41</v>
      </c>
      <c r="D773" s="4" t="s">
        <v>23</v>
      </c>
      <c r="E773" s="4" t="s">
        <v>35</v>
      </c>
      <c r="F773" s="4" t="s">
        <v>24</v>
      </c>
      <c r="G773" s="4" t="s">
        <v>19</v>
      </c>
      <c r="H773" s="4" t="s">
        <v>20</v>
      </c>
      <c r="I773" s="4">
        <v>9</v>
      </c>
      <c r="J773" s="5">
        <v>21.1</v>
      </c>
      <c r="K773" s="6">
        <v>1.25</v>
      </c>
      <c r="L773" s="4">
        <v>10</v>
      </c>
      <c r="M773" s="4">
        <v>115</v>
      </c>
      <c r="N773" s="4">
        <v>93</v>
      </c>
      <c r="O773" s="4" t="s">
        <v>26</v>
      </c>
      <c r="P773" s="7" t="s">
        <v>30</v>
      </c>
      <c r="S773">
        <v>1643</v>
      </c>
      <c r="T773" t="str">
        <v>Nampula</v>
      </c>
      <c r="U773" t="str">
        <v>Masculino</v>
      </c>
      <c r="V773" t="str">
        <v>Solteiro(a)</v>
      </c>
      <c r="W773" t="str">
        <v>Primaria</v>
      </c>
      <c r="X773" t="str">
        <v>Nao</v>
      </c>
      <c r="Y773" t="str">
        <v>Malaria</v>
      </c>
      <c r="Z773">
        <v>15</v>
      </c>
      <c r="AA773">
        <v>58.1</v>
      </c>
      <c r="AB773">
        <v>1.5</v>
      </c>
      <c r="AC773">
        <v>1</v>
      </c>
      <c r="AD773">
        <v>111</v>
      </c>
      <c r="AE773">
        <v>89</v>
      </c>
      <c r="AF773" t="str">
        <v>Urbana</v>
      </c>
      <c r="AG773" t="str">
        <v>Nao</v>
      </c>
    </row>
    <row r="774" spans="2:33" x14ac:dyDescent="0.45">
      <c r="B774" s="4">
        <v>773</v>
      </c>
      <c r="C774" s="4" t="s">
        <v>29</v>
      </c>
      <c r="D774" s="4" t="s">
        <v>23</v>
      </c>
      <c r="E774" s="4" t="s">
        <v>35</v>
      </c>
      <c r="F774" s="4" t="s">
        <v>28</v>
      </c>
      <c r="G774" s="4" t="s">
        <v>19</v>
      </c>
      <c r="H774" s="4" t="s">
        <v>28</v>
      </c>
      <c r="I774" s="4">
        <v>19</v>
      </c>
      <c r="J774" s="5">
        <v>65.7</v>
      </c>
      <c r="K774" s="6">
        <v>1.82</v>
      </c>
      <c r="L774" s="4">
        <v>2</v>
      </c>
      <c r="M774" s="4">
        <v>113</v>
      </c>
      <c r="N774" s="4">
        <v>78</v>
      </c>
      <c r="O774" s="4" t="s">
        <v>26</v>
      </c>
      <c r="P774" s="7" t="s">
        <v>19</v>
      </c>
      <c r="S774">
        <v>1645</v>
      </c>
      <c r="T774" t="str">
        <v>Maputo Provincia</v>
      </c>
      <c r="U774" t="str">
        <v>Masculino</v>
      </c>
      <c r="V774" t="str">
        <v>Casado(a)</v>
      </c>
      <c r="W774" t="str">
        <v>Primaria</v>
      </c>
      <c r="X774" t="str">
        <v>Nao</v>
      </c>
      <c r="Y774" t="str">
        <v>Pneumonia</v>
      </c>
      <c r="Z774">
        <v>20</v>
      </c>
      <c r="AA774">
        <v>78.599999999999994</v>
      </c>
      <c r="AB774">
        <v>1.77</v>
      </c>
      <c r="AC774">
        <v>1</v>
      </c>
      <c r="AD774">
        <v>125</v>
      </c>
      <c r="AE774">
        <v>80</v>
      </c>
      <c r="AF774" t="str">
        <v>Rural</v>
      </c>
      <c r="AG774" t="str">
        <v>Sim</v>
      </c>
    </row>
    <row r="775" spans="2:33" x14ac:dyDescent="0.45">
      <c r="B775" s="4">
        <v>774</v>
      </c>
      <c r="C775" s="4" t="s">
        <v>27</v>
      </c>
      <c r="D775" s="4" t="s">
        <v>16</v>
      </c>
      <c r="E775" s="4" t="s">
        <v>35</v>
      </c>
      <c r="F775" s="4" t="s">
        <v>24</v>
      </c>
      <c r="G775" s="4" t="s">
        <v>19</v>
      </c>
      <c r="H775" s="4" t="s">
        <v>28</v>
      </c>
      <c r="I775" s="4">
        <v>37</v>
      </c>
      <c r="J775" s="5">
        <v>70.400000000000006</v>
      </c>
      <c r="K775" s="6">
        <v>1.7</v>
      </c>
      <c r="L775" s="4">
        <v>8</v>
      </c>
      <c r="M775" s="4">
        <v>106</v>
      </c>
      <c r="N775" s="4">
        <v>97</v>
      </c>
      <c r="O775" s="4" t="s">
        <v>21</v>
      </c>
      <c r="P775" s="7" t="s">
        <v>19</v>
      </c>
      <c r="S775">
        <v>1646</v>
      </c>
      <c r="T775" t="str">
        <v>Nampula</v>
      </c>
      <c r="U775" t="str">
        <v>Masculino</v>
      </c>
      <c r="V775" t="str">
        <v>Casado(a)</v>
      </c>
      <c r="W775" t="str">
        <v>Nenhuma</v>
      </c>
      <c r="X775" t="str">
        <v>Nao</v>
      </c>
      <c r="Y775" t="str">
        <v>Malaria</v>
      </c>
      <c r="Z775">
        <v>5</v>
      </c>
      <c r="AA775">
        <v>20.3</v>
      </c>
      <c r="AB775">
        <v>1.1299999999999999</v>
      </c>
      <c r="AC775">
        <v>1</v>
      </c>
      <c r="AD775">
        <v>106</v>
      </c>
      <c r="AE775">
        <v>83</v>
      </c>
      <c r="AF775" t="str">
        <v>Rural</v>
      </c>
      <c r="AG775" t="str">
        <v>Nao</v>
      </c>
    </row>
    <row r="776" spans="2:33" x14ac:dyDescent="0.45">
      <c r="B776" s="4">
        <v>775</v>
      </c>
      <c r="C776" s="4" t="s">
        <v>45</v>
      </c>
      <c r="D776" s="4" t="s">
        <v>16</v>
      </c>
      <c r="E776" s="4" t="s">
        <v>17</v>
      </c>
      <c r="F776" s="4" t="s">
        <v>24</v>
      </c>
      <c r="G776" s="4" t="s">
        <v>19</v>
      </c>
      <c r="H776" s="4" t="s">
        <v>20</v>
      </c>
      <c r="I776" s="4">
        <v>28</v>
      </c>
      <c r="J776" s="5">
        <v>92.1</v>
      </c>
      <c r="K776" s="6">
        <v>1.73</v>
      </c>
      <c r="L776" s="4">
        <v>1</v>
      </c>
      <c r="M776" s="4">
        <v>107</v>
      </c>
      <c r="N776" s="4">
        <v>97</v>
      </c>
      <c r="O776" s="4" t="s">
        <v>26</v>
      </c>
      <c r="P776" s="7" t="s">
        <v>19</v>
      </c>
      <c r="S776">
        <v>1647</v>
      </c>
      <c r="T776" t="str">
        <v>Sofala</v>
      </c>
      <c r="U776" t="str">
        <v>Masculino</v>
      </c>
      <c r="V776" t="str">
        <v>Viuvo(a)</v>
      </c>
      <c r="W776" t="str">
        <v>Secundaria</v>
      </c>
      <c r="X776" t="str">
        <v>Sim</v>
      </c>
      <c r="Y776" t="str">
        <v>Hipertensao</v>
      </c>
      <c r="Z776">
        <v>24</v>
      </c>
      <c r="AA776">
        <v>67.400000000000006</v>
      </c>
      <c r="AB776">
        <v>1.76</v>
      </c>
      <c r="AC776">
        <v>2</v>
      </c>
      <c r="AD776">
        <v>124</v>
      </c>
      <c r="AE776">
        <v>95</v>
      </c>
      <c r="AF776" t="str">
        <v>Rural</v>
      </c>
      <c r="AG776" t="str">
        <v>Nao</v>
      </c>
    </row>
    <row r="777" spans="2:33" x14ac:dyDescent="0.45">
      <c r="B777" s="4">
        <v>776</v>
      </c>
      <c r="C777" s="4" t="s">
        <v>33</v>
      </c>
      <c r="D777" s="4" t="s">
        <v>23</v>
      </c>
      <c r="E777" s="4" t="s">
        <v>17</v>
      </c>
      <c r="F777" s="4" t="s">
        <v>24</v>
      </c>
      <c r="G777" s="4" t="s">
        <v>30</v>
      </c>
      <c r="H777" s="4" t="s">
        <v>34</v>
      </c>
      <c r="I777" s="4">
        <v>16</v>
      </c>
      <c r="J777" s="5">
        <v>62.4</v>
      </c>
      <c r="K777" s="6">
        <v>1.5</v>
      </c>
      <c r="L777" s="4">
        <v>4</v>
      </c>
      <c r="M777" s="4">
        <v>110</v>
      </c>
      <c r="N777" s="4">
        <v>94</v>
      </c>
      <c r="O777" s="4" t="s">
        <v>26</v>
      </c>
      <c r="P777" s="7" t="s">
        <v>19</v>
      </c>
      <c r="S777">
        <v>1649</v>
      </c>
      <c r="T777" t="str">
        <v>Tete</v>
      </c>
      <c r="U777" t="str">
        <v>Masculino</v>
      </c>
      <c r="V777" t="str">
        <v>Casado(a)</v>
      </c>
      <c r="W777" t="str">
        <v>Primaria</v>
      </c>
      <c r="X777" t="str">
        <v>Nao</v>
      </c>
      <c r="Y777" t="str">
        <v>Malaria</v>
      </c>
      <c r="Z777">
        <v>14</v>
      </c>
      <c r="AA777">
        <v>61.2</v>
      </c>
      <c r="AB777">
        <v>1.47</v>
      </c>
      <c r="AC777">
        <v>0</v>
      </c>
      <c r="AD777">
        <v>95</v>
      </c>
      <c r="AE777">
        <v>92</v>
      </c>
      <c r="AF777" t="str">
        <v>Urbana</v>
      </c>
      <c r="AG777" t="str">
        <v>Nao</v>
      </c>
    </row>
    <row r="778" spans="2:33" x14ac:dyDescent="0.45">
      <c r="B778" s="4">
        <v>777</v>
      </c>
      <c r="C778" s="4" t="s">
        <v>31</v>
      </c>
      <c r="D778" s="4" t="s">
        <v>16</v>
      </c>
      <c r="E778" s="4" t="s">
        <v>37</v>
      </c>
      <c r="F778" s="4" t="s">
        <v>18</v>
      </c>
      <c r="G778" s="4" t="s">
        <v>30</v>
      </c>
      <c r="H778" s="4" t="s">
        <v>36</v>
      </c>
      <c r="I778" s="4">
        <v>61</v>
      </c>
      <c r="J778" s="5">
        <v>84.9</v>
      </c>
      <c r="K778" s="6">
        <v>1.6</v>
      </c>
      <c r="L778" s="4">
        <v>1</v>
      </c>
      <c r="M778" s="4">
        <v>137</v>
      </c>
      <c r="N778" s="4">
        <v>84</v>
      </c>
      <c r="O778" s="4" t="s">
        <v>21</v>
      </c>
      <c r="P778" s="7" t="s">
        <v>19</v>
      </c>
      <c r="S778">
        <v>1651</v>
      </c>
      <c r="T778" t="str">
        <v>Cabo Delgado</v>
      </c>
      <c r="U778" t="str">
        <v>Masculino</v>
      </c>
      <c r="V778" t="str">
        <v>Solteiro(a)</v>
      </c>
      <c r="W778" t="str">
        <v>Secundaria</v>
      </c>
      <c r="X778" t="str">
        <v>Nao</v>
      </c>
      <c r="Y778" t="str">
        <v>HIV/SIDA</v>
      </c>
      <c r="Z778">
        <v>85</v>
      </c>
      <c r="AA778">
        <v>50.1</v>
      </c>
      <c r="AB778">
        <v>1.79</v>
      </c>
      <c r="AC778">
        <v>1</v>
      </c>
      <c r="AD778">
        <v>136</v>
      </c>
      <c r="AE778">
        <v>71</v>
      </c>
      <c r="AF778" t="str">
        <v>Rural</v>
      </c>
      <c r="AG778" t="str">
        <v>Nao</v>
      </c>
    </row>
    <row r="779" spans="2:33" x14ac:dyDescent="0.45">
      <c r="B779" s="4">
        <v>778</v>
      </c>
      <c r="C779" s="4" t="s">
        <v>43</v>
      </c>
      <c r="D779" s="4" t="s">
        <v>23</v>
      </c>
      <c r="E779" s="4" t="s">
        <v>44</v>
      </c>
      <c r="F779" s="4" t="s">
        <v>28</v>
      </c>
      <c r="G779" s="4" t="s">
        <v>19</v>
      </c>
      <c r="H779" s="4" t="s">
        <v>28</v>
      </c>
      <c r="I779" s="4">
        <v>11</v>
      </c>
      <c r="J779" s="5">
        <v>36</v>
      </c>
      <c r="K779" s="6">
        <v>1.43</v>
      </c>
      <c r="L779" s="4">
        <v>1</v>
      </c>
      <c r="M779" s="4">
        <v>99</v>
      </c>
      <c r="N779" s="4">
        <v>77</v>
      </c>
      <c r="O779" s="4" t="s">
        <v>21</v>
      </c>
      <c r="P779" s="7" t="s">
        <v>19</v>
      </c>
      <c r="S779">
        <v>1653</v>
      </c>
      <c r="T779" t="str">
        <v>Inhambane</v>
      </c>
      <c r="U779" t="str">
        <v>Masculino</v>
      </c>
      <c r="V779" t="str">
        <v>Casado(a)</v>
      </c>
      <c r="W779" t="str">
        <v>Nenhuma</v>
      </c>
      <c r="X779" t="str">
        <v>Nao</v>
      </c>
      <c r="Y779" t="str">
        <v>Malaria</v>
      </c>
      <c r="Z779">
        <v>14</v>
      </c>
      <c r="AA779">
        <v>58.8</v>
      </c>
      <c r="AB779">
        <v>1.66</v>
      </c>
      <c r="AC779">
        <v>0</v>
      </c>
      <c r="AD779">
        <v>110</v>
      </c>
      <c r="AE779">
        <v>81</v>
      </c>
      <c r="AF779" t="str">
        <v>Rural</v>
      </c>
      <c r="AG779" t="str">
        <v>Sim</v>
      </c>
    </row>
    <row r="780" spans="2:33" x14ac:dyDescent="0.45">
      <c r="B780" s="4">
        <v>779</v>
      </c>
      <c r="C780" s="4" t="s">
        <v>15</v>
      </c>
      <c r="D780" s="4" t="s">
        <v>16</v>
      </c>
      <c r="E780" s="4" t="s">
        <v>35</v>
      </c>
      <c r="F780" s="4" t="s">
        <v>24</v>
      </c>
      <c r="G780" s="4" t="s">
        <v>19</v>
      </c>
      <c r="H780" s="4" t="s">
        <v>28</v>
      </c>
      <c r="I780" s="4">
        <v>21</v>
      </c>
      <c r="J780" s="5">
        <v>82.8</v>
      </c>
      <c r="K780" s="6">
        <v>1.55</v>
      </c>
      <c r="L780" s="4">
        <v>7</v>
      </c>
      <c r="M780" s="4">
        <v>114</v>
      </c>
      <c r="N780" s="4">
        <v>104</v>
      </c>
      <c r="O780" s="4" t="s">
        <v>26</v>
      </c>
      <c r="P780" s="7" t="s">
        <v>30</v>
      </c>
      <c r="S780">
        <v>1663</v>
      </c>
      <c r="T780" t="str">
        <v>Cabo Delgado</v>
      </c>
      <c r="U780" t="str">
        <v>Masculino</v>
      </c>
      <c r="V780" t="str">
        <v>Casado(a)</v>
      </c>
      <c r="W780" t="str">
        <v>Primaria</v>
      </c>
      <c r="X780" t="str">
        <v>Nao</v>
      </c>
      <c r="Y780" t="str">
        <v>Diarreia</v>
      </c>
      <c r="Z780">
        <v>5</v>
      </c>
      <c r="AA780">
        <v>20</v>
      </c>
      <c r="AB780">
        <v>1.33</v>
      </c>
      <c r="AC780">
        <v>7</v>
      </c>
      <c r="AD780">
        <v>96</v>
      </c>
      <c r="AE780">
        <v>104</v>
      </c>
      <c r="AF780" t="str">
        <v>Urbana</v>
      </c>
      <c r="AG780" t="str">
        <v>Nao</v>
      </c>
    </row>
    <row r="781" spans="2:33" x14ac:dyDescent="0.45">
      <c r="B781" s="4">
        <v>780</v>
      </c>
      <c r="C781" s="4" t="s">
        <v>41</v>
      </c>
      <c r="D781" s="4" t="s">
        <v>16</v>
      </c>
      <c r="E781" s="4" t="s">
        <v>17</v>
      </c>
      <c r="F781" s="4" t="s">
        <v>24</v>
      </c>
      <c r="G781" s="4" t="s">
        <v>19</v>
      </c>
      <c r="H781" s="4" t="s">
        <v>34</v>
      </c>
      <c r="I781" s="4">
        <v>7</v>
      </c>
      <c r="J781" s="5">
        <v>31.1</v>
      </c>
      <c r="K781" s="6">
        <v>1.35</v>
      </c>
      <c r="L781" s="4">
        <v>2</v>
      </c>
      <c r="M781" s="4">
        <v>95</v>
      </c>
      <c r="N781" s="4">
        <v>74</v>
      </c>
      <c r="O781" s="4" t="s">
        <v>26</v>
      </c>
      <c r="P781" s="7" t="s">
        <v>19</v>
      </c>
      <c r="S781">
        <v>1664</v>
      </c>
      <c r="T781" t="str">
        <v>Gaza</v>
      </c>
      <c r="U781" t="str">
        <v>Masculino</v>
      </c>
      <c r="V781" t="str">
        <v>Solteiro(a)</v>
      </c>
      <c r="W781" t="str">
        <v>Secundaria</v>
      </c>
      <c r="X781" t="str">
        <v>Sim</v>
      </c>
      <c r="Y781" t="str">
        <v>Hipertensao</v>
      </c>
      <c r="Z781">
        <v>60</v>
      </c>
      <c r="AA781">
        <v>64.5</v>
      </c>
      <c r="AB781">
        <v>1.64</v>
      </c>
      <c r="AC781">
        <v>4</v>
      </c>
      <c r="AD781">
        <v>152</v>
      </c>
      <c r="AE781">
        <v>82</v>
      </c>
      <c r="AF781" t="str">
        <v>Rural</v>
      </c>
      <c r="AG781" t="str">
        <v>Nao</v>
      </c>
    </row>
    <row r="782" spans="2:33" x14ac:dyDescent="0.45">
      <c r="B782" s="4">
        <v>781</v>
      </c>
      <c r="C782" s="4" t="s">
        <v>27</v>
      </c>
      <c r="D782" s="4" t="s">
        <v>23</v>
      </c>
      <c r="E782" s="4" t="s">
        <v>35</v>
      </c>
      <c r="F782" s="4" t="s">
        <v>24</v>
      </c>
      <c r="G782" s="4" t="s">
        <v>19</v>
      </c>
      <c r="H782" s="4" t="s">
        <v>28</v>
      </c>
      <c r="I782" s="4">
        <v>40</v>
      </c>
      <c r="J782" s="5">
        <v>59</v>
      </c>
      <c r="K782" s="6">
        <v>1.5</v>
      </c>
      <c r="L782" s="4">
        <v>2</v>
      </c>
      <c r="M782" s="4">
        <v>116</v>
      </c>
      <c r="N782" s="4">
        <v>80</v>
      </c>
      <c r="O782" s="4" t="s">
        <v>21</v>
      </c>
      <c r="P782" s="7" t="s">
        <v>19</v>
      </c>
      <c r="S782">
        <v>1665</v>
      </c>
      <c r="T782" t="str">
        <v>Maputo Provincia</v>
      </c>
      <c r="U782" t="str">
        <v>Masculino</v>
      </c>
      <c r="V782" t="str">
        <v>Divorciado(a)</v>
      </c>
      <c r="W782" t="str">
        <v>Nenhuma</v>
      </c>
      <c r="X782" t="str">
        <v>Nao</v>
      </c>
      <c r="Y782" t="str">
        <v>Nenhuma</v>
      </c>
      <c r="Z782">
        <v>8</v>
      </c>
      <c r="AA782">
        <v>32.6</v>
      </c>
      <c r="AB782">
        <v>1.31</v>
      </c>
      <c r="AC782">
        <v>2</v>
      </c>
      <c r="AD782">
        <v>114</v>
      </c>
      <c r="AE782">
        <v>77</v>
      </c>
      <c r="AF782" t="str">
        <v>Urbana</v>
      </c>
      <c r="AG782" t="str">
        <v>Sim</v>
      </c>
    </row>
    <row r="783" spans="2:33" x14ac:dyDescent="0.45">
      <c r="B783" s="4">
        <v>782</v>
      </c>
      <c r="C783" s="4" t="s">
        <v>31</v>
      </c>
      <c r="D783" s="4" t="s">
        <v>16</v>
      </c>
      <c r="E783" s="4" t="s">
        <v>17</v>
      </c>
      <c r="F783" s="4" t="s">
        <v>28</v>
      </c>
      <c r="G783" s="4" t="s">
        <v>19</v>
      </c>
      <c r="H783" s="4" t="s">
        <v>32</v>
      </c>
      <c r="I783" s="4">
        <v>48</v>
      </c>
      <c r="J783" s="5">
        <v>69.099999999999994</v>
      </c>
      <c r="K783" s="6">
        <v>1.6</v>
      </c>
      <c r="L783" s="4">
        <v>2</v>
      </c>
      <c r="M783" s="4">
        <v>116</v>
      </c>
      <c r="N783" s="4">
        <v>185</v>
      </c>
      <c r="O783" s="4" t="s">
        <v>21</v>
      </c>
      <c r="P783" s="7" t="s">
        <v>19</v>
      </c>
      <c r="S783">
        <v>1666</v>
      </c>
      <c r="T783" t="str">
        <v>Maputo Cidade</v>
      </c>
      <c r="U783" t="str">
        <v>Masculino</v>
      </c>
      <c r="V783" t="str">
        <v>Casado(a)</v>
      </c>
      <c r="W783" t="str">
        <v>Secundaria</v>
      </c>
      <c r="X783" t="str">
        <v>Sim</v>
      </c>
      <c r="Y783" t="str">
        <v>Malaria</v>
      </c>
      <c r="Z783">
        <v>4</v>
      </c>
      <c r="AA783">
        <v>11.3</v>
      </c>
      <c r="AB783">
        <v>0.72</v>
      </c>
      <c r="AC783">
        <v>5</v>
      </c>
      <c r="AD783">
        <v>109</v>
      </c>
      <c r="AE783">
        <v>78</v>
      </c>
      <c r="AF783" t="str">
        <v>Urbana</v>
      </c>
      <c r="AG783" t="str">
        <v>Nao</v>
      </c>
    </row>
    <row r="784" spans="2:33" x14ac:dyDescent="0.45">
      <c r="B784" s="4">
        <v>783</v>
      </c>
      <c r="C784" s="4" t="s">
        <v>31</v>
      </c>
      <c r="D784" s="4" t="s">
        <v>16</v>
      </c>
      <c r="E784" s="4" t="s">
        <v>37</v>
      </c>
      <c r="F784" s="4" t="s">
        <v>18</v>
      </c>
      <c r="G784" s="4" t="s">
        <v>19</v>
      </c>
      <c r="H784" s="4" t="s">
        <v>25</v>
      </c>
      <c r="I784" s="4">
        <v>55</v>
      </c>
      <c r="J784" s="5">
        <v>77.2</v>
      </c>
      <c r="K784" s="6">
        <v>1.76</v>
      </c>
      <c r="L784" s="4">
        <v>2</v>
      </c>
      <c r="M784" s="4">
        <v>117</v>
      </c>
      <c r="N784" s="4">
        <v>101</v>
      </c>
      <c r="O784" s="4" t="s">
        <v>21</v>
      </c>
      <c r="P784" s="7" t="s">
        <v>19</v>
      </c>
      <c r="S784">
        <v>1667</v>
      </c>
      <c r="T784" t="str">
        <v>Sofala</v>
      </c>
      <c r="U784" t="str">
        <v>Masculino</v>
      </c>
      <c r="V784" t="str">
        <v>Solteiro(a)</v>
      </c>
      <c r="W784" t="str">
        <v>Primaria</v>
      </c>
      <c r="X784" t="str">
        <v>Nao</v>
      </c>
      <c r="Y784" t="str">
        <v>Hipertensao</v>
      </c>
      <c r="Z784">
        <v>62</v>
      </c>
      <c r="AA784">
        <v>60.3</v>
      </c>
      <c r="AB784">
        <v>1.66</v>
      </c>
      <c r="AC784">
        <v>3</v>
      </c>
      <c r="AD784">
        <v>139</v>
      </c>
      <c r="AE784">
        <v>94</v>
      </c>
      <c r="AF784" t="str">
        <v>Urbana</v>
      </c>
      <c r="AG784" t="str">
        <v>Nao</v>
      </c>
    </row>
    <row r="785" spans="2:33" x14ac:dyDescent="0.45">
      <c r="B785" s="4">
        <v>784</v>
      </c>
      <c r="C785" s="4" t="s">
        <v>27</v>
      </c>
      <c r="D785" s="4" t="s">
        <v>23</v>
      </c>
      <c r="E785" s="4" t="s">
        <v>35</v>
      </c>
      <c r="F785" s="4" t="s">
        <v>28</v>
      </c>
      <c r="G785" s="4" t="s">
        <v>19</v>
      </c>
      <c r="H785" s="4" t="s">
        <v>28</v>
      </c>
      <c r="I785" s="4">
        <v>28</v>
      </c>
      <c r="J785" s="5">
        <v>85.1</v>
      </c>
      <c r="K785" s="6">
        <v>1.85</v>
      </c>
      <c r="L785" s="4">
        <v>7</v>
      </c>
      <c r="M785" s="4">
        <v>109</v>
      </c>
      <c r="N785" s="4">
        <v>80</v>
      </c>
      <c r="O785" s="4" t="s">
        <v>21</v>
      </c>
      <c r="P785" s="7" t="s">
        <v>19</v>
      </c>
      <c r="S785">
        <v>1668</v>
      </c>
      <c r="T785" t="str">
        <v>Sofala</v>
      </c>
      <c r="U785" t="str">
        <v>Masculino</v>
      </c>
      <c r="V785" t="str">
        <v>Casado(a)</v>
      </c>
      <c r="W785" t="str">
        <v>Primaria</v>
      </c>
      <c r="X785" t="str">
        <v>Nao</v>
      </c>
      <c r="Y785" t="str">
        <v>Malaria</v>
      </c>
      <c r="Z785">
        <v>8</v>
      </c>
      <c r="AA785">
        <v>20.3</v>
      </c>
      <c r="AB785">
        <v>1.28</v>
      </c>
      <c r="AC785">
        <v>3</v>
      </c>
      <c r="AD785">
        <v>103</v>
      </c>
      <c r="AE785">
        <v>95</v>
      </c>
      <c r="AF785" t="str">
        <v>Rural</v>
      </c>
      <c r="AG785" t="str">
        <v>Nao</v>
      </c>
    </row>
    <row r="786" spans="2:33" x14ac:dyDescent="0.45">
      <c r="B786" s="4">
        <v>785</v>
      </c>
      <c r="C786" s="4" t="s">
        <v>43</v>
      </c>
      <c r="D786" s="4" t="s">
        <v>23</v>
      </c>
      <c r="E786" s="4" t="s">
        <v>35</v>
      </c>
      <c r="F786" s="4" t="s">
        <v>24</v>
      </c>
      <c r="G786" s="4" t="s">
        <v>19</v>
      </c>
      <c r="H786" s="4" t="s">
        <v>25</v>
      </c>
      <c r="I786" s="4">
        <v>29</v>
      </c>
      <c r="J786" s="5">
        <v>70.3</v>
      </c>
      <c r="K786" s="6">
        <v>1.65</v>
      </c>
      <c r="L786" s="4">
        <v>4</v>
      </c>
      <c r="M786" s="4">
        <v>111</v>
      </c>
      <c r="N786" s="4">
        <v>80</v>
      </c>
      <c r="O786" s="4" t="s">
        <v>26</v>
      </c>
      <c r="P786" s="7" t="s">
        <v>30</v>
      </c>
      <c r="S786">
        <v>1671</v>
      </c>
      <c r="T786" t="str">
        <v>Cabo Delgado</v>
      </c>
      <c r="U786" t="str">
        <v>Masculino</v>
      </c>
      <c r="V786" t="str">
        <v>Casado(a)</v>
      </c>
      <c r="W786" t="str">
        <v>Nenhuma</v>
      </c>
      <c r="X786" t="str">
        <v>Nao</v>
      </c>
      <c r="Y786" t="str">
        <v>Diarreia</v>
      </c>
      <c r="Z786">
        <v>4</v>
      </c>
      <c r="AA786">
        <v>11.4</v>
      </c>
      <c r="AB786">
        <v>0.63</v>
      </c>
      <c r="AC786">
        <v>0</v>
      </c>
      <c r="AD786">
        <v>115</v>
      </c>
      <c r="AE786">
        <v>103</v>
      </c>
      <c r="AF786" t="str">
        <v>Rural</v>
      </c>
      <c r="AG786" t="str">
        <v>Nao</v>
      </c>
    </row>
    <row r="787" spans="2:33" x14ac:dyDescent="0.45">
      <c r="B787" s="4">
        <v>786</v>
      </c>
      <c r="C787" s="4" t="s">
        <v>43</v>
      </c>
      <c r="D787" s="4" t="s">
        <v>16</v>
      </c>
      <c r="E787" s="4" t="s">
        <v>35</v>
      </c>
      <c r="F787" s="4" t="s">
        <v>42</v>
      </c>
      <c r="G787" s="4" t="s">
        <v>19</v>
      </c>
      <c r="H787" s="4" t="s">
        <v>20</v>
      </c>
      <c r="I787" s="4">
        <v>38</v>
      </c>
      <c r="J787" s="5">
        <v>54.1</v>
      </c>
      <c r="K787" s="6">
        <v>1.58</v>
      </c>
      <c r="L787" s="4">
        <v>3</v>
      </c>
      <c r="M787" s="4">
        <v>126</v>
      </c>
      <c r="N787" s="4">
        <v>74</v>
      </c>
      <c r="O787" s="4" t="s">
        <v>26</v>
      </c>
      <c r="P787" s="7" t="s">
        <v>19</v>
      </c>
      <c r="S787">
        <v>1672</v>
      </c>
      <c r="T787" t="str">
        <v>Nampula</v>
      </c>
      <c r="U787" t="str">
        <v>Masculino</v>
      </c>
      <c r="V787" t="str">
        <v>Solteiro(a)</v>
      </c>
      <c r="W787" t="str">
        <v>Primaria</v>
      </c>
      <c r="X787" t="str">
        <v>Nao</v>
      </c>
      <c r="Y787" t="str">
        <v>Nenhuma</v>
      </c>
      <c r="Z787">
        <v>3</v>
      </c>
      <c r="AA787">
        <v>9</v>
      </c>
      <c r="AB787">
        <v>0.75</v>
      </c>
      <c r="AC787">
        <v>8</v>
      </c>
      <c r="AD787">
        <v>106</v>
      </c>
      <c r="AE787">
        <v>94</v>
      </c>
      <c r="AF787" t="str">
        <v>Rural</v>
      </c>
      <c r="AG787" t="str">
        <v>Nao</v>
      </c>
    </row>
    <row r="788" spans="2:33" x14ac:dyDescent="0.45">
      <c r="B788" s="4">
        <v>787</v>
      </c>
      <c r="C788" s="4" t="s">
        <v>22</v>
      </c>
      <c r="D788" s="4" t="s">
        <v>16</v>
      </c>
      <c r="E788" s="4" t="s">
        <v>17</v>
      </c>
      <c r="F788" s="4" t="s">
        <v>18</v>
      </c>
      <c r="G788" s="4" t="s">
        <v>19</v>
      </c>
      <c r="H788" s="4" t="s">
        <v>36</v>
      </c>
      <c r="I788" s="4">
        <v>23</v>
      </c>
      <c r="J788" s="5">
        <v>51.2</v>
      </c>
      <c r="K788" s="6">
        <v>1.6</v>
      </c>
      <c r="L788" s="4">
        <v>5</v>
      </c>
      <c r="M788" s="4">
        <v>129</v>
      </c>
      <c r="N788" s="4">
        <v>85</v>
      </c>
      <c r="O788" s="4" t="s">
        <v>21</v>
      </c>
      <c r="P788" s="7" t="s">
        <v>19</v>
      </c>
      <c r="S788">
        <v>1675</v>
      </c>
      <c r="T788" t="str">
        <v>Cabo Delgado</v>
      </c>
      <c r="U788" t="str">
        <v>Masculino</v>
      </c>
      <c r="V788" t="str">
        <v>Casado(a)</v>
      </c>
      <c r="W788" t="str">
        <v>Primaria</v>
      </c>
      <c r="X788" t="str">
        <v>Nao</v>
      </c>
      <c r="Y788" t="str">
        <v>Malaria</v>
      </c>
      <c r="Z788">
        <v>35</v>
      </c>
      <c r="AA788">
        <v>93.7</v>
      </c>
      <c r="AB788">
        <v>1.5</v>
      </c>
      <c r="AC788">
        <v>8</v>
      </c>
      <c r="AD788">
        <v>107</v>
      </c>
      <c r="AE788">
        <v>77</v>
      </c>
      <c r="AF788" t="str">
        <v>Urbana</v>
      </c>
      <c r="AG788" t="str">
        <v>Nao</v>
      </c>
    </row>
    <row r="789" spans="2:33" x14ac:dyDescent="0.45">
      <c r="B789" s="4">
        <v>788</v>
      </c>
      <c r="C789" s="4" t="s">
        <v>33</v>
      </c>
      <c r="D789" s="4" t="s">
        <v>16</v>
      </c>
      <c r="E789" s="4" t="s">
        <v>17</v>
      </c>
      <c r="F789" s="4" t="s">
        <v>24</v>
      </c>
      <c r="G789" s="4" t="s">
        <v>19</v>
      </c>
      <c r="H789" s="4" t="s">
        <v>34</v>
      </c>
      <c r="I789" s="4">
        <v>1</v>
      </c>
      <c r="J789" s="5">
        <v>8.3000000000000007</v>
      </c>
      <c r="K789" s="6">
        <v>0.69</v>
      </c>
      <c r="L789" s="4">
        <v>9</v>
      </c>
      <c r="M789" s="4">
        <v>100</v>
      </c>
      <c r="N789" s="4">
        <v>85</v>
      </c>
      <c r="O789" s="4" t="s">
        <v>21</v>
      </c>
      <c r="P789" s="7" t="s">
        <v>19</v>
      </c>
      <c r="S789">
        <v>1676</v>
      </c>
      <c r="T789" t="str">
        <v>Nampula</v>
      </c>
      <c r="U789" t="str">
        <v>Masculino</v>
      </c>
      <c r="V789" t="str">
        <v>Casado(a)</v>
      </c>
      <c r="W789" t="str">
        <v>Primaria</v>
      </c>
      <c r="X789" t="str">
        <v>Nao</v>
      </c>
      <c r="Y789" t="str">
        <v>Pneumonia</v>
      </c>
      <c r="Z789">
        <v>16</v>
      </c>
      <c r="AA789">
        <v>54.1</v>
      </c>
      <c r="AB789">
        <v>1.46</v>
      </c>
      <c r="AC789">
        <v>1</v>
      </c>
      <c r="AD789">
        <v>106</v>
      </c>
      <c r="AE789">
        <v>89</v>
      </c>
      <c r="AF789" t="str">
        <v>Urbana</v>
      </c>
      <c r="AG789" t="str">
        <v>Nao</v>
      </c>
    </row>
    <row r="790" spans="2:33" x14ac:dyDescent="0.45">
      <c r="B790" s="4">
        <v>789</v>
      </c>
      <c r="C790" s="4" t="s">
        <v>29</v>
      </c>
      <c r="D790" s="4" t="s">
        <v>23</v>
      </c>
      <c r="E790" s="4" t="s">
        <v>37</v>
      </c>
      <c r="F790" s="4" t="s">
        <v>18</v>
      </c>
      <c r="G790" s="4" t="s">
        <v>30</v>
      </c>
      <c r="H790" s="4" t="s">
        <v>28</v>
      </c>
      <c r="I790" s="4">
        <v>10</v>
      </c>
      <c r="J790" s="5">
        <v>26.9</v>
      </c>
      <c r="K790" s="6">
        <v>1.29</v>
      </c>
      <c r="L790" s="4">
        <v>5</v>
      </c>
      <c r="M790" s="4">
        <v>117</v>
      </c>
      <c r="N790" s="4">
        <v>71</v>
      </c>
      <c r="O790" s="4" t="s">
        <v>26</v>
      </c>
      <c r="P790" s="7" t="s">
        <v>19</v>
      </c>
      <c r="S790">
        <v>1677</v>
      </c>
      <c r="T790" t="str">
        <v>Sofala</v>
      </c>
      <c r="U790" t="str">
        <v>Masculino</v>
      </c>
      <c r="V790" t="str">
        <v>Divorciado(a)</v>
      </c>
      <c r="W790" t="str">
        <v>Secundaria</v>
      </c>
      <c r="X790" t="str">
        <v>Nao</v>
      </c>
      <c r="Y790" t="str">
        <v>HIV/SIDA</v>
      </c>
      <c r="Z790">
        <v>8</v>
      </c>
      <c r="AA790">
        <v>30.7</v>
      </c>
      <c r="AB790">
        <v>1.35</v>
      </c>
      <c r="AC790">
        <v>5</v>
      </c>
      <c r="AD790">
        <v>105</v>
      </c>
      <c r="AE790">
        <v>99</v>
      </c>
      <c r="AF790" t="str">
        <v>Rural</v>
      </c>
      <c r="AG790" t="str">
        <v>Nao</v>
      </c>
    </row>
    <row r="791" spans="2:33" x14ac:dyDescent="0.45">
      <c r="B791" s="4">
        <v>790</v>
      </c>
      <c r="C791" s="4" t="s">
        <v>45</v>
      </c>
      <c r="D791" s="4" t="s">
        <v>16</v>
      </c>
      <c r="E791" s="4" t="s">
        <v>37</v>
      </c>
      <c r="F791" s="4" t="s">
        <v>24</v>
      </c>
      <c r="G791" s="4" t="s">
        <v>19</v>
      </c>
      <c r="H791" s="4" t="s">
        <v>25</v>
      </c>
      <c r="I791" s="4">
        <v>3</v>
      </c>
      <c r="J791" s="5">
        <v>6.3</v>
      </c>
      <c r="K791" s="6">
        <v>0.61</v>
      </c>
      <c r="L791" s="4">
        <v>3</v>
      </c>
      <c r="M791" s="4">
        <v>110</v>
      </c>
      <c r="N791" s="4">
        <v>84</v>
      </c>
      <c r="O791" s="4" t="s">
        <v>26</v>
      </c>
      <c r="P791" s="7" t="s">
        <v>19</v>
      </c>
      <c r="S791">
        <v>1678</v>
      </c>
      <c r="T791" t="str">
        <v>Sofala</v>
      </c>
      <c r="U791" t="str">
        <v>Masculino</v>
      </c>
      <c r="V791" t="str">
        <v>Casado(a)</v>
      </c>
      <c r="W791" t="str">
        <v>Nenhuma</v>
      </c>
      <c r="X791" t="str">
        <v>Nao</v>
      </c>
      <c r="Y791" t="str">
        <v>Malaria</v>
      </c>
      <c r="Z791">
        <v>29</v>
      </c>
      <c r="AA791">
        <v>54.7</v>
      </c>
      <c r="AB791">
        <v>1.79</v>
      </c>
      <c r="AC791">
        <v>1</v>
      </c>
      <c r="AD791">
        <v>105</v>
      </c>
      <c r="AE791">
        <v>103</v>
      </c>
      <c r="AF791" t="str">
        <v>Rural</v>
      </c>
      <c r="AG791" t="str">
        <v>Nao</v>
      </c>
    </row>
    <row r="792" spans="2:33" x14ac:dyDescent="0.45">
      <c r="B792" s="4">
        <v>791</v>
      </c>
      <c r="C792" s="4" t="s">
        <v>43</v>
      </c>
      <c r="D792" s="4" t="s">
        <v>23</v>
      </c>
      <c r="E792" s="4" t="s">
        <v>35</v>
      </c>
      <c r="F792" s="4" t="s">
        <v>24</v>
      </c>
      <c r="G792" s="4" t="s">
        <v>19</v>
      </c>
      <c r="H792" s="4" t="s">
        <v>28</v>
      </c>
      <c r="I792" s="4">
        <v>40</v>
      </c>
      <c r="J792" s="5">
        <v>54.5</v>
      </c>
      <c r="K792" s="6">
        <v>1.8</v>
      </c>
      <c r="L792" s="4">
        <v>2</v>
      </c>
      <c r="M792" s="4">
        <v>120</v>
      </c>
      <c r="N792" s="4">
        <v>73</v>
      </c>
      <c r="O792" s="4" t="s">
        <v>21</v>
      </c>
      <c r="P792" s="7" t="s">
        <v>19</v>
      </c>
      <c r="S792">
        <v>1679</v>
      </c>
      <c r="T792" t="str">
        <v>Nampula</v>
      </c>
      <c r="U792" t="str">
        <v>Masculino</v>
      </c>
      <c r="V792" t="str">
        <v>Viuvo(a)</v>
      </c>
      <c r="W792" t="str">
        <v>Primaria</v>
      </c>
      <c r="X792" t="str">
        <v>Nao</v>
      </c>
      <c r="Y792" t="str">
        <v>Diabetes</v>
      </c>
      <c r="Z792">
        <v>41</v>
      </c>
      <c r="AA792">
        <v>89.4</v>
      </c>
      <c r="AB792">
        <v>1.49</v>
      </c>
      <c r="AC792">
        <v>8</v>
      </c>
      <c r="AD792">
        <v>110</v>
      </c>
      <c r="AE792">
        <v>149</v>
      </c>
      <c r="AF792" t="str">
        <v>Urbana</v>
      </c>
      <c r="AG792" t="str">
        <v>Nao</v>
      </c>
    </row>
    <row r="793" spans="2:33" x14ac:dyDescent="0.45">
      <c r="B793" s="4">
        <v>792</v>
      </c>
      <c r="C793" s="4" t="s">
        <v>33</v>
      </c>
      <c r="D793" s="4" t="s">
        <v>16</v>
      </c>
      <c r="E793" s="4" t="s">
        <v>35</v>
      </c>
      <c r="F793" s="4" t="s">
        <v>18</v>
      </c>
      <c r="G793" s="4" t="s">
        <v>19</v>
      </c>
      <c r="H793" s="4" t="s">
        <v>20</v>
      </c>
      <c r="I793" s="4">
        <v>3</v>
      </c>
      <c r="J793" s="5">
        <v>17.2</v>
      </c>
      <c r="K793" s="6">
        <v>0.88</v>
      </c>
      <c r="L793" s="4">
        <v>3</v>
      </c>
      <c r="M793" s="4">
        <v>98</v>
      </c>
      <c r="N793" s="4">
        <v>88</v>
      </c>
      <c r="O793" s="4" t="s">
        <v>26</v>
      </c>
      <c r="P793" s="7" t="s">
        <v>19</v>
      </c>
      <c r="S793">
        <v>1680</v>
      </c>
      <c r="T793" t="str">
        <v>Nampula</v>
      </c>
      <c r="U793" t="str">
        <v>Masculino</v>
      </c>
      <c r="V793" t="str">
        <v>Casado(a)</v>
      </c>
      <c r="W793" t="str">
        <v>Nenhuma</v>
      </c>
      <c r="X793" t="str">
        <v>Nao</v>
      </c>
      <c r="Y793" t="str">
        <v>Diarreia</v>
      </c>
      <c r="Z793">
        <v>31</v>
      </c>
      <c r="AA793">
        <v>84.4</v>
      </c>
      <c r="AB793">
        <v>1.67</v>
      </c>
      <c r="AC793">
        <v>6</v>
      </c>
      <c r="AD793">
        <v>132</v>
      </c>
      <c r="AE793">
        <v>98</v>
      </c>
      <c r="AF793" t="str">
        <v>Urbana</v>
      </c>
      <c r="AG793" t="str">
        <v>Sim</v>
      </c>
    </row>
    <row r="794" spans="2:33" x14ac:dyDescent="0.45">
      <c r="B794" s="4">
        <v>793</v>
      </c>
      <c r="C794" s="4" t="s">
        <v>15</v>
      </c>
      <c r="D794" s="4" t="s">
        <v>23</v>
      </c>
      <c r="E794" s="4" t="s">
        <v>35</v>
      </c>
      <c r="F794" s="4" t="s">
        <v>24</v>
      </c>
      <c r="G794" s="4" t="s">
        <v>19</v>
      </c>
      <c r="H794" s="4" t="s">
        <v>34</v>
      </c>
      <c r="I794" s="4">
        <v>16</v>
      </c>
      <c r="J794" s="5">
        <v>41.5</v>
      </c>
      <c r="K794" s="6">
        <v>1.74</v>
      </c>
      <c r="L794" s="4">
        <v>1</v>
      </c>
      <c r="M794" s="4">
        <v>116</v>
      </c>
      <c r="N794" s="4">
        <v>85</v>
      </c>
      <c r="O794" s="4" t="s">
        <v>21</v>
      </c>
      <c r="P794" s="7" t="s">
        <v>19</v>
      </c>
      <c r="S794">
        <v>1685</v>
      </c>
      <c r="T794" t="str">
        <v>Maputo Cidade</v>
      </c>
      <c r="U794" t="str">
        <v>Masculino</v>
      </c>
      <c r="V794" t="str">
        <v>Viuvo(a)</v>
      </c>
      <c r="W794" t="str">
        <v>Nenhuma</v>
      </c>
      <c r="X794" t="str">
        <v>Nao</v>
      </c>
      <c r="Y794" t="str">
        <v>Hipertensao</v>
      </c>
      <c r="Z794">
        <v>27</v>
      </c>
      <c r="AA794">
        <v>93.5</v>
      </c>
      <c r="AB794">
        <v>1.86</v>
      </c>
      <c r="AC794">
        <v>1</v>
      </c>
      <c r="AD794">
        <v>147</v>
      </c>
      <c r="AE794">
        <v>85</v>
      </c>
      <c r="AF794" t="str">
        <v>Rural</v>
      </c>
      <c r="AG794" t="str">
        <v>Nao</v>
      </c>
    </row>
    <row r="795" spans="2:33" x14ac:dyDescent="0.45">
      <c r="B795" s="4">
        <v>794</v>
      </c>
      <c r="C795" s="4" t="s">
        <v>33</v>
      </c>
      <c r="D795" s="4" t="s">
        <v>16</v>
      </c>
      <c r="E795" s="4" t="s">
        <v>17</v>
      </c>
      <c r="F795" s="4" t="s">
        <v>24</v>
      </c>
      <c r="G795" s="4" t="s">
        <v>19</v>
      </c>
      <c r="H795" s="4" t="s">
        <v>28</v>
      </c>
      <c r="I795" s="4">
        <v>10</v>
      </c>
      <c r="J795" s="5">
        <v>27.2</v>
      </c>
      <c r="K795" s="6">
        <v>1.0900000000000001</v>
      </c>
      <c r="L795" s="4">
        <v>8</v>
      </c>
      <c r="M795" s="4">
        <v>97</v>
      </c>
      <c r="N795" s="4">
        <v>79</v>
      </c>
      <c r="O795" s="4" t="s">
        <v>21</v>
      </c>
      <c r="P795" s="7" t="s">
        <v>19</v>
      </c>
      <c r="S795">
        <v>1688</v>
      </c>
      <c r="T795" t="str">
        <v>Nampula</v>
      </c>
      <c r="U795" t="str">
        <v>Masculino</v>
      </c>
      <c r="V795" t="str">
        <v>Casado(a)</v>
      </c>
      <c r="W795" t="str">
        <v>Primaria</v>
      </c>
      <c r="X795" t="str">
        <v>Nao</v>
      </c>
      <c r="Y795" t="str">
        <v>Malaria</v>
      </c>
      <c r="Z795">
        <v>28</v>
      </c>
      <c r="AA795">
        <v>49.4</v>
      </c>
      <c r="AB795">
        <v>1.58</v>
      </c>
      <c r="AC795">
        <v>1</v>
      </c>
      <c r="AD795">
        <v>109</v>
      </c>
      <c r="AE795">
        <v>91</v>
      </c>
      <c r="AF795" t="str">
        <v>Rural</v>
      </c>
      <c r="AG795" t="str">
        <v>Nao</v>
      </c>
    </row>
    <row r="796" spans="2:33" x14ac:dyDescent="0.45">
      <c r="B796" s="4">
        <v>795</v>
      </c>
      <c r="C796" s="4" t="s">
        <v>27</v>
      </c>
      <c r="D796" s="4" t="s">
        <v>23</v>
      </c>
      <c r="E796" s="4" t="s">
        <v>35</v>
      </c>
      <c r="F796" s="4" t="s">
        <v>24</v>
      </c>
      <c r="G796" s="4" t="s">
        <v>19</v>
      </c>
      <c r="H796" s="4" t="s">
        <v>20</v>
      </c>
      <c r="I796" s="4">
        <v>20</v>
      </c>
      <c r="J796" s="5">
        <v>49.2</v>
      </c>
      <c r="K796" s="6">
        <v>1.49</v>
      </c>
      <c r="L796" s="4">
        <v>1</v>
      </c>
      <c r="M796" s="4">
        <v>121</v>
      </c>
      <c r="N796" s="4">
        <v>75</v>
      </c>
      <c r="O796" s="4" t="s">
        <v>26</v>
      </c>
      <c r="P796" s="7" t="s">
        <v>30</v>
      </c>
      <c r="S796">
        <v>1689</v>
      </c>
      <c r="T796" t="str">
        <v>Zambezia</v>
      </c>
      <c r="U796" t="str">
        <v>Masculino</v>
      </c>
      <c r="V796" t="str">
        <v>Solteiro(a)</v>
      </c>
      <c r="W796" t="str">
        <v>Superior</v>
      </c>
      <c r="X796" t="str">
        <v>Sim</v>
      </c>
      <c r="Y796" t="str">
        <v>Tuberculose</v>
      </c>
      <c r="Z796">
        <v>17</v>
      </c>
      <c r="AA796">
        <v>63.4</v>
      </c>
      <c r="AB796">
        <v>1.66</v>
      </c>
      <c r="AC796">
        <v>3</v>
      </c>
      <c r="AD796">
        <v>106</v>
      </c>
      <c r="AE796">
        <v>87</v>
      </c>
      <c r="AF796" t="str">
        <v>Urbana</v>
      </c>
      <c r="AG796" t="str">
        <v>Nao</v>
      </c>
    </row>
    <row r="797" spans="2:33" x14ac:dyDescent="0.45">
      <c r="B797" s="4">
        <v>796</v>
      </c>
      <c r="C797" s="4" t="s">
        <v>40</v>
      </c>
      <c r="D797" s="4" t="s">
        <v>23</v>
      </c>
      <c r="E797" s="4" t="s">
        <v>17</v>
      </c>
      <c r="F797" s="4" t="s">
        <v>24</v>
      </c>
      <c r="G797" s="4" t="s">
        <v>19</v>
      </c>
      <c r="H797" s="4" t="s">
        <v>20</v>
      </c>
      <c r="I797" s="4">
        <v>19</v>
      </c>
      <c r="J797" s="5">
        <v>81.900000000000006</v>
      </c>
      <c r="K797" s="6">
        <v>1.54</v>
      </c>
      <c r="L797" s="4">
        <v>4</v>
      </c>
      <c r="M797" s="4">
        <v>109</v>
      </c>
      <c r="N797" s="4">
        <v>85</v>
      </c>
      <c r="O797" s="4" t="s">
        <v>21</v>
      </c>
      <c r="P797" s="7" t="s">
        <v>30</v>
      </c>
      <c r="S797">
        <v>1692</v>
      </c>
      <c r="T797" t="str">
        <v>Gaza</v>
      </c>
      <c r="U797" t="str">
        <v>Masculino</v>
      </c>
      <c r="V797" t="str">
        <v>Casado(a)</v>
      </c>
      <c r="W797" t="str">
        <v>Nenhuma</v>
      </c>
      <c r="X797" t="str">
        <v>Nao</v>
      </c>
      <c r="Y797" t="str">
        <v>Nenhuma</v>
      </c>
      <c r="Z797">
        <v>2</v>
      </c>
      <c r="AA797">
        <v>15.4</v>
      </c>
      <c r="AB797">
        <v>0.64</v>
      </c>
      <c r="AC797">
        <v>2</v>
      </c>
      <c r="AD797">
        <v>112</v>
      </c>
      <c r="AE797">
        <v>98</v>
      </c>
      <c r="AF797" t="str">
        <v>Rural</v>
      </c>
      <c r="AG797" t="str">
        <v>Nao</v>
      </c>
    </row>
    <row r="798" spans="2:33" x14ac:dyDescent="0.45">
      <c r="B798" s="4">
        <v>797</v>
      </c>
      <c r="C798" s="4" t="s">
        <v>29</v>
      </c>
      <c r="D798" s="4" t="s">
        <v>23</v>
      </c>
      <c r="E798" s="4" t="s">
        <v>44</v>
      </c>
      <c r="F798" s="4" t="s">
        <v>28</v>
      </c>
      <c r="G798" s="4" t="s">
        <v>19</v>
      </c>
      <c r="H798" s="4" t="s">
        <v>36</v>
      </c>
      <c r="I798" s="4">
        <v>4</v>
      </c>
      <c r="J798" s="5">
        <v>11.6</v>
      </c>
      <c r="K798" s="6">
        <v>0.75</v>
      </c>
      <c r="L798" s="4">
        <v>1</v>
      </c>
      <c r="M798" s="4">
        <v>119</v>
      </c>
      <c r="N798" s="4">
        <v>70</v>
      </c>
      <c r="O798" s="4" t="s">
        <v>26</v>
      </c>
      <c r="P798" s="7" t="s">
        <v>30</v>
      </c>
      <c r="S798">
        <v>1694</v>
      </c>
      <c r="T798" t="str">
        <v>Maputo Provincia</v>
      </c>
      <c r="U798" t="str">
        <v>Masculino</v>
      </c>
      <c r="V798" t="str">
        <v>Solteiro(a)</v>
      </c>
      <c r="W798" t="str">
        <v>Secundaria</v>
      </c>
      <c r="X798" t="str">
        <v>Nao</v>
      </c>
      <c r="Y798" t="str">
        <v>Malaria</v>
      </c>
      <c r="Z798">
        <v>69</v>
      </c>
      <c r="AA798">
        <v>64.7</v>
      </c>
      <c r="AB798">
        <v>1.84</v>
      </c>
      <c r="AC798">
        <v>2</v>
      </c>
      <c r="AD798">
        <v>116</v>
      </c>
      <c r="AE798">
        <v>96</v>
      </c>
      <c r="AF798" t="str">
        <v>Rural</v>
      </c>
      <c r="AG798" t="str">
        <v>Nao</v>
      </c>
    </row>
    <row r="799" spans="2:33" x14ac:dyDescent="0.45">
      <c r="B799" s="4">
        <v>798</v>
      </c>
      <c r="C799" s="4" t="s">
        <v>39</v>
      </c>
      <c r="D799" s="4" t="s">
        <v>23</v>
      </c>
      <c r="E799" s="4" t="s">
        <v>17</v>
      </c>
      <c r="F799" s="4" t="s">
        <v>28</v>
      </c>
      <c r="G799" s="4" t="s">
        <v>19</v>
      </c>
      <c r="H799" s="4" t="s">
        <v>46</v>
      </c>
      <c r="I799" s="4">
        <v>56</v>
      </c>
      <c r="J799" s="5">
        <v>55.3</v>
      </c>
      <c r="K799" s="6">
        <v>1.62</v>
      </c>
      <c r="L799" s="4">
        <v>4</v>
      </c>
      <c r="M799" s="4">
        <v>117</v>
      </c>
      <c r="N799" s="4">
        <v>101</v>
      </c>
      <c r="O799" s="4" t="s">
        <v>26</v>
      </c>
      <c r="P799" s="7" t="s">
        <v>19</v>
      </c>
      <c r="S799">
        <v>1699</v>
      </c>
      <c r="T799" t="str">
        <v>Zambezia</v>
      </c>
      <c r="U799" t="str">
        <v>Masculino</v>
      </c>
      <c r="V799" t="str">
        <v>Casado(a)</v>
      </c>
      <c r="W799" t="str">
        <v>Primaria</v>
      </c>
      <c r="X799" t="str">
        <v>Sim</v>
      </c>
      <c r="Y799" t="str">
        <v>Hipertensao</v>
      </c>
      <c r="Z799">
        <v>32</v>
      </c>
      <c r="AA799">
        <v>57.9</v>
      </c>
      <c r="AB799">
        <v>1.81</v>
      </c>
      <c r="AC799">
        <v>1</v>
      </c>
      <c r="AD799">
        <v>126</v>
      </c>
      <c r="AE799">
        <v>91</v>
      </c>
      <c r="AF799" t="str">
        <v>Urbana</v>
      </c>
      <c r="AG799" t="str">
        <v>Nao</v>
      </c>
    </row>
    <row r="800" spans="2:33" x14ac:dyDescent="0.45">
      <c r="B800" s="4">
        <v>799</v>
      </c>
      <c r="C800" s="4" t="s">
        <v>43</v>
      </c>
      <c r="D800" s="4" t="s">
        <v>16</v>
      </c>
      <c r="E800" s="4" t="s">
        <v>35</v>
      </c>
      <c r="F800" s="4" t="s">
        <v>18</v>
      </c>
      <c r="G800" s="4" t="s">
        <v>30</v>
      </c>
      <c r="H800" s="4" t="s">
        <v>20</v>
      </c>
      <c r="I800" s="4">
        <v>11</v>
      </c>
      <c r="J800" s="5">
        <v>33.700000000000003</v>
      </c>
      <c r="K800" s="6">
        <v>1.21</v>
      </c>
      <c r="L800" s="4">
        <v>0</v>
      </c>
      <c r="M800" s="4">
        <v>98</v>
      </c>
      <c r="N800" s="4">
        <v>75</v>
      </c>
      <c r="O800" s="4" t="s">
        <v>21</v>
      </c>
      <c r="P800" s="7" t="s">
        <v>19</v>
      </c>
      <c r="S800">
        <v>1700</v>
      </c>
      <c r="T800" t="str">
        <v>Manica</v>
      </c>
      <c r="U800" t="str">
        <v>Masculino</v>
      </c>
      <c r="V800" t="str">
        <v>Solteiro(a)</v>
      </c>
      <c r="W800" t="str">
        <v>Primaria</v>
      </c>
      <c r="X800" t="str">
        <v>Sim</v>
      </c>
      <c r="Y800" t="str">
        <v>Malaria</v>
      </c>
      <c r="Z800">
        <v>6</v>
      </c>
      <c r="AA800">
        <v>36.1</v>
      </c>
      <c r="AB800">
        <v>1.26</v>
      </c>
      <c r="AC800">
        <v>0</v>
      </c>
      <c r="AD800">
        <v>99</v>
      </c>
      <c r="AE800">
        <v>89</v>
      </c>
      <c r="AF800" t="str">
        <v>Urbana</v>
      </c>
      <c r="AG800" t="str">
        <v>Nao</v>
      </c>
    </row>
    <row r="801" spans="2:33" x14ac:dyDescent="0.45">
      <c r="B801" s="4">
        <v>800</v>
      </c>
      <c r="C801" s="4" t="s">
        <v>43</v>
      </c>
      <c r="D801" s="4" t="s">
        <v>23</v>
      </c>
      <c r="E801" s="4" t="s">
        <v>35</v>
      </c>
      <c r="F801" s="4" t="s">
        <v>24</v>
      </c>
      <c r="G801" s="4" t="s">
        <v>19</v>
      </c>
      <c r="H801" s="4" t="s">
        <v>34</v>
      </c>
      <c r="I801" s="4">
        <v>37</v>
      </c>
      <c r="J801" s="5">
        <v>63.6</v>
      </c>
      <c r="K801" s="6">
        <v>1.72</v>
      </c>
      <c r="L801" s="4">
        <v>1</v>
      </c>
      <c r="M801" s="4">
        <v>116</v>
      </c>
      <c r="N801" s="4">
        <v>87</v>
      </c>
      <c r="O801" s="4" t="s">
        <v>26</v>
      </c>
      <c r="P801" s="7" t="s">
        <v>19</v>
      </c>
      <c r="S801">
        <v>1705</v>
      </c>
      <c r="T801" t="str">
        <v>Maputo Cidade</v>
      </c>
      <c r="U801" t="str">
        <v>Masculino</v>
      </c>
      <c r="V801" t="str">
        <v>Divorciado(a)</v>
      </c>
      <c r="W801" t="str">
        <v>Secundaria</v>
      </c>
      <c r="X801" t="str">
        <v>Sim</v>
      </c>
      <c r="Y801" t="str">
        <v>Malaria</v>
      </c>
      <c r="Z801">
        <v>21</v>
      </c>
      <c r="AA801">
        <v>65.2</v>
      </c>
      <c r="AB801">
        <v>1.87</v>
      </c>
      <c r="AC801">
        <v>0</v>
      </c>
      <c r="AD801">
        <v>119</v>
      </c>
      <c r="AE801">
        <v>70</v>
      </c>
      <c r="AF801" t="str">
        <v>Urbana</v>
      </c>
      <c r="AG801" t="str">
        <v>Sim</v>
      </c>
    </row>
    <row r="802" spans="2:33" x14ac:dyDescent="0.45">
      <c r="B802" s="4">
        <v>801</v>
      </c>
      <c r="C802" s="4" t="s">
        <v>41</v>
      </c>
      <c r="D802" s="4" t="s">
        <v>23</v>
      </c>
      <c r="E802" s="4" t="s">
        <v>35</v>
      </c>
      <c r="F802" s="4" t="s">
        <v>24</v>
      </c>
      <c r="G802" s="4" t="s">
        <v>19</v>
      </c>
      <c r="H802" s="4" t="s">
        <v>46</v>
      </c>
      <c r="I802" s="4">
        <v>21</v>
      </c>
      <c r="J802" s="5">
        <v>59.3</v>
      </c>
      <c r="K802" s="6">
        <v>1.53</v>
      </c>
      <c r="L802" s="4">
        <v>2</v>
      </c>
      <c r="M802" s="4">
        <v>104</v>
      </c>
      <c r="N802" s="4">
        <v>104</v>
      </c>
      <c r="O802" s="4" t="s">
        <v>26</v>
      </c>
      <c r="P802" s="7" t="s">
        <v>30</v>
      </c>
      <c r="S802">
        <v>1707</v>
      </c>
      <c r="T802" t="str">
        <v>Maputo Cidade</v>
      </c>
      <c r="U802" t="str">
        <v>Masculino</v>
      </c>
      <c r="V802" t="str">
        <v>Viuvo(a)</v>
      </c>
      <c r="W802" t="str">
        <v>Primaria</v>
      </c>
      <c r="X802" t="str">
        <v>Nao</v>
      </c>
      <c r="Y802" t="str">
        <v>Malaria</v>
      </c>
      <c r="Z802">
        <v>38</v>
      </c>
      <c r="AA802">
        <v>58.9</v>
      </c>
      <c r="AB802">
        <v>1.7</v>
      </c>
      <c r="AC802">
        <v>2</v>
      </c>
      <c r="AD802">
        <v>109</v>
      </c>
      <c r="AE802">
        <v>97</v>
      </c>
      <c r="AF802" t="str">
        <v>Urbana</v>
      </c>
      <c r="AG802" t="str">
        <v>Nao</v>
      </c>
    </row>
    <row r="803" spans="2:33" x14ac:dyDescent="0.45">
      <c r="B803" s="4">
        <v>802</v>
      </c>
      <c r="C803" s="4" t="s">
        <v>27</v>
      </c>
      <c r="D803" s="4" t="s">
        <v>23</v>
      </c>
      <c r="E803" s="4" t="s">
        <v>35</v>
      </c>
      <c r="F803" s="4" t="s">
        <v>18</v>
      </c>
      <c r="G803" s="4" t="s">
        <v>19</v>
      </c>
      <c r="H803" s="4" t="s">
        <v>20</v>
      </c>
      <c r="I803" s="4">
        <v>4</v>
      </c>
      <c r="J803" s="5">
        <v>7.4</v>
      </c>
      <c r="K803" s="6">
        <v>1.04</v>
      </c>
      <c r="L803" s="4">
        <v>3</v>
      </c>
      <c r="M803" s="4">
        <v>105</v>
      </c>
      <c r="N803" s="4">
        <v>96</v>
      </c>
      <c r="O803" s="4" t="s">
        <v>26</v>
      </c>
      <c r="P803" s="7" t="s">
        <v>19</v>
      </c>
      <c r="S803">
        <v>1708</v>
      </c>
      <c r="T803" t="str">
        <v>Maputo Provincia</v>
      </c>
      <c r="U803" t="str">
        <v>Masculino</v>
      </c>
      <c r="V803" t="str">
        <v>Casado(a)</v>
      </c>
      <c r="W803" t="str">
        <v>Nenhuma</v>
      </c>
      <c r="X803" t="str">
        <v>Nao</v>
      </c>
      <c r="Y803" t="str">
        <v>Diarreia</v>
      </c>
      <c r="Z803">
        <v>36</v>
      </c>
      <c r="AA803">
        <v>86.3</v>
      </c>
      <c r="AB803">
        <v>1.64</v>
      </c>
      <c r="AC803">
        <v>0</v>
      </c>
      <c r="AD803">
        <v>117</v>
      </c>
      <c r="AE803">
        <v>88</v>
      </c>
      <c r="AF803" t="str">
        <v>Rural</v>
      </c>
      <c r="AG803" t="str">
        <v>Sim</v>
      </c>
    </row>
    <row r="804" spans="2:33" x14ac:dyDescent="0.45">
      <c r="B804" s="4">
        <v>803</v>
      </c>
      <c r="C804" s="4" t="s">
        <v>22</v>
      </c>
      <c r="D804" s="4" t="s">
        <v>16</v>
      </c>
      <c r="E804" s="4" t="s">
        <v>44</v>
      </c>
      <c r="F804" s="4" t="s">
        <v>24</v>
      </c>
      <c r="G804" s="4" t="s">
        <v>19</v>
      </c>
      <c r="H804" s="4" t="s">
        <v>36</v>
      </c>
      <c r="I804" s="4">
        <v>52</v>
      </c>
      <c r="J804" s="5">
        <v>67.7</v>
      </c>
      <c r="K804" s="6">
        <v>1.87</v>
      </c>
      <c r="L804" s="4">
        <v>4</v>
      </c>
      <c r="M804" s="4">
        <v>125</v>
      </c>
      <c r="N804" s="4">
        <v>73</v>
      </c>
      <c r="O804" s="4" t="s">
        <v>21</v>
      </c>
      <c r="P804" s="7" t="s">
        <v>19</v>
      </c>
      <c r="S804">
        <v>1709</v>
      </c>
      <c r="T804" t="str">
        <v>Gaza</v>
      </c>
      <c r="U804" t="str">
        <v>Masculino</v>
      </c>
      <c r="V804" t="str">
        <v>Casado(a)</v>
      </c>
      <c r="W804" t="str">
        <v>Secundaria</v>
      </c>
      <c r="X804" t="str">
        <v>Nao</v>
      </c>
      <c r="Y804" t="str">
        <v>Hipertensao</v>
      </c>
      <c r="Z804">
        <v>22</v>
      </c>
      <c r="AA804">
        <v>91.7</v>
      </c>
      <c r="AB804">
        <v>1.79</v>
      </c>
      <c r="AC804">
        <v>5</v>
      </c>
      <c r="AD804">
        <v>124</v>
      </c>
      <c r="AE804">
        <v>105</v>
      </c>
      <c r="AF804" t="str">
        <v>Rural</v>
      </c>
      <c r="AG804" t="str">
        <v>Nao</v>
      </c>
    </row>
    <row r="805" spans="2:33" x14ac:dyDescent="0.45">
      <c r="B805" s="4">
        <v>804</v>
      </c>
      <c r="C805" s="4" t="s">
        <v>27</v>
      </c>
      <c r="D805" s="4" t="s">
        <v>16</v>
      </c>
      <c r="E805" s="4" t="s">
        <v>44</v>
      </c>
      <c r="F805" s="4" t="s">
        <v>24</v>
      </c>
      <c r="G805" s="4" t="s">
        <v>19</v>
      </c>
      <c r="H805" s="4" t="s">
        <v>20</v>
      </c>
      <c r="I805" s="4">
        <v>7</v>
      </c>
      <c r="J805" s="5">
        <v>29.3</v>
      </c>
      <c r="K805" s="6">
        <v>1.32</v>
      </c>
      <c r="L805" s="4">
        <v>3</v>
      </c>
      <c r="M805" s="4">
        <v>96</v>
      </c>
      <c r="N805" s="4">
        <v>98</v>
      </c>
      <c r="O805" s="4" t="s">
        <v>21</v>
      </c>
      <c r="P805" s="7" t="s">
        <v>19</v>
      </c>
      <c r="S805">
        <v>1711</v>
      </c>
      <c r="T805" t="str">
        <v>Nampula</v>
      </c>
      <c r="U805" t="str">
        <v>Masculino</v>
      </c>
      <c r="V805" t="str">
        <v>Viuvo(a)</v>
      </c>
      <c r="W805" t="str">
        <v>Primaria</v>
      </c>
      <c r="X805" t="str">
        <v>Nao</v>
      </c>
      <c r="Y805" t="str">
        <v>Malaria</v>
      </c>
      <c r="Z805">
        <v>25</v>
      </c>
      <c r="AA805">
        <v>88</v>
      </c>
      <c r="AB805">
        <v>1.52</v>
      </c>
      <c r="AC805">
        <v>2</v>
      </c>
      <c r="AD805">
        <v>122</v>
      </c>
      <c r="AE805">
        <v>92</v>
      </c>
      <c r="AF805" t="str">
        <v>Urbana</v>
      </c>
      <c r="AG805" t="str">
        <v>Nao</v>
      </c>
    </row>
    <row r="806" spans="2:33" x14ac:dyDescent="0.45">
      <c r="B806" s="4">
        <v>805</v>
      </c>
      <c r="C806" s="4" t="s">
        <v>40</v>
      </c>
      <c r="D806" s="4" t="s">
        <v>16</v>
      </c>
      <c r="E806" s="4" t="s">
        <v>37</v>
      </c>
      <c r="F806" s="4" t="s">
        <v>28</v>
      </c>
      <c r="G806" s="4" t="s">
        <v>19</v>
      </c>
      <c r="H806" s="4" t="s">
        <v>34</v>
      </c>
      <c r="I806" s="4">
        <v>25</v>
      </c>
      <c r="J806" s="5">
        <v>65.7</v>
      </c>
      <c r="K806" s="6">
        <v>1.77</v>
      </c>
      <c r="L806" s="4">
        <v>2</v>
      </c>
      <c r="M806" s="4">
        <v>119</v>
      </c>
      <c r="N806" s="4">
        <v>73</v>
      </c>
      <c r="O806" s="4" t="s">
        <v>21</v>
      </c>
      <c r="P806" s="7" t="s">
        <v>19</v>
      </c>
      <c r="S806">
        <v>1712</v>
      </c>
      <c r="T806" t="str">
        <v>Manica</v>
      </c>
      <c r="U806" t="str">
        <v>Masculino</v>
      </c>
      <c r="V806" t="str">
        <v>Casado(a)</v>
      </c>
      <c r="W806" t="str">
        <v>Nenhuma</v>
      </c>
      <c r="X806" t="str">
        <v>Nao</v>
      </c>
      <c r="Y806" t="str">
        <v>Malaria</v>
      </c>
      <c r="Z806">
        <v>5</v>
      </c>
      <c r="AA806">
        <v>24</v>
      </c>
      <c r="AB806">
        <v>1.17</v>
      </c>
      <c r="AC806">
        <v>2</v>
      </c>
      <c r="AD806">
        <v>95</v>
      </c>
      <c r="AE806">
        <v>75</v>
      </c>
      <c r="AF806" t="str">
        <v>Urbana</v>
      </c>
      <c r="AG806" t="str">
        <v>Nao</v>
      </c>
    </row>
    <row r="807" spans="2:33" x14ac:dyDescent="0.45">
      <c r="B807" s="4">
        <v>806</v>
      </c>
      <c r="C807" s="4" t="s">
        <v>27</v>
      </c>
      <c r="D807" s="4" t="s">
        <v>16</v>
      </c>
      <c r="E807" s="4" t="s">
        <v>17</v>
      </c>
      <c r="F807" s="4" t="s">
        <v>24</v>
      </c>
      <c r="G807" s="4" t="s">
        <v>19</v>
      </c>
      <c r="H807" s="4" t="s">
        <v>28</v>
      </c>
      <c r="I807" s="4">
        <v>28</v>
      </c>
      <c r="J807" s="5">
        <v>90.8</v>
      </c>
      <c r="K807" s="6">
        <v>1.75</v>
      </c>
      <c r="L807" s="4">
        <v>0</v>
      </c>
      <c r="M807" s="4">
        <v>102</v>
      </c>
      <c r="N807" s="4">
        <v>97</v>
      </c>
      <c r="O807" s="4" t="s">
        <v>26</v>
      </c>
      <c r="P807" s="7" t="s">
        <v>19</v>
      </c>
      <c r="S807">
        <v>1714</v>
      </c>
      <c r="T807" t="str">
        <v>Zambezia</v>
      </c>
      <c r="U807" t="str">
        <v>Masculino</v>
      </c>
      <c r="V807" t="str">
        <v>Casado(a)</v>
      </c>
      <c r="W807" t="str">
        <v>Secundaria</v>
      </c>
      <c r="X807" t="str">
        <v>Nao</v>
      </c>
      <c r="Y807" t="str">
        <v>Pneumonia</v>
      </c>
      <c r="Z807">
        <v>13</v>
      </c>
      <c r="AA807">
        <v>63.5</v>
      </c>
      <c r="AB807">
        <v>1.59</v>
      </c>
      <c r="AC807">
        <v>0</v>
      </c>
      <c r="AD807">
        <v>114</v>
      </c>
      <c r="AE807">
        <v>73</v>
      </c>
      <c r="AF807" t="str">
        <v>Urbana</v>
      </c>
      <c r="AG807" t="str">
        <v>Nao</v>
      </c>
    </row>
    <row r="808" spans="2:33" x14ac:dyDescent="0.45">
      <c r="B808" s="4">
        <v>807</v>
      </c>
      <c r="C808" s="4" t="s">
        <v>22</v>
      </c>
      <c r="D808" s="4" t="s">
        <v>16</v>
      </c>
      <c r="E808" s="4" t="s">
        <v>35</v>
      </c>
      <c r="F808" s="4" t="s">
        <v>42</v>
      </c>
      <c r="G808" s="4" t="s">
        <v>19</v>
      </c>
      <c r="H808" s="4" t="s">
        <v>36</v>
      </c>
      <c r="I808" s="4">
        <v>19</v>
      </c>
      <c r="J808" s="5">
        <v>74.5</v>
      </c>
      <c r="K808" s="6">
        <v>1.7</v>
      </c>
      <c r="L808" s="4">
        <v>6</v>
      </c>
      <c r="M808" s="4">
        <v>129</v>
      </c>
      <c r="N808" s="4">
        <v>91</v>
      </c>
      <c r="O808" s="4" t="s">
        <v>26</v>
      </c>
      <c r="P808" s="7" t="s">
        <v>30</v>
      </c>
      <c r="S808">
        <v>1715</v>
      </c>
      <c r="T808" t="str">
        <v>Zambezia</v>
      </c>
      <c r="U808" t="str">
        <v>Masculino</v>
      </c>
      <c r="V808" t="str">
        <v>Casado(a)</v>
      </c>
      <c r="W808" t="str">
        <v>Secundaria</v>
      </c>
      <c r="X808" t="str">
        <v>Nao</v>
      </c>
      <c r="Y808" t="str">
        <v>Hipertensao</v>
      </c>
      <c r="Z808">
        <v>67</v>
      </c>
      <c r="AA808">
        <v>89.9</v>
      </c>
      <c r="AB808">
        <v>1.85</v>
      </c>
      <c r="AC808">
        <v>3</v>
      </c>
      <c r="AD808">
        <v>147</v>
      </c>
      <c r="AE808">
        <v>78</v>
      </c>
      <c r="AF808" t="str">
        <v>Rural</v>
      </c>
      <c r="AG808" t="str">
        <v>Nao</v>
      </c>
    </row>
    <row r="809" spans="2:33" x14ac:dyDescent="0.45">
      <c r="B809" s="4">
        <v>808</v>
      </c>
      <c r="C809" s="4" t="s">
        <v>39</v>
      </c>
      <c r="D809" s="4" t="s">
        <v>23</v>
      </c>
      <c r="E809" s="4" t="s">
        <v>37</v>
      </c>
      <c r="F809" s="4" t="s">
        <v>18</v>
      </c>
      <c r="G809" s="4" t="s">
        <v>30</v>
      </c>
      <c r="H809" s="4" t="s">
        <v>36</v>
      </c>
      <c r="I809" s="4">
        <v>50</v>
      </c>
      <c r="J809" s="5">
        <v>77.5</v>
      </c>
      <c r="K809" s="6">
        <v>1.57</v>
      </c>
      <c r="L809" s="4">
        <v>4</v>
      </c>
      <c r="M809" s="4">
        <v>145</v>
      </c>
      <c r="N809" s="4">
        <v>92</v>
      </c>
      <c r="O809" s="4" t="s">
        <v>26</v>
      </c>
      <c r="P809" s="7" t="s">
        <v>19</v>
      </c>
      <c r="S809">
        <v>1716</v>
      </c>
      <c r="T809" t="str">
        <v>Maputo Cidade</v>
      </c>
      <c r="U809" t="str">
        <v>Masculino</v>
      </c>
      <c r="V809" t="str">
        <v>Casado(a)</v>
      </c>
      <c r="W809" t="str">
        <v>Nenhuma</v>
      </c>
      <c r="X809" t="str">
        <v>Nao</v>
      </c>
      <c r="Y809" t="str">
        <v>Malaria</v>
      </c>
      <c r="Z809">
        <v>3</v>
      </c>
      <c r="AA809">
        <v>8.1</v>
      </c>
      <c r="AB809">
        <v>0.75</v>
      </c>
      <c r="AC809">
        <v>4</v>
      </c>
      <c r="AD809">
        <v>106</v>
      </c>
      <c r="AE809">
        <v>98</v>
      </c>
      <c r="AF809" t="str">
        <v>Rural</v>
      </c>
      <c r="AG809" t="str">
        <v>Nao</v>
      </c>
    </row>
    <row r="810" spans="2:33" x14ac:dyDescent="0.45">
      <c r="B810" s="4">
        <v>809</v>
      </c>
      <c r="C810" s="4" t="s">
        <v>15</v>
      </c>
      <c r="D810" s="4" t="s">
        <v>16</v>
      </c>
      <c r="E810" s="4" t="s">
        <v>37</v>
      </c>
      <c r="F810" s="4" t="s">
        <v>24</v>
      </c>
      <c r="G810" s="4" t="s">
        <v>19</v>
      </c>
      <c r="H810" s="4" t="s">
        <v>28</v>
      </c>
      <c r="I810" s="4">
        <v>15</v>
      </c>
      <c r="J810" s="5">
        <v>54.7</v>
      </c>
      <c r="K810" s="6">
        <v>1.6</v>
      </c>
      <c r="L810" s="4">
        <v>2</v>
      </c>
      <c r="M810" s="4">
        <v>105</v>
      </c>
      <c r="N810" s="4">
        <v>89</v>
      </c>
      <c r="O810" s="4" t="s">
        <v>26</v>
      </c>
      <c r="P810" s="7" t="s">
        <v>19</v>
      </c>
      <c r="S810">
        <v>1718</v>
      </c>
      <c r="T810" t="str">
        <v>Zambezia</v>
      </c>
      <c r="U810" t="str">
        <v>Masculino</v>
      </c>
      <c r="V810" t="str">
        <v>Casado(a)</v>
      </c>
      <c r="W810" t="str">
        <v>Primaria</v>
      </c>
      <c r="X810" t="str">
        <v>Nao</v>
      </c>
      <c r="Y810" t="str">
        <v>Pneumonia</v>
      </c>
      <c r="Z810">
        <v>12</v>
      </c>
      <c r="AA810">
        <v>54.6</v>
      </c>
      <c r="AB810">
        <v>1.6</v>
      </c>
      <c r="AC810">
        <v>6</v>
      </c>
      <c r="AD810">
        <v>99</v>
      </c>
      <c r="AE810">
        <v>98</v>
      </c>
      <c r="AF810" t="str">
        <v>Rural</v>
      </c>
      <c r="AG810" t="str">
        <v>Sim</v>
      </c>
    </row>
    <row r="811" spans="2:33" x14ac:dyDescent="0.45">
      <c r="B811" s="4">
        <v>810</v>
      </c>
      <c r="C811" s="4" t="s">
        <v>27</v>
      </c>
      <c r="D811" s="4" t="s">
        <v>16</v>
      </c>
      <c r="E811" s="4" t="s">
        <v>35</v>
      </c>
      <c r="F811" s="4" t="s">
        <v>24</v>
      </c>
      <c r="G811" s="4" t="s">
        <v>19</v>
      </c>
      <c r="H811" s="4" t="s">
        <v>46</v>
      </c>
      <c r="I811" s="4">
        <v>5</v>
      </c>
      <c r="J811" s="5">
        <v>32</v>
      </c>
      <c r="K811" s="6">
        <v>1.18</v>
      </c>
      <c r="L811" s="4">
        <v>2</v>
      </c>
      <c r="M811" s="4">
        <v>95</v>
      </c>
      <c r="N811" s="4">
        <v>81</v>
      </c>
      <c r="O811" s="4" t="s">
        <v>21</v>
      </c>
      <c r="P811" s="7" t="s">
        <v>19</v>
      </c>
      <c r="S811">
        <v>1723</v>
      </c>
      <c r="T811" t="str">
        <v>Nampula</v>
      </c>
      <c r="U811" t="str">
        <v>Masculino</v>
      </c>
      <c r="V811" t="str">
        <v>Casado(a)</v>
      </c>
      <c r="W811" t="str">
        <v>Superior</v>
      </c>
      <c r="X811" t="str">
        <v>Nao</v>
      </c>
      <c r="Y811" t="str">
        <v>Malaria</v>
      </c>
      <c r="Z811">
        <v>41</v>
      </c>
      <c r="AA811">
        <v>86.3</v>
      </c>
      <c r="AB811">
        <v>1.82</v>
      </c>
      <c r="AC811">
        <v>6</v>
      </c>
      <c r="AD811">
        <v>108</v>
      </c>
      <c r="AE811">
        <v>83</v>
      </c>
      <c r="AF811" t="str">
        <v>Rural</v>
      </c>
      <c r="AG811" t="str">
        <v>Nao</v>
      </c>
    </row>
    <row r="812" spans="2:33" x14ac:dyDescent="0.45">
      <c r="B812" s="4">
        <v>811</v>
      </c>
      <c r="C812" s="4" t="s">
        <v>41</v>
      </c>
      <c r="D812" s="4" t="s">
        <v>23</v>
      </c>
      <c r="E812" s="4" t="s">
        <v>35</v>
      </c>
      <c r="F812" s="4" t="s">
        <v>24</v>
      </c>
      <c r="G812" s="4" t="s">
        <v>19</v>
      </c>
      <c r="H812" s="4" t="s">
        <v>28</v>
      </c>
      <c r="I812" s="4">
        <v>1</v>
      </c>
      <c r="J812" s="5">
        <v>10.7</v>
      </c>
      <c r="K812" s="6">
        <v>0.83</v>
      </c>
      <c r="L812" s="4">
        <v>4</v>
      </c>
      <c r="M812" s="4">
        <v>97</v>
      </c>
      <c r="N812" s="4">
        <v>82</v>
      </c>
      <c r="O812" s="4" t="s">
        <v>26</v>
      </c>
      <c r="P812" s="7" t="s">
        <v>19</v>
      </c>
      <c r="S812">
        <v>1724</v>
      </c>
      <c r="T812" t="str">
        <v>Nampula</v>
      </c>
      <c r="U812" t="str">
        <v>Masculino</v>
      </c>
      <c r="V812" t="str">
        <v>Solteiro(a)</v>
      </c>
      <c r="W812" t="str">
        <v>Secundaria</v>
      </c>
      <c r="X812" t="str">
        <v>Sim</v>
      </c>
      <c r="Y812" t="str">
        <v>Malaria</v>
      </c>
      <c r="Z812">
        <v>54</v>
      </c>
      <c r="AA812">
        <v>60.8</v>
      </c>
      <c r="AB812">
        <v>1.87</v>
      </c>
      <c r="AC812">
        <v>8</v>
      </c>
      <c r="AD812">
        <v>128</v>
      </c>
      <c r="AE812">
        <v>100</v>
      </c>
      <c r="AF812" t="str">
        <v>Urbana</v>
      </c>
      <c r="AG812" t="str">
        <v>Nao</v>
      </c>
    </row>
    <row r="813" spans="2:33" x14ac:dyDescent="0.45">
      <c r="B813" s="4">
        <v>812</v>
      </c>
      <c r="C813" s="4" t="s">
        <v>15</v>
      </c>
      <c r="D813" s="4" t="s">
        <v>23</v>
      </c>
      <c r="E813" s="4" t="s">
        <v>17</v>
      </c>
      <c r="F813" s="4" t="s">
        <v>18</v>
      </c>
      <c r="G813" s="4" t="s">
        <v>19</v>
      </c>
      <c r="H813" s="4" t="s">
        <v>28</v>
      </c>
      <c r="I813" s="4">
        <v>7</v>
      </c>
      <c r="J813" s="5">
        <v>27.4</v>
      </c>
      <c r="K813" s="6">
        <v>1.1399999999999999</v>
      </c>
      <c r="L813" s="4">
        <v>2</v>
      </c>
      <c r="M813" s="4">
        <v>122</v>
      </c>
      <c r="N813" s="4">
        <v>78</v>
      </c>
      <c r="O813" s="4" t="s">
        <v>21</v>
      </c>
      <c r="P813" s="7" t="s">
        <v>30</v>
      </c>
      <c r="S813">
        <v>1725</v>
      </c>
      <c r="T813" t="str">
        <v>Tete</v>
      </c>
      <c r="U813" t="str">
        <v>Masculino</v>
      </c>
      <c r="V813" t="str">
        <v>Solteiro(a)</v>
      </c>
      <c r="W813" t="str">
        <v>Primaria</v>
      </c>
      <c r="X813" t="str">
        <v>Nao</v>
      </c>
      <c r="Y813" t="str">
        <v>HIV/SIDA</v>
      </c>
      <c r="Z813">
        <v>77</v>
      </c>
      <c r="AA813">
        <v>93.8</v>
      </c>
      <c r="AB813">
        <v>1.72</v>
      </c>
      <c r="AC813">
        <v>7</v>
      </c>
      <c r="AD813">
        <v>114</v>
      </c>
      <c r="AE813">
        <v>72</v>
      </c>
      <c r="AF813" t="str">
        <v>Rural</v>
      </c>
      <c r="AG813" t="str">
        <v>Nao</v>
      </c>
    </row>
    <row r="814" spans="2:33" x14ac:dyDescent="0.45">
      <c r="B814" s="4">
        <v>813</v>
      </c>
      <c r="C814" s="4" t="s">
        <v>41</v>
      </c>
      <c r="D814" s="4" t="s">
        <v>16</v>
      </c>
      <c r="E814" s="4" t="s">
        <v>35</v>
      </c>
      <c r="F814" s="4" t="s">
        <v>42</v>
      </c>
      <c r="G814" s="4" t="s">
        <v>30</v>
      </c>
      <c r="H814" s="4" t="s">
        <v>38</v>
      </c>
      <c r="I814" s="4">
        <v>30</v>
      </c>
      <c r="J814" s="5">
        <v>89.9</v>
      </c>
      <c r="K814" s="6">
        <v>1.6</v>
      </c>
      <c r="L814" s="4">
        <v>2</v>
      </c>
      <c r="M814" s="4">
        <v>104</v>
      </c>
      <c r="N814" s="4">
        <v>100</v>
      </c>
      <c r="O814" s="4" t="s">
        <v>21</v>
      </c>
      <c r="P814" s="7" t="s">
        <v>19</v>
      </c>
      <c r="S814">
        <v>1728</v>
      </c>
      <c r="T814" t="str">
        <v>Nampula</v>
      </c>
      <c r="U814" t="str">
        <v>Masculino</v>
      </c>
      <c r="V814" t="str">
        <v>Solteiro(a)</v>
      </c>
      <c r="W814" t="str">
        <v>Secundaria</v>
      </c>
      <c r="X814" t="str">
        <v>Nao</v>
      </c>
      <c r="Y814" t="str">
        <v>Malaria</v>
      </c>
      <c r="Z814">
        <v>39</v>
      </c>
      <c r="AA814">
        <v>46.8</v>
      </c>
      <c r="AB814">
        <v>1.53</v>
      </c>
      <c r="AC814">
        <v>0</v>
      </c>
      <c r="AD814">
        <v>106</v>
      </c>
      <c r="AE814">
        <v>101</v>
      </c>
      <c r="AF814" t="str">
        <v>Rural</v>
      </c>
      <c r="AG814" t="str">
        <v>Nao</v>
      </c>
    </row>
    <row r="815" spans="2:33" x14ac:dyDescent="0.45">
      <c r="B815" s="4">
        <v>814</v>
      </c>
      <c r="C815" s="4" t="s">
        <v>45</v>
      </c>
      <c r="D815" s="4" t="s">
        <v>23</v>
      </c>
      <c r="E815" s="4" t="s">
        <v>37</v>
      </c>
      <c r="F815" s="4" t="s">
        <v>24</v>
      </c>
      <c r="G815" s="4" t="s">
        <v>19</v>
      </c>
      <c r="H815" s="4" t="s">
        <v>20</v>
      </c>
      <c r="I815" s="4">
        <v>55</v>
      </c>
      <c r="J815" s="5">
        <v>93.7</v>
      </c>
      <c r="K815" s="6">
        <v>1.59</v>
      </c>
      <c r="L815" s="4">
        <v>1</v>
      </c>
      <c r="M815" s="4">
        <v>117</v>
      </c>
      <c r="N815" s="4">
        <v>84</v>
      </c>
      <c r="O815" s="4" t="s">
        <v>26</v>
      </c>
      <c r="P815" s="7" t="s">
        <v>30</v>
      </c>
      <c r="S815">
        <v>1732</v>
      </c>
      <c r="T815" t="str">
        <v>Maputo Provincia</v>
      </c>
      <c r="U815" t="str">
        <v>Masculino</v>
      </c>
      <c r="V815" t="str">
        <v>Casado(a)</v>
      </c>
      <c r="W815" t="str">
        <v>Primaria</v>
      </c>
      <c r="X815" t="str">
        <v>Sim</v>
      </c>
      <c r="Y815" t="str">
        <v>Malaria</v>
      </c>
      <c r="Z815">
        <v>14</v>
      </c>
      <c r="AA815">
        <v>48.2</v>
      </c>
      <c r="AB815">
        <v>1.48</v>
      </c>
      <c r="AC815">
        <v>3</v>
      </c>
      <c r="AD815">
        <v>101</v>
      </c>
      <c r="AE815">
        <v>102</v>
      </c>
      <c r="AF815" t="str">
        <v>Urbana</v>
      </c>
      <c r="AG815" t="str">
        <v>Nao</v>
      </c>
    </row>
    <row r="816" spans="2:33" x14ac:dyDescent="0.45">
      <c r="B816" s="4">
        <v>815</v>
      </c>
      <c r="C816" s="4" t="s">
        <v>22</v>
      </c>
      <c r="D816" s="4" t="s">
        <v>16</v>
      </c>
      <c r="E816" s="4" t="s">
        <v>35</v>
      </c>
      <c r="F816" s="4" t="s">
        <v>18</v>
      </c>
      <c r="G816" s="4" t="s">
        <v>19</v>
      </c>
      <c r="H816" s="4" t="s">
        <v>34</v>
      </c>
      <c r="I816" s="4">
        <v>3</v>
      </c>
      <c r="J816" s="5">
        <v>13.3</v>
      </c>
      <c r="K816" s="6">
        <v>1.01</v>
      </c>
      <c r="L816" s="4">
        <v>3</v>
      </c>
      <c r="M816" s="4">
        <v>113</v>
      </c>
      <c r="N816" s="4">
        <v>83</v>
      </c>
      <c r="O816" s="4" t="s">
        <v>21</v>
      </c>
      <c r="P816" s="7" t="s">
        <v>30</v>
      </c>
      <c r="S816">
        <v>1740</v>
      </c>
      <c r="T816" t="str">
        <v>Nampula</v>
      </c>
      <c r="U816" t="str">
        <v>Masculino</v>
      </c>
      <c r="V816" t="str">
        <v>Casado(a)</v>
      </c>
      <c r="W816" t="str">
        <v>Superior</v>
      </c>
      <c r="X816" t="str">
        <v>Sim</v>
      </c>
      <c r="Y816" t="str">
        <v>Diabetes</v>
      </c>
      <c r="Z816">
        <v>37</v>
      </c>
      <c r="AA816">
        <v>88.3</v>
      </c>
      <c r="AB816">
        <v>1.74</v>
      </c>
      <c r="AC816">
        <v>3</v>
      </c>
      <c r="AD816">
        <v>112</v>
      </c>
      <c r="AE816">
        <v>154</v>
      </c>
      <c r="AF816" t="str">
        <v>Urbana</v>
      </c>
      <c r="AG816" t="str">
        <v>Nao</v>
      </c>
    </row>
    <row r="817" spans="2:33" x14ac:dyDescent="0.45">
      <c r="B817" s="4">
        <v>816</v>
      </c>
      <c r="C817" s="4" t="s">
        <v>27</v>
      </c>
      <c r="D817" s="4" t="s">
        <v>16</v>
      </c>
      <c r="E817" s="4" t="s">
        <v>17</v>
      </c>
      <c r="F817" s="4" t="s">
        <v>28</v>
      </c>
      <c r="G817" s="4" t="s">
        <v>30</v>
      </c>
      <c r="H817" s="4" t="s">
        <v>28</v>
      </c>
      <c r="I817" s="4">
        <v>32</v>
      </c>
      <c r="J817" s="5">
        <v>50.9</v>
      </c>
      <c r="K817" s="6">
        <v>1.56</v>
      </c>
      <c r="L817" s="4">
        <v>3</v>
      </c>
      <c r="M817" s="4">
        <v>109</v>
      </c>
      <c r="N817" s="4">
        <v>79</v>
      </c>
      <c r="O817" s="4" t="s">
        <v>26</v>
      </c>
      <c r="P817" s="7" t="s">
        <v>30</v>
      </c>
      <c r="S817">
        <v>1742</v>
      </c>
      <c r="T817" t="str">
        <v>Sofala</v>
      </c>
      <c r="U817" t="str">
        <v>Masculino</v>
      </c>
      <c r="V817" t="str">
        <v>Solteiro(a)</v>
      </c>
      <c r="W817" t="str">
        <v>Superior</v>
      </c>
      <c r="X817" t="str">
        <v>Nao</v>
      </c>
      <c r="Y817" t="str">
        <v>Hipertensao</v>
      </c>
      <c r="Z817">
        <v>14</v>
      </c>
      <c r="AA817">
        <v>57.4</v>
      </c>
      <c r="AB817">
        <v>1.53</v>
      </c>
      <c r="AC817">
        <v>1</v>
      </c>
      <c r="AD817">
        <v>142</v>
      </c>
      <c r="AE817">
        <v>91</v>
      </c>
      <c r="AF817" t="str">
        <v>Rural</v>
      </c>
      <c r="AG817" t="str">
        <v>Nao</v>
      </c>
    </row>
    <row r="818" spans="2:33" x14ac:dyDescent="0.45">
      <c r="B818" s="4">
        <v>817</v>
      </c>
      <c r="C818" s="4" t="s">
        <v>41</v>
      </c>
      <c r="D818" s="4" t="s">
        <v>16</v>
      </c>
      <c r="E818" s="4" t="s">
        <v>35</v>
      </c>
      <c r="F818" s="4" t="s">
        <v>28</v>
      </c>
      <c r="G818" s="4" t="s">
        <v>19</v>
      </c>
      <c r="H818" s="4" t="s">
        <v>20</v>
      </c>
      <c r="I818" s="4">
        <v>43</v>
      </c>
      <c r="J818" s="5">
        <v>63.6</v>
      </c>
      <c r="K818" s="6">
        <v>1.89</v>
      </c>
      <c r="L818" s="4">
        <v>9</v>
      </c>
      <c r="M818" s="4">
        <v>128</v>
      </c>
      <c r="N818" s="4">
        <v>81</v>
      </c>
      <c r="O818" s="4" t="s">
        <v>26</v>
      </c>
      <c r="P818" s="7" t="s">
        <v>30</v>
      </c>
      <c r="S818">
        <v>1743</v>
      </c>
      <c r="T818" t="str">
        <v>Sofala</v>
      </c>
      <c r="U818" t="str">
        <v>Masculino</v>
      </c>
      <c r="V818" t="str">
        <v>Divorciado(a)</v>
      </c>
      <c r="W818" t="str">
        <v>Secundaria</v>
      </c>
      <c r="X818" t="str">
        <v>Nao</v>
      </c>
      <c r="Y818" t="str">
        <v>HIV/SIDA</v>
      </c>
      <c r="Z818">
        <v>15</v>
      </c>
      <c r="AA818">
        <v>40.299999999999997</v>
      </c>
      <c r="AB818">
        <v>1.5</v>
      </c>
      <c r="AC818">
        <v>7</v>
      </c>
      <c r="AD818">
        <v>109</v>
      </c>
      <c r="AE818">
        <v>103</v>
      </c>
      <c r="AF818" t="str">
        <v>Rural</v>
      </c>
      <c r="AG818" t="str">
        <v>Nao</v>
      </c>
    </row>
    <row r="819" spans="2:33" x14ac:dyDescent="0.45">
      <c r="B819" s="4">
        <v>818</v>
      </c>
      <c r="C819" s="4" t="s">
        <v>22</v>
      </c>
      <c r="D819" s="4" t="s">
        <v>16</v>
      </c>
      <c r="E819" s="4" t="s">
        <v>35</v>
      </c>
      <c r="F819" s="4" t="s">
        <v>24</v>
      </c>
      <c r="G819" s="4" t="s">
        <v>19</v>
      </c>
      <c r="H819" s="4" t="s">
        <v>20</v>
      </c>
      <c r="I819" s="4">
        <v>34</v>
      </c>
      <c r="J819" s="5">
        <v>64.099999999999994</v>
      </c>
      <c r="K819" s="6">
        <v>1.76</v>
      </c>
      <c r="L819" s="4">
        <v>2</v>
      </c>
      <c r="M819" s="4">
        <v>114</v>
      </c>
      <c r="N819" s="4">
        <v>73</v>
      </c>
      <c r="O819" s="4" t="s">
        <v>26</v>
      </c>
      <c r="P819" s="7" t="s">
        <v>19</v>
      </c>
      <c r="S819">
        <v>1744</v>
      </c>
      <c r="T819" t="str">
        <v>Zambezia</v>
      </c>
      <c r="U819" t="str">
        <v>Masculino</v>
      </c>
      <c r="V819" t="str">
        <v>Casado(a)</v>
      </c>
      <c r="W819" t="str">
        <v>Primaria</v>
      </c>
      <c r="X819" t="str">
        <v>Nao</v>
      </c>
      <c r="Y819" t="str">
        <v>Nenhuma</v>
      </c>
      <c r="Z819">
        <v>38</v>
      </c>
      <c r="AA819">
        <v>62.3</v>
      </c>
      <c r="AB819">
        <v>1.66</v>
      </c>
      <c r="AC819">
        <v>3</v>
      </c>
      <c r="AD819">
        <v>108</v>
      </c>
      <c r="AE819">
        <v>93</v>
      </c>
      <c r="AF819" t="str">
        <v>Rural</v>
      </c>
      <c r="AG819" t="str">
        <v>Sim</v>
      </c>
    </row>
    <row r="820" spans="2:33" x14ac:dyDescent="0.45">
      <c r="B820" s="4">
        <v>819</v>
      </c>
      <c r="C820" s="4" t="s">
        <v>40</v>
      </c>
      <c r="D820" s="4" t="s">
        <v>23</v>
      </c>
      <c r="E820" s="4" t="s">
        <v>17</v>
      </c>
      <c r="F820" s="4" t="s">
        <v>18</v>
      </c>
      <c r="G820" s="4" t="s">
        <v>19</v>
      </c>
      <c r="H820" s="4" t="s">
        <v>46</v>
      </c>
      <c r="I820" s="4">
        <v>27</v>
      </c>
      <c r="J820" s="5">
        <v>59.3</v>
      </c>
      <c r="K820" s="6">
        <v>1.58</v>
      </c>
      <c r="L820" s="4">
        <v>6</v>
      </c>
      <c r="M820" s="4">
        <v>117</v>
      </c>
      <c r="N820" s="4">
        <v>78</v>
      </c>
      <c r="O820" s="4" t="s">
        <v>26</v>
      </c>
      <c r="P820" s="7" t="s">
        <v>30</v>
      </c>
      <c r="S820">
        <v>1746</v>
      </c>
      <c r="T820" t="str">
        <v>Cabo Delgado</v>
      </c>
      <c r="U820" t="str">
        <v>Masculino</v>
      </c>
      <c r="V820" t="str">
        <v>Viuvo(a)</v>
      </c>
      <c r="W820" t="str">
        <v>Secundaria</v>
      </c>
      <c r="X820" t="str">
        <v>Nao</v>
      </c>
      <c r="Y820" t="str">
        <v>Tuberculose</v>
      </c>
      <c r="Z820">
        <v>58</v>
      </c>
      <c r="AA820">
        <v>80.900000000000006</v>
      </c>
      <c r="AB820">
        <v>1.68</v>
      </c>
      <c r="AC820">
        <v>4</v>
      </c>
      <c r="AD820">
        <v>131</v>
      </c>
      <c r="AE820">
        <v>97</v>
      </c>
      <c r="AF820" t="str">
        <v>Rural</v>
      </c>
      <c r="AG820" t="str">
        <v>Nao</v>
      </c>
    </row>
    <row r="821" spans="2:33" x14ac:dyDescent="0.45">
      <c r="B821" s="4">
        <v>820</v>
      </c>
      <c r="C821" s="4" t="s">
        <v>43</v>
      </c>
      <c r="D821" s="4" t="s">
        <v>23</v>
      </c>
      <c r="E821" s="4" t="s">
        <v>35</v>
      </c>
      <c r="F821" s="4" t="s">
        <v>28</v>
      </c>
      <c r="G821" s="4" t="s">
        <v>19</v>
      </c>
      <c r="H821" s="4" t="s">
        <v>32</v>
      </c>
      <c r="I821" s="4">
        <v>55</v>
      </c>
      <c r="J821" s="5">
        <v>76.099999999999994</v>
      </c>
      <c r="K821" s="6">
        <v>1.84</v>
      </c>
      <c r="L821" s="4">
        <v>7</v>
      </c>
      <c r="M821" s="4">
        <v>117</v>
      </c>
      <c r="N821" s="4">
        <v>162</v>
      </c>
      <c r="O821" s="4" t="s">
        <v>21</v>
      </c>
      <c r="P821" s="7" t="s">
        <v>19</v>
      </c>
      <c r="S821">
        <v>1747</v>
      </c>
      <c r="T821" t="str">
        <v>Nampula</v>
      </c>
      <c r="U821" t="str">
        <v>Masculino</v>
      </c>
      <c r="V821" t="str">
        <v>Casado(a)</v>
      </c>
      <c r="W821" t="str">
        <v>Secundaria</v>
      </c>
      <c r="X821" t="str">
        <v>Nao</v>
      </c>
      <c r="Y821" t="str">
        <v>Nenhuma</v>
      </c>
      <c r="Z821">
        <v>28</v>
      </c>
      <c r="AA821">
        <v>46.4</v>
      </c>
      <c r="AB821">
        <v>1.75</v>
      </c>
      <c r="AC821">
        <v>3</v>
      </c>
      <c r="AD821">
        <v>100</v>
      </c>
      <c r="AE821">
        <v>102</v>
      </c>
      <c r="AF821" t="str">
        <v>Rural</v>
      </c>
      <c r="AG821" t="str">
        <v>Nao</v>
      </c>
    </row>
    <row r="822" spans="2:33" x14ac:dyDescent="0.45">
      <c r="B822" s="4">
        <v>821</v>
      </c>
      <c r="C822" s="4" t="s">
        <v>39</v>
      </c>
      <c r="D822" s="4" t="s">
        <v>23</v>
      </c>
      <c r="E822" s="4" t="s">
        <v>17</v>
      </c>
      <c r="F822" s="4" t="s">
        <v>24</v>
      </c>
      <c r="G822" s="4" t="s">
        <v>19</v>
      </c>
      <c r="H822" s="4" t="s">
        <v>46</v>
      </c>
      <c r="I822" s="4">
        <v>21</v>
      </c>
      <c r="J822" s="5">
        <v>85.3</v>
      </c>
      <c r="K822" s="6">
        <v>1.6</v>
      </c>
      <c r="L822" s="4">
        <v>2</v>
      </c>
      <c r="M822" s="4">
        <v>127</v>
      </c>
      <c r="N822" s="4">
        <v>94</v>
      </c>
      <c r="O822" s="4" t="s">
        <v>21</v>
      </c>
      <c r="P822" s="7" t="s">
        <v>30</v>
      </c>
      <c r="S822">
        <v>1749</v>
      </c>
      <c r="T822" t="str">
        <v>Sofala</v>
      </c>
      <c r="U822" t="str">
        <v>Masculino</v>
      </c>
      <c r="V822" t="str">
        <v>Solteiro(a)</v>
      </c>
      <c r="W822" t="str">
        <v>Primaria</v>
      </c>
      <c r="X822" t="str">
        <v>Nao</v>
      </c>
      <c r="Y822" t="str">
        <v>Diabetes</v>
      </c>
      <c r="Z822">
        <v>0</v>
      </c>
      <c r="AA822">
        <v>12.7</v>
      </c>
      <c r="AB822">
        <v>1.03</v>
      </c>
      <c r="AC822">
        <v>2</v>
      </c>
      <c r="AD822">
        <v>92</v>
      </c>
      <c r="AE822">
        <v>162</v>
      </c>
      <c r="AF822" t="str">
        <v>Urbana</v>
      </c>
      <c r="AG822" t="str">
        <v>Nao</v>
      </c>
    </row>
    <row r="823" spans="2:33" x14ac:dyDescent="0.45">
      <c r="B823" s="4">
        <v>822</v>
      </c>
      <c r="C823" s="4" t="s">
        <v>45</v>
      </c>
      <c r="D823" s="4" t="s">
        <v>23</v>
      </c>
      <c r="E823" s="4" t="s">
        <v>17</v>
      </c>
      <c r="F823" s="4" t="s">
        <v>18</v>
      </c>
      <c r="G823" s="4" t="s">
        <v>19</v>
      </c>
      <c r="H823" s="4" t="s">
        <v>25</v>
      </c>
      <c r="I823" s="4">
        <v>8</v>
      </c>
      <c r="J823" s="5">
        <v>24.4</v>
      </c>
      <c r="K823" s="6">
        <v>1.25</v>
      </c>
      <c r="L823" s="4">
        <v>1</v>
      </c>
      <c r="M823" s="4">
        <v>104</v>
      </c>
      <c r="N823" s="4">
        <v>78</v>
      </c>
      <c r="O823" s="4" t="s">
        <v>21</v>
      </c>
      <c r="P823" s="7" t="s">
        <v>19</v>
      </c>
      <c r="S823">
        <v>1751</v>
      </c>
      <c r="T823" t="str">
        <v>Tete</v>
      </c>
      <c r="U823" t="str">
        <v>Masculino</v>
      </c>
      <c r="V823" t="str">
        <v>Casado(a)</v>
      </c>
      <c r="W823" t="str">
        <v>Primaria</v>
      </c>
      <c r="X823" t="str">
        <v>Nao</v>
      </c>
      <c r="Y823" t="str">
        <v>Nenhuma</v>
      </c>
      <c r="Z823">
        <v>28</v>
      </c>
      <c r="AA823">
        <v>68.5</v>
      </c>
      <c r="AB823">
        <v>1.54</v>
      </c>
      <c r="AC823">
        <v>2</v>
      </c>
      <c r="AD823">
        <v>121</v>
      </c>
      <c r="AE823">
        <v>75</v>
      </c>
      <c r="AF823" t="str">
        <v>Urbana</v>
      </c>
      <c r="AG823" t="str">
        <v>Nao</v>
      </c>
    </row>
    <row r="824" spans="2:33" x14ac:dyDescent="0.45">
      <c r="B824" s="4">
        <v>823</v>
      </c>
      <c r="C824" s="4" t="s">
        <v>40</v>
      </c>
      <c r="D824" s="4" t="s">
        <v>23</v>
      </c>
      <c r="E824" s="4" t="s">
        <v>17</v>
      </c>
      <c r="F824" s="4" t="s">
        <v>24</v>
      </c>
      <c r="G824" s="4" t="s">
        <v>19</v>
      </c>
      <c r="H824" s="4" t="s">
        <v>34</v>
      </c>
      <c r="I824" s="4">
        <v>69</v>
      </c>
      <c r="J824" s="5">
        <v>61.3</v>
      </c>
      <c r="K824" s="6">
        <v>1.78</v>
      </c>
      <c r="L824" s="4">
        <v>1</v>
      </c>
      <c r="M824" s="4">
        <v>115</v>
      </c>
      <c r="N824" s="4">
        <v>77</v>
      </c>
      <c r="O824" s="4" t="s">
        <v>26</v>
      </c>
      <c r="P824" s="7" t="s">
        <v>19</v>
      </c>
      <c r="S824">
        <v>1752</v>
      </c>
      <c r="T824" t="str">
        <v>Nampula</v>
      </c>
      <c r="U824" t="str">
        <v>Masculino</v>
      </c>
      <c r="V824" t="str">
        <v>Casado(a)</v>
      </c>
      <c r="W824" t="str">
        <v>Secundaria</v>
      </c>
      <c r="X824" t="str">
        <v>Nao</v>
      </c>
      <c r="Y824" t="str">
        <v>HIV/SIDA</v>
      </c>
      <c r="Z824">
        <v>10</v>
      </c>
      <c r="AA824">
        <v>26.5</v>
      </c>
      <c r="AB824">
        <v>1.22</v>
      </c>
      <c r="AC824">
        <v>2</v>
      </c>
      <c r="AD824">
        <v>106</v>
      </c>
      <c r="AE824">
        <v>75</v>
      </c>
      <c r="AF824" t="str">
        <v>Urbana</v>
      </c>
      <c r="AG824" t="str">
        <v>Nao</v>
      </c>
    </row>
    <row r="825" spans="2:33" x14ac:dyDescent="0.45">
      <c r="B825" s="4">
        <v>824</v>
      </c>
      <c r="C825" s="4" t="s">
        <v>31</v>
      </c>
      <c r="D825" s="4" t="s">
        <v>16</v>
      </c>
      <c r="E825" s="4" t="s">
        <v>17</v>
      </c>
      <c r="F825" s="4" t="s">
        <v>24</v>
      </c>
      <c r="G825" s="4" t="s">
        <v>19</v>
      </c>
      <c r="H825" s="4" t="s">
        <v>32</v>
      </c>
      <c r="I825" s="4">
        <v>17</v>
      </c>
      <c r="J825" s="5">
        <v>53.6</v>
      </c>
      <c r="K825" s="6">
        <v>1.48</v>
      </c>
      <c r="L825" s="4">
        <v>0</v>
      </c>
      <c r="M825" s="4">
        <v>97</v>
      </c>
      <c r="N825" s="4">
        <v>152</v>
      </c>
      <c r="O825" s="4" t="s">
        <v>26</v>
      </c>
      <c r="P825" s="7" t="s">
        <v>19</v>
      </c>
      <c r="S825">
        <v>1753</v>
      </c>
      <c r="T825" t="str">
        <v>Tete</v>
      </c>
      <c r="U825" t="str">
        <v>Masculino</v>
      </c>
      <c r="V825" t="str">
        <v>Casado(a)</v>
      </c>
      <c r="W825" t="str">
        <v>Secundaria</v>
      </c>
      <c r="X825" t="str">
        <v>Sim</v>
      </c>
      <c r="Y825" t="str">
        <v>Nenhuma</v>
      </c>
      <c r="Z825">
        <v>39</v>
      </c>
      <c r="AA825">
        <v>69.599999999999994</v>
      </c>
      <c r="AB825">
        <v>1.79</v>
      </c>
      <c r="AC825">
        <v>1</v>
      </c>
      <c r="AD825">
        <v>117</v>
      </c>
      <c r="AE825">
        <v>105</v>
      </c>
      <c r="AF825" t="str">
        <v>Urbana</v>
      </c>
      <c r="AG825" t="str">
        <v>Nao</v>
      </c>
    </row>
    <row r="826" spans="2:33" x14ac:dyDescent="0.45">
      <c r="B826" s="4">
        <v>825</v>
      </c>
      <c r="C826" s="4" t="s">
        <v>45</v>
      </c>
      <c r="D826" s="4" t="s">
        <v>16</v>
      </c>
      <c r="E826" s="4" t="s">
        <v>35</v>
      </c>
      <c r="F826" s="4" t="s">
        <v>18</v>
      </c>
      <c r="G826" s="4" t="s">
        <v>19</v>
      </c>
      <c r="H826" s="4" t="s">
        <v>28</v>
      </c>
      <c r="I826" s="4">
        <v>65</v>
      </c>
      <c r="J826" s="5">
        <v>77.8</v>
      </c>
      <c r="K826" s="6">
        <v>1.83</v>
      </c>
      <c r="L826" s="4">
        <v>1</v>
      </c>
      <c r="M826" s="4">
        <v>121</v>
      </c>
      <c r="N826" s="4">
        <v>84</v>
      </c>
      <c r="O826" s="4" t="s">
        <v>26</v>
      </c>
      <c r="P826" s="7" t="s">
        <v>19</v>
      </c>
      <c r="S826">
        <v>1755</v>
      </c>
      <c r="T826" t="str">
        <v>Inhambane</v>
      </c>
      <c r="U826" t="str">
        <v>Masculino</v>
      </c>
      <c r="V826" t="str">
        <v>Solteiro(a)</v>
      </c>
      <c r="W826" t="str">
        <v>Secundaria</v>
      </c>
      <c r="X826" t="str">
        <v>Sim</v>
      </c>
      <c r="Y826" t="str">
        <v>Diabetes</v>
      </c>
      <c r="Z826">
        <v>41</v>
      </c>
      <c r="AA826">
        <v>81.7</v>
      </c>
      <c r="AB826">
        <v>1.64</v>
      </c>
      <c r="AC826">
        <v>5</v>
      </c>
      <c r="AD826">
        <v>110</v>
      </c>
      <c r="AE826">
        <v>165</v>
      </c>
      <c r="AF826" t="str">
        <v>Urbana</v>
      </c>
      <c r="AG826" t="str">
        <v>Nao</v>
      </c>
    </row>
    <row r="827" spans="2:33" x14ac:dyDescent="0.45">
      <c r="B827" s="4">
        <v>826</v>
      </c>
      <c r="C827" s="4" t="s">
        <v>39</v>
      </c>
      <c r="D827" s="4" t="s">
        <v>23</v>
      </c>
      <c r="E827" s="4" t="s">
        <v>35</v>
      </c>
      <c r="F827" s="4" t="s">
        <v>18</v>
      </c>
      <c r="G827" s="4" t="s">
        <v>19</v>
      </c>
      <c r="H827" s="4" t="s">
        <v>36</v>
      </c>
      <c r="I827" s="4">
        <v>90</v>
      </c>
      <c r="J827" s="5">
        <v>89.1</v>
      </c>
      <c r="K827" s="6">
        <v>1.53</v>
      </c>
      <c r="L827" s="4">
        <v>10</v>
      </c>
      <c r="M827" s="4">
        <v>155</v>
      </c>
      <c r="N827" s="4">
        <v>74</v>
      </c>
      <c r="O827" s="4" t="s">
        <v>26</v>
      </c>
      <c r="P827" s="7" t="s">
        <v>19</v>
      </c>
      <c r="S827">
        <v>1756</v>
      </c>
      <c r="T827" t="str">
        <v>Zambezia</v>
      </c>
      <c r="U827" t="str">
        <v>Masculino</v>
      </c>
      <c r="V827" t="str">
        <v>Casado(a)</v>
      </c>
      <c r="W827" t="str">
        <v>Nenhuma</v>
      </c>
      <c r="X827" t="str">
        <v>Sim</v>
      </c>
      <c r="Y827" t="str">
        <v>Nenhuma</v>
      </c>
      <c r="Z827">
        <v>3</v>
      </c>
      <c r="AA827">
        <v>14.9</v>
      </c>
      <c r="AB827">
        <v>0.81</v>
      </c>
      <c r="AC827">
        <v>1</v>
      </c>
      <c r="AD827">
        <v>91</v>
      </c>
      <c r="AE827">
        <v>74</v>
      </c>
      <c r="AF827" t="str">
        <v>Rural</v>
      </c>
      <c r="AG827" t="str">
        <v>Nao</v>
      </c>
    </row>
    <row r="828" spans="2:33" x14ac:dyDescent="0.45">
      <c r="B828" s="4">
        <v>827</v>
      </c>
      <c r="C828" s="4" t="s">
        <v>39</v>
      </c>
      <c r="D828" s="4" t="s">
        <v>23</v>
      </c>
      <c r="E828" s="4" t="s">
        <v>17</v>
      </c>
      <c r="F828" s="4" t="s">
        <v>18</v>
      </c>
      <c r="G828" s="4" t="s">
        <v>30</v>
      </c>
      <c r="H828" s="4" t="s">
        <v>38</v>
      </c>
      <c r="I828" s="4">
        <v>1</v>
      </c>
      <c r="J828" s="5">
        <v>7.4</v>
      </c>
      <c r="K828" s="6">
        <v>0.85</v>
      </c>
      <c r="L828" s="4">
        <v>5</v>
      </c>
      <c r="M828" s="4">
        <v>112</v>
      </c>
      <c r="N828" s="4">
        <v>98</v>
      </c>
      <c r="O828" s="4" t="s">
        <v>21</v>
      </c>
      <c r="P828" s="7" t="s">
        <v>19</v>
      </c>
      <c r="S828">
        <v>1757</v>
      </c>
      <c r="T828" t="str">
        <v>Gaza</v>
      </c>
      <c r="U828" t="str">
        <v>Masculino</v>
      </c>
      <c r="V828" t="str">
        <v>Casado(a)</v>
      </c>
      <c r="W828" t="str">
        <v>Secundaria</v>
      </c>
      <c r="X828" t="str">
        <v>Nao</v>
      </c>
      <c r="Y828" t="str">
        <v>HIV/SIDA</v>
      </c>
      <c r="Z828">
        <v>64</v>
      </c>
      <c r="AA828">
        <v>50.6</v>
      </c>
      <c r="AB828">
        <v>1.88</v>
      </c>
      <c r="AC828">
        <v>0</v>
      </c>
      <c r="AD828">
        <v>130</v>
      </c>
      <c r="AE828">
        <v>75</v>
      </c>
      <c r="AF828" t="str">
        <v>Rural</v>
      </c>
      <c r="AG828" t="str">
        <v>Sim</v>
      </c>
    </row>
    <row r="829" spans="2:33" x14ac:dyDescent="0.45">
      <c r="B829" s="4">
        <v>828</v>
      </c>
      <c r="C829" s="4" t="s">
        <v>43</v>
      </c>
      <c r="D829" s="4" t="s">
        <v>23</v>
      </c>
      <c r="E829" s="4" t="s">
        <v>35</v>
      </c>
      <c r="F829" s="4" t="s">
        <v>18</v>
      </c>
      <c r="G829" s="4" t="s">
        <v>19</v>
      </c>
      <c r="H829" s="4" t="s">
        <v>36</v>
      </c>
      <c r="I829" s="4">
        <v>9</v>
      </c>
      <c r="J829" s="5">
        <v>21.9</v>
      </c>
      <c r="K829" s="6">
        <v>1.23</v>
      </c>
      <c r="L829" s="4">
        <v>2</v>
      </c>
      <c r="M829" s="4">
        <v>118</v>
      </c>
      <c r="N829" s="4">
        <v>103</v>
      </c>
      <c r="O829" s="4" t="s">
        <v>26</v>
      </c>
      <c r="P829" s="7" t="s">
        <v>19</v>
      </c>
      <c r="S829">
        <v>1759</v>
      </c>
      <c r="T829" t="str">
        <v>Maputo Provincia</v>
      </c>
      <c r="U829" t="str">
        <v>Masculino</v>
      </c>
      <c r="V829" t="str">
        <v>Casado(a)</v>
      </c>
      <c r="W829" t="str">
        <v>Secundaria</v>
      </c>
      <c r="X829" t="str">
        <v>Nao</v>
      </c>
      <c r="Y829" t="str">
        <v>Pneumonia</v>
      </c>
      <c r="Z829">
        <v>9</v>
      </c>
      <c r="AA829">
        <v>19.399999999999999</v>
      </c>
      <c r="AB829">
        <v>1.07</v>
      </c>
      <c r="AC829">
        <v>3</v>
      </c>
      <c r="AD829">
        <v>116</v>
      </c>
      <c r="AE829">
        <v>103</v>
      </c>
      <c r="AF829" t="str">
        <v>Rural</v>
      </c>
      <c r="AG829" t="str">
        <v>Nao</v>
      </c>
    </row>
    <row r="830" spans="2:33" x14ac:dyDescent="0.45">
      <c r="B830" s="4">
        <v>829</v>
      </c>
      <c r="C830" s="4" t="s">
        <v>40</v>
      </c>
      <c r="D830" s="4" t="s">
        <v>23</v>
      </c>
      <c r="E830" s="4" t="s">
        <v>35</v>
      </c>
      <c r="F830" s="4" t="s">
        <v>24</v>
      </c>
      <c r="G830" s="4" t="s">
        <v>19</v>
      </c>
      <c r="H830" s="4" t="s">
        <v>28</v>
      </c>
      <c r="I830" s="4">
        <v>20</v>
      </c>
      <c r="J830" s="5">
        <v>79.8</v>
      </c>
      <c r="K830" s="6">
        <v>1.56</v>
      </c>
      <c r="L830" s="4">
        <v>3</v>
      </c>
      <c r="M830" s="4">
        <v>99</v>
      </c>
      <c r="N830" s="4">
        <v>99</v>
      </c>
      <c r="O830" s="4" t="s">
        <v>26</v>
      </c>
      <c r="P830" s="7" t="s">
        <v>19</v>
      </c>
      <c r="S830">
        <v>1760</v>
      </c>
      <c r="T830" t="str">
        <v>Gaza</v>
      </c>
      <c r="U830" t="str">
        <v>Masculino</v>
      </c>
      <c r="V830" t="str">
        <v>Casado(a)</v>
      </c>
      <c r="W830" t="str">
        <v>Secundaria</v>
      </c>
      <c r="X830" t="str">
        <v>Nao</v>
      </c>
      <c r="Y830" t="str">
        <v>Diabetes</v>
      </c>
      <c r="Z830">
        <v>0</v>
      </c>
      <c r="AA830">
        <v>10.1</v>
      </c>
      <c r="AB830">
        <v>0.95</v>
      </c>
      <c r="AC830">
        <v>2</v>
      </c>
      <c r="AD830">
        <v>91</v>
      </c>
      <c r="AE830">
        <v>129</v>
      </c>
      <c r="AF830" t="str">
        <v>Rural</v>
      </c>
      <c r="AG830" t="str">
        <v>Nao</v>
      </c>
    </row>
    <row r="831" spans="2:33" x14ac:dyDescent="0.45">
      <c r="B831" s="4">
        <v>830</v>
      </c>
      <c r="C831" s="4" t="s">
        <v>15</v>
      </c>
      <c r="D831" s="4" t="s">
        <v>16</v>
      </c>
      <c r="E831" s="4" t="s">
        <v>35</v>
      </c>
      <c r="F831" s="4" t="s">
        <v>28</v>
      </c>
      <c r="G831" s="4" t="s">
        <v>30</v>
      </c>
      <c r="H831" s="4" t="s">
        <v>32</v>
      </c>
      <c r="I831" s="4">
        <v>10</v>
      </c>
      <c r="J831" s="5">
        <v>35.299999999999997</v>
      </c>
      <c r="K831" s="6">
        <v>1.34</v>
      </c>
      <c r="L831" s="4">
        <v>6</v>
      </c>
      <c r="M831" s="4">
        <v>117</v>
      </c>
      <c r="N831" s="4">
        <v>156</v>
      </c>
      <c r="O831" s="4" t="s">
        <v>21</v>
      </c>
      <c r="P831" s="7" t="s">
        <v>19</v>
      </c>
      <c r="S831">
        <v>1761</v>
      </c>
      <c r="T831" t="str">
        <v>Cabo Delgado</v>
      </c>
      <c r="U831" t="str">
        <v>Masculino</v>
      </c>
      <c r="V831" t="str">
        <v>Solteiro(a)</v>
      </c>
      <c r="W831" t="str">
        <v>Nenhuma</v>
      </c>
      <c r="X831" t="str">
        <v>Nao</v>
      </c>
      <c r="Y831" t="str">
        <v>Diarreia</v>
      </c>
      <c r="Z831">
        <v>81</v>
      </c>
      <c r="AA831">
        <v>65.2</v>
      </c>
      <c r="AB831">
        <v>1.58</v>
      </c>
      <c r="AC831">
        <v>2</v>
      </c>
      <c r="AD831">
        <v>133</v>
      </c>
      <c r="AE831">
        <v>98</v>
      </c>
      <c r="AF831" t="str">
        <v>Rural</v>
      </c>
      <c r="AG831" t="str">
        <v>Sim</v>
      </c>
    </row>
    <row r="832" spans="2:33" x14ac:dyDescent="0.45">
      <c r="B832" s="4">
        <v>831</v>
      </c>
      <c r="C832" s="4" t="s">
        <v>27</v>
      </c>
      <c r="D832" s="4" t="s">
        <v>16</v>
      </c>
      <c r="E832" s="4" t="s">
        <v>35</v>
      </c>
      <c r="F832" s="4" t="s">
        <v>28</v>
      </c>
      <c r="G832" s="4" t="s">
        <v>30</v>
      </c>
      <c r="H832" s="4" t="s">
        <v>34</v>
      </c>
      <c r="I832" s="4">
        <v>44</v>
      </c>
      <c r="J832" s="5">
        <v>81.5</v>
      </c>
      <c r="K832" s="6">
        <v>1.78</v>
      </c>
      <c r="L832" s="4">
        <v>2</v>
      </c>
      <c r="M832" s="4">
        <v>111</v>
      </c>
      <c r="N832" s="4">
        <v>103</v>
      </c>
      <c r="O832" s="4" t="s">
        <v>21</v>
      </c>
      <c r="P832" s="7" t="s">
        <v>19</v>
      </c>
      <c r="S832">
        <v>1765</v>
      </c>
      <c r="T832" t="str">
        <v>Cabo Delgado</v>
      </c>
      <c r="U832" t="str">
        <v>Masculino</v>
      </c>
      <c r="V832" t="str">
        <v>Casado(a)</v>
      </c>
      <c r="W832" t="str">
        <v>Secundaria</v>
      </c>
      <c r="X832" t="str">
        <v>Sim</v>
      </c>
      <c r="Y832" t="str">
        <v>Hipertensao</v>
      </c>
      <c r="Z832">
        <v>9</v>
      </c>
      <c r="AA832">
        <v>21.5</v>
      </c>
      <c r="AB832">
        <v>1.38</v>
      </c>
      <c r="AC832">
        <v>9</v>
      </c>
      <c r="AD832">
        <v>118</v>
      </c>
      <c r="AE832">
        <v>97</v>
      </c>
      <c r="AF832" t="str">
        <v>Rural</v>
      </c>
      <c r="AG832" t="str">
        <v>Nao</v>
      </c>
    </row>
    <row r="833" spans="2:33" x14ac:dyDescent="0.45">
      <c r="B833" s="4">
        <v>832</v>
      </c>
      <c r="C833" s="4" t="s">
        <v>39</v>
      </c>
      <c r="D833" s="4" t="s">
        <v>23</v>
      </c>
      <c r="E833" s="4" t="s">
        <v>35</v>
      </c>
      <c r="F833" s="4" t="s">
        <v>28</v>
      </c>
      <c r="G833" s="4" t="s">
        <v>19</v>
      </c>
      <c r="H833" s="4" t="s">
        <v>38</v>
      </c>
      <c r="I833" s="4">
        <v>41</v>
      </c>
      <c r="J833" s="5">
        <v>65.900000000000006</v>
      </c>
      <c r="K833" s="6">
        <v>1.65</v>
      </c>
      <c r="L833" s="4">
        <v>2</v>
      </c>
      <c r="M833" s="4">
        <v>108</v>
      </c>
      <c r="N833" s="4">
        <v>81</v>
      </c>
      <c r="O833" s="4" t="s">
        <v>26</v>
      </c>
      <c r="P833" s="7" t="s">
        <v>19</v>
      </c>
      <c r="S833">
        <v>1766</v>
      </c>
      <c r="T833" t="str">
        <v>Maputo Cidade</v>
      </c>
      <c r="U833" t="str">
        <v>Masculino</v>
      </c>
      <c r="V833" t="str">
        <v>Solteiro(a)</v>
      </c>
      <c r="W833" t="str">
        <v>Primaria</v>
      </c>
      <c r="X833" t="str">
        <v>Nao</v>
      </c>
      <c r="Y833" t="str">
        <v>Diarreia</v>
      </c>
      <c r="Z833">
        <v>2</v>
      </c>
      <c r="AA833">
        <v>15.2</v>
      </c>
      <c r="AB833">
        <v>1.01</v>
      </c>
      <c r="AC833">
        <v>3</v>
      </c>
      <c r="AD833">
        <v>110</v>
      </c>
      <c r="AE833">
        <v>102</v>
      </c>
      <c r="AF833" t="str">
        <v>Urbana</v>
      </c>
      <c r="AG833" t="str">
        <v>Nao</v>
      </c>
    </row>
    <row r="834" spans="2:33" x14ac:dyDescent="0.45">
      <c r="B834" s="4">
        <v>833</v>
      </c>
      <c r="C834" s="4" t="s">
        <v>27</v>
      </c>
      <c r="D834" s="4" t="s">
        <v>16</v>
      </c>
      <c r="E834" s="4" t="s">
        <v>17</v>
      </c>
      <c r="F834" s="4" t="s">
        <v>28</v>
      </c>
      <c r="G834" s="4" t="s">
        <v>19</v>
      </c>
      <c r="H834" s="4" t="s">
        <v>25</v>
      </c>
      <c r="I834" s="4">
        <v>31</v>
      </c>
      <c r="J834" s="5">
        <v>92.4</v>
      </c>
      <c r="K834" s="6">
        <v>1.83</v>
      </c>
      <c r="L834" s="4">
        <v>2</v>
      </c>
      <c r="M834" s="4">
        <v>124</v>
      </c>
      <c r="N834" s="4">
        <v>84</v>
      </c>
      <c r="O834" s="4" t="s">
        <v>21</v>
      </c>
      <c r="P834" s="7" t="s">
        <v>19</v>
      </c>
      <c r="S834">
        <v>1767</v>
      </c>
      <c r="T834" t="str">
        <v>Gaza</v>
      </c>
      <c r="U834" t="str">
        <v>Masculino</v>
      </c>
      <c r="V834" t="str">
        <v>Viuvo(a)</v>
      </c>
      <c r="W834" t="str">
        <v>Secundaria</v>
      </c>
      <c r="X834" t="str">
        <v>Nao</v>
      </c>
      <c r="Y834" t="str">
        <v>HIV/SIDA</v>
      </c>
      <c r="Z834">
        <v>83</v>
      </c>
      <c r="AA834">
        <v>50.2</v>
      </c>
      <c r="AB834">
        <v>1.78</v>
      </c>
      <c r="AC834">
        <v>6</v>
      </c>
      <c r="AD834">
        <v>120</v>
      </c>
      <c r="AE834">
        <v>75</v>
      </c>
      <c r="AF834" t="str">
        <v>Rural</v>
      </c>
      <c r="AG834" t="str">
        <v>Nao</v>
      </c>
    </row>
    <row r="835" spans="2:33" x14ac:dyDescent="0.45">
      <c r="B835" s="4">
        <v>834</v>
      </c>
      <c r="C835" s="4" t="s">
        <v>15</v>
      </c>
      <c r="D835" s="4" t="s">
        <v>16</v>
      </c>
      <c r="E835" s="4" t="s">
        <v>35</v>
      </c>
      <c r="F835" s="4" t="s">
        <v>28</v>
      </c>
      <c r="G835" s="4" t="s">
        <v>19</v>
      </c>
      <c r="H835" s="4" t="s">
        <v>34</v>
      </c>
      <c r="I835" s="4">
        <v>55</v>
      </c>
      <c r="J835" s="5">
        <v>83.2</v>
      </c>
      <c r="K835" s="6">
        <v>1.75</v>
      </c>
      <c r="L835" s="4">
        <v>1</v>
      </c>
      <c r="M835" s="4">
        <v>130</v>
      </c>
      <c r="N835" s="4">
        <v>99</v>
      </c>
      <c r="O835" s="4" t="s">
        <v>26</v>
      </c>
      <c r="P835" s="7" t="s">
        <v>19</v>
      </c>
      <c r="S835">
        <v>1768</v>
      </c>
      <c r="T835" t="str">
        <v>Cabo Delgado</v>
      </c>
      <c r="U835" t="str">
        <v>Masculino</v>
      </c>
      <c r="V835" t="str">
        <v>Casado(a)</v>
      </c>
      <c r="W835" t="str">
        <v>Primaria</v>
      </c>
      <c r="X835" t="str">
        <v>Nao</v>
      </c>
      <c r="Y835" t="str">
        <v>Pneumonia</v>
      </c>
      <c r="Z835">
        <v>18</v>
      </c>
      <c r="AA835">
        <v>82.9</v>
      </c>
      <c r="AB835">
        <v>1.75</v>
      </c>
      <c r="AC835">
        <v>3</v>
      </c>
      <c r="AD835">
        <v>110</v>
      </c>
      <c r="AE835">
        <v>81</v>
      </c>
      <c r="AF835" t="str">
        <v>Rural</v>
      </c>
      <c r="AG835" t="str">
        <v>Nao</v>
      </c>
    </row>
    <row r="836" spans="2:33" x14ac:dyDescent="0.45">
      <c r="B836" s="4">
        <v>835</v>
      </c>
      <c r="C836" s="4" t="s">
        <v>22</v>
      </c>
      <c r="D836" s="4" t="s">
        <v>23</v>
      </c>
      <c r="E836" s="4" t="s">
        <v>35</v>
      </c>
      <c r="F836" s="4" t="s">
        <v>24</v>
      </c>
      <c r="G836" s="4" t="s">
        <v>19</v>
      </c>
      <c r="H836" s="4" t="s">
        <v>20</v>
      </c>
      <c r="I836" s="4">
        <v>40</v>
      </c>
      <c r="J836" s="5">
        <v>48.3</v>
      </c>
      <c r="K836" s="6">
        <v>1.8</v>
      </c>
      <c r="L836" s="4">
        <v>10</v>
      </c>
      <c r="M836" s="4">
        <v>124</v>
      </c>
      <c r="N836" s="4">
        <v>91</v>
      </c>
      <c r="O836" s="4" t="s">
        <v>21</v>
      </c>
      <c r="P836" s="7" t="s">
        <v>19</v>
      </c>
      <c r="S836">
        <v>1769</v>
      </c>
      <c r="T836" t="str">
        <v>Zambezia</v>
      </c>
      <c r="U836" t="str">
        <v>Masculino</v>
      </c>
      <c r="V836" t="str">
        <v>Casado(a)</v>
      </c>
      <c r="W836" t="str">
        <v>Superior</v>
      </c>
      <c r="X836" t="str">
        <v>Sim</v>
      </c>
      <c r="Y836" t="str">
        <v>Pneumonia</v>
      </c>
      <c r="Z836">
        <v>16</v>
      </c>
      <c r="AA836">
        <v>50.5</v>
      </c>
      <c r="AB836">
        <v>1.54</v>
      </c>
      <c r="AC836">
        <v>4</v>
      </c>
      <c r="AD836">
        <v>113</v>
      </c>
      <c r="AE836">
        <v>98</v>
      </c>
      <c r="AF836" t="str">
        <v>Urbana</v>
      </c>
      <c r="AG836" t="str">
        <v>Nao</v>
      </c>
    </row>
    <row r="837" spans="2:33" x14ac:dyDescent="0.45">
      <c r="B837" s="4">
        <v>836</v>
      </c>
      <c r="C837" s="4" t="s">
        <v>41</v>
      </c>
      <c r="D837" s="4" t="s">
        <v>23</v>
      </c>
      <c r="E837" s="4" t="s">
        <v>17</v>
      </c>
      <c r="F837" s="4" t="s">
        <v>18</v>
      </c>
      <c r="G837" s="4" t="s">
        <v>19</v>
      </c>
      <c r="H837" s="4" t="s">
        <v>36</v>
      </c>
      <c r="I837" s="4">
        <v>37</v>
      </c>
      <c r="J837" s="5">
        <v>66.5</v>
      </c>
      <c r="K837" s="6">
        <v>1.49</v>
      </c>
      <c r="L837" s="4">
        <v>5</v>
      </c>
      <c r="M837" s="4">
        <v>139</v>
      </c>
      <c r="N837" s="4">
        <v>81</v>
      </c>
      <c r="O837" s="4" t="s">
        <v>26</v>
      </c>
      <c r="P837" s="7" t="s">
        <v>19</v>
      </c>
      <c r="S837">
        <v>1770</v>
      </c>
      <c r="T837" t="str">
        <v>Nampula</v>
      </c>
      <c r="U837" t="str">
        <v>Masculino</v>
      </c>
      <c r="V837" t="str">
        <v>Casado(a)</v>
      </c>
      <c r="W837" t="str">
        <v>Superior</v>
      </c>
      <c r="X837" t="str">
        <v>Sim</v>
      </c>
      <c r="Y837" t="str">
        <v>HIV/SIDA</v>
      </c>
      <c r="Z837">
        <v>29</v>
      </c>
      <c r="AA837">
        <v>93.4</v>
      </c>
      <c r="AB837">
        <v>1.88</v>
      </c>
      <c r="AC837">
        <v>7</v>
      </c>
      <c r="AD837">
        <v>113</v>
      </c>
      <c r="AE837">
        <v>85</v>
      </c>
      <c r="AF837" t="str">
        <v>Rural</v>
      </c>
      <c r="AG837" t="str">
        <v>Sim</v>
      </c>
    </row>
    <row r="838" spans="2:33" x14ac:dyDescent="0.45">
      <c r="B838" s="4">
        <v>837</v>
      </c>
      <c r="C838" s="4" t="s">
        <v>33</v>
      </c>
      <c r="D838" s="4" t="s">
        <v>23</v>
      </c>
      <c r="E838" s="4" t="s">
        <v>35</v>
      </c>
      <c r="F838" s="4" t="s">
        <v>24</v>
      </c>
      <c r="G838" s="4" t="s">
        <v>30</v>
      </c>
      <c r="H838" s="4" t="s">
        <v>46</v>
      </c>
      <c r="I838" s="4">
        <v>45</v>
      </c>
      <c r="J838" s="5">
        <v>59.4</v>
      </c>
      <c r="K838" s="6">
        <v>1.89</v>
      </c>
      <c r="L838" s="4">
        <v>7</v>
      </c>
      <c r="M838" s="4">
        <v>124</v>
      </c>
      <c r="N838" s="4">
        <v>94</v>
      </c>
      <c r="O838" s="4" t="s">
        <v>26</v>
      </c>
      <c r="P838" s="7" t="s">
        <v>19</v>
      </c>
      <c r="S838">
        <v>1773</v>
      </c>
      <c r="T838" t="str">
        <v>Gaza</v>
      </c>
      <c r="U838" t="str">
        <v>Masculino</v>
      </c>
      <c r="V838" t="str">
        <v>Viuvo(a)</v>
      </c>
      <c r="W838" t="str">
        <v>Nenhuma</v>
      </c>
      <c r="X838" t="str">
        <v>Nao</v>
      </c>
      <c r="Y838" t="str">
        <v>Nenhuma</v>
      </c>
      <c r="Z838">
        <v>75</v>
      </c>
      <c r="AA838">
        <v>89.2</v>
      </c>
      <c r="AB838">
        <v>1.72</v>
      </c>
      <c r="AC838">
        <v>3</v>
      </c>
      <c r="AD838">
        <v>133</v>
      </c>
      <c r="AE838">
        <v>89</v>
      </c>
      <c r="AF838" t="str">
        <v>Rural</v>
      </c>
      <c r="AG838" t="str">
        <v>Sim</v>
      </c>
    </row>
    <row r="839" spans="2:33" x14ac:dyDescent="0.45">
      <c r="B839" s="4">
        <v>838</v>
      </c>
      <c r="C839" s="4" t="s">
        <v>41</v>
      </c>
      <c r="D839" s="4" t="s">
        <v>16</v>
      </c>
      <c r="E839" s="4" t="s">
        <v>35</v>
      </c>
      <c r="F839" s="4" t="s">
        <v>24</v>
      </c>
      <c r="G839" s="4" t="s">
        <v>30</v>
      </c>
      <c r="H839" s="4" t="s">
        <v>28</v>
      </c>
      <c r="I839" s="4">
        <v>49</v>
      </c>
      <c r="J839" s="5">
        <v>90</v>
      </c>
      <c r="K839" s="6">
        <v>1.69</v>
      </c>
      <c r="L839" s="4">
        <v>0</v>
      </c>
      <c r="M839" s="4">
        <v>116</v>
      </c>
      <c r="N839" s="4">
        <v>97</v>
      </c>
      <c r="O839" s="4" t="s">
        <v>21</v>
      </c>
      <c r="P839" s="7" t="s">
        <v>19</v>
      </c>
      <c r="S839">
        <v>1780</v>
      </c>
      <c r="T839" t="str">
        <v>Cabo Delgado</v>
      </c>
      <c r="U839" t="str">
        <v>Masculino</v>
      </c>
      <c r="V839" t="str">
        <v>Solteiro(a)</v>
      </c>
      <c r="W839" t="str">
        <v>Primaria</v>
      </c>
      <c r="X839" t="str">
        <v>Nao</v>
      </c>
      <c r="Y839" t="str">
        <v>Diarreia</v>
      </c>
      <c r="Z839">
        <v>58</v>
      </c>
      <c r="AA839">
        <v>68.2</v>
      </c>
      <c r="AB839">
        <v>1.88</v>
      </c>
      <c r="AC839">
        <v>3</v>
      </c>
      <c r="AD839">
        <v>118</v>
      </c>
      <c r="AE839">
        <v>73</v>
      </c>
      <c r="AF839" t="str">
        <v>Rural</v>
      </c>
      <c r="AG839" t="str">
        <v>Nao</v>
      </c>
    </row>
    <row r="840" spans="2:33" x14ac:dyDescent="0.45">
      <c r="B840" s="4">
        <v>839</v>
      </c>
      <c r="C840" s="4" t="s">
        <v>31</v>
      </c>
      <c r="D840" s="4" t="s">
        <v>23</v>
      </c>
      <c r="E840" s="4" t="s">
        <v>35</v>
      </c>
      <c r="F840" s="4" t="s">
        <v>18</v>
      </c>
      <c r="G840" s="4" t="s">
        <v>19</v>
      </c>
      <c r="H840" s="4" t="s">
        <v>28</v>
      </c>
      <c r="I840" s="4">
        <v>0</v>
      </c>
      <c r="J840" s="5">
        <v>9.6</v>
      </c>
      <c r="K840" s="6">
        <v>0.95</v>
      </c>
      <c r="L840" s="4">
        <v>5</v>
      </c>
      <c r="M840" s="4">
        <v>111</v>
      </c>
      <c r="N840" s="4">
        <v>98</v>
      </c>
      <c r="O840" s="4" t="s">
        <v>26</v>
      </c>
      <c r="P840" s="7" t="s">
        <v>19</v>
      </c>
      <c r="S840">
        <v>1783</v>
      </c>
      <c r="T840" t="str">
        <v>Nampula</v>
      </c>
      <c r="U840" t="str">
        <v>Masculino</v>
      </c>
      <c r="V840" t="str">
        <v>Solteiro(a)</v>
      </c>
      <c r="W840" t="str">
        <v>Secundaria</v>
      </c>
      <c r="X840" t="str">
        <v>Sim</v>
      </c>
      <c r="Y840" t="str">
        <v>Tuberculose</v>
      </c>
      <c r="Z840">
        <v>17</v>
      </c>
      <c r="AA840">
        <v>63.2</v>
      </c>
      <c r="AB840">
        <v>1.73</v>
      </c>
      <c r="AC840">
        <v>5</v>
      </c>
      <c r="AD840">
        <v>114</v>
      </c>
      <c r="AE840">
        <v>103</v>
      </c>
      <c r="AF840" t="str">
        <v>Urbana</v>
      </c>
      <c r="AG840" t="str">
        <v>Nao</v>
      </c>
    </row>
    <row r="841" spans="2:33" x14ac:dyDescent="0.45">
      <c r="B841" s="4">
        <v>840</v>
      </c>
      <c r="C841" s="4" t="s">
        <v>33</v>
      </c>
      <c r="D841" s="4" t="s">
        <v>23</v>
      </c>
      <c r="E841" s="4" t="s">
        <v>35</v>
      </c>
      <c r="F841" s="4" t="s">
        <v>28</v>
      </c>
      <c r="G841" s="4" t="s">
        <v>19</v>
      </c>
      <c r="H841" s="4" t="s">
        <v>36</v>
      </c>
      <c r="I841" s="4">
        <v>5</v>
      </c>
      <c r="J841" s="5">
        <v>32</v>
      </c>
      <c r="K841" s="6">
        <v>1.26</v>
      </c>
      <c r="L841" s="4">
        <v>2</v>
      </c>
      <c r="M841" s="4">
        <v>123</v>
      </c>
      <c r="N841" s="4">
        <v>80</v>
      </c>
      <c r="O841" s="4" t="s">
        <v>26</v>
      </c>
      <c r="P841" s="7" t="s">
        <v>19</v>
      </c>
      <c r="S841">
        <v>1785</v>
      </c>
      <c r="T841" t="str">
        <v>Inhambane</v>
      </c>
      <c r="U841" t="str">
        <v>Masculino</v>
      </c>
      <c r="V841" t="str">
        <v>Casado(a)</v>
      </c>
      <c r="W841" t="str">
        <v>Secundaria</v>
      </c>
      <c r="X841" t="str">
        <v>Nao</v>
      </c>
      <c r="Y841" t="str">
        <v>Malaria</v>
      </c>
      <c r="Z841">
        <v>31</v>
      </c>
      <c r="AA841">
        <v>67.7</v>
      </c>
      <c r="AB841">
        <v>1.52</v>
      </c>
      <c r="AC841">
        <v>3</v>
      </c>
      <c r="AD841">
        <v>111</v>
      </c>
      <c r="AE841">
        <v>99</v>
      </c>
      <c r="AF841" t="str">
        <v>Urbana</v>
      </c>
      <c r="AG841" t="str">
        <v>Sim</v>
      </c>
    </row>
    <row r="842" spans="2:33" x14ac:dyDescent="0.45">
      <c r="B842" s="4">
        <v>841</v>
      </c>
      <c r="C842" s="4" t="s">
        <v>45</v>
      </c>
      <c r="D842" s="4" t="s">
        <v>16</v>
      </c>
      <c r="E842" s="4" t="s">
        <v>17</v>
      </c>
      <c r="F842" s="4" t="s">
        <v>24</v>
      </c>
      <c r="G842" s="4" t="s">
        <v>19</v>
      </c>
      <c r="H842" s="4" t="s">
        <v>20</v>
      </c>
      <c r="I842" s="4">
        <v>46</v>
      </c>
      <c r="J842" s="5">
        <v>85.3</v>
      </c>
      <c r="K842" s="6">
        <v>1.78</v>
      </c>
      <c r="L842" s="4">
        <v>2</v>
      </c>
      <c r="M842" s="4">
        <v>106</v>
      </c>
      <c r="N842" s="4">
        <v>86</v>
      </c>
      <c r="O842" s="4" t="s">
        <v>26</v>
      </c>
      <c r="P842" s="7" t="s">
        <v>19</v>
      </c>
      <c r="S842">
        <v>1790</v>
      </c>
      <c r="T842" t="str">
        <v>Maputo Provincia</v>
      </c>
      <c r="U842" t="str">
        <v>Masculino</v>
      </c>
      <c r="V842" t="str">
        <v>Solteiro(a)</v>
      </c>
      <c r="W842" t="str">
        <v>Primaria</v>
      </c>
      <c r="X842" t="str">
        <v>Nao</v>
      </c>
      <c r="Y842" t="str">
        <v>Diabetes</v>
      </c>
      <c r="Z842">
        <v>47</v>
      </c>
      <c r="AA842">
        <v>54.2</v>
      </c>
      <c r="AB842">
        <v>1.9</v>
      </c>
      <c r="AC842">
        <v>1</v>
      </c>
      <c r="AD842">
        <v>110</v>
      </c>
      <c r="AE842">
        <v>151</v>
      </c>
      <c r="AF842" t="str">
        <v>Urbana</v>
      </c>
      <c r="AG842" t="str">
        <v>Nao</v>
      </c>
    </row>
    <row r="843" spans="2:33" x14ac:dyDescent="0.45">
      <c r="B843" s="4">
        <v>842</v>
      </c>
      <c r="C843" s="4" t="s">
        <v>27</v>
      </c>
      <c r="D843" s="4" t="s">
        <v>23</v>
      </c>
      <c r="E843" s="4" t="s">
        <v>37</v>
      </c>
      <c r="F843" s="4" t="s">
        <v>24</v>
      </c>
      <c r="G843" s="4" t="s">
        <v>19</v>
      </c>
      <c r="H843" s="4" t="s">
        <v>36</v>
      </c>
      <c r="I843" s="4">
        <v>31</v>
      </c>
      <c r="J843" s="5">
        <v>81.3</v>
      </c>
      <c r="K843" s="6">
        <v>1.88</v>
      </c>
      <c r="L843" s="4">
        <v>8</v>
      </c>
      <c r="M843" s="4">
        <v>140</v>
      </c>
      <c r="N843" s="4">
        <v>89</v>
      </c>
      <c r="O843" s="4" t="s">
        <v>21</v>
      </c>
      <c r="P843" s="7" t="s">
        <v>30</v>
      </c>
      <c r="S843">
        <v>1791</v>
      </c>
      <c r="T843" t="str">
        <v>Zambezia</v>
      </c>
      <c r="U843" t="str">
        <v>Masculino</v>
      </c>
      <c r="V843" t="str">
        <v>Casado(a)</v>
      </c>
      <c r="W843" t="str">
        <v>Nenhuma</v>
      </c>
      <c r="X843" t="str">
        <v>Nao</v>
      </c>
      <c r="Y843" t="str">
        <v>HIV/SIDA</v>
      </c>
      <c r="Z843">
        <v>53</v>
      </c>
      <c r="AA843">
        <v>63.2</v>
      </c>
      <c r="AB843">
        <v>1.6</v>
      </c>
      <c r="AC843">
        <v>2</v>
      </c>
      <c r="AD843">
        <v>122</v>
      </c>
      <c r="AE843">
        <v>86</v>
      </c>
      <c r="AF843" t="str">
        <v>Urbana</v>
      </c>
      <c r="AG843" t="str">
        <v>Sim</v>
      </c>
    </row>
    <row r="844" spans="2:33" x14ac:dyDescent="0.45">
      <c r="B844" s="4">
        <v>843</v>
      </c>
      <c r="C844" s="4" t="s">
        <v>41</v>
      </c>
      <c r="D844" s="4" t="s">
        <v>16</v>
      </c>
      <c r="E844" s="4" t="s">
        <v>17</v>
      </c>
      <c r="F844" s="4" t="s">
        <v>28</v>
      </c>
      <c r="G844" s="4" t="s">
        <v>19</v>
      </c>
      <c r="H844" s="4" t="s">
        <v>20</v>
      </c>
      <c r="I844" s="4">
        <v>0</v>
      </c>
      <c r="J844" s="5">
        <v>9</v>
      </c>
      <c r="K844" s="6">
        <v>0.72</v>
      </c>
      <c r="L844" s="4">
        <v>0</v>
      </c>
      <c r="M844" s="4">
        <v>107</v>
      </c>
      <c r="N844" s="4">
        <v>83</v>
      </c>
      <c r="O844" s="4" t="s">
        <v>21</v>
      </c>
      <c r="P844" s="7" t="s">
        <v>19</v>
      </c>
      <c r="S844">
        <v>1792</v>
      </c>
      <c r="T844" t="str">
        <v>Sofala</v>
      </c>
      <c r="U844" t="str">
        <v>Masculino</v>
      </c>
      <c r="V844" t="str">
        <v>Casado(a)</v>
      </c>
      <c r="W844" t="str">
        <v>Secundaria</v>
      </c>
      <c r="X844" t="str">
        <v>Nao</v>
      </c>
      <c r="Y844" t="str">
        <v>HIV/SIDA</v>
      </c>
      <c r="Z844">
        <v>18</v>
      </c>
      <c r="AA844">
        <v>88.2</v>
      </c>
      <c r="AB844">
        <v>1.9</v>
      </c>
      <c r="AC844">
        <v>3</v>
      </c>
      <c r="AD844">
        <v>120</v>
      </c>
      <c r="AE844">
        <v>105</v>
      </c>
      <c r="AF844" t="str">
        <v>Rural</v>
      </c>
      <c r="AG844" t="str">
        <v>Sim</v>
      </c>
    </row>
    <row r="845" spans="2:33" x14ac:dyDescent="0.45">
      <c r="B845" s="4">
        <v>844</v>
      </c>
      <c r="C845" s="4" t="s">
        <v>29</v>
      </c>
      <c r="D845" s="4" t="s">
        <v>16</v>
      </c>
      <c r="E845" s="4" t="s">
        <v>17</v>
      </c>
      <c r="F845" s="4" t="s">
        <v>24</v>
      </c>
      <c r="G845" s="4" t="s">
        <v>19</v>
      </c>
      <c r="H845" s="4" t="s">
        <v>36</v>
      </c>
      <c r="I845" s="4">
        <v>28</v>
      </c>
      <c r="J845" s="5">
        <v>85.1</v>
      </c>
      <c r="K845" s="6">
        <v>1.63</v>
      </c>
      <c r="L845" s="4">
        <v>3</v>
      </c>
      <c r="M845" s="4">
        <v>138</v>
      </c>
      <c r="N845" s="4">
        <v>91</v>
      </c>
      <c r="O845" s="4" t="s">
        <v>26</v>
      </c>
      <c r="P845" s="7" t="s">
        <v>19</v>
      </c>
      <c r="S845">
        <v>1793</v>
      </c>
      <c r="T845" t="str">
        <v>Sofala</v>
      </c>
      <c r="U845" t="str">
        <v>Masculino</v>
      </c>
      <c r="V845" t="str">
        <v>Solteiro(a)</v>
      </c>
      <c r="W845" t="str">
        <v>Nenhuma</v>
      </c>
      <c r="X845" t="str">
        <v>Nao</v>
      </c>
      <c r="Y845" t="str">
        <v>Nenhuma</v>
      </c>
      <c r="Z845">
        <v>53</v>
      </c>
      <c r="AA845">
        <v>63</v>
      </c>
      <c r="AB845">
        <v>1.5</v>
      </c>
      <c r="AC845">
        <v>2</v>
      </c>
      <c r="AD845">
        <v>109</v>
      </c>
      <c r="AE845">
        <v>99</v>
      </c>
      <c r="AF845" t="str">
        <v>Rural</v>
      </c>
      <c r="AG845" t="str">
        <v>Nao</v>
      </c>
    </row>
    <row r="846" spans="2:33" x14ac:dyDescent="0.45">
      <c r="B846" s="4">
        <v>845</v>
      </c>
      <c r="C846" s="4" t="s">
        <v>41</v>
      </c>
      <c r="D846" s="4" t="s">
        <v>16</v>
      </c>
      <c r="E846" s="4" t="s">
        <v>35</v>
      </c>
      <c r="F846" s="4" t="s">
        <v>24</v>
      </c>
      <c r="G846" s="4" t="s">
        <v>19</v>
      </c>
      <c r="H846" s="4" t="s">
        <v>28</v>
      </c>
      <c r="I846" s="4">
        <v>24</v>
      </c>
      <c r="J846" s="5">
        <v>54</v>
      </c>
      <c r="K846" s="6">
        <v>1.71</v>
      </c>
      <c r="L846" s="4">
        <v>0</v>
      </c>
      <c r="M846" s="4">
        <v>102</v>
      </c>
      <c r="N846" s="4">
        <v>73</v>
      </c>
      <c r="O846" s="4" t="s">
        <v>26</v>
      </c>
      <c r="P846" s="7" t="s">
        <v>19</v>
      </c>
      <c r="S846">
        <v>1794</v>
      </c>
      <c r="T846" t="str">
        <v>Zambezia</v>
      </c>
      <c r="U846" t="str">
        <v>Masculino</v>
      </c>
      <c r="V846" t="str">
        <v>Solteiro(a)</v>
      </c>
      <c r="W846" t="str">
        <v>Secundaria</v>
      </c>
      <c r="X846" t="str">
        <v>Nao</v>
      </c>
      <c r="Y846" t="str">
        <v>HIV/SIDA</v>
      </c>
      <c r="Z846">
        <v>11</v>
      </c>
      <c r="AA846">
        <v>23.8</v>
      </c>
      <c r="AB846">
        <v>1.37</v>
      </c>
      <c r="AC846">
        <v>1</v>
      </c>
      <c r="AD846">
        <v>110</v>
      </c>
      <c r="AE846">
        <v>93</v>
      </c>
      <c r="AF846" t="str">
        <v>Rural</v>
      </c>
      <c r="AG846" t="str">
        <v>Nao</v>
      </c>
    </row>
    <row r="847" spans="2:33" x14ac:dyDescent="0.45">
      <c r="B847" s="4">
        <v>846</v>
      </c>
      <c r="C847" s="4" t="s">
        <v>45</v>
      </c>
      <c r="D847" s="4" t="s">
        <v>16</v>
      </c>
      <c r="E847" s="4" t="s">
        <v>17</v>
      </c>
      <c r="F847" s="4" t="s">
        <v>18</v>
      </c>
      <c r="G847" s="4" t="s">
        <v>19</v>
      </c>
      <c r="H847" s="4" t="s">
        <v>25</v>
      </c>
      <c r="I847" s="4">
        <v>22</v>
      </c>
      <c r="J847" s="5">
        <v>55.8</v>
      </c>
      <c r="K847" s="6">
        <v>1.9</v>
      </c>
      <c r="L847" s="4">
        <v>9</v>
      </c>
      <c r="M847" s="4">
        <v>107</v>
      </c>
      <c r="N847" s="4">
        <v>79</v>
      </c>
      <c r="O847" s="4" t="s">
        <v>21</v>
      </c>
      <c r="P847" s="7" t="s">
        <v>19</v>
      </c>
      <c r="S847">
        <v>1796</v>
      </c>
      <c r="T847" t="str">
        <v>Nampula</v>
      </c>
      <c r="U847" t="str">
        <v>Masculino</v>
      </c>
      <c r="V847" t="str">
        <v>Solteiro(a)</v>
      </c>
      <c r="W847" t="str">
        <v>Secundaria</v>
      </c>
      <c r="X847" t="str">
        <v>Nao</v>
      </c>
      <c r="Y847" t="str">
        <v>Pneumonia</v>
      </c>
      <c r="Z847">
        <v>33</v>
      </c>
      <c r="AA847">
        <v>84</v>
      </c>
      <c r="AB847">
        <v>1.48</v>
      </c>
      <c r="AC847">
        <v>1</v>
      </c>
      <c r="AD847">
        <v>132</v>
      </c>
      <c r="AE847">
        <v>105</v>
      </c>
      <c r="AF847" t="str">
        <v>Rural</v>
      </c>
      <c r="AG847" t="str">
        <v>Sim</v>
      </c>
    </row>
    <row r="848" spans="2:33" x14ac:dyDescent="0.45">
      <c r="B848" s="4">
        <v>847</v>
      </c>
      <c r="C848" s="4" t="s">
        <v>41</v>
      </c>
      <c r="D848" s="4" t="s">
        <v>16</v>
      </c>
      <c r="E848" s="4" t="s">
        <v>17</v>
      </c>
      <c r="F848" s="4" t="s">
        <v>24</v>
      </c>
      <c r="G848" s="4" t="s">
        <v>30</v>
      </c>
      <c r="H848" s="4" t="s">
        <v>28</v>
      </c>
      <c r="I848" s="4">
        <v>10</v>
      </c>
      <c r="J848" s="5">
        <v>24.3</v>
      </c>
      <c r="K848" s="6">
        <v>1.0900000000000001</v>
      </c>
      <c r="L848" s="4">
        <v>2</v>
      </c>
      <c r="M848" s="4">
        <v>100</v>
      </c>
      <c r="N848" s="4">
        <v>97</v>
      </c>
      <c r="O848" s="4" t="s">
        <v>26</v>
      </c>
      <c r="P848" s="7" t="s">
        <v>19</v>
      </c>
      <c r="S848">
        <v>1798</v>
      </c>
      <c r="T848" t="str">
        <v>Tete</v>
      </c>
      <c r="U848" t="str">
        <v>Masculino</v>
      </c>
      <c r="V848" t="str">
        <v>Casado(a)</v>
      </c>
      <c r="W848" t="str">
        <v>Primaria</v>
      </c>
      <c r="X848" t="str">
        <v>Nao</v>
      </c>
      <c r="Y848" t="str">
        <v>HIV/SIDA</v>
      </c>
      <c r="Z848">
        <v>14</v>
      </c>
      <c r="AA848">
        <v>55.6</v>
      </c>
      <c r="AB848">
        <v>1.67</v>
      </c>
      <c r="AC848">
        <v>2</v>
      </c>
      <c r="AD848">
        <v>110</v>
      </c>
      <c r="AE848">
        <v>104</v>
      </c>
      <c r="AF848" t="str">
        <v>Rural</v>
      </c>
      <c r="AG848" t="str">
        <v>Nao</v>
      </c>
    </row>
    <row r="849" spans="2:33" x14ac:dyDescent="0.45">
      <c r="B849" s="4">
        <v>848</v>
      </c>
      <c r="C849" s="4" t="s">
        <v>15</v>
      </c>
      <c r="D849" s="4" t="s">
        <v>16</v>
      </c>
      <c r="E849" s="4" t="s">
        <v>35</v>
      </c>
      <c r="F849" s="4" t="s">
        <v>28</v>
      </c>
      <c r="G849" s="4" t="s">
        <v>19</v>
      </c>
      <c r="H849" s="4" t="s">
        <v>28</v>
      </c>
      <c r="I849" s="4">
        <v>55</v>
      </c>
      <c r="J849" s="5">
        <v>52.5</v>
      </c>
      <c r="K849" s="6">
        <v>1.79</v>
      </c>
      <c r="L849" s="4">
        <v>0</v>
      </c>
      <c r="M849" s="4">
        <v>119</v>
      </c>
      <c r="N849" s="4">
        <v>88</v>
      </c>
      <c r="O849" s="4" t="s">
        <v>26</v>
      </c>
      <c r="P849" s="7" t="s">
        <v>19</v>
      </c>
      <c r="S849">
        <v>1799</v>
      </c>
      <c r="T849" t="str">
        <v>Nampula</v>
      </c>
      <c r="U849" t="str">
        <v>Masculino</v>
      </c>
      <c r="V849" t="str">
        <v>Viuvo(a)</v>
      </c>
      <c r="W849" t="str">
        <v>Secundaria</v>
      </c>
      <c r="X849" t="str">
        <v>Sim</v>
      </c>
      <c r="Y849" t="str">
        <v>Tuberculose</v>
      </c>
      <c r="Z849">
        <v>24</v>
      </c>
      <c r="AA849">
        <v>51.9</v>
      </c>
      <c r="AB849">
        <v>1.66</v>
      </c>
      <c r="AC849">
        <v>6</v>
      </c>
      <c r="AD849">
        <v>100</v>
      </c>
      <c r="AE849">
        <v>79</v>
      </c>
      <c r="AF849" t="str">
        <v>Urbana</v>
      </c>
      <c r="AG849" t="str">
        <v>Nao</v>
      </c>
    </row>
    <row r="850" spans="2:33" x14ac:dyDescent="0.45">
      <c r="B850" s="4">
        <v>849</v>
      </c>
      <c r="C850" s="4" t="s">
        <v>45</v>
      </c>
      <c r="D850" s="4" t="s">
        <v>23</v>
      </c>
      <c r="E850" s="4" t="s">
        <v>35</v>
      </c>
      <c r="F850" s="4" t="s">
        <v>28</v>
      </c>
      <c r="G850" s="4" t="s">
        <v>19</v>
      </c>
      <c r="H850" s="4" t="s">
        <v>28</v>
      </c>
      <c r="I850" s="4">
        <v>7</v>
      </c>
      <c r="J850" s="5">
        <v>37.799999999999997</v>
      </c>
      <c r="K850" s="6">
        <v>1.37</v>
      </c>
      <c r="L850" s="4">
        <v>8</v>
      </c>
      <c r="M850" s="4">
        <v>105</v>
      </c>
      <c r="N850" s="4">
        <v>99</v>
      </c>
      <c r="O850" s="4" t="s">
        <v>26</v>
      </c>
      <c r="P850" s="7" t="s">
        <v>19</v>
      </c>
      <c r="S850">
        <v>1801</v>
      </c>
      <c r="T850" t="str">
        <v>Sofala</v>
      </c>
      <c r="U850" t="str">
        <v>Masculino</v>
      </c>
      <c r="V850" t="str">
        <v>Casado(a)</v>
      </c>
      <c r="W850" t="str">
        <v>Primaria</v>
      </c>
      <c r="X850" t="str">
        <v>Nao</v>
      </c>
      <c r="Y850" t="str">
        <v>Diabetes</v>
      </c>
      <c r="Z850">
        <v>4</v>
      </c>
      <c r="AA850">
        <v>10.1</v>
      </c>
      <c r="AB850">
        <v>0.75</v>
      </c>
      <c r="AC850">
        <v>3</v>
      </c>
      <c r="AD850">
        <v>99</v>
      </c>
      <c r="AE850">
        <v>157</v>
      </c>
      <c r="AF850" t="str">
        <v>Urbana</v>
      </c>
      <c r="AG850" t="str">
        <v>Nao</v>
      </c>
    </row>
    <row r="851" spans="2:33" x14ac:dyDescent="0.45">
      <c r="B851" s="4">
        <v>850</v>
      </c>
      <c r="C851" s="4" t="s">
        <v>22</v>
      </c>
      <c r="D851" s="4" t="s">
        <v>16</v>
      </c>
      <c r="E851" s="4" t="s">
        <v>17</v>
      </c>
      <c r="F851" s="4" t="s">
        <v>18</v>
      </c>
      <c r="G851" s="4" t="s">
        <v>19</v>
      </c>
      <c r="H851" s="4" t="s">
        <v>25</v>
      </c>
      <c r="I851" s="4">
        <v>18</v>
      </c>
      <c r="J851" s="5">
        <v>48.1</v>
      </c>
      <c r="K851" s="6">
        <v>1.54</v>
      </c>
      <c r="L851" s="4">
        <v>1</v>
      </c>
      <c r="M851" s="4">
        <v>98</v>
      </c>
      <c r="N851" s="4">
        <v>96</v>
      </c>
      <c r="O851" s="4" t="s">
        <v>26</v>
      </c>
      <c r="P851" s="7" t="s">
        <v>19</v>
      </c>
      <c r="S851">
        <v>1803</v>
      </c>
      <c r="T851" t="str">
        <v>Maputo Provincia</v>
      </c>
      <c r="U851" t="str">
        <v>Masculino</v>
      </c>
      <c r="V851" t="str">
        <v>Casado(a)</v>
      </c>
      <c r="W851" t="str">
        <v>Primaria</v>
      </c>
      <c r="X851" t="str">
        <v>Nao</v>
      </c>
      <c r="Y851" t="str">
        <v>Nenhuma</v>
      </c>
      <c r="Z851">
        <v>6</v>
      </c>
      <c r="AA851">
        <v>36.5</v>
      </c>
      <c r="AB851">
        <v>1.38</v>
      </c>
      <c r="AC851">
        <v>7</v>
      </c>
      <c r="AD851">
        <v>105</v>
      </c>
      <c r="AE851">
        <v>93</v>
      </c>
      <c r="AF851" t="str">
        <v>Rural</v>
      </c>
      <c r="AG851" t="str">
        <v>Nao</v>
      </c>
    </row>
    <row r="852" spans="2:33" x14ac:dyDescent="0.45">
      <c r="B852" s="4">
        <v>851</v>
      </c>
      <c r="C852" s="4" t="s">
        <v>15</v>
      </c>
      <c r="D852" s="4" t="s">
        <v>16</v>
      </c>
      <c r="E852" s="4" t="s">
        <v>35</v>
      </c>
      <c r="F852" s="4" t="s">
        <v>18</v>
      </c>
      <c r="G852" s="4" t="s">
        <v>30</v>
      </c>
      <c r="H852" s="4" t="s">
        <v>20</v>
      </c>
      <c r="I852" s="4">
        <v>15</v>
      </c>
      <c r="J852" s="5">
        <v>61.1</v>
      </c>
      <c r="K852" s="6">
        <v>1.7</v>
      </c>
      <c r="L852" s="4">
        <v>0</v>
      </c>
      <c r="M852" s="4">
        <v>98</v>
      </c>
      <c r="N852" s="4">
        <v>96</v>
      </c>
      <c r="O852" s="4" t="s">
        <v>26</v>
      </c>
      <c r="P852" s="7" t="s">
        <v>19</v>
      </c>
      <c r="S852">
        <v>1805</v>
      </c>
      <c r="T852" t="str">
        <v>Maputo Cidade</v>
      </c>
      <c r="U852" t="str">
        <v>Masculino</v>
      </c>
      <c r="V852" t="str">
        <v>Casado(a)</v>
      </c>
      <c r="W852" t="str">
        <v>Primaria</v>
      </c>
      <c r="X852" t="str">
        <v>Nao</v>
      </c>
      <c r="Y852" t="str">
        <v>Pneumonia</v>
      </c>
      <c r="Z852">
        <v>62</v>
      </c>
      <c r="AA852">
        <v>59.6</v>
      </c>
      <c r="AB852">
        <v>1.7</v>
      </c>
      <c r="AC852">
        <v>2</v>
      </c>
      <c r="AD852">
        <v>139</v>
      </c>
      <c r="AE852">
        <v>90</v>
      </c>
      <c r="AF852" t="str">
        <v>Rural</v>
      </c>
      <c r="AG852" t="str">
        <v>Sim</v>
      </c>
    </row>
    <row r="853" spans="2:33" x14ac:dyDescent="0.45">
      <c r="B853" s="4">
        <v>852</v>
      </c>
      <c r="C853" s="4" t="s">
        <v>41</v>
      </c>
      <c r="D853" s="4" t="s">
        <v>16</v>
      </c>
      <c r="E853" s="4" t="s">
        <v>35</v>
      </c>
      <c r="F853" s="4" t="s">
        <v>24</v>
      </c>
      <c r="G853" s="4" t="s">
        <v>19</v>
      </c>
      <c r="H853" s="4" t="s">
        <v>46</v>
      </c>
      <c r="I853" s="4">
        <v>72</v>
      </c>
      <c r="J853" s="5">
        <v>61.7</v>
      </c>
      <c r="K853" s="6">
        <v>1.5</v>
      </c>
      <c r="L853" s="4">
        <v>2</v>
      </c>
      <c r="M853" s="4">
        <v>121</v>
      </c>
      <c r="N853" s="4">
        <v>80</v>
      </c>
      <c r="O853" s="4" t="s">
        <v>26</v>
      </c>
      <c r="P853" s="7" t="s">
        <v>19</v>
      </c>
      <c r="S853">
        <v>1806</v>
      </c>
      <c r="T853" t="str">
        <v>Gaza</v>
      </c>
      <c r="U853" t="str">
        <v>Masculino</v>
      </c>
      <c r="V853" t="str">
        <v>Solteiro(a)</v>
      </c>
      <c r="W853" t="str">
        <v>Primaria</v>
      </c>
      <c r="X853" t="str">
        <v>Sim</v>
      </c>
      <c r="Y853" t="str">
        <v>Malaria</v>
      </c>
      <c r="Z853">
        <v>11</v>
      </c>
      <c r="AA853">
        <v>21.5</v>
      </c>
      <c r="AB853">
        <v>1.19</v>
      </c>
      <c r="AC853">
        <v>1</v>
      </c>
      <c r="AD853">
        <v>99</v>
      </c>
      <c r="AE853">
        <v>97</v>
      </c>
      <c r="AF853" t="str">
        <v>Urbana</v>
      </c>
      <c r="AG853" t="str">
        <v>Nao</v>
      </c>
    </row>
    <row r="854" spans="2:33" x14ac:dyDescent="0.45">
      <c r="B854" s="4">
        <v>853</v>
      </c>
      <c r="C854" s="4" t="s">
        <v>27</v>
      </c>
      <c r="D854" s="4" t="s">
        <v>16</v>
      </c>
      <c r="E854" s="4" t="s">
        <v>17</v>
      </c>
      <c r="F854" s="4" t="s">
        <v>28</v>
      </c>
      <c r="G854" s="4" t="s">
        <v>19</v>
      </c>
      <c r="H854" s="4" t="s">
        <v>34</v>
      </c>
      <c r="I854" s="4">
        <v>13</v>
      </c>
      <c r="J854" s="5">
        <v>44.6</v>
      </c>
      <c r="K854" s="6">
        <v>1.67</v>
      </c>
      <c r="L854" s="4">
        <v>1</v>
      </c>
      <c r="M854" s="4">
        <v>109</v>
      </c>
      <c r="N854" s="4">
        <v>101</v>
      </c>
      <c r="O854" s="4" t="s">
        <v>21</v>
      </c>
      <c r="P854" s="7" t="s">
        <v>19</v>
      </c>
      <c r="S854">
        <v>1808</v>
      </c>
      <c r="T854" t="str">
        <v>Maputo Cidade</v>
      </c>
      <c r="U854" t="str">
        <v>Masculino</v>
      </c>
      <c r="V854" t="str">
        <v>Divorciado(a)</v>
      </c>
      <c r="W854" t="str">
        <v>Primaria</v>
      </c>
      <c r="X854" t="str">
        <v>Nao</v>
      </c>
      <c r="Y854" t="str">
        <v>Hipertensao</v>
      </c>
      <c r="Z854">
        <v>36</v>
      </c>
      <c r="AA854">
        <v>80.7</v>
      </c>
      <c r="AB854">
        <v>1.83</v>
      </c>
      <c r="AC854">
        <v>4</v>
      </c>
      <c r="AD854">
        <v>131</v>
      </c>
      <c r="AE854">
        <v>92</v>
      </c>
      <c r="AF854" t="str">
        <v>Rural</v>
      </c>
      <c r="AG854" t="str">
        <v>Nao</v>
      </c>
    </row>
    <row r="855" spans="2:33" x14ac:dyDescent="0.45">
      <c r="B855" s="4">
        <v>854</v>
      </c>
      <c r="C855" s="4" t="s">
        <v>41</v>
      </c>
      <c r="D855" s="4" t="s">
        <v>23</v>
      </c>
      <c r="E855" s="4" t="s">
        <v>35</v>
      </c>
      <c r="F855" s="4" t="s">
        <v>18</v>
      </c>
      <c r="G855" s="4" t="s">
        <v>19</v>
      </c>
      <c r="H855" s="4" t="s">
        <v>28</v>
      </c>
      <c r="I855" s="4">
        <v>7</v>
      </c>
      <c r="J855" s="5">
        <v>18.8</v>
      </c>
      <c r="K855" s="6">
        <v>1.19</v>
      </c>
      <c r="L855" s="4">
        <v>6</v>
      </c>
      <c r="M855" s="4">
        <v>121</v>
      </c>
      <c r="N855" s="4">
        <v>101</v>
      </c>
      <c r="O855" s="4" t="s">
        <v>21</v>
      </c>
      <c r="P855" s="7" t="s">
        <v>30</v>
      </c>
      <c r="S855">
        <v>1809</v>
      </c>
      <c r="T855" t="str">
        <v>Maputo Provincia</v>
      </c>
      <c r="U855" t="str">
        <v>Masculino</v>
      </c>
      <c r="V855" t="str">
        <v>Viuvo(a)</v>
      </c>
      <c r="W855" t="str">
        <v>Nenhuma</v>
      </c>
      <c r="X855" t="str">
        <v>Nao</v>
      </c>
      <c r="Y855" t="str">
        <v>Malaria</v>
      </c>
      <c r="Z855">
        <v>30</v>
      </c>
      <c r="AA855">
        <v>68</v>
      </c>
      <c r="AB855">
        <v>1.52</v>
      </c>
      <c r="AC855">
        <v>3</v>
      </c>
      <c r="AD855">
        <v>120</v>
      </c>
      <c r="AE855">
        <v>100</v>
      </c>
      <c r="AF855" t="str">
        <v>Urbana</v>
      </c>
      <c r="AG855" t="str">
        <v>Nao</v>
      </c>
    </row>
    <row r="856" spans="2:33" x14ac:dyDescent="0.45">
      <c r="B856" s="4">
        <v>855</v>
      </c>
      <c r="C856" s="4" t="s">
        <v>33</v>
      </c>
      <c r="D856" s="4" t="s">
        <v>23</v>
      </c>
      <c r="E856" s="4" t="s">
        <v>17</v>
      </c>
      <c r="F856" s="4" t="s">
        <v>28</v>
      </c>
      <c r="G856" s="4" t="s">
        <v>30</v>
      </c>
      <c r="H856" s="4" t="s">
        <v>28</v>
      </c>
      <c r="I856" s="4">
        <v>7</v>
      </c>
      <c r="J856" s="5">
        <v>19.3</v>
      </c>
      <c r="K856" s="6">
        <v>1.1599999999999999</v>
      </c>
      <c r="L856" s="4">
        <v>4</v>
      </c>
      <c r="M856" s="4">
        <v>108</v>
      </c>
      <c r="N856" s="4">
        <v>72</v>
      </c>
      <c r="O856" s="4" t="s">
        <v>21</v>
      </c>
      <c r="P856" s="7" t="s">
        <v>19</v>
      </c>
      <c r="S856">
        <v>1817</v>
      </c>
      <c r="T856" t="str">
        <v>Gaza</v>
      </c>
      <c r="U856" t="str">
        <v>Masculino</v>
      </c>
      <c r="V856" t="str">
        <v>Viuvo(a)</v>
      </c>
      <c r="W856" t="str">
        <v>Primaria</v>
      </c>
      <c r="X856" t="str">
        <v>Nao</v>
      </c>
      <c r="Y856" t="str">
        <v>Diarreia</v>
      </c>
      <c r="Z856">
        <v>6</v>
      </c>
      <c r="AA856">
        <v>22.5</v>
      </c>
      <c r="AB856">
        <v>1.42</v>
      </c>
      <c r="AC856">
        <v>8</v>
      </c>
      <c r="AD856">
        <v>115</v>
      </c>
      <c r="AE856">
        <v>72</v>
      </c>
      <c r="AF856" t="str">
        <v>Rural</v>
      </c>
      <c r="AG856" t="str">
        <v>Nao</v>
      </c>
    </row>
    <row r="857" spans="2:33" x14ac:dyDescent="0.45">
      <c r="B857" s="4">
        <v>856</v>
      </c>
      <c r="C857" s="4" t="s">
        <v>33</v>
      </c>
      <c r="D857" s="4" t="s">
        <v>16</v>
      </c>
      <c r="E857" s="4" t="s">
        <v>17</v>
      </c>
      <c r="F857" s="4" t="s">
        <v>24</v>
      </c>
      <c r="G857" s="4" t="s">
        <v>19</v>
      </c>
      <c r="H857" s="4" t="s">
        <v>28</v>
      </c>
      <c r="I857" s="4">
        <v>57</v>
      </c>
      <c r="J857" s="5">
        <v>91.3</v>
      </c>
      <c r="K857" s="6">
        <v>1.61</v>
      </c>
      <c r="L857" s="4">
        <v>2</v>
      </c>
      <c r="M857" s="4">
        <v>111</v>
      </c>
      <c r="N857" s="4">
        <v>104</v>
      </c>
      <c r="O857" s="4" t="s">
        <v>21</v>
      </c>
      <c r="P857" s="7" t="s">
        <v>19</v>
      </c>
      <c r="S857">
        <v>1824</v>
      </c>
      <c r="T857" t="str">
        <v>Maputo Provincia</v>
      </c>
      <c r="U857" t="str">
        <v>Masculino</v>
      </c>
      <c r="V857" t="str">
        <v>Divorciado(a)</v>
      </c>
      <c r="W857" t="str">
        <v>Nenhuma</v>
      </c>
      <c r="X857" t="str">
        <v>Nao</v>
      </c>
      <c r="Y857" t="str">
        <v>Tuberculose</v>
      </c>
      <c r="Z857">
        <v>22</v>
      </c>
      <c r="AA857">
        <v>92.5</v>
      </c>
      <c r="AB857">
        <v>1.53</v>
      </c>
      <c r="AC857">
        <v>10</v>
      </c>
      <c r="AD857">
        <v>112</v>
      </c>
      <c r="AE857">
        <v>91</v>
      </c>
      <c r="AF857" t="str">
        <v>Rural</v>
      </c>
      <c r="AG857" t="str">
        <v>Nao</v>
      </c>
    </row>
    <row r="858" spans="2:33" x14ac:dyDescent="0.45">
      <c r="B858" s="4">
        <v>857</v>
      </c>
      <c r="C858" s="4" t="s">
        <v>33</v>
      </c>
      <c r="D858" s="4" t="s">
        <v>16</v>
      </c>
      <c r="E858" s="4" t="s">
        <v>35</v>
      </c>
      <c r="F858" s="4" t="s">
        <v>24</v>
      </c>
      <c r="G858" s="4" t="s">
        <v>19</v>
      </c>
      <c r="H858" s="4" t="s">
        <v>34</v>
      </c>
      <c r="I858" s="4">
        <v>22</v>
      </c>
      <c r="J858" s="5">
        <v>59.3</v>
      </c>
      <c r="K858" s="6">
        <v>1.57</v>
      </c>
      <c r="L858" s="4">
        <v>2</v>
      </c>
      <c r="M858" s="4">
        <v>102</v>
      </c>
      <c r="N858" s="4">
        <v>71</v>
      </c>
      <c r="O858" s="4" t="s">
        <v>26</v>
      </c>
      <c r="P858" s="7" t="s">
        <v>19</v>
      </c>
      <c r="S858">
        <v>1827</v>
      </c>
      <c r="T858" t="str">
        <v>Inhambane</v>
      </c>
      <c r="U858" t="str">
        <v>Masculino</v>
      </c>
      <c r="V858" t="str">
        <v>Casado(a)</v>
      </c>
      <c r="W858" t="str">
        <v>Primaria</v>
      </c>
      <c r="X858" t="str">
        <v>Nao</v>
      </c>
      <c r="Y858" t="str">
        <v>Tuberculose</v>
      </c>
      <c r="Z858">
        <v>32</v>
      </c>
      <c r="AA858">
        <v>69</v>
      </c>
      <c r="AB858">
        <v>1.85</v>
      </c>
      <c r="AC858">
        <v>2</v>
      </c>
      <c r="AD858">
        <v>113</v>
      </c>
      <c r="AE858">
        <v>73</v>
      </c>
      <c r="AF858" t="str">
        <v>Rural</v>
      </c>
      <c r="AG858" t="str">
        <v>Nao</v>
      </c>
    </row>
    <row r="859" spans="2:33" x14ac:dyDescent="0.45">
      <c r="B859" s="4">
        <v>858</v>
      </c>
      <c r="C859" s="4" t="s">
        <v>27</v>
      </c>
      <c r="D859" s="4" t="s">
        <v>16</v>
      </c>
      <c r="E859" s="4" t="s">
        <v>17</v>
      </c>
      <c r="F859" s="4" t="s">
        <v>18</v>
      </c>
      <c r="G859" s="4" t="s">
        <v>30</v>
      </c>
      <c r="H859" s="4" t="s">
        <v>36</v>
      </c>
      <c r="I859" s="4">
        <v>19</v>
      </c>
      <c r="J859" s="5">
        <v>50.8</v>
      </c>
      <c r="K859" s="6">
        <v>1.71</v>
      </c>
      <c r="L859" s="4">
        <v>4</v>
      </c>
      <c r="M859" s="4">
        <v>124</v>
      </c>
      <c r="N859" s="4">
        <v>70</v>
      </c>
      <c r="O859" s="4" t="s">
        <v>26</v>
      </c>
      <c r="P859" s="7" t="s">
        <v>19</v>
      </c>
      <c r="S859">
        <v>1829</v>
      </c>
      <c r="T859" t="str">
        <v>Sofala</v>
      </c>
      <c r="U859" t="str">
        <v>Masculino</v>
      </c>
      <c r="V859" t="str">
        <v>Casado(a)</v>
      </c>
      <c r="W859" t="str">
        <v>Primaria</v>
      </c>
      <c r="X859" t="str">
        <v>Sim</v>
      </c>
      <c r="Y859" t="str">
        <v>Malaria</v>
      </c>
      <c r="Z859">
        <v>78</v>
      </c>
      <c r="AA859">
        <v>73.099999999999994</v>
      </c>
      <c r="AB859">
        <v>1.83</v>
      </c>
      <c r="AC859">
        <v>1</v>
      </c>
      <c r="AD859">
        <v>133</v>
      </c>
      <c r="AE859">
        <v>78</v>
      </c>
      <c r="AF859" t="str">
        <v>Rural</v>
      </c>
      <c r="AG859" t="str">
        <v>Nao</v>
      </c>
    </row>
    <row r="860" spans="2:33" x14ac:dyDescent="0.45">
      <c r="B860" s="4">
        <v>859</v>
      </c>
      <c r="C860" s="4" t="s">
        <v>22</v>
      </c>
      <c r="D860" s="4" t="s">
        <v>16</v>
      </c>
      <c r="E860" s="4" t="s">
        <v>17</v>
      </c>
      <c r="F860" s="4" t="s">
        <v>24</v>
      </c>
      <c r="G860" s="4" t="s">
        <v>19</v>
      </c>
      <c r="H860" s="4" t="s">
        <v>20</v>
      </c>
      <c r="I860" s="4">
        <v>44</v>
      </c>
      <c r="J860" s="5">
        <v>81.7</v>
      </c>
      <c r="K860" s="6">
        <v>1.58</v>
      </c>
      <c r="L860" s="4">
        <v>2</v>
      </c>
      <c r="M860" s="4">
        <v>127</v>
      </c>
      <c r="N860" s="4">
        <v>94</v>
      </c>
      <c r="O860" s="4" t="s">
        <v>26</v>
      </c>
      <c r="P860" s="7" t="s">
        <v>30</v>
      </c>
      <c r="S860">
        <v>1830</v>
      </c>
      <c r="T860" t="str">
        <v>Zambezia</v>
      </c>
      <c r="U860" t="str">
        <v>Masculino</v>
      </c>
      <c r="V860" t="str">
        <v>Viuvo(a)</v>
      </c>
      <c r="W860" t="str">
        <v>Nenhuma</v>
      </c>
      <c r="X860" t="str">
        <v>Nao</v>
      </c>
      <c r="Y860" t="str">
        <v>Malaria</v>
      </c>
      <c r="Z860">
        <v>6</v>
      </c>
      <c r="AA860">
        <v>35.1</v>
      </c>
      <c r="AB860">
        <v>1.19</v>
      </c>
      <c r="AC860">
        <v>5</v>
      </c>
      <c r="AD860">
        <v>92</v>
      </c>
      <c r="AE860">
        <v>77</v>
      </c>
      <c r="AF860" t="str">
        <v>Rural</v>
      </c>
      <c r="AG860" t="str">
        <v>Nao</v>
      </c>
    </row>
    <row r="861" spans="2:33" x14ac:dyDescent="0.45">
      <c r="B861" s="4">
        <v>860</v>
      </c>
      <c r="C861" s="4" t="s">
        <v>45</v>
      </c>
      <c r="D861" s="4" t="s">
        <v>16</v>
      </c>
      <c r="E861" s="4" t="s">
        <v>17</v>
      </c>
      <c r="F861" s="4" t="s">
        <v>28</v>
      </c>
      <c r="G861" s="4" t="s">
        <v>19</v>
      </c>
      <c r="H861" s="4" t="s">
        <v>28</v>
      </c>
      <c r="I861" s="4">
        <v>6</v>
      </c>
      <c r="J861" s="5">
        <v>22.5</v>
      </c>
      <c r="K861" s="6">
        <v>1.23</v>
      </c>
      <c r="L861" s="4">
        <v>0</v>
      </c>
      <c r="M861" s="4">
        <v>96</v>
      </c>
      <c r="N861" s="4">
        <v>73</v>
      </c>
      <c r="O861" s="4" t="s">
        <v>21</v>
      </c>
      <c r="P861" s="7" t="s">
        <v>19</v>
      </c>
      <c r="S861">
        <v>1833</v>
      </c>
      <c r="T861" t="str">
        <v>Zambezia</v>
      </c>
      <c r="U861" t="str">
        <v>Masculino</v>
      </c>
      <c r="V861" t="str">
        <v>Divorciado(a)</v>
      </c>
      <c r="W861" t="str">
        <v>Superior</v>
      </c>
      <c r="X861" t="str">
        <v>Nao</v>
      </c>
      <c r="Y861" t="str">
        <v>Malaria</v>
      </c>
      <c r="Z861">
        <v>5</v>
      </c>
      <c r="AA861">
        <v>25.5</v>
      </c>
      <c r="AB861">
        <v>1.31</v>
      </c>
      <c r="AC861">
        <v>3</v>
      </c>
      <c r="AD861">
        <v>110</v>
      </c>
      <c r="AE861">
        <v>98</v>
      </c>
      <c r="AF861" t="str">
        <v>Urbana</v>
      </c>
      <c r="AG861" t="str">
        <v>Nao</v>
      </c>
    </row>
    <row r="862" spans="2:33" x14ac:dyDescent="0.45">
      <c r="B862" s="4">
        <v>861</v>
      </c>
      <c r="C862" s="4" t="s">
        <v>39</v>
      </c>
      <c r="D862" s="4" t="s">
        <v>16</v>
      </c>
      <c r="E862" s="4" t="s">
        <v>17</v>
      </c>
      <c r="F862" s="4" t="s">
        <v>28</v>
      </c>
      <c r="G862" s="4" t="s">
        <v>19</v>
      </c>
      <c r="H862" s="4" t="s">
        <v>32</v>
      </c>
      <c r="I862" s="4">
        <v>35</v>
      </c>
      <c r="J862" s="5">
        <v>60.1</v>
      </c>
      <c r="K862" s="6">
        <v>1.63</v>
      </c>
      <c r="L862" s="4">
        <v>5</v>
      </c>
      <c r="M862" s="4">
        <v>118</v>
      </c>
      <c r="N862" s="4">
        <v>124</v>
      </c>
      <c r="O862" s="4" t="s">
        <v>26</v>
      </c>
      <c r="P862" s="7" t="s">
        <v>19</v>
      </c>
      <c r="S862">
        <v>1836</v>
      </c>
      <c r="T862" t="str">
        <v>Inhambane</v>
      </c>
      <c r="U862" t="str">
        <v>Masculino</v>
      </c>
      <c r="V862" t="str">
        <v>Casado(a)</v>
      </c>
      <c r="W862" t="str">
        <v>Primaria</v>
      </c>
      <c r="X862" t="str">
        <v>Nao</v>
      </c>
      <c r="Y862" t="str">
        <v>Pneumonia</v>
      </c>
      <c r="Z862">
        <v>41</v>
      </c>
      <c r="AA862">
        <v>69.099999999999994</v>
      </c>
      <c r="AB862">
        <v>1.51</v>
      </c>
      <c r="AC862">
        <v>3</v>
      </c>
      <c r="AD862">
        <v>109</v>
      </c>
      <c r="AE862">
        <v>77</v>
      </c>
      <c r="AF862" t="str">
        <v>Rural</v>
      </c>
      <c r="AG862" t="str">
        <v>Nao</v>
      </c>
    </row>
    <row r="863" spans="2:33" x14ac:dyDescent="0.45">
      <c r="B863" s="4">
        <v>862</v>
      </c>
      <c r="C863" s="4" t="s">
        <v>41</v>
      </c>
      <c r="D863" s="4" t="s">
        <v>16</v>
      </c>
      <c r="E863" s="4" t="s">
        <v>35</v>
      </c>
      <c r="F863" s="4" t="s">
        <v>28</v>
      </c>
      <c r="G863" s="4" t="s">
        <v>19</v>
      </c>
      <c r="H863" s="4" t="s">
        <v>38</v>
      </c>
      <c r="I863" s="4">
        <v>18</v>
      </c>
      <c r="J863" s="5">
        <v>94.8</v>
      </c>
      <c r="K863" s="6">
        <v>1.87</v>
      </c>
      <c r="L863" s="4">
        <v>3</v>
      </c>
      <c r="M863" s="4">
        <v>104</v>
      </c>
      <c r="N863" s="4">
        <v>80</v>
      </c>
      <c r="O863" s="4" t="s">
        <v>26</v>
      </c>
      <c r="P863" s="7" t="s">
        <v>19</v>
      </c>
      <c r="S863">
        <v>1837</v>
      </c>
      <c r="T863" t="str">
        <v>Nampula</v>
      </c>
      <c r="U863" t="str">
        <v>Masculino</v>
      </c>
      <c r="V863" t="str">
        <v>Casado(a)</v>
      </c>
      <c r="W863" t="str">
        <v>Secundaria</v>
      </c>
      <c r="X863" t="str">
        <v>Nao</v>
      </c>
      <c r="Y863" t="str">
        <v>Tuberculose</v>
      </c>
      <c r="Z863">
        <v>17</v>
      </c>
      <c r="AA863">
        <v>40.4</v>
      </c>
      <c r="AB863">
        <v>1.47</v>
      </c>
      <c r="AC863">
        <v>0</v>
      </c>
      <c r="AD863">
        <v>111</v>
      </c>
      <c r="AE863">
        <v>101</v>
      </c>
      <c r="AF863" t="str">
        <v>Urbana</v>
      </c>
      <c r="AG863" t="str">
        <v>Nao</v>
      </c>
    </row>
    <row r="864" spans="2:33" x14ac:dyDescent="0.45">
      <c r="B864" s="4">
        <v>863</v>
      </c>
      <c r="C864" s="4" t="s">
        <v>43</v>
      </c>
      <c r="D864" s="4" t="s">
        <v>16</v>
      </c>
      <c r="E864" s="4" t="s">
        <v>17</v>
      </c>
      <c r="F864" s="4" t="s">
        <v>18</v>
      </c>
      <c r="G864" s="4" t="s">
        <v>19</v>
      </c>
      <c r="H864" s="4" t="s">
        <v>32</v>
      </c>
      <c r="I864" s="4">
        <v>8</v>
      </c>
      <c r="J864" s="5">
        <v>31.6</v>
      </c>
      <c r="K864" s="6">
        <v>1.36</v>
      </c>
      <c r="L864" s="4">
        <v>5</v>
      </c>
      <c r="M864" s="4">
        <v>105</v>
      </c>
      <c r="N864" s="4">
        <v>144</v>
      </c>
      <c r="O864" s="4" t="s">
        <v>26</v>
      </c>
      <c r="P864" s="7" t="s">
        <v>19</v>
      </c>
      <c r="S864">
        <v>1842</v>
      </c>
      <c r="T864" t="str">
        <v>Zambezia</v>
      </c>
      <c r="U864" t="str">
        <v>Masculino</v>
      </c>
      <c r="V864" t="str">
        <v>Divorciado(a)</v>
      </c>
      <c r="W864" t="str">
        <v>Secundaria</v>
      </c>
      <c r="X864" t="str">
        <v>Nao</v>
      </c>
      <c r="Y864" t="str">
        <v>Nenhuma</v>
      </c>
      <c r="Z864">
        <v>55</v>
      </c>
      <c r="AA864">
        <v>83.5</v>
      </c>
      <c r="AB864">
        <v>1.78</v>
      </c>
      <c r="AC864">
        <v>0</v>
      </c>
      <c r="AD864">
        <v>112</v>
      </c>
      <c r="AE864">
        <v>90</v>
      </c>
      <c r="AF864" t="str">
        <v>Rural</v>
      </c>
      <c r="AG864" t="str">
        <v>Nao</v>
      </c>
    </row>
    <row r="865" spans="2:33" x14ac:dyDescent="0.45">
      <c r="B865" s="4">
        <v>864</v>
      </c>
      <c r="C865" s="4" t="s">
        <v>31</v>
      </c>
      <c r="D865" s="4" t="s">
        <v>23</v>
      </c>
      <c r="E865" s="4" t="s">
        <v>17</v>
      </c>
      <c r="F865" s="4" t="s">
        <v>24</v>
      </c>
      <c r="G865" s="4" t="s">
        <v>19</v>
      </c>
      <c r="H865" s="4" t="s">
        <v>34</v>
      </c>
      <c r="I865" s="4">
        <v>58</v>
      </c>
      <c r="J865" s="5">
        <v>55.7</v>
      </c>
      <c r="K865" s="6">
        <v>1.54</v>
      </c>
      <c r="L865" s="4">
        <v>8</v>
      </c>
      <c r="M865" s="4">
        <v>130</v>
      </c>
      <c r="N865" s="4">
        <v>87</v>
      </c>
      <c r="O865" s="4" t="s">
        <v>21</v>
      </c>
      <c r="P865" s="7" t="s">
        <v>19</v>
      </c>
      <c r="S865">
        <v>1843</v>
      </c>
      <c r="T865" t="str">
        <v>Niassa</v>
      </c>
      <c r="U865" t="str">
        <v>Masculino</v>
      </c>
      <c r="V865" t="str">
        <v>Casado(a)</v>
      </c>
      <c r="W865" t="str">
        <v>Secundaria</v>
      </c>
      <c r="X865" t="str">
        <v>Nao</v>
      </c>
      <c r="Y865" t="str">
        <v>Malaria</v>
      </c>
      <c r="Z865">
        <v>61</v>
      </c>
      <c r="AA865">
        <v>91.3</v>
      </c>
      <c r="AB865">
        <v>1.62</v>
      </c>
      <c r="AC865">
        <v>1</v>
      </c>
      <c r="AD865">
        <v>127</v>
      </c>
      <c r="AE865">
        <v>77</v>
      </c>
      <c r="AF865" t="str">
        <v>Urbana</v>
      </c>
      <c r="AG865" t="str">
        <v>Nao</v>
      </c>
    </row>
    <row r="866" spans="2:33" x14ac:dyDescent="0.45">
      <c r="B866" s="4">
        <v>865</v>
      </c>
      <c r="C866" s="4" t="s">
        <v>39</v>
      </c>
      <c r="D866" s="4" t="s">
        <v>23</v>
      </c>
      <c r="E866" s="4" t="s">
        <v>44</v>
      </c>
      <c r="F866" s="4" t="s">
        <v>24</v>
      </c>
      <c r="G866" s="4" t="s">
        <v>19</v>
      </c>
      <c r="H866" s="4" t="s">
        <v>20</v>
      </c>
      <c r="I866" s="4">
        <v>17</v>
      </c>
      <c r="J866" s="5">
        <v>45.5</v>
      </c>
      <c r="K866" s="6">
        <v>1.7</v>
      </c>
      <c r="L866" s="4">
        <v>4</v>
      </c>
      <c r="M866" s="4">
        <v>99</v>
      </c>
      <c r="N866" s="4">
        <v>96</v>
      </c>
      <c r="O866" s="4" t="s">
        <v>26</v>
      </c>
      <c r="P866" s="7" t="s">
        <v>19</v>
      </c>
      <c r="S866">
        <v>1844</v>
      </c>
      <c r="T866" t="str">
        <v>Tete</v>
      </c>
      <c r="U866" t="str">
        <v>Masculino</v>
      </c>
      <c r="V866" t="str">
        <v>Solteiro(a)</v>
      </c>
      <c r="W866" t="str">
        <v>Primaria</v>
      </c>
      <c r="X866" t="str">
        <v>Nao</v>
      </c>
      <c r="Y866" t="str">
        <v>Tuberculose</v>
      </c>
      <c r="Z866">
        <v>24</v>
      </c>
      <c r="AA866">
        <v>79.900000000000006</v>
      </c>
      <c r="AB866">
        <v>1.75</v>
      </c>
      <c r="AC866">
        <v>5</v>
      </c>
      <c r="AD866">
        <v>111</v>
      </c>
      <c r="AE866">
        <v>80</v>
      </c>
      <c r="AF866" t="str">
        <v>Rural</v>
      </c>
      <c r="AG866" t="str">
        <v>Nao</v>
      </c>
    </row>
    <row r="867" spans="2:33" x14ac:dyDescent="0.45">
      <c r="B867" s="4">
        <v>866</v>
      </c>
      <c r="C867" s="4" t="s">
        <v>27</v>
      </c>
      <c r="D867" s="4" t="s">
        <v>16</v>
      </c>
      <c r="E867" s="4" t="s">
        <v>17</v>
      </c>
      <c r="F867" s="4" t="s">
        <v>24</v>
      </c>
      <c r="G867" s="4" t="s">
        <v>19</v>
      </c>
      <c r="H867" s="4" t="s">
        <v>28</v>
      </c>
      <c r="I867" s="4">
        <v>4</v>
      </c>
      <c r="J867" s="5">
        <v>6.7</v>
      </c>
      <c r="K867" s="6">
        <v>0.99</v>
      </c>
      <c r="L867" s="4">
        <v>6</v>
      </c>
      <c r="M867" s="4">
        <v>104</v>
      </c>
      <c r="N867" s="4">
        <v>78</v>
      </c>
      <c r="O867" s="4" t="s">
        <v>21</v>
      </c>
      <c r="P867" s="7" t="s">
        <v>19</v>
      </c>
      <c r="S867">
        <v>1846</v>
      </c>
      <c r="T867" t="str">
        <v>Nampula</v>
      </c>
      <c r="U867" t="str">
        <v>Masculino</v>
      </c>
      <c r="V867" t="str">
        <v>Casado(a)</v>
      </c>
      <c r="W867" t="str">
        <v>Primaria</v>
      </c>
      <c r="X867" t="str">
        <v>Sim</v>
      </c>
      <c r="Y867" t="str">
        <v>Diabetes</v>
      </c>
      <c r="Z867">
        <v>7</v>
      </c>
      <c r="AA867">
        <v>22.3</v>
      </c>
      <c r="AB867">
        <v>1.26</v>
      </c>
      <c r="AC867">
        <v>0</v>
      </c>
      <c r="AD867">
        <v>94</v>
      </c>
      <c r="AE867">
        <v>174</v>
      </c>
      <c r="AF867" t="str">
        <v>Urbana</v>
      </c>
      <c r="AG867" t="str">
        <v>Nao</v>
      </c>
    </row>
    <row r="868" spans="2:33" x14ac:dyDescent="0.45">
      <c r="B868" s="4">
        <v>867</v>
      </c>
      <c r="C868" s="4" t="s">
        <v>39</v>
      </c>
      <c r="D868" s="4" t="s">
        <v>16</v>
      </c>
      <c r="E868" s="4" t="s">
        <v>17</v>
      </c>
      <c r="F868" s="4" t="s">
        <v>24</v>
      </c>
      <c r="G868" s="4" t="s">
        <v>30</v>
      </c>
      <c r="H868" s="4" t="s">
        <v>38</v>
      </c>
      <c r="I868" s="4">
        <v>26</v>
      </c>
      <c r="J868" s="5">
        <v>82.7</v>
      </c>
      <c r="K868" s="6">
        <v>1.69</v>
      </c>
      <c r="L868" s="4">
        <v>1</v>
      </c>
      <c r="M868" s="4">
        <v>107</v>
      </c>
      <c r="N868" s="4">
        <v>76</v>
      </c>
      <c r="O868" s="4" t="s">
        <v>26</v>
      </c>
      <c r="P868" s="7" t="s">
        <v>19</v>
      </c>
      <c r="S868">
        <v>1848</v>
      </c>
      <c r="T868" t="str">
        <v>Maputo Cidade</v>
      </c>
      <c r="U868" t="str">
        <v>Masculino</v>
      </c>
      <c r="V868" t="str">
        <v>Casado(a)</v>
      </c>
      <c r="W868" t="str">
        <v>Superior</v>
      </c>
      <c r="X868" t="str">
        <v>Nao</v>
      </c>
      <c r="Y868" t="str">
        <v>HIV/SIDA</v>
      </c>
      <c r="Z868">
        <v>4</v>
      </c>
      <c r="AA868">
        <v>12.9</v>
      </c>
      <c r="AB868">
        <v>0.84</v>
      </c>
      <c r="AC868">
        <v>3</v>
      </c>
      <c r="AD868">
        <v>99</v>
      </c>
      <c r="AE868">
        <v>72</v>
      </c>
      <c r="AF868" t="str">
        <v>Urbana</v>
      </c>
      <c r="AG868" t="str">
        <v>Nao</v>
      </c>
    </row>
    <row r="869" spans="2:33" x14ac:dyDescent="0.45">
      <c r="B869" s="4">
        <v>868</v>
      </c>
      <c r="C869" s="4" t="s">
        <v>29</v>
      </c>
      <c r="D869" s="4" t="s">
        <v>16</v>
      </c>
      <c r="E869" s="4" t="s">
        <v>17</v>
      </c>
      <c r="F869" s="4" t="s">
        <v>24</v>
      </c>
      <c r="G869" s="4" t="s">
        <v>19</v>
      </c>
      <c r="H869" s="4" t="s">
        <v>20</v>
      </c>
      <c r="I869" s="4">
        <v>4</v>
      </c>
      <c r="J869" s="5">
        <v>17.100000000000001</v>
      </c>
      <c r="K869" s="6">
        <v>0.74</v>
      </c>
      <c r="L869" s="4">
        <v>4</v>
      </c>
      <c r="M869" s="4">
        <v>111</v>
      </c>
      <c r="N869" s="4">
        <v>86</v>
      </c>
      <c r="O869" s="4" t="s">
        <v>26</v>
      </c>
      <c r="P869" s="7" t="s">
        <v>19</v>
      </c>
      <c r="S869">
        <v>1849</v>
      </c>
      <c r="T869" t="str">
        <v>Zambezia</v>
      </c>
      <c r="U869" t="str">
        <v>Masculino</v>
      </c>
      <c r="V869" t="str">
        <v>Casado(a)</v>
      </c>
      <c r="W869" t="str">
        <v>Primaria</v>
      </c>
      <c r="X869" t="str">
        <v>Sim</v>
      </c>
      <c r="Y869" t="str">
        <v>Nenhuma</v>
      </c>
      <c r="Z869">
        <v>27</v>
      </c>
      <c r="AA869">
        <v>69.7</v>
      </c>
      <c r="AB869">
        <v>1.83</v>
      </c>
      <c r="AC869">
        <v>1</v>
      </c>
      <c r="AD869">
        <v>111</v>
      </c>
      <c r="AE869">
        <v>74</v>
      </c>
      <c r="AF869" t="str">
        <v>Urbana</v>
      </c>
      <c r="AG869" t="str">
        <v>Sim</v>
      </c>
    </row>
    <row r="870" spans="2:33" x14ac:dyDescent="0.45">
      <c r="B870" s="4">
        <v>869</v>
      </c>
      <c r="C870" s="4" t="s">
        <v>29</v>
      </c>
      <c r="D870" s="4" t="s">
        <v>16</v>
      </c>
      <c r="E870" s="4" t="s">
        <v>37</v>
      </c>
      <c r="F870" s="4" t="s">
        <v>24</v>
      </c>
      <c r="G870" s="4" t="s">
        <v>19</v>
      </c>
      <c r="H870" s="4" t="s">
        <v>28</v>
      </c>
      <c r="I870" s="4">
        <v>38</v>
      </c>
      <c r="J870" s="5">
        <v>52.5</v>
      </c>
      <c r="K870" s="6">
        <v>1.79</v>
      </c>
      <c r="L870" s="4">
        <v>2</v>
      </c>
      <c r="M870" s="4">
        <v>130</v>
      </c>
      <c r="N870" s="4">
        <v>97</v>
      </c>
      <c r="O870" s="4" t="s">
        <v>26</v>
      </c>
      <c r="P870" s="7" t="s">
        <v>30</v>
      </c>
      <c r="S870">
        <v>1851</v>
      </c>
      <c r="T870" t="str">
        <v>Tete</v>
      </c>
      <c r="U870" t="str">
        <v>Masculino</v>
      </c>
      <c r="V870" t="str">
        <v>Solteiro(a)</v>
      </c>
      <c r="W870" t="str">
        <v>Primaria</v>
      </c>
      <c r="X870" t="str">
        <v>Nao</v>
      </c>
      <c r="Y870" t="str">
        <v>Tuberculose</v>
      </c>
      <c r="Z870">
        <v>61</v>
      </c>
      <c r="AA870">
        <v>49.2</v>
      </c>
      <c r="AB870">
        <v>1.57</v>
      </c>
      <c r="AC870">
        <v>5</v>
      </c>
      <c r="AD870">
        <v>127</v>
      </c>
      <c r="AE870">
        <v>71</v>
      </c>
      <c r="AF870" t="str">
        <v>Rural</v>
      </c>
      <c r="AG870" t="str">
        <v>Nao</v>
      </c>
    </row>
    <row r="871" spans="2:33" x14ac:dyDescent="0.45">
      <c r="B871" s="4">
        <v>870</v>
      </c>
      <c r="C871" s="4" t="s">
        <v>39</v>
      </c>
      <c r="D871" s="4" t="s">
        <v>23</v>
      </c>
      <c r="E871" s="4" t="s">
        <v>17</v>
      </c>
      <c r="F871" s="4" t="s">
        <v>24</v>
      </c>
      <c r="G871" s="4" t="s">
        <v>30</v>
      </c>
      <c r="H871" s="4" t="s">
        <v>28</v>
      </c>
      <c r="I871" s="4">
        <v>12</v>
      </c>
      <c r="J871" s="5">
        <v>53.9</v>
      </c>
      <c r="K871" s="6">
        <v>1.47</v>
      </c>
      <c r="L871" s="4">
        <v>4</v>
      </c>
      <c r="M871" s="4">
        <v>98</v>
      </c>
      <c r="N871" s="4">
        <v>96</v>
      </c>
      <c r="O871" s="4" t="s">
        <v>21</v>
      </c>
      <c r="P871" s="7" t="s">
        <v>19</v>
      </c>
      <c r="S871">
        <v>1852</v>
      </c>
      <c r="T871" t="str">
        <v>Nampula</v>
      </c>
      <c r="U871" t="str">
        <v>Masculino</v>
      </c>
      <c r="V871" t="str">
        <v>Solteiro(a)</v>
      </c>
      <c r="W871" t="str">
        <v>Primaria</v>
      </c>
      <c r="X871" t="str">
        <v>Nao</v>
      </c>
      <c r="Y871" t="str">
        <v>Nenhuma</v>
      </c>
      <c r="Z871">
        <v>3</v>
      </c>
      <c r="AA871">
        <v>12</v>
      </c>
      <c r="AB871">
        <v>0.84</v>
      </c>
      <c r="AC871">
        <v>1</v>
      </c>
      <c r="AD871">
        <v>99</v>
      </c>
      <c r="AE871">
        <v>78</v>
      </c>
      <c r="AF871" t="str">
        <v>Rural</v>
      </c>
      <c r="AG871" t="str">
        <v>Sim</v>
      </c>
    </row>
    <row r="872" spans="2:33" x14ac:dyDescent="0.45">
      <c r="B872" s="4">
        <v>871</v>
      </c>
      <c r="C872" s="4" t="s">
        <v>22</v>
      </c>
      <c r="D872" s="4" t="s">
        <v>16</v>
      </c>
      <c r="E872" s="4" t="s">
        <v>35</v>
      </c>
      <c r="F872" s="4" t="s">
        <v>18</v>
      </c>
      <c r="G872" s="4" t="s">
        <v>19</v>
      </c>
      <c r="H872" s="4" t="s">
        <v>36</v>
      </c>
      <c r="I872" s="4">
        <v>9</v>
      </c>
      <c r="J872" s="5">
        <v>25.6</v>
      </c>
      <c r="K872" s="6">
        <v>1.1200000000000001</v>
      </c>
      <c r="L872" s="4">
        <v>1</v>
      </c>
      <c r="M872" s="4">
        <v>111</v>
      </c>
      <c r="N872" s="4">
        <v>95</v>
      </c>
      <c r="O872" s="4" t="s">
        <v>26</v>
      </c>
      <c r="P872" s="7" t="s">
        <v>19</v>
      </c>
      <c r="S872">
        <v>1854</v>
      </c>
      <c r="T872" t="str">
        <v>Maputo Cidade</v>
      </c>
      <c r="U872" t="str">
        <v>Masculino</v>
      </c>
      <c r="V872" t="str">
        <v>Casado(a)</v>
      </c>
      <c r="W872" t="str">
        <v>Primaria</v>
      </c>
      <c r="X872" t="str">
        <v>Nao</v>
      </c>
      <c r="Y872" t="str">
        <v>Nenhuma</v>
      </c>
      <c r="Z872">
        <v>20</v>
      </c>
      <c r="AA872">
        <v>56.3</v>
      </c>
      <c r="AB872">
        <v>1.6</v>
      </c>
      <c r="AC872">
        <v>6</v>
      </c>
      <c r="AD872">
        <v>121</v>
      </c>
      <c r="AE872">
        <v>81</v>
      </c>
      <c r="AF872" t="str">
        <v>Urbana</v>
      </c>
      <c r="AG872" t="str">
        <v>Nao</v>
      </c>
    </row>
    <row r="873" spans="2:33" x14ac:dyDescent="0.45">
      <c r="B873" s="4">
        <v>872</v>
      </c>
      <c r="C873" s="4" t="s">
        <v>29</v>
      </c>
      <c r="D873" s="4" t="s">
        <v>23</v>
      </c>
      <c r="E873" s="4" t="s">
        <v>37</v>
      </c>
      <c r="F873" s="4" t="s">
        <v>18</v>
      </c>
      <c r="G873" s="4" t="s">
        <v>19</v>
      </c>
      <c r="H873" s="4" t="s">
        <v>28</v>
      </c>
      <c r="I873" s="4">
        <v>4</v>
      </c>
      <c r="J873" s="5">
        <v>6.1</v>
      </c>
      <c r="K873" s="6">
        <v>0.95</v>
      </c>
      <c r="L873" s="4">
        <v>1</v>
      </c>
      <c r="M873" s="4">
        <v>120</v>
      </c>
      <c r="N873" s="4">
        <v>97</v>
      </c>
      <c r="O873" s="4" t="s">
        <v>26</v>
      </c>
      <c r="P873" s="7" t="s">
        <v>30</v>
      </c>
      <c r="S873">
        <v>1855</v>
      </c>
      <c r="T873" t="str">
        <v>Gaza</v>
      </c>
      <c r="U873" t="str">
        <v>Masculino</v>
      </c>
      <c r="V873" t="str">
        <v>Solteiro(a)</v>
      </c>
      <c r="W873" t="str">
        <v>Nenhuma</v>
      </c>
      <c r="X873" t="str">
        <v>Nao</v>
      </c>
      <c r="Y873" t="str">
        <v>Malaria</v>
      </c>
      <c r="Z873">
        <v>20</v>
      </c>
      <c r="AA873">
        <v>86.7</v>
      </c>
      <c r="AB873">
        <v>1.82</v>
      </c>
      <c r="AC873">
        <v>9</v>
      </c>
      <c r="AD873">
        <v>102</v>
      </c>
      <c r="AE873">
        <v>97</v>
      </c>
      <c r="AF873" t="str">
        <v>Rural</v>
      </c>
      <c r="AG873" t="str">
        <v>Nao</v>
      </c>
    </row>
    <row r="874" spans="2:33" x14ac:dyDescent="0.45">
      <c r="B874" s="4">
        <v>873</v>
      </c>
      <c r="C874" s="4" t="s">
        <v>33</v>
      </c>
      <c r="D874" s="4" t="s">
        <v>23</v>
      </c>
      <c r="E874" s="4" t="s">
        <v>35</v>
      </c>
      <c r="F874" s="4" t="s">
        <v>42</v>
      </c>
      <c r="G874" s="4" t="s">
        <v>19</v>
      </c>
      <c r="H874" s="4" t="s">
        <v>34</v>
      </c>
      <c r="I874" s="4">
        <v>38</v>
      </c>
      <c r="J874" s="5">
        <v>74.400000000000006</v>
      </c>
      <c r="K874" s="6">
        <v>1.54</v>
      </c>
      <c r="L874" s="4">
        <v>9</v>
      </c>
      <c r="M874" s="4">
        <v>113</v>
      </c>
      <c r="N874" s="4">
        <v>100</v>
      </c>
      <c r="O874" s="4" t="s">
        <v>21</v>
      </c>
      <c r="P874" s="7" t="s">
        <v>19</v>
      </c>
      <c r="S874">
        <v>1858</v>
      </c>
      <c r="T874" t="str">
        <v>Gaza</v>
      </c>
      <c r="U874" t="str">
        <v>Masculino</v>
      </c>
      <c r="V874" t="str">
        <v>Casado(a)</v>
      </c>
      <c r="W874" t="str">
        <v>Primaria</v>
      </c>
      <c r="X874" t="str">
        <v>Nao</v>
      </c>
      <c r="Y874" t="str">
        <v>Hipertensao</v>
      </c>
      <c r="Z874">
        <v>7</v>
      </c>
      <c r="AA874">
        <v>25.6</v>
      </c>
      <c r="AB874">
        <v>1.1399999999999999</v>
      </c>
      <c r="AC874">
        <v>4</v>
      </c>
      <c r="AD874">
        <v>138</v>
      </c>
      <c r="AE874">
        <v>101</v>
      </c>
      <c r="AF874" t="str">
        <v>Rural</v>
      </c>
      <c r="AG874" t="str">
        <v>Nao</v>
      </c>
    </row>
    <row r="875" spans="2:33" x14ac:dyDescent="0.45">
      <c r="B875" s="4">
        <v>874</v>
      </c>
      <c r="C875" s="4" t="s">
        <v>22</v>
      </c>
      <c r="D875" s="4" t="s">
        <v>23</v>
      </c>
      <c r="E875" s="4" t="s">
        <v>37</v>
      </c>
      <c r="F875" s="4" t="s">
        <v>28</v>
      </c>
      <c r="G875" s="4" t="s">
        <v>19</v>
      </c>
      <c r="H875" s="4" t="s">
        <v>28</v>
      </c>
      <c r="I875" s="4">
        <v>28</v>
      </c>
      <c r="J875" s="5">
        <v>58.8</v>
      </c>
      <c r="K875" s="6">
        <v>1.84</v>
      </c>
      <c r="L875" s="4">
        <v>0</v>
      </c>
      <c r="M875" s="4">
        <v>113</v>
      </c>
      <c r="N875" s="4">
        <v>86</v>
      </c>
      <c r="O875" s="4" t="s">
        <v>26</v>
      </c>
      <c r="P875" s="7" t="s">
        <v>19</v>
      </c>
      <c r="S875">
        <v>1860</v>
      </c>
      <c r="T875" t="str">
        <v>Inhambane</v>
      </c>
      <c r="U875" t="str">
        <v>Masculino</v>
      </c>
      <c r="V875" t="str">
        <v>Solteiro(a)</v>
      </c>
      <c r="W875" t="str">
        <v>Primaria</v>
      </c>
      <c r="X875" t="str">
        <v>Nao</v>
      </c>
      <c r="Y875" t="str">
        <v>Hipertensao</v>
      </c>
      <c r="Z875">
        <v>5</v>
      </c>
      <c r="AA875">
        <v>21.6</v>
      </c>
      <c r="AB875">
        <v>1.37</v>
      </c>
      <c r="AC875">
        <v>6</v>
      </c>
      <c r="AD875">
        <v>117</v>
      </c>
      <c r="AE875">
        <v>88</v>
      </c>
      <c r="AF875" t="str">
        <v>Urbana</v>
      </c>
      <c r="AG875" t="str">
        <v>Nao</v>
      </c>
    </row>
    <row r="876" spans="2:33" x14ac:dyDescent="0.45">
      <c r="B876" s="4">
        <v>875</v>
      </c>
      <c r="C876" s="4" t="s">
        <v>33</v>
      </c>
      <c r="D876" s="4" t="s">
        <v>23</v>
      </c>
      <c r="E876" s="4" t="s">
        <v>35</v>
      </c>
      <c r="F876" s="4" t="s">
        <v>24</v>
      </c>
      <c r="G876" s="4" t="s">
        <v>19</v>
      </c>
      <c r="H876" s="4" t="s">
        <v>36</v>
      </c>
      <c r="I876" s="4">
        <v>61</v>
      </c>
      <c r="J876" s="5">
        <v>58.9</v>
      </c>
      <c r="K876" s="6">
        <v>1.55</v>
      </c>
      <c r="L876" s="4">
        <v>2</v>
      </c>
      <c r="M876" s="4">
        <v>148</v>
      </c>
      <c r="N876" s="4">
        <v>90</v>
      </c>
      <c r="O876" s="4" t="s">
        <v>26</v>
      </c>
      <c r="P876" s="7" t="s">
        <v>19</v>
      </c>
      <c r="S876">
        <v>1861</v>
      </c>
      <c r="T876" t="str">
        <v>Niassa</v>
      </c>
      <c r="U876" t="str">
        <v>Masculino</v>
      </c>
      <c r="V876" t="str">
        <v>Solteiro(a)</v>
      </c>
      <c r="W876" t="str">
        <v>Nenhuma</v>
      </c>
      <c r="X876" t="str">
        <v>Sim</v>
      </c>
      <c r="Y876" t="str">
        <v>Nenhuma</v>
      </c>
      <c r="Z876">
        <v>9</v>
      </c>
      <c r="AA876">
        <v>33.799999999999997</v>
      </c>
      <c r="AB876">
        <v>1.1200000000000001</v>
      </c>
      <c r="AC876">
        <v>1</v>
      </c>
      <c r="AD876">
        <v>110</v>
      </c>
      <c r="AE876">
        <v>85</v>
      </c>
      <c r="AF876" t="str">
        <v>Rural</v>
      </c>
      <c r="AG876" t="str">
        <v>Nao</v>
      </c>
    </row>
    <row r="877" spans="2:33" x14ac:dyDescent="0.45">
      <c r="B877" s="4">
        <v>876</v>
      </c>
      <c r="C877" s="4" t="s">
        <v>22</v>
      </c>
      <c r="D877" s="4" t="s">
        <v>23</v>
      </c>
      <c r="E877" s="4" t="s">
        <v>35</v>
      </c>
      <c r="F877" s="4" t="s">
        <v>42</v>
      </c>
      <c r="G877" s="4" t="s">
        <v>19</v>
      </c>
      <c r="H877" s="4" t="s">
        <v>28</v>
      </c>
      <c r="I877" s="4">
        <v>57</v>
      </c>
      <c r="J877" s="5">
        <v>46.9</v>
      </c>
      <c r="K877" s="6">
        <v>1.49</v>
      </c>
      <c r="L877" s="4">
        <v>3</v>
      </c>
      <c r="M877" s="4">
        <v>124</v>
      </c>
      <c r="N877" s="4">
        <v>82</v>
      </c>
      <c r="O877" s="4" t="s">
        <v>26</v>
      </c>
      <c r="P877" s="7" t="s">
        <v>30</v>
      </c>
      <c r="S877">
        <v>1862</v>
      </c>
      <c r="T877" t="str">
        <v>Zambezia</v>
      </c>
      <c r="U877" t="str">
        <v>Masculino</v>
      </c>
      <c r="V877" t="str">
        <v>Divorciado(a)</v>
      </c>
      <c r="W877" t="str">
        <v>Primaria</v>
      </c>
      <c r="X877" t="str">
        <v>Nao</v>
      </c>
      <c r="Y877" t="str">
        <v>Nenhuma</v>
      </c>
      <c r="Z877">
        <v>25</v>
      </c>
      <c r="AA877">
        <v>48.7</v>
      </c>
      <c r="AB877">
        <v>1.86</v>
      </c>
      <c r="AC877">
        <v>0</v>
      </c>
      <c r="AD877">
        <v>109</v>
      </c>
      <c r="AE877">
        <v>92</v>
      </c>
      <c r="AF877" t="str">
        <v>Rural</v>
      </c>
      <c r="AG877" t="str">
        <v>Sim</v>
      </c>
    </row>
    <row r="878" spans="2:33" x14ac:dyDescent="0.45">
      <c r="B878" s="4">
        <v>877</v>
      </c>
      <c r="C878" s="4" t="s">
        <v>39</v>
      </c>
      <c r="D878" s="4" t="s">
        <v>23</v>
      </c>
      <c r="E878" s="4" t="s">
        <v>35</v>
      </c>
      <c r="F878" s="4" t="s">
        <v>24</v>
      </c>
      <c r="G878" s="4" t="s">
        <v>19</v>
      </c>
      <c r="H878" s="4" t="s">
        <v>38</v>
      </c>
      <c r="I878" s="4">
        <v>29</v>
      </c>
      <c r="J878" s="5">
        <v>78.3</v>
      </c>
      <c r="K878" s="6">
        <v>1.6</v>
      </c>
      <c r="L878" s="4">
        <v>3</v>
      </c>
      <c r="M878" s="4">
        <v>100</v>
      </c>
      <c r="N878" s="4">
        <v>102</v>
      </c>
      <c r="O878" s="4" t="s">
        <v>26</v>
      </c>
      <c r="P878" s="7" t="s">
        <v>19</v>
      </c>
      <c r="S878">
        <v>1869</v>
      </c>
      <c r="T878" t="str">
        <v>Maputo Cidade</v>
      </c>
      <c r="U878" t="str">
        <v>Masculino</v>
      </c>
      <c r="V878" t="str">
        <v>Casado(a)</v>
      </c>
      <c r="W878" t="str">
        <v>Primaria</v>
      </c>
      <c r="X878" t="str">
        <v>Nao</v>
      </c>
      <c r="Y878" t="str">
        <v>Malaria</v>
      </c>
      <c r="Z878">
        <v>42</v>
      </c>
      <c r="AA878">
        <v>71.400000000000006</v>
      </c>
      <c r="AB878">
        <v>1.85</v>
      </c>
      <c r="AC878">
        <v>2</v>
      </c>
      <c r="AD878">
        <v>134</v>
      </c>
      <c r="AE878">
        <v>104</v>
      </c>
      <c r="AF878" t="str">
        <v>Urbana</v>
      </c>
      <c r="AG878" t="str">
        <v>Sim</v>
      </c>
    </row>
    <row r="879" spans="2:33" x14ac:dyDescent="0.45">
      <c r="B879" s="4">
        <v>878</v>
      </c>
      <c r="C879" s="4" t="s">
        <v>45</v>
      </c>
      <c r="D879" s="4" t="s">
        <v>23</v>
      </c>
      <c r="E879" s="4" t="s">
        <v>17</v>
      </c>
      <c r="F879" s="4" t="s">
        <v>28</v>
      </c>
      <c r="G879" s="4" t="s">
        <v>19</v>
      </c>
      <c r="H879" s="4" t="s">
        <v>36</v>
      </c>
      <c r="I879" s="4">
        <v>17</v>
      </c>
      <c r="J879" s="5">
        <v>53.6</v>
      </c>
      <c r="K879" s="6">
        <v>1.74</v>
      </c>
      <c r="L879" s="4">
        <v>2</v>
      </c>
      <c r="M879" s="4">
        <v>119</v>
      </c>
      <c r="N879" s="4">
        <v>71</v>
      </c>
      <c r="O879" s="4" t="s">
        <v>21</v>
      </c>
      <c r="P879" s="7" t="s">
        <v>19</v>
      </c>
      <c r="S879">
        <v>1870</v>
      </c>
      <c r="T879" t="str">
        <v>Maputo Cidade</v>
      </c>
      <c r="U879" t="str">
        <v>Masculino</v>
      </c>
      <c r="V879" t="str">
        <v>Casado(a)</v>
      </c>
      <c r="W879" t="str">
        <v>Nenhuma</v>
      </c>
      <c r="X879" t="str">
        <v>Nao</v>
      </c>
      <c r="Y879" t="str">
        <v>Diabetes</v>
      </c>
      <c r="Z879">
        <v>16</v>
      </c>
      <c r="AA879">
        <v>64.099999999999994</v>
      </c>
      <c r="AB879">
        <v>1.52</v>
      </c>
      <c r="AC879">
        <v>5</v>
      </c>
      <c r="AD879">
        <v>106</v>
      </c>
      <c r="AE879">
        <v>133</v>
      </c>
      <c r="AF879" t="str">
        <v>Urbana</v>
      </c>
      <c r="AG879" t="str">
        <v>Nao</v>
      </c>
    </row>
    <row r="880" spans="2:33" x14ac:dyDescent="0.45">
      <c r="B880" s="4">
        <v>879</v>
      </c>
      <c r="C880" s="4" t="s">
        <v>15</v>
      </c>
      <c r="D880" s="4" t="s">
        <v>23</v>
      </c>
      <c r="E880" s="4" t="s">
        <v>37</v>
      </c>
      <c r="F880" s="4" t="s">
        <v>18</v>
      </c>
      <c r="G880" s="4" t="s">
        <v>30</v>
      </c>
      <c r="H880" s="4" t="s">
        <v>28</v>
      </c>
      <c r="I880" s="4">
        <v>0</v>
      </c>
      <c r="J880" s="5">
        <v>12.7</v>
      </c>
      <c r="K880" s="6">
        <v>0.61</v>
      </c>
      <c r="L880" s="4">
        <v>0</v>
      </c>
      <c r="M880" s="4">
        <v>113</v>
      </c>
      <c r="N880" s="4">
        <v>78</v>
      </c>
      <c r="O880" s="4" t="s">
        <v>26</v>
      </c>
      <c r="P880" s="7" t="s">
        <v>19</v>
      </c>
      <c r="S880">
        <v>1871</v>
      </c>
      <c r="T880" t="str">
        <v>Manica</v>
      </c>
      <c r="U880" t="str">
        <v>Masculino</v>
      </c>
      <c r="V880" t="str">
        <v>Casado(a)</v>
      </c>
      <c r="W880" t="str">
        <v>Secundaria</v>
      </c>
      <c r="X880" t="str">
        <v>Nao</v>
      </c>
      <c r="Y880" t="str">
        <v>Malaria</v>
      </c>
      <c r="Z880">
        <v>26</v>
      </c>
      <c r="AA880">
        <v>48.4</v>
      </c>
      <c r="AB880">
        <v>1.62</v>
      </c>
      <c r="AC880">
        <v>1</v>
      </c>
      <c r="AD880">
        <v>117</v>
      </c>
      <c r="AE880">
        <v>99</v>
      </c>
      <c r="AF880" t="str">
        <v>Urbana</v>
      </c>
      <c r="AG880" t="str">
        <v>Sim</v>
      </c>
    </row>
    <row r="881" spans="2:33" x14ac:dyDescent="0.45">
      <c r="B881" s="4">
        <v>880</v>
      </c>
      <c r="C881" s="4" t="s">
        <v>27</v>
      </c>
      <c r="D881" s="4" t="s">
        <v>16</v>
      </c>
      <c r="E881" s="4" t="s">
        <v>35</v>
      </c>
      <c r="F881" s="4" t="s">
        <v>28</v>
      </c>
      <c r="G881" s="4" t="s">
        <v>19</v>
      </c>
      <c r="H881" s="4" t="s">
        <v>36</v>
      </c>
      <c r="I881" s="4">
        <v>1</v>
      </c>
      <c r="J881" s="5">
        <v>16.100000000000001</v>
      </c>
      <c r="K881" s="6">
        <v>0.8</v>
      </c>
      <c r="L881" s="4">
        <v>5</v>
      </c>
      <c r="M881" s="4">
        <v>113</v>
      </c>
      <c r="N881" s="4">
        <v>78</v>
      </c>
      <c r="O881" s="4" t="s">
        <v>26</v>
      </c>
      <c r="P881" s="7" t="s">
        <v>19</v>
      </c>
      <c r="S881">
        <v>1875</v>
      </c>
      <c r="T881" t="str">
        <v>Niassa</v>
      </c>
      <c r="U881" t="str">
        <v>Masculino</v>
      </c>
      <c r="V881" t="str">
        <v>Solteiro(a)</v>
      </c>
      <c r="W881" t="str">
        <v>Primaria</v>
      </c>
      <c r="X881" t="str">
        <v>Sim</v>
      </c>
      <c r="Y881" t="str">
        <v>Malaria</v>
      </c>
      <c r="Z881">
        <v>37</v>
      </c>
      <c r="AA881">
        <v>58</v>
      </c>
      <c r="AB881">
        <v>1.73</v>
      </c>
      <c r="AC881">
        <v>7</v>
      </c>
      <c r="AD881">
        <v>102</v>
      </c>
      <c r="AE881">
        <v>97</v>
      </c>
      <c r="AF881" t="str">
        <v>Urbana</v>
      </c>
      <c r="AG881" t="str">
        <v>Nao</v>
      </c>
    </row>
    <row r="882" spans="2:33" x14ac:dyDescent="0.45">
      <c r="B882" s="4">
        <v>881</v>
      </c>
      <c r="C882" s="4" t="s">
        <v>41</v>
      </c>
      <c r="D882" s="4" t="s">
        <v>23</v>
      </c>
      <c r="E882" s="4" t="s">
        <v>17</v>
      </c>
      <c r="F882" s="4" t="s">
        <v>24</v>
      </c>
      <c r="G882" s="4" t="s">
        <v>19</v>
      </c>
      <c r="H882" s="4" t="s">
        <v>36</v>
      </c>
      <c r="I882" s="4">
        <v>30</v>
      </c>
      <c r="J882" s="5">
        <v>48.2</v>
      </c>
      <c r="K882" s="6">
        <v>1.79</v>
      </c>
      <c r="L882" s="4">
        <v>7</v>
      </c>
      <c r="M882" s="4">
        <v>143</v>
      </c>
      <c r="N882" s="4">
        <v>96</v>
      </c>
      <c r="O882" s="4" t="s">
        <v>21</v>
      </c>
      <c r="P882" s="7" t="s">
        <v>30</v>
      </c>
      <c r="S882">
        <v>1881</v>
      </c>
      <c r="T882" t="str">
        <v>Nampula</v>
      </c>
      <c r="U882" t="str">
        <v>Masculino</v>
      </c>
      <c r="V882" t="str">
        <v>Viuvo(a)</v>
      </c>
      <c r="W882" t="str">
        <v>Nenhuma</v>
      </c>
      <c r="X882" t="str">
        <v>Nao</v>
      </c>
      <c r="Y882" t="str">
        <v>HIV/SIDA</v>
      </c>
      <c r="Z882">
        <v>61</v>
      </c>
      <c r="AA882">
        <v>52.9</v>
      </c>
      <c r="AB882">
        <v>1.88</v>
      </c>
      <c r="AC882">
        <v>5</v>
      </c>
      <c r="AD882">
        <v>130</v>
      </c>
      <c r="AE882">
        <v>100</v>
      </c>
      <c r="AF882" t="str">
        <v>Rural</v>
      </c>
      <c r="AG882" t="str">
        <v>Nao</v>
      </c>
    </row>
    <row r="883" spans="2:33" x14ac:dyDescent="0.45">
      <c r="B883" s="4">
        <v>882</v>
      </c>
      <c r="C883" s="4" t="s">
        <v>31</v>
      </c>
      <c r="D883" s="4" t="s">
        <v>16</v>
      </c>
      <c r="E883" s="4" t="s">
        <v>44</v>
      </c>
      <c r="F883" s="4" t="s">
        <v>28</v>
      </c>
      <c r="G883" s="4" t="s">
        <v>19</v>
      </c>
      <c r="H883" s="4" t="s">
        <v>25</v>
      </c>
      <c r="I883" s="4">
        <v>6</v>
      </c>
      <c r="J883" s="5">
        <v>37.9</v>
      </c>
      <c r="K883" s="6">
        <v>1.1299999999999999</v>
      </c>
      <c r="L883" s="4">
        <v>2</v>
      </c>
      <c r="M883" s="4">
        <v>115</v>
      </c>
      <c r="N883" s="4">
        <v>90</v>
      </c>
      <c r="O883" s="4" t="s">
        <v>21</v>
      </c>
      <c r="P883" s="7" t="s">
        <v>19</v>
      </c>
      <c r="S883">
        <v>1884</v>
      </c>
      <c r="T883" t="str">
        <v>Zambezia</v>
      </c>
      <c r="U883" t="str">
        <v>Masculino</v>
      </c>
      <c r="V883" t="str">
        <v>Viuvo(a)</v>
      </c>
      <c r="W883" t="str">
        <v>Nenhuma</v>
      </c>
      <c r="X883" t="str">
        <v>Sim</v>
      </c>
      <c r="Y883" t="str">
        <v>Tuberculose</v>
      </c>
      <c r="Z883">
        <v>2</v>
      </c>
      <c r="AA883">
        <v>6.1</v>
      </c>
      <c r="AB883">
        <v>0.63</v>
      </c>
      <c r="AC883">
        <v>8</v>
      </c>
      <c r="AD883">
        <v>112</v>
      </c>
      <c r="AE883">
        <v>96</v>
      </c>
      <c r="AF883" t="str">
        <v>Urbana</v>
      </c>
      <c r="AG883" t="str">
        <v>Sim</v>
      </c>
    </row>
    <row r="884" spans="2:33" x14ac:dyDescent="0.45">
      <c r="B884" s="4">
        <v>883</v>
      </c>
      <c r="C884" s="4" t="s">
        <v>22</v>
      </c>
      <c r="D884" s="4" t="s">
        <v>23</v>
      </c>
      <c r="E884" s="4" t="s">
        <v>37</v>
      </c>
      <c r="F884" s="4" t="s">
        <v>24</v>
      </c>
      <c r="G884" s="4" t="s">
        <v>19</v>
      </c>
      <c r="H884" s="4" t="s">
        <v>20</v>
      </c>
      <c r="I884" s="4">
        <v>16</v>
      </c>
      <c r="J884" s="5">
        <v>64.900000000000006</v>
      </c>
      <c r="K884" s="6">
        <v>1.75</v>
      </c>
      <c r="L884" s="4">
        <v>1</v>
      </c>
      <c r="M884" s="4">
        <v>116</v>
      </c>
      <c r="N884" s="4">
        <v>98</v>
      </c>
      <c r="O884" s="4" t="s">
        <v>21</v>
      </c>
      <c r="P884" s="7" t="s">
        <v>30</v>
      </c>
      <c r="S884">
        <v>1890</v>
      </c>
      <c r="T884" t="str">
        <v>Tete</v>
      </c>
      <c r="U884" t="str">
        <v>Masculino</v>
      </c>
      <c r="V884" t="str">
        <v>Viuvo(a)</v>
      </c>
      <c r="W884" t="str">
        <v>Primaria</v>
      </c>
      <c r="X884" t="str">
        <v>Sim</v>
      </c>
      <c r="Y884" t="str">
        <v>HIV/SIDA</v>
      </c>
      <c r="Z884">
        <v>6</v>
      </c>
      <c r="AA884">
        <v>36.1</v>
      </c>
      <c r="AB884">
        <v>1.05</v>
      </c>
      <c r="AC884">
        <v>3</v>
      </c>
      <c r="AD884">
        <v>106</v>
      </c>
      <c r="AE884">
        <v>74</v>
      </c>
      <c r="AF884" t="str">
        <v>Urbana</v>
      </c>
      <c r="AG884" t="str">
        <v>Nao</v>
      </c>
    </row>
    <row r="885" spans="2:33" x14ac:dyDescent="0.45">
      <c r="B885" s="4">
        <v>884</v>
      </c>
      <c r="C885" s="4" t="s">
        <v>43</v>
      </c>
      <c r="D885" s="4" t="s">
        <v>16</v>
      </c>
      <c r="E885" s="4" t="s">
        <v>35</v>
      </c>
      <c r="F885" s="4" t="s">
        <v>18</v>
      </c>
      <c r="G885" s="4" t="s">
        <v>19</v>
      </c>
      <c r="H885" s="4" t="s">
        <v>20</v>
      </c>
      <c r="I885" s="4">
        <v>1</v>
      </c>
      <c r="J885" s="5">
        <v>9.3000000000000007</v>
      </c>
      <c r="K885" s="6">
        <v>0.68</v>
      </c>
      <c r="L885" s="4">
        <v>0</v>
      </c>
      <c r="M885" s="4">
        <v>97</v>
      </c>
      <c r="N885" s="4">
        <v>88</v>
      </c>
      <c r="O885" s="4" t="s">
        <v>26</v>
      </c>
      <c r="P885" s="7" t="s">
        <v>19</v>
      </c>
      <c r="S885">
        <v>1893</v>
      </c>
      <c r="T885" t="str">
        <v>Maputo Provincia</v>
      </c>
      <c r="U885" t="str">
        <v>Masculino</v>
      </c>
      <c r="V885" t="str">
        <v>Solteiro(a)</v>
      </c>
      <c r="W885" t="str">
        <v>Nenhuma</v>
      </c>
      <c r="X885" t="str">
        <v>Nao</v>
      </c>
      <c r="Y885" t="str">
        <v>HIV/SIDA</v>
      </c>
      <c r="Z885">
        <v>57</v>
      </c>
      <c r="AA885">
        <v>48.9</v>
      </c>
      <c r="AB885">
        <v>1.68</v>
      </c>
      <c r="AC885">
        <v>3</v>
      </c>
      <c r="AD885">
        <v>129</v>
      </c>
      <c r="AE885">
        <v>75</v>
      </c>
      <c r="AF885" t="str">
        <v>Urbana</v>
      </c>
      <c r="AG885" t="str">
        <v>Sim</v>
      </c>
    </row>
    <row r="886" spans="2:33" x14ac:dyDescent="0.45">
      <c r="B886" s="4">
        <v>885</v>
      </c>
      <c r="C886" s="4" t="s">
        <v>22</v>
      </c>
      <c r="D886" s="4" t="s">
        <v>16</v>
      </c>
      <c r="E886" s="4" t="s">
        <v>17</v>
      </c>
      <c r="F886" s="4" t="s">
        <v>24</v>
      </c>
      <c r="G886" s="4" t="s">
        <v>30</v>
      </c>
      <c r="H886" s="4" t="s">
        <v>36</v>
      </c>
      <c r="I886" s="4">
        <v>31</v>
      </c>
      <c r="J886" s="5">
        <v>76.2</v>
      </c>
      <c r="K886" s="6">
        <v>1.74</v>
      </c>
      <c r="L886" s="4">
        <v>3</v>
      </c>
      <c r="M886" s="4">
        <v>141</v>
      </c>
      <c r="N886" s="4">
        <v>77</v>
      </c>
      <c r="O886" s="4" t="s">
        <v>21</v>
      </c>
      <c r="P886" s="7" t="s">
        <v>19</v>
      </c>
      <c r="S886">
        <v>1897</v>
      </c>
      <c r="T886" t="str">
        <v>Nampula</v>
      </c>
      <c r="U886" t="str">
        <v>Masculino</v>
      </c>
      <c r="V886" t="str">
        <v>Solteiro(a)</v>
      </c>
      <c r="W886" t="str">
        <v>Nenhuma</v>
      </c>
      <c r="X886" t="str">
        <v>Sim</v>
      </c>
      <c r="Y886" t="str">
        <v>Malaria</v>
      </c>
      <c r="Z886">
        <v>58</v>
      </c>
      <c r="AA886">
        <v>45.1</v>
      </c>
      <c r="AB886">
        <v>1.88</v>
      </c>
      <c r="AC886">
        <v>5</v>
      </c>
      <c r="AD886">
        <v>123</v>
      </c>
      <c r="AE886">
        <v>72</v>
      </c>
      <c r="AF886" t="str">
        <v>Rural</v>
      </c>
      <c r="AG886" t="str">
        <v>Sim</v>
      </c>
    </row>
    <row r="887" spans="2:33" x14ac:dyDescent="0.45">
      <c r="B887" s="4">
        <v>886</v>
      </c>
      <c r="C887" s="4" t="s">
        <v>39</v>
      </c>
      <c r="D887" s="4" t="s">
        <v>16</v>
      </c>
      <c r="E887" s="4" t="s">
        <v>17</v>
      </c>
      <c r="F887" s="4" t="s">
        <v>42</v>
      </c>
      <c r="G887" s="4" t="s">
        <v>19</v>
      </c>
      <c r="H887" s="4" t="s">
        <v>20</v>
      </c>
      <c r="I887" s="4">
        <v>37</v>
      </c>
      <c r="J887" s="5">
        <v>89.3</v>
      </c>
      <c r="K887" s="6">
        <v>1.68</v>
      </c>
      <c r="L887" s="4">
        <v>1</v>
      </c>
      <c r="M887" s="4">
        <v>125</v>
      </c>
      <c r="N887" s="4">
        <v>94</v>
      </c>
      <c r="O887" s="4" t="s">
        <v>26</v>
      </c>
      <c r="P887" s="7" t="s">
        <v>19</v>
      </c>
      <c r="S887">
        <v>1898</v>
      </c>
      <c r="T887" t="str">
        <v>Zambezia</v>
      </c>
      <c r="U887" t="str">
        <v>Masculino</v>
      </c>
      <c r="V887" t="str">
        <v>Divorciado(a)</v>
      </c>
      <c r="W887" t="str">
        <v>Nenhuma</v>
      </c>
      <c r="X887" t="str">
        <v>Nao</v>
      </c>
      <c r="Y887" t="str">
        <v>HIV/SIDA</v>
      </c>
      <c r="Z887">
        <v>19</v>
      </c>
      <c r="AA887">
        <v>52.4</v>
      </c>
      <c r="AB887">
        <v>1.59</v>
      </c>
      <c r="AC887">
        <v>3</v>
      </c>
      <c r="AD887">
        <v>113</v>
      </c>
      <c r="AE887">
        <v>100</v>
      </c>
      <c r="AF887" t="str">
        <v>Urbana</v>
      </c>
      <c r="AG887" t="str">
        <v>Nao</v>
      </c>
    </row>
    <row r="888" spans="2:33" x14ac:dyDescent="0.45">
      <c r="B888" s="4">
        <v>887</v>
      </c>
      <c r="C888" s="4" t="s">
        <v>27</v>
      </c>
      <c r="D888" s="4" t="s">
        <v>16</v>
      </c>
      <c r="E888" s="4" t="s">
        <v>17</v>
      </c>
      <c r="F888" s="4" t="s">
        <v>24</v>
      </c>
      <c r="G888" s="4" t="s">
        <v>19</v>
      </c>
      <c r="H888" s="4" t="s">
        <v>34</v>
      </c>
      <c r="I888" s="4">
        <v>0</v>
      </c>
      <c r="J888" s="5">
        <v>6.7</v>
      </c>
      <c r="K888" s="6">
        <v>0.67</v>
      </c>
      <c r="L888" s="4">
        <v>3</v>
      </c>
      <c r="M888" s="4">
        <v>105</v>
      </c>
      <c r="N888" s="4">
        <v>87</v>
      </c>
      <c r="O888" s="4" t="s">
        <v>21</v>
      </c>
      <c r="P888" s="7" t="s">
        <v>19</v>
      </c>
      <c r="S888">
        <v>1899</v>
      </c>
      <c r="T888" t="str">
        <v>Cabo Delgado</v>
      </c>
      <c r="U888" t="str">
        <v>Masculino</v>
      </c>
      <c r="V888" t="str">
        <v>Casado(a)</v>
      </c>
      <c r="W888" t="str">
        <v>Secundaria</v>
      </c>
      <c r="X888" t="str">
        <v>Sim</v>
      </c>
      <c r="Y888" t="str">
        <v>HIV/SIDA</v>
      </c>
      <c r="Z888">
        <v>1</v>
      </c>
      <c r="AA888">
        <v>6.8</v>
      </c>
      <c r="AB888">
        <v>0.9</v>
      </c>
      <c r="AC888">
        <v>6</v>
      </c>
      <c r="AD888">
        <v>112</v>
      </c>
      <c r="AE888">
        <v>80</v>
      </c>
      <c r="AF888" t="str">
        <v>Urbana</v>
      </c>
      <c r="AG888" t="str">
        <v>Nao</v>
      </c>
    </row>
    <row r="889" spans="2:33" x14ac:dyDescent="0.45">
      <c r="B889" s="4">
        <v>888</v>
      </c>
      <c r="C889" s="4" t="s">
        <v>22</v>
      </c>
      <c r="D889" s="4" t="s">
        <v>16</v>
      </c>
      <c r="E889" s="4" t="s">
        <v>17</v>
      </c>
      <c r="F889" s="4" t="s">
        <v>24</v>
      </c>
      <c r="G889" s="4" t="s">
        <v>19</v>
      </c>
      <c r="H889" s="4" t="s">
        <v>20</v>
      </c>
      <c r="I889" s="4">
        <v>71</v>
      </c>
      <c r="J889" s="5">
        <v>48.7</v>
      </c>
      <c r="K889" s="6">
        <v>1.83</v>
      </c>
      <c r="L889" s="4">
        <v>0</v>
      </c>
      <c r="M889" s="4">
        <v>129</v>
      </c>
      <c r="N889" s="4">
        <v>90</v>
      </c>
      <c r="O889" s="4" t="s">
        <v>21</v>
      </c>
      <c r="P889" s="7" t="s">
        <v>19</v>
      </c>
      <c r="S889">
        <v>1900</v>
      </c>
      <c r="T889" t="str">
        <v>Gaza</v>
      </c>
      <c r="U889" t="str">
        <v>Masculino</v>
      </c>
      <c r="V889" t="str">
        <v>Solteiro(a)</v>
      </c>
      <c r="W889" t="str">
        <v>Nenhuma</v>
      </c>
      <c r="X889" t="str">
        <v>Nao</v>
      </c>
      <c r="Y889" t="str">
        <v>Nenhuma</v>
      </c>
      <c r="Z889">
        <v>16</v>
      </c>
      <c r="AA889">
        <v>63.3</v>
      </c>
      <c r="AB889">
        <v>1.69</v>
      </c>
      <c r="AC889">
        <v>5</v>
      </c>
      <c r="AD889">
        <v>112</v>
      </c>
      <c r="AE889">
        <v>98</v>
      </c>
      <c r="AF889" t="str">
        <v>Urbana</v>
      </c>
      <c r="AG889" t="str">
        <v>Nao</v>
      </c>
    </row>
    <row r="890" spans="2:33" x14ac:dyDescent="0.45">
      <c r="B890" s="4">
        <v>889</v>
      </c>
      <c r="C890" s="4" t="s">
        <v>22</v>
      </c>
      <c r="D890" s="4" t="s">
        <v>23</v>
      </c>
      <c r="E890" s="4" t="s">
        <v>35</v>
      </c>
      <c r="F890" s="4" t="s">
        <v>24</v>
      </c>
      <c r="G890" s="4" t="s">
        <v>19</v>
      </c>
      <c r="H890" s="4" t="s">
        <v>20</v>
      </c>
      <c r="I890" s="4">
        <v>26</v>
      </c>
      <c r="J890" s="5">
        <v>58.2</v>
      </c>
      <c r="K890" s="6">
        <v>1.79</v>
      </c>
      <c r="L890" s="4">
        <v>3</v>
      </c>
      <c r="M890" s="4">
        <v>122</v>
      </c>
      <c r="N890" s="4">
        <v>99</v>
      </c>
      <c r="O890" s="4" t="s">
        <v>26</v>
      </c>
      <c r="P890" s="7" t="s">
        <v>19</v>
      </c>
      <c r="S890">
        <v>1904</v>
      </c>
      <c r="T890" t="str">
        <v>Nampula</v>
      </c>
      <c r="U890" t="str">
        <v>Masculino</v>
      </c>
      <c r="V890" t="str">
        <v>Solteiro(a)</v>
      </c>
      <c r="W890" t="str">
        <v>Primaria</v>
      </c>
      <c r="X890" t="str">
        <v>Nao</v>
      </c>
      <c r="Y890" t="str">
        <v>Malaria</v>
      </c>
      <c r="Z890">
        <v>79</v>
      </c>
      <c r="AA890">
        <v>62.3</v>
      </c>
      <c r="AB890">
        <v>1.76</v>
      </c>
      <c r="AC890">
        <v>8</v>
      </c>
      <c r="AD890">
        <v>137</v>
      </c>
      <c r="AE890">
        <v>81</v>
      </c>
      <c r="AF890" t="str">
        <v>Rural</v>
      </c>
      <c r="AG890" t="str">
        <v>Nao</v>
      </c>
    </row>
    <row r="891" spans="2:33" x14ac:dyDescent="0.45">
      <c r="B891" s="4">
        <v>890</v>
      </c>
      <c r="C891" s="4" t="s">
        <v>43</v>
      </c>
      <c r="D891" s="4" t="s">
        <v>16</v>
      </c>
      <c r="E891" s="4" t="s">
        <v>35</v>
      </c>
      <c r="F891" s="4" t="s">
        <v>24</v>
      </c>
      <c r="G891" s="4" t="s">
        <v>30</v>
      </c>
      <c r="H891" s="4" t="s">
        <v>28</v>
      </c>
      <c r="I891" s="4">
        <v>14</v>
      </c>
      <c r="J891" s="5">
        <v>57.8</v>
      </c>
      <c r="K891" s="6">
        <v>1.52</v>
      </c>
      <c r="L891" s="4">
        <v>4</v>
      </c>
      <c r="M891" s="4">
        <v>113</v>
      </c>
      <c r="N891" s="4">
        <v>102</v>
      </c>
      <c r="O891" s="4" t="s">
        <v>21</v>
      </c>
      <c r="P891" s="7" t="s">
        <v>19</v>
      </c>
      <c r="S891">
        <v>1905</v>
      </c>
      <c r="T891" t="str">
        <v>Manica</v>
      </c>
      <c r="U891" t="str">
        <v>Masculino</v>
      </c>
      <c r="V891" t="str">
        <v>Casado(a)</v>
      </c>
      <c r="W891" t="str">
        <v>Secundaria</v>
      </c>
      <c r="X891" t="str">
        <v>Nao</v>
      </c>
      <c r="Y891" t="str">
        <v>Diabetes</v>
      </c>
      <c r="Z891">
        <v>11</v>
      </c>
      <c r="AA891">
        <v>26.4</v>
      </c>
      <c r="AB891">
        <v>1.1200000000000001</v>
      </c>
      <c r="AC891">
        <v>6</v>
      </c>
      <c r="AD891">
        <v>96</v>
      </c>
      <c r="AE891">
        <v>134</v>
      </c>
      <c r="AF891" t="str">
        <v>Rural</v>
      </c>
      <c r="AG891" t="str">
        <v>Nao</v>
      </c>
    </row>
    <row r="892" spans="2:33" x14ac:dyDescent="0.45">
      <c r="B892" s="4">
        <v>891</v>
      </c>
      <c r="C892" s="4" t="s">
        <v>29</v>
      </c>
      <c r="D892" s="4" t="s">
        <v>16</v>
      </c>
      <c r="E892" s="4" t="s">
        <v>37</v>
      </c>
      <c r="F892" s="4" t="s">
        <v>18</v>
      </c>
      <c r="G892" s="4" t="s">
        <v>30</v>
      </c>
      <c r="H892" s="4" t="s">
        <v>20</v>
      </c>
      <c r="I892" s="4">
        <v>51</v>
      </c>
      <c r="J892" s="5">
        <v>66.099999999999994</v>
      </c>
      <c r="K892" s="6">
        <v>1.7</v>
      </c>
      <c r="L892" s="4">
        <v>2</v>
      </c>
      <c r="M892" s="4">
        <v>114</v>
      </c>
      <c r="N892" s="4">
        <v>82</v>
      </c>
      <c r="O892" s="4" t="s">
        <v>26</v>
      </c>
      <c r="P892" s="7" t="s">
        <v>19</v>
      </c>
      <c r="S892">
        <v>1906</v>
      </c>
      <c r="T892" t="str">
        <v>Maputo Provincia</v>
      </c>
      <c r="U892" t="str">
        <v>Masculino</v>
      </c>
      <c r="V892" t="str">
        <v>Casado(a)</v>
      </c>
      <c r="W892" t="str">
        <v>Secundaria</v>
      </c>
      <c r="X892" t="str">
        <v>Nao</v>
      </c>
      <c r="Y892" t="str">
        <v>Nenhuma</v>
      </c>
      <c r="Z892">
        <v>46</v>
      </c>
      <c r="AA892">
        <v>46.5</v>
      </c>
      <c r="AB892">
        <v>1.56</v>
      </c>
      <c r="AC892">
        <v>10</v>
      </c>
      <c r="AD892">
        <v>111</v>
      </c>
      <c r="AE892">
        <v>78</v>
      </c>
      <c r="AF892" t="str">
        <v>Urbana</v>
      </c>
      <c r="AG892" t="str">
        <v>Sim</v>
      </c>
    </row>
    <row r="893" spans="2:33" x14ac:dyDescent="0.45">
      <c r="B893" s="4">
        <v>892</v>
      </c>
      <c r="C893" s="4" t="s">
        <v>29</v>
      </c>
      <c r="D893" s="4" t="s">
        <v>23</v>
      </c>
      <c r="E893" s="4" t="s">
        <v>35</v>
      </c>
      <c r="F893" s="4" t="s">
        <v>42</v>
      </c>
      <c r="G893" s="4" t="s">
        <v>19</v>
      </c>
      <c r="H893" s="4" t="s">
        <v>36</v>
      </c>
      <c r="I893" s="4">
        <v>17</v>
      </c>
      <c r="J893" s="5">
        <v>46.3</v>
      </c>
      <c r="K893" s="6">
        <v>1.66</v>
      </c>
      <c r="L893" s="4">
        <v>1</v>
      </c>
      <c r="M893" s="4">
        <v>139</v>
      </c>
      <c r="N893" s="4">
        <v>87</v>
      </c>
      <c r="O893" s="4" t="s">
        <v>26</v>
      </c>
      <c r="P893" s="7" t="s">
        <v>30</v>
      </c>
      <c r="S893">
        <v>1907</v>
      </c>
      <c r="T893" t="str">
        <v>Cabo Delgado</v>
      </c>
      <c r="U893" t="str">
        <v>Masculino</v>
      </c>
      <c r="V893" t="str">
        <v>Divorciado(a)</v>
      </c>
      <c r="W893" t="str">
        <v>Primaria</v>
      </c>
      <c r="X893" t="str">
        <v>Nao</v>
      </c>
      <c r="Y893" t="str">
        <v>Diarreia</v>
      </c>
      <c r="Z893">
        <v>62</v>
      </c>
      <c r="AA893">
        <v>82.4</v>
      </c>
      <c r="AB893">
        <v>1.7</v>
      </c>
      <c r="AC893">
        <v>6</v>
      </c>
      <c r="AD893">
        <v>136</v>
      </c>
      <c r="AE893">
        <v>71</v>
      </c>
      <c r="AF893" t="str">
        <v>Rural</v>
      </c>
      <c r="AG893" t="str">
        <v>Sim</v>
      </c>
    </row>
    <row r="894" spans="2:33" x14ac:dyDescent="0.45">
      <c r="B894" s="4">
        <v>893</v>
      </c>
      <c r="C894" s="4" t="s">
        <v>41</v>
      </c>
      <c r="D894" s="4" t="s">
        <v>16</v>
      </c>
      <c r="E894" s="4" t="s">
        <v>17</v>
      </c>
      <c r="F894" s="4" t="s">
        <v>24</v>
      </c>
      <c r="G894" s="4" t="s">
        <v>30</v>
      </c>
      <c r="H894" s="4" t="s">
        <v>34</v>
      </c>
      <c r="I894" s="4">
        <v>2</v>
      </c>
      <c r="J894" s="5">
        <v>7.3</v>
      </c>
      <c r="K894" s="6">
        <v>0.66</v>
      </c>
      <c r="L894" s="4">
        <v>1</v>
      </c>
      <c r="M894" s="4">
        <v>95</v>
      </c>
      <c r="N894" s="4">
        <v>101</v>
      </c>
      <c r="O894" s="4" t="s">
        <v>26</v>
      </c>
      <c r="P894" s="7" t="s">
        <v>30</v>
      </c>
      <c r="S894">
        <v>1908</v>
      </c>
      <c r="T894" t="str">
        <v>Maputo Provincia</v>
      </c>
      <c r="U894" t="str">
        <v>Masculino</v>
      </c>
      <c r="V894" t="str">
        <v>Casado(a)</v>
      </c>
      <c r="W894" t="str">
        <v>Primaria</v>
      </c>
      <c r="X894" t="str">
        <v>Nao</v>
      </c>
      <c r="Y894" t="str">
        <v>Nenhuma</v>
      </c>
      <c r="Z894">
        <v>32</v>
      </c>
      <c r="AA894">
        <v>65.7</v>
      </c>
      <c r="AB894">
        <v>1.68</v>
      </c>
      <c r="AC894">
        <v>5</v>
      </c>
      <c r="AD894">
        <v>113</v>
      </c>
      <c r="AE894">
        <v>73</v>
      </c>
      <c r="AF894" t="str">
        <v>Urbana</v>
      </c>
      <c r="AG894" t="str">
        <v>Sim</v>
      </c>
    </row>
    <row r="895" spans="2:33" x14ac:dyDescent="0.45">
      <c r="B895" s="4">
        <v>894</v>
      </c>
      <c r="C895" s="4" t="s">
        <v>40</v>
      </c>
      <c r="D895" s="4" t="s">
        <v>23</v>
      </c>
      <c r="E895" s="4" t="s">
        <v>17</v>
      </c>
      <c r="F895" s="4" t="s">
        <v>18</v>
      </c>
      <c r="G895" s="4" t="s">
        <v>19</v>
      </c>
      <c r="H895" s="4" t="s">
        <v>32</v>
      </c>
      <c r="I895" s="4">
        <v>74</v>
      </c>
      <c r="J895" s="5">
        <v>60</v>
      </c>
      <c r="K895" s="6">
        <v>1.74</v>
      </c>
      <c r="L895" s="4">
        <v>1</v>
      </c>
      <c r="M895" s="4">
        <v>135</v>
      </c>
      <c r="N895" s="4">
        <v>159</v>
      </c>
      <c r="O895" s="4" t="s">
        <v>26</v>
      </c>
      <c r="P895" s="7" t="s">
        <v>19</v>
      </c>
      <c r="S895">
        <v>1909</v>
      </c>
      <c r="T895" t="str">
        <v>Sofala</v>
      </c>
      <c r="U895" t="str">
        <v>Masculino</v>
      </c>
      <c r="V895" t="str">
        <v>Solteiro(a)</v>
      </c>
      <c r="W895" t="str">
        <v>Superior</v>
      </c>
      <c r="X895" t="str">
        <v>Nao</v>
      </c>
      <c r="Y895" t="str">
        <v>Hipertensao</v>
      </c>
      <c r="Z895">
        <v>8</v>
      </c>
      <c r="AA895">
        <v>34.799999999999997</v>
      </c>
      <c r="AB895">
        <v>1.29</v>
      </c>
      <c r="AC895">
        <v>0</v>
      </c>
      <c r="AD895">
        <v>139</v>
      </c>
      <c r="AE895">
        <v>103</v>
      </c>
      <c r="AF895" t="str">
        <v>Urbana</v>
      </c>
      <c r="AG895" t="str">
        <v>Nao</v>
      </c>
    </row>
    <row r="896" spans="2:33" x14ac:dyDescent="0.45">
      <c r="B896" s="4">
        <v>895</v>
      </c>
      <c r="C896" s="4" t="s">
        <v>40</v>
      </c>
      <c r="D896" s="4" t="s">
        <v>23</v>
      </c>
      <c r="E896" s="4" t="s">
        <v>35</v>
      </c>
      <c r="F896" s="4" t="s">
        <v>18</v>
      </c>
      <c r="G896" s="4" t="s">
        <v>30</v>
      </c>
      <c r="H896" s="4" t="s">
        <v>20</v>
      </c>
      <c r="I896" s="4">
        <v>17</v>
      </c>
      <c r="J896" s="5">
        <v>52.1</v>
      </c>
      <c r="K896" s="6">
        <v>1.66</v>
      </c>
      <c r="L896" s="4">
        <v>3</v>
      </c>
      <c r="M896" s="4">
        <v>105</v>
      </c>
      <c r="N896" s="4">
        <v>82</v>
      </c>
      <c r="O896" s="4" t="s">
        <v>26</v>
      </c>
      <c r="P896" s="7" t="s">
        <v>19</v>
      </c>
      <c r="S896">
        <v>1913</v>
      </c>
      <c r="T896" t="str">
        <v>Cabo Delgado</v>
      </c>
      <c r="U896" t="str">
        <v>Masculino</v>
      </c>
      <c r="V896" t="str">
        <v>Casado(a)</v>
      </c>
      <c r="W896" t="str">
        <v>Superior</v>
      </c>
      <c r="X896" t="str">
        <v>Sim</v>
      </c>
      <c r="Y896" t="str">
        <v>Tuberculose</v>
      </c>
      <c r="Z896">
        <v>40</v>
      </c>
      <c r="AA896">
        <v>75.3</v>
      </c>
      <c r="AB896">
        <v>1.67</v>
      </c>
      <c r="AC896">
        <v>2</v>
      </c>
      <c r="AD896">
        <v>133</v>
      </c>
      <c r="AE896">
        <v>93</v>
      </c>
      <c r="AF896" t="str">
        <v>Rural</v>
      </c>
      <c r="AG896" t="str">
        <v>Sim</v>
      </c>
    </row>
    <row r="897" spans="2:33" x14ac:dyDescent="0.45">
      <c r="B897" s="4">
        <v>896</v>
      </c>
      <c r="C897" s="4" t="s">
        <v>41</v>
      </c>
      <c r="D897" s="4" t="s">
        <v>23</v>
      </c>
      <c r="E897" s="4" t="s">
        <v>35</v>
      </c>
      <c r="F897" s="4" t="s">
        <v>24</v>
      </c>
      <c r="G897" s="4" t="s">
        <v>19</v>
      </c>
      <c r="H897" s="4" t="s">
        <v>28</v>
      </c>
      <c r="I897" s="4">
        <v>66</v>
      </c>
      <c r="J897" s="5">
        <v>54.7</v>
      </c>
      <c r="K897" s="6">
        <v>1.89</v>
      </c>
      <c r="L897" s="4">
        <v>1</v>
      </c>
      <c r="M897" s="4">
        <v>115</v>
      </c>
      <c r="N897" s="4">
        <v>91</v>
      </c>
      <c r="O897" s="4" t="s">
        <v>21</v>
      </c>
      <c r="P897" s="7" t="s">
        <v>19</v>
      </c>
      <c r="S897">
        <v>1914</v>
      </c>
      <c r="T897" t="str">
        <v>Zambezia</v>
      </c>
      <c r="U897" t="str">
        <v>Masculino</v>
      </c>
      <c r="V897" t="str">
        <v>Solteiro(a)</v>
      </c>
      <c r="W897" t="str">
        <v>Nenhuma</v>
      </c>
      <c r="X897" t="str">
        <v>Nao</v>
      </c>
      <c r="Y897" t="str">
        <v>Pneumonia</v>
      </c>
      <c r="Z897">
        <v>36</v>
      </c>
      <c r="AA897">
        <v>94.4</v>
      </c>
      <c r="AB897">
        <v>1.68</v>
      </c>
      <c r="AC897">
        <v>1</v>
      </c>
      <c r="AD897">
        <v>122</v>
      </c>
      <c r="AE897">
        <v>82</v>
      </c>
      <c r="AF897" t="str">
        <v>Urbana</v>
      </c>
      <c r="AG897" t="str">
        <v>Nao</v>
      </c>
    </row>
    <row r="898" spans="2:33" x14ac:dyDescent="0.45">
      <c r="B898" s="4">
        <v>897</v>
      </c>
      <c r="C898" s="4" t="s">
        <v>29</v>
      </c>
      <c r="D898" s="4" t="s">
        <v>16</v>
      </c>
      <c r="E898" s="4" t="s">
        <v>35</v>
      </c>
      <c r="F898" s="4" t="s">
        <v>28</v>
      </c>
      <c r="G898" s="4" t="s">
        <v>19</v>
      </c>
      <c r="H898" s="4" t="s">
        <v>38</v>
      </c>
      <c r="I898" s="4">
        <v>7</v>
      </c>
      <c r="J898" s="5">
        <v>19.2</v>
      </c>
      <c r="K898" s="6">
        <v>1.2</v>
      </c>
      <c r="L898" s="4">
        <v>3</v>
      </c>
      <c r="M898" s="4">
        <v>106</v>
      </c>
      <c r="N898" s="4">
        <v>103</v>
      </c>
      <c r="O898" s="4" t="s">
        <v>26</v>
      </c>
      <c r="P898" s="7" t="s">
        <v>19</v>
      </c>
      <c r="S898">
        <v>1915</v>
      </c>
      <c r="T898" t="str">
        <v>Nampula</v>
      </c>
      <c r="U898" t="str">
        <v>Masculino</v>
      </c>
      <c r="V898" t="str">
        <v>Casado(a)</v>
      </c>
      <c r="W898" t="str">
        <v>Primaria</v>
      </c>
      <c r="X898" t="str">
        <v>Nao</v>
      </c>
      <c r="Y898" t="str">
        <v>HIV/SIDA</v>
      </c>
      <c r="Z898">
        <v>0</v>
      </c>
      <c r="AA898">
        <v>14</v>
      </c>
      <c r="AB898">
        <v>1.02</v>
      </c>
      <c r="AC898">
        <v>2</v>
      </c>
      <c r="AD898">
        <v>114</v>
      </c>
      <c r="AE898">
        <v>93</v>
      </c>
      <c r="AF898" t="str">
        <v>Rural</v>
      </c>
      <c r="AG898" t="str">
        <v>Nao</v>
      </c>
    </row>
    <row r="899" spans="2:33" x14ac:dyDescent="0.45">
      <c r="B899" s="4">
        <v>898</v>
      </c>
      <c r="C899" s="4" t="s">
        <v>43</v>
      </c>
      <c r="D899" s="4" t="s">
        <v>23</v>
      </c>
      <c r="E899" s="4" t="s">
        <v>35</v>
      </c>
      <c r="F899" s="4" t="s">
        <v>24</v>
      </c>
      <c r="G899" s="4" t="s">
        <v>19</v>
      </c>
      <c r="H899" s="4" t="s">
        <v>36</v>
      </c>
      <c r="I899" s="4">
        <v>5</v>
      </c>
      <c r="J899" s="5">
        <v>23.6</v>
      </c>
      <c r="K899" s="6">
        <v>1.1299999999999999</v>
      </c>
      <c r="L899" s="4">
        <v>9</v>
      </c>
      <c r="M899" s="4">
        <v>127</v>
      </c>
      <c r="N899" s="4">
        <v>103</v>
      </c>
      <c r="O899" s="4" t="s">
        <v>26</v>
      </c>
      <c r="P899" s="7" t="s">
        <v>19</v>
      </c>
      <c r="S899">
        <v>1917</v>
      </c>
      <c r="T899" t="str">
        <v>Maputo Cidade</v>
      </c>
      <c r="U899" t="str">
        <v>Masculino</v>
      </c>
      <c r="V899" t="str">
        <v>Casado(a)</v>
      </c>
      <c r="W899" t="str">
        <v>Nenhuma</v>
      </c>
      <c r="X899" t="str">
        <v>Sim</v>
      </c>
      <c r="Y899" t="str">
        <v>Nenhuma</v>
      </c>
      <c r="Z899">
        <v>1</v>
      </c>
      <c r="AA899">
        <v>7.7</v>
      </c>
      <c r="AB899">
        <v>0.77</v>
      </c>
      <c r="AC899">
        <v>5</v>
      </c>
      <c r="AD899">
        <v>111</v>
      </c>
      <c r="AE899">
        <v>78</v>
      </c>
      <c r="AF899" t="str">
        <v>Rural</v>
      </c>
      <c r="AG899" t="str">
        <v>Nao</v>
      </c>
    </row>
    <row r="900" spans="2:33" x14ac:dyDescent="0.45">
      <c r="B900" s="4">
        <v>899</v>
      </c>
      <c r="C900" s="4" t="s">
        <v>43</v>
      </c>
      <c r="D900" s="4" t="s">
        <v>23</v>
      </c>
      <c r="E900" s="4" t="s">
        <v>17</v>
      </c>
      <c r="F900" s="4" t="s">
        <v>18</v>
      </c>
      <c r="G900" s="4" t="s">
        <v>19</v>
      </c>
      <c r="H900" s="4" t="s">
        <v>20</v>
      </c>
      <c r="I900" s="4">
        <v>0</v>
      </c>
      <c r="J900" s="5">
        <v>13.8</v>
      </c>
      <c r="K900" s="6">
        <v>0.76</v>
      </c>
      <c r="L900" s="4">
        <v>1</v>
      </c>
      <c r="M900" s="4">
        <v>111</v>
      </c>
      <c r="N900" s="4">
        <v>77</v>
      </c>
      <c r="O900" s="4" t="s">
        <v>26</v>
      </c>
      <c r="P900" s="7" t="s">
        <v>19</v>
      </c>
      <c r="S900">
        <v>1918</v>
      </c>
      <c r="T900" t="str">
        <v>Inhambane</v>
      </c>
      <c r="U900" t="str">
        <v>Masculino</v>
      </c>
      <c r="V900" t="str">
        <v>Solteiro(a)</v>
      </c>
      <c r="W900" t="str">
        <v>Primaria</v>
      </c>
      <c r="X900" t="str">
        <v>Nao</v>
      </c>
      <c r="Y900" t="str">
        <v>Malaria</v>
      </c>
      <c r="Z900">
        <v>21</v>
      </c>
      <c r="AA900">
        <v>75.8</v>
      </c>
      <c r="AB900">
        <v>1.83</v>
      </c>
      <c r="AC900">
        <v>2</v>
      </c>
      <c r="AD900">
        <v>121</v>
      </c>
      <c r="AE900">
        <v>84</v>
      </c>
      <c r="AF900" t="str">
        <v>Rural</v>
      </c>
      <c r="AG900" t="str">
        <v>Sim</v>
      </c>
    </row>
    <row r="901" spans="2:33" x14ac:dyDescent="0.45">
      <c r="B901" s="4">
        <v>900</v>
      </c>
      <c r="C901" s="4" t="s">
        <v>29</v>
      </c>
      <c r="D901" s="4" t="s">
        <v>23</v>
      </c>
      <c r="E901" s="4" t="s">
        <v>17</v>
      </c>
      <c r="F901" s="4" t="s">
        <v>42</v>
      </c>
      <c r="G901" s="4" t="s">
        <v>19</v>
      </c>
      <c r="H901" s="4" t="s">
        <v>28</v>
      </c>
      <c r="I901" s="4">
        <v>55</v>
      </c>
      <c r="J901" s="5">
        <v>91.5</v>
      </c>
      <c r="K901" s="6">
        <v>1.72</v>
      </c>
      <c r="L901" s="4">
        <v>10</v>
      </c>
      <c r="M901" s="4">
        <v>111</v>
      </c>
      <c r="N901" s="4">
        <v>84</v>
      </c>
      <c r="O901" s="4" t="s">
        <v>26</v>
      </c>
      <c r="P901" s="7" t="s">
        <v>19</v>
      </c>
      <c r="S901">
        <v>1919</v>
      </c>
      <c r="T901" t="str">
        <v>Tete</v>
      </c>
      <c r="U901" t="str">
        <v>Masculino</v>
      </c>
      <c r="V901" t="str">
        <v>Solteiro(a)</v>
      </c>
      <c r="W901" t="str">
        <v>Nenhuma</v>
      </c>
      <c r="X901" t="str">
        <v>Nao</v>
      </c>
      <c r="Y901" t="str">
        <v>Nenhuma</v>
      </c>
      <c r="Z901">
        <v>15</v>
      </c>
      <c r="AA901">
        <v>53.7</v>
      </c>
      <c r="AB901">
        <v>1.5</v>
      </c>
      <c r="AC901">
        <v>10</v>
      </c>
      <c r="AD901">
        <v>109</v>
      </c>
      <c r="AE901">
        <v>85</v>
      </c>
      <c r="AF901" t="str">
        <v>Urbana</v>
      </c>
      <c r="AG901" t="str">
        <v>Nao</v>
      </c>
    </row>
    <row r="902" spans="2:33" x14ac:dyDescent="0.45">
      <c r="B902" s="4">
        <v>901</v>
      </c>
      <c r="C902" s="4" t="s">
        <v>45</v>
      </c>
      <c r="D902" s="4" t="s">
        <v>23</v>
      </c>
      <c r="E902" s="4" t="s">
        <v>17</v>
      </c>
      <c r="F902" s="4" t="s">
        <v>24</v>
      </c>
      <c r="G902" s="4" t="s">
        <v>19</v>
      </c>
      <c r="H902" s="4" t="s">
        <v>36</v>
      </c>
      <c r="I902" s="4">
        <v>53</v>
      </c>
      <c r="J902" s="5">
        <v>93.5</v>
      </c>
      <c r="K902" s="6">
        <v>1.57</v>
      </c>
      <c r="L902" s="4">
        <v>1</v>
      </c>
      <c r="M902" s="4">
        <v>131</v>
      </c>
      <c r="N902" s="4">
        <v>91</v>
      </c>
      <c r="O902" s="4" t="s">
        <v>21</v>
      </c>
      <c r="P902" s="7" t="s">
        <v>19</v>
      </c>
      <c r="S902">
        <v>1921</v>
      </c>
      <c r="T902" t="str">
        <v>Tete</v>
      </c>
      <c r="U902" t="str">
        <v>Masculino</v>
      </c>
      <c r="V902" t="str">
        <v>Casado(a)</v>
      </c>
      <c r="W902" t="str">
        <v>Nenhuma</v>
      </c>
      <c r="X902" t="str">
        <v>Sim</v>
      </c>
      <c r="Y902" t="str">
        <v>Nenhuma</v>
      </c>
      <c r="Z902">
        <v>1</v>
      </c>
      <c r="AA902">
        <v>8.1999999999999993</v>
      </c>
      <c r="AB902">
        <v>0.95</v>
      </c>
      <c r="AC902">
        <v>1</v>
      </c>
      <c r="AD902">
        <v>98</v>
      </c>
      <c r="AE902">
        <v>90</v>
      </c>
      <c r="AF902" t="str">
        <v>Urbana</v>
      </c>
      <c r="AG902" t="str">
        <v>Nao</v>
      </c>
    </row>
    <row r="903" spans="2:33" x14ac:dyDescent="0.45">
      <c r="B903" s="4">
        <v>902</v>
      </c>
      <c r="C903" s="4" t="s">
        <v>27</v>
      </c>
      <c r="D903" s="4" t="s">
        <v>16</v>
      </c>
      <c r="E903" s="4" t="s">
        <v>17</v>
      </c>
      <c r="F903" s="4" t="s">
        <v>24</v>
      </c>
      <c r="G903" s="4" t="s">
        <v>19</v>
      </c>
      <c r="H903" s="4" t="s">
        <v>28</v>
      </c>
      <c r="I903" s="4">
        <v>26</v>
      </c>
      <c r="J903" s="5">
        <v>61.6</v>
      </c>
      <c r="K903" s="6">
        <v>1.66</v>
      </c>
      <c r="L903" s="4">
        <v>1</v>
      </c>
      <c r="M903" s="4">
        <v>104</v>
      </c>
      <c r="N903" s="4">
        <v>73</v>
      </c>
      <c r="O903" s="4" t="s">
        <v>26</v>
      </c>
      <c r="P903" s="7" t="s">
        <v>19</v>
      </c>
      <c r="S903">
        <v>1923</v>
      </c>
      <c r="T903" t="str">
        <v>Sofala</v>
      </c>
      <c r="U903" t="str">
        <v>Masculino</v>
      </c>
      <c r="V903" t="str">
        <v>Casado(a)</v>
      </c>
      <c r="W903" t="str">
        <v>Primaria</v>
      </c>
      <c r="X903" t="str">
        <v>Nao</v>
      </c>
      <c r="Y903" t="str">
        <v>Malaria</v>
      </c>
      <c r="Z903">
        <v>30</v>
      </c>
      <c r="AA903">
        <v>87</v>
      </c>
      <c r="AB903">
        <v>1.65</v>
      </c>
      <c r="AC903">
        <v>2</v>
      </c>
      <c r="AD903">
        <v>103</v>
      </c>
      <c r="AE903">
        <v>77</v>
      </c>
      <c r="AF903" t="str">
        <v>Rural</v>
      </c>
      <c r="AG903" t="str">
        <v>Nao</v>
      </c>
    </row>
    <row r="904" spans="2:33" x14ac:dyDescent="0.45">
      <c r="B904" s="4">
        <v>903</v>
      </c>
      <c r="C904" s="4" t="s">
        <v>29</v>
      </c>
      <c r="D904" s="4" t="s">
        <v>23</v>
      </c>
      <c r="E904" s="4" t="s">
        <v>35</v>
      </c>
      <c r="F904" s="4" t="s">
        <v>42</v>
      </c>
      <c r="G904" s="4" t="s">
        <v>30</v>
      </c>
      <c r="H904" s="4" t="s">
        <v>38</v>
      </c>
      <c r="I904" s="4">
        <v>38</v>
      </c>
      <c r="J904" s="5">
        <v>81.8</v>
      </c>
      <c r="K904" s="6">
        <v>1.66</v>
      </c>
      <c r="L904" s="4">
        <v>2</v>
      </c>
      <c r="M904" s="4">
        <v>122</v>
      </c>
      <c r="N904" s="4">
        <v>91</v>
      </c>
      <c r="O904" s="4" t="s">
        <v>26</v>
      </c>
      <c r="P904" s="7" t="s">
        <v>19</v>
      </c>
      <c r="S904">
        <v>1924</v>
      </c>
      <c r="T904" t="str">
        <v>Niassa</v>
      </c>
      <c r="U904" t="str">
        <v>Masculino</v>
      </c>
      <c r="V904" t="str">
        <v>Solteiro(a)</v>
      </c>
      <c r="W904" t="str">
        <v>Secundaria</v>
      </c>
      <c r="X904" t="str">
        <v>Sim</v>
      </c>
      <c r="Y904" t="str">
        <v>Malaria</v>
      </c>
      <c r="Z904">
        <v>76</v>
      </c>
      <c r="AA904">
        <v>90.4</v>
      </c>
      <c r="AB904">
        <v>1.82</v>
      </c>
      <c r="AC904">
        <v>3</v>
      </c>
      <c r="AD904">
        <v>132</v>
      </c>
      <c r="AE904">
        <v>80</v>
      </c>
      <c r="AF904" t="str">
        <v>Urbana</v>
      </c>
      <c r="AG904" t="str">
        <v>Sim</v>
      </c>
    </row>
    <row r="905" spans="2:33" x14ac:dyDescent="0.45">
      <c r="B905" s="4">
        <v>904</v>
      </c>
      <c r="C905" s="4" t="s">
        <v>29</v>
      </c>
      <c r="D905" s="4" t="s">
        <v>16</v>
      </c>
      <c r="E905" s="4" t="s">
        <v>35</v>
      </c>
      <c r="F905" s="4" t="s">
        <v>24</v>
      </c>
      <c r="G905" s="4" t="s">
        <v>19</v>
      </c>
      <c r="H905" s="4" t="s">
        <v>28</v>
      </c>
      <c r="I905" s="4">
        <v>16</v>
      </c>
      <c r="J905" s="5">
        <v>53.4</v>
      </c>
      <c r="K905" s="6">
        <v>1.54</v>
      </c>
      <c r="L905" s="4">
        <v>1</v>
      </c>
      <c r="M905" s="4">
        <v>115</v>
      </c>
      <c r="N905" s="4">
        <v>70</v>
      </c>
      <c r="O905" s="4" t="s">
        <v>26</v>
      </c>
      <c r="P905" s="7" t="s">
        <v>19</v>
      </c>
      <c r="S905">
        <v>1926</v>
      </c>
      <c r="T905" t="str">
        <v>Maputo Cidade</v>
      </c>
      <c r="U905" t="str">
        <v>Masculino</v>
      </c>
      <c r="V905" t="str">
        <v>Solteiro(a)</v>
      </c>
      <c r="W905" t="str">
        <v>Secundaria</v>
      </c>
      <c r="X905" t="str">
        <v>Sim</v>
      </c>
      <c r="Y905" t="str">
        <v>Nenhuma</v>
      </c>
      <c r="Z905">
        <v>19</v>
      </c>
      <c r="AA905">
        <v>94.8</v>
      </c>
      <c r="AB905">
        <v>1.67</v>
      </c>
      <c r="AC905">
        <v>0</v>
      </c>
      <c r="AD905">
        <v>110</v>
      </c>
      <c r="AE905">
        <v>88</v>
      </c>
      <c r="AF905" t="str">
        <v>Urbana</v>
      </c>
      <c r="AG905" t="str">
        <v>Sim</v>
      </c>
    </row>
    <row r="906" spans="2:33" x14ac:dyDescent="0.45">
      <c r="B906" s="4">
        <v>905</v>
      </c>
      <c r="C906" s="4" t="s">
        <v>27</v>
      </c>
      <c r="D906" s="4" t="s">
        <v>16</v>
      </c>
      <c r="E906" s="4" t="s">
        <v>17</v>
      </c>
      <c r="F906" s="4" t="s">
        <v>28</v>
      </c>
      <c r="G906" s="4" t="s">
        <v>30</v>
      </c>
      <c r="H906" s="4" t="s">
        <v>28</v>
      </c>
      <c r="I906" s="4">
        <v>2</v>
      </c>
      <c r="J906" s="5">
        <v>6</v>
      </c>
      <c r="K906" s="6">
        <v>0.71</v>
      </c>
      <c r="L906" s="4">
        <v>2</v>
      </c>
      <c r="M906" s="4">
        <v>94</v>
      </c>
      <c r="N906" s="4">
        <v>100</v>
      </c>
      <c r="O906" s="4" t="s">
        <v>21</v>
      </c>
      <c r="P906" s="7" t="s">
        <v>19</v>
      </c>
      <c r="S906">
        <v>1929</v>
      </c>
      <c r="T906" t="str">
        <v>Zambezia</v>
      </c>
      <c r="U906" t="str">
        <v>Masculino</v>
      </c>
      <c r="V906" t="str">
        <v>Solteiro(a)</v>
      </c>
      <c r="W906" t="str">
        <v>Nenhuma</v>
      </c>
      <c r="X906" t="str">
        <v>Nao</v>
      </c>
      <c r="Y906" t="str">
        <v>Tuberculose</v>
      </c>
      <c r="Z906">
        <v>73</v>
      </c>
      <c r="AA906">
        <v>64.8</v>
      </c>
      <c r="AB906">
        <v>1.82</v>
      </c>
      <c r="AC906">
        <v>0</v>
      </c>
      <c r="AD906">
        <v>140</v>
      </c>
      <c r="AE906">
        <v>100</v>
      </c>
      <c r="AF906" t="str">
        <v>Rural</v>
      </c>
      <c r="AG906" t="str">
        <v>Sim</v>
      </c>
    </row>
    <row r="907" spans="2:33" x14ac:dyDescent="0.45">
      <c r="B907" s="4">
        <v>906</v>
      </c>
      <c r="C907" s="4" t="s">
        <v>22</v>
      </c>
      <c r="D907" s="4" t="s">
        <v>16</v>
      </c>
      <c r="E907" s="4" t="s">
        <v>35</v>
      </c>
      <c r="F907" s="4" t="s">
        <v>18</v>
      </c>
      <c r="G907" s="4" t="s">
        <v>19</v>
      </c>
      <c r="H907" s="4" t="s">
        <v>20</v>
      </c>
      <c r="I907" s="4">
        <v>2</v>
      </c>
      <c r="J907" s="5">
        <v>14.1</v>
      </c>
      <c r="K907" s="6">
        <v>0.9</v>
      </c>
      <c r="L907" s="4">
        <v>4</v>
      </c>
      <c r="M907" s="4">
        <v>113</v>
      </c>
      <c r="N907" s="4">
        <v>83</v>
      </c>
      <c r="O907" s="4" t="s">
        <v>26</v>
      </c>
      <c r="P907" s="7" t="s">
        <v>30</v>
      </c>
      <c r="S907">
        <v>1930</v>
      </c>
      <c r="T907" t="str">
        <v>Tete</v>
      </c>
      <c r="U907" t="str">
        <v>Masculino</v>
      </c>
      <c r="V907" t="str">
        <v>Casado(a)</v>
      </c>
      <c r="W907" t="str">
        <v>Primaria</v>
      </c>
      <c r="X907" t="str">
        <v>Nao</v>
      </c>
      <c r="Y907" t="str">
        <v>Nenhuma</v>
      </c>
      <c r="Z907">
        <v>12</v>
      </c>
      <c r="AA907">
        <v>63.1</v>
      </c>
      <c r="AB907">
        <v>1.52</v>
      </c>
      <c r="AC907">
        <v>4</v>
      </c>
      <c r="AD907">
        <v>114</v>
      </c>
      <c r="AE907">
        <v>103</v>
      </c>
      <c r="AF907" t="str">
        <v>Rural</v>
      </c>
      <c r="AG907" t="str">
        <v>Nao</v>
      </c>
    </row>
    <row r="908" spans="2:33" x14ac:dyDescent="0.45">
      <c r="B908" s="4">
        <v>907</v>
      </c>
      <c r="C908" s="4" t="s">
        <v>27</v>
      </c>
      <c r="D908" s="4" t="s">
        <v>23</v>
      </c>
      <c r="E908" s="4" t="s">
        <v>35</v>
      </c>
      <c r="F908" s="4" t="s">
        <v>24</v>
      </c>
      <c r="G908" s="4" t="s">
        <v>19</v>
      </c>
      <c r="H908" s="4" t="s">
        <v>25</v>
      </c>
      <c r="I908" s="4">
        <v>2</v>
      </c>
      <c r="J908" s="5">
        <v>17.7</v>
      </c>
      <c r="K908" s="6">
        <v>1.01</v>
      </c>
      <c r="L908" s="4">
        <v>5</v>
      </c>
      <c r="M908" s="4">
        <v>99</v>
      </c>
      <c r="N908" s="4">
        <v>76</v>
      </c>
      <c r="O908" s="4" t="s">
        <v>26</v>
      </c>
      <c r="P908" s="7" t="s">
        <v>19</v>
      </c>
      <c r="S908">
        <v>1932</v>
      </c>
      <c r="T908" t="str">
        <v>Nampula</v>
      </c>
      <c r="U908" t="str">
        <v>Masculino</v>
      </c>
      <c r="V908" t="str">
        <v>Casado(a)</v>
      </c>
      <c r="W908" t="str">
        <v>Nenhuma</v>
      </c>
      <c r="X908" t="str">
        <v>Nao</v>
      </c>
      <c r="Y908" t="str">
        <v>Nenhuma</v>
      </c>
      <c r="Z908">
        <v>8</v>
      </c>
      <c r="AA908">
        <v>23.7</v>
      </c>
      <c r="AB908">
        <v>1.36</v>
      </c>
      <c r="AC908">
        <v>6</v>
      </c>
      <c r="AD908">
        <v>113</v>
      </c>
      <c r="AE908">
        <v>74</v>
      </c>
      <c r="AF908" t="str">
        <v>Rural</v>
      </c>
      <c r="AG908" t="str">
        <v>Nao</v>
      </c>
    </row>
    <row r="909" spans="2:33" x14ac:dyDescent="0.45">
      <c r="B909" s="4">
        <v>908</v>
      </c>
      <c r="C909" s="4" t="s">
        <v>15</v>
      </c>
      <c r="D909" s="4" t="s">
        <v>16</v>
      </c>
      <c r="E909" s="4" t="s">
        <v>44</v>
      </c>
      <c r="F909" s="4" t="s">
        <v>24</v>
      </c>
      <c r="G909" s="4" t="s">
        <v>19</v>
      </c>
      <c r="H909" s="4" t="s">
        <v>20</v>
      </c>
      <c r="I909" s="4">
        <v>9</v>
      </c>
      <c r="J909" s="5">
        <v>18.399999999999999</v>
      </c>
      <c r="K909" s="6">
        <v>1.27</v>
      </c>
      <c r="L909" s="4">
        <v>6</v>
      </c>
      <c r="M909" s="4">
        <v>103</v>
      </c>
      <c r="N909" s="4">
        <v>88</v>
      </c>
      <c r="O909" s="4" t="s">
        <v>26</v>
      </c>
      <c r="P909" s="7" t="s">
        <v>19</v>
      </c>
      <c r="S909">
        <v>1935</v>
      </c>
      <c r="T909" t="str">
        <v>Manica</v>
      </c>
      <c r="U909" t="str">
        <v>Masculino</v>
      </c>
      <c r="V909" t="str">
        <v>Solteiro(a)</v>
      </c>
      <c r="W909" t="str">
        <v>Primaria</v>
      </c>
      <c r="X909" t="str">
        <v>Nao</v>
      </c>
      <c r="Y909" t="str">
        <v>Hipertensao</v>
      </c>
      <c r="Z909">
        <v>24</v>
      </c>
      <c r="AA909">
        <v>91.9</v>
      </c>
      <c r="AB909">
        <v>1.51</v>
      </c>
      <c r="AC909">
        <v>1</v>
      </c>
      <c r="AD909">
        <v>136</v>
      </c>
      <c r="AE909">
        <v>80</v>
      </c>
      <c r="AF909" t="str">
        <v>Rural</v>
      </c>
      <c r="AG909" t="str">
        <v>Nao</v>
      </c>
    </row>
    <row r="910" spans="2:33" x14ac:dyDescent="0.45">
      <c r="B910" s="4">
        <v>909</v>
      </c>
      <c r="C910" s="4" t="s">
        <v>43</v>
      </c>
      <c r="D910" s="4" t="s">
        <v>16</v>
      </c>
      <c r="E910" s="4" t="s">
        <v>17</v>
      </c>
      <c r="F910" s="4" t="s">
        <v>18</v>
      </c>
      <c r="G910" s="4" t="s">
        <v>19</v>
      </c>
      <c r="H910" s="4" t="s">
        <v>28</v>
      </c>
      <c r="I910" s="4">
        <v>74</v>
      </c>
      <c r="J910" s="5">
        <v>70</v>
      </c>
      <c r="K910" s="6">
        <v>1.62</v>
      </c>
      <c r="L910" s="4">
        <v>4</v>
      </c>
      <c r="M910" s="4">
        <v>124</v>
      </c>
      <c r="N910" s="4">
        <v>96</v>
      </c>
      <c r="O910" s="4" t="s">
        <v>26</v>
      </c>
      <c r="P910" s="7" t="s">
        <v>19</v>
      </c>
      <c r="S910">
        <v>1937</v>
      </c>
      <c r="T910" t="str">
        <v>Manica</v>
      </c>
      <c r="U910" t="str">
        <v>Masculino</v>
      </c>
      <c r="V910" t="str">
        <v>Casado(a)</v>
      </c>
      <c r="W910" t="str">
        <v>Secundaria</v>
      </c>
      <c r="X910" t="str">
        <v>Sim</v>
      </c>
      <c r="Y910" t="str">
        <v>Diarreia</v>
      </c>
      <c r="Z910">
        <v>33</v>
      </c>
      <c r="AA910">
        <v>47.3</v>
      </c>
      <c r="AB910">
        <v>1.76</v>
      </c>
      <c r="AC910">
        <v>1</v>
      </c>
      <c r="AD910">
        <v>110</v>
      </c>
      <c r="AE910">
        <v>91</v>
      </c>
      <c r="AF910" t="str">
        <v>Urbana</v>
      </c>
      <c r="AG910" t="str">
        <v>Nao</v>
      </c>
    </row>
    <row r="911" spans="2:33" x14ac:dyDescent="0.45">
      <c r="B911" s="4">
        <v>910</v>
      </c>
      <c r="C911" s="4" t="s">
        <v>29</v>
      </c>
      <c r="D911" s="4" t="s">
        <v>16</v>
      </c>
      <c r="E911" s="4" t="s">
        <v>17</v>
      </c>
      <c r="F911" s="4" t="s">
        <v>24</v>
      </c>
      <c r="G911" s="4" t="s">
        <v>19</v>
      </c>
      <c r="H911" s="4" t="s">
        <v>36</v>
      </c>
      <c r="I911" s="4">
        <v>14</v>
      </c>
      <c r="J911" s="5">
        <v>61</v>
      </c>
      <c r="K911" s="6">
        <v>1.53</v>
      </c>
      <c r="L911" s="4">
        <v>1</v>
      </c>
      <c r="M911" s="4">
        <v>130</v>
      </c>
      <c r="N911" s="4">
        <v>81</v>
      </c>
      <c r="O911" s="4" t="s">
        <v>26</v>
      </c>
      <c r="P911" s="7" t="s">
        <v>19</v>
      </c>
      <c r="S911">
        <v>1941</v>
      </c>
      <c r="T911" t="str">
        <v>Zambezia</v>
      </c>
      <c r="U911" t="str">
        <v>Masculino</v>
      </c>
      <c r="V911" t="str">
        <v>Solteiro(a)</v>
      </c>
      <c r="W911" t="str">
        <v>Primaria</v>
      </c>
      <c r="X911" t="str">
        <v>Nao</v>
      </c>
      <c r="Y911" t="str">
        <v>Nenhuma</v>
      </c>
      <c r="Z911">
        <v>47</v>
      </c>
      <c r="AA911">
        <v>46</v>
      </c>
      <c r="AB911">
        <v>1.59</v>
      </c>
      <c r="AC911">
        <v>6</v>
      </c>
      <c r="AD911">
        <v>104</v>
      </c>
      <c r="AE911">
        <v>95</v>
      </c>
      <c r="AF911" t="str">
        <v>Rural</v>
      </c>
      <c r="AG911" t="str">
        <v>Nao</v>
      </c>
    </row>
    <row r="912" spans="2:33" x14ac:dyDescent="0.45">
      <c r="B912" s="4">
        <v>911</v>
      </c>
      <c r="C912" s="4" t="s">
        <v>27</v>
      </c>
      <c r="D912" s="4" t="s">
        <v>16</v>
      </c>
      <c r="E912" s="4" t="s">
        <v>17</v>
      </c>
      <c r="F912" s="4" t="s">
        <v>18</v>
      </c>
      <c r="G912" s="4" t="s">
        <v>19</v>
      </c>
      <c r="H912" s="4" t="s">
        <v>36</v>
      </c>
      <c r="I912" s="4">
        <v>63</v>
      </c>
      <c r="J912" s="5">
        <v>91</v>
      </c>
      <c r="K912" s="6">
        <v>1.5</v>
      </c>
      <c r="L912" s="4">
        <v>1</v>
      </c>
      <c r="M912" s="4">
        <v>145</v>
      </c>
      <c r="N912" s="4">
        <v>100</v>
      </c>
      <c r="O912" s="4" t="s">
        <v>21</v>
      </c>
      <c r="P912" s="7" t="s">
        <v>19</v>
      </c>
      <c r="S912">
        <v>1945</v>
      </c>
      <c r="T912" t="str">
        <v>Nampula</v>
      </c>
      <c r="U912" t="str">
        <v>Masculino</v>
      </c>
      <c r="V912" t="str">
        <v>Solteiro(a)</v>
      </c>
      <c r="W912" t="str">
        <v>Nenhuma</v>
      </c>
      <c r="X912" t="str">
        <v>Nao</v>
      </c>
      <c r="Y912" t="str">
        <v>Diarreia</v>
      </c>
      <c r="Z912">
        <v>7</v>
      </c>
      <c r="AA912">
        <v>28</v>
      </c>
      <c r="AB912">
        <v>1.2</v>
      </c>
      <c r="AC912">
        <v>2</v>
      </c>
      <c r="AD912">
        <v>109</v>
      </c>
      <c r="AE912">
        <v>77</v>
      </c>
      <c r="AF912" t="str">
        <v>Rural</v>
      </c>
      <c r="AG912" t="str">
        <v>Nao</v>
      </c>
    </row>
    <row r="913" spans="2:33" x14ac:dyDescent="0.45">
      <c r="B913" s="4">
        <v>912</v>
      </c>
      <c r="C913" s="4" t="s">
        <v>29</v>
      </c>
      <c r="D913" s="4" t="s">
        <v>16</v>
      </c>
      <c r="E913" s="4" t="s">
        <v>37</v>
      </c>
      <c r="F913" s="4" t="s">
        <v>24</v>
      </c>
      <c r="G913" s="4" t="s">
        <v>19</v>
      </c>
      <c r="H913" s="4" t="s">
        <v>46</v>
      </c>
      <c r="I913" s="4">
        <v>52</v>
      </c>
      <c r="J913" s="5">
        <v>73.8</v>
      </c>
      <c r="K913" s="6">
        <v>1.86</v>
      </c>
      <c r="L913" s="4">
        <v>5</v>
      </c>
      <c r="M913" s="4">
        <v>121</v>
      </c>
      <c r="N913" s="4">
        <v>74</v>
      </c>
      <c r="O913" s="4" t="s">
        <v>26</v>
      </c>
      <c r="P913" s="7" t="s">
        <v>30</v>
      </c>
      <c r="S913">
        <v>1946</v>
      </c>
      <c r="T913" t="str">
        <v>Cabo Delgado</v>
      </c>
      <c r="U913" t="str">
        <v>Masculino</v>
      </c>
      <c r="V913" t="str">
        <v>Casado(a)</v>
      </c>
      <c r="W913" t="str">
        <v>Primaria</v>
      </c>
      <c r="X913" t="str">
        <v>Sim</v>
      </c>
      <c r="Y913" t="str">
        <v>Diabetes</v>
      </c>
      <c r="Z913">
        <v>6</v>
      </c>
      <c r="AA913">
        <v>23.7</v>
      </c>
      <c r="AB913">
        <v>1.06</v>
      </c>
      <c r="AC913">
        <v>1</v>
      </c>
      <c r="AD913">
        <v>113</v>
      </c>
      <c r="AE913">
        <v>162</v>
      </c>
      <c r="AF913" t="str">
        <v>Rural</v>
      </c>
      <c r="AG913" t="str">
        <v>Nao</v>
      </c>
    </row>
    <row r="914" spans="2:33" x14ac:dyDescent="0.45">
      <c r="B914" s="4">
        <v>913</v>
      </c>
      <c r="C914" s="4" t="s">
        <v>43</v>
      </c>
      <c r="D914" s="4" t="s">
        <v>16</v>
      </c>
      <c r="E914" s="4" t="s">
        <v>17</v>
      </c>
      <c r="F914" s="4" t="s">
        <v>24</v>
      </c>
      <c r="G914" s="4" t="s">
        <v>19</v>
      </c>
      <c r="H914" s="4" t="s">
        <v>20</v>
      </c>
      <c r="I914" s="4">
        <v>35</v>
      </c>
      <c r="J914" s="5">
        <v>86.4</v>
      </c>
      <c r="K914" s="6">
        <v>1.59</v>
      </c>
      <c r="L914" s="4">
        <v>3</v>
      </c>
      <c r="M914" s="4">
        <v>119</v>
      </c>
      <c r="N914" s="4">
        <v>86</v>
      </c>
      <c r="O914" s="4" t="s">
        <v>26</v>
      </c>
      <c r="P914" s="7" t="s">
        <v>19</v>
      </c>
      <c r="S914">
        <v>1947</v>
      </c>
      <c r="T914" t="str">
        <v>Inhambane</v>
      </c>
      <c r="U914" t="str">
        <v>Masculino</v>
      </c>
      <c r="V914" t="str">
        <v>Casado(a)</v>
      </c>
      <c r="W914" t="str">
        <v>Nenhuma</v>
      </c>
      <c r="X914" t="str">
        <v>Nao</v>
      </c>
      <c r="Y914" t="str">
        <v>Tuberculose</v>
      </c>
      <c r="Z914">
        <v>45</v>
      </c>
      <c r="AA914">
        <v>66.099999999999994</v>
      </c>
      <c r="AB914">
        <v>1.8</v>
      </c>
      <c r="AC914">
        <v>8</v>
      </c>
      <c r="AD914">
        <v>111</v>
      </c>
      <c r="AE914">
        <v>78</v>
      </c>
      <c r="AF914" t="str">
        <v>Rural</v>
      </c>
      <c r="AG914" t="str">
        <v>Nao</v>
      </c>
    </row>
    <row r="915" spans="2:33" x14ac:dyDescent="0.45">
      <c r="B915" s="4">
        <v>914</v>
      </c>
      <c r="C915" s="4" t="s">
        <v>22</v>
      </c>
      <c r="D915" s="4" t="s">
        <v>23</v>
      </c>
      <c r="E915" s="4" t="s">
        <v>35</v>
      </c>
      <c r="F915" s="4" t="s">
        <v>18</v>
      </c>
      <c r="G915" s="4" t="s">
        <v>19</v>
      </c>
      <c r="H915" s="4" t="s">
        <v>20</v>
      </c>
      <c r="I915" s="4">
        <v>42</v>
      </c>
      <c r="J915" s="5">
        <v>87.5</v>
      </c>
      <c r="K915" s="6">
        <v>1.66</v>
      </c>
      <c r="L915" s="4">
        <v>4</v>
      </c>
      <c r="M915" s="4">
        <v>111</v>
      </c>
      <c r="N915" s="4">
        <v>70</v>
      </c>
      <c r="O915" s="4" t="s">
        <v>26</v>
      </c>
      <c r="P915" s="7" t="s">
        <v>19</v>
      </c>
      <c r="S915">
        <v>1949</v>
      </c>
      <c r="T915" t="str">
        <v>Sofala</v>
      </c>
      <c r="U915" t="str">
        <v>Masculino</v>
      </c>
      <c r="V915" t="str">
        <v>Solteiro(a)</v>
      </c>
      <c r="W915" t="str">
        <v>Superior</v>
      </c>
      <c r="X915" t="str">
        <v>Nao</v>
      </c>
      <c r="Y915" t="str">
        <v>Nenhuma</v>
      </c>
      <c r="Z915">
        <v>11</v>
      </c>
      <c r="AA915">
        <v>21.3</v>
      </c>
      <c r="AB915">
        <v>1.18</v>
      </c>
      <c r="AC915">
        <v>3</v>
      </c>
      <c r="AD915">
        <v>105</v>
      </c>
      <c r="AE915">
        <v>96</v>
      </c>
      <c r="AF915" t="str">
        <v>Urbana</v>
      </c>
      <c r="AG915" t="str">
        <v>Nao</v>
      </c>
    </row>
    <row r="916" spans="2:33" x14ac:dyDescent="0.45">
      <c r="B916" s="4">
        <v>915</v>
      </c>
      <c r="C916" s="4" t="s">
        <v>15</v>
      </c>
      <c r="D916" s="4" t="s">
        <v>23</v>
      </c>
      <c r="E916" s="4" t="s">
        <v>35</v>
      </c>
      <c r="F916" s="4" t="s">
        <v>24</v>
      </c>
      <c r="G916" s="4" t="s">
        <v>30</v>
      </c>
      <c r="H916" s="4" t="s">
        <v>38</v>
      </c>
      <c r="I916" s="4">
        <v>37</v>
      </c>
      <c r="J916" s="5">
        <v>68.7</v>
      </c>
      <c r="K916" s="6">
        <v>1.55</v>
      </c>
      <c r="L916" s="4">
        <v>3</v>
      </c>
      <c r="M916" s="4">
        <v>109</v>
      </c>
      <c r="N916" s="4">
        <v>103</v>
      </c>
      <c r="O916" s="4" t="s">
        <v>21</v>
      </c>
      <c r="P916" s="7" t="s">
        <v>19</v>
      </c>
      <c r="S916">
        <v>1952</v>
      </c>
      <c r="T916" t="str">
        <v>Zambezia</v>
      </c>
      <c r="U916" t="str">
        <v>Masculino</v>
      </c>
      <c r="V916" t="str">
        <v>Solteiro(a)</v>
      </c>
      <c r="W916" t="str">
        <v>Primaria</v>
      </c>
      <c r="X916" t="str">
        <v>Nao</v>
      </c>
      <c r="Y916" t="str">
        <v>Malaria</v>
      </c>
      <c r="Z916">
        <v>18</v>
      </c>
      <c r="AA916">
        <v>59.9</v>
      </c>
      <c r="AB916">
        <v>1.61</v>
      </c>
      <c r="AC916">
        <v>4</v>
      </c>
      <c r="AD916">
        <v>99</v>
      </c>
      <c r="AE916">
        <v>71</v>
      </c>
      <c r="AF916" t="str">
        <v>Urbana</v>
      </c>
      <c r="AG916" t="str">
        <v>Nao</v>
      </c>
    </row>
    <row r="917" spans="2:33" x14ac:dyDescent="0.45">
      <c r="B917" s="4">
        <v>916</v>
      </c>
      <c r="C917" s="4" t="s">
        <v>22</v>
      </c>
      <c r="D917" s="4" t="s">
        <v>23</v>
      </c>
      <c r="E917" s="4" t="s">
        <v>44</v>
      </c>
      <c r="F917" s="4" t="s">
        <v>18</v>
      </c>
      <c r="G917" s="4" t="s">
        <v>19</v>
      </c>
      <c r="H917" s="4" t="s">
        <v>36</v>
      </c>
      <c r="I917" s="4">
        <v>16</v>
      </c>
      <c r="J917" s="5">
        <v>42.6</v>
      </c>
      <c r="K917" s="6">
        <v>1.63</v>
      </c>
      <c r="L917" s="4">
        <v>2</v>
      </c>
      <c r="M917" s="4">
        <v>124</v>
      </c>
      <c r="N917" s="4">
        <v>71</v>
      </c>
      <c r="O917" s="4" t="s">
        <v>26</v>
      </c>
      <c r="P917" s="7" t="s">
        <v>19</v>
      </c>
      <c r="S917">
        <v>1953</v>
      </c>
      <c r="T917" t="str">
        <v>Inhambane</v>
      </c>
      <c r="U917" t="str">
        <v>Masculino</v>
      </c>
      <c r="V917" t="str">
        <v>Casado(a)</v>
      </c>
      <c r="W917" t="str">
        <v>Primaria</v>
      </c>
      <c r="X917" t="str">
        <v>Nao</v>
      </c>
      <c r="Y917" t="str">
        <v>Diarreia</v>
      </c>
      <c r="Z917">
        <v>21</v>
      </c>
      <c r="AA917">
        <v>47.3</v>
      </c>
      <c r="AB917">
        <v>1.59</v>
      </c>
      <c r="AC917">
        <v>0</v>
      </c>
      <c r="AD917">
        <v>118</v>
      </c>
      <c r="AE917">
        <v>88</v>
      </c>
      <c r="AF917" t="str">
        <v>Rural</v>
      </c>
      <c r="AG917" t="str">
        <v>Sim</v>
      </c>
    </row>
    <row r="918" spans="2:33" x14ac:dyDescent="0.45">
      <c r="B918" s="4">
        <v>917</v>
      </c>
      <c r="C918" s="4" t="s">
        <v>31</v>
      </c>
      <c r="D918" s="4" t="s">
        <v>23</v>
      </c>
      <c r="E918" s="4" t="s">
        <v>35</v>
      </c>
      <c r="F918" s="4" t="s">
        <v>24</v>
      </c>
      <c r="G918" s="4" t="s">
        <v>30</v>
      </c>
      <c r="H918" s="4" t="s">
        <v>28</v>
      </c>
      <c r="I918" s="4">
        <v>43</v>
      </c>
      <c r="J918" s="5">
        <v>78.8</v>
      </c>
      <c r="K918" s="6">
        <v>1.71</v>
      </c>
      <c r="L918" s="4">
        <v>3</v>
      </c>
      <c r="M918" s="4">
        <v>113</v>
      </c>
      <c r="N918" s="4">
        <v>101</v>
      </c>
      <c r="O918" s="4" t="s">
        <v>21</v>
      </c>
      <c r="P918" s="7" t="s">
        <v>30</v>
      </c>
      <c r="S918">
        <v>1956</v>
      </c>
      <c r="T918" t="str">
        <v>Niassa</v>
      </c>
      <c r="U918" t="str">
        <v>Masculino</v>
      </c>
      <c r="V918" t="str">
        <v>Casado(a)</v>
      </c>
      <c r="W918" t="str">
        <v>Superior</v>
      </c>
      <c r="X918" t="str">
        <v>Sim</v>
      </c>
      <c r="Y918" t="str">
        <v>Malaria</v>
      </c>
      <c r="Z918">
        <v>33</v>
      </c>
      <c r="AA918">
        <v>57.2</v>
      </c>
      <c r="AB918">
        <v>1.58</v>
      </c>
      <c r="AC918">
        <v>5</v>
      </c>
      <c r="AD918">
        <v>101</v>
      </c>
      <c r="AE918">
        <v>88</v>
      </c>
      <c r="AF918" t="str">
        <v>Rural</v>
      </c>
      <c r="AG918" t="str">
        <v>Nao</v>
      </c>
    </row>
    <row r="919" spans="2:33" x14ac:dyDescent="0.45">
      <c r="B919" s="4">
        <v>918</v>
      </c>
      <c r="C919" s="4" t="s">
        <v>27</v>
      </c>
      <c r="D919" s="4" t="s">
        <v>23</v>
      </c>
      <c r="E919" s="4" t="s">
        <v>35</v>
      </c>
      <c r="F919" s="4" t="s">
        <v>42</v>
      </c>
      <c r="G919" s="4" t="s">
        <v>30</v>
      </c>
      <c r="H919" s="4" t="s">
        <v>34</v>
      </c>
      <c r="I919" s="4">
        <v>19</v>
      </c>
      <c r="J919" s="5">
        <v>90.5</v>
      </c>
      <c r="K919" s="6">
        <v>1.59</v>
      </c>
      <c r="L919" s="4">
        <v>0</v>
      </c>
      <c r="M919" s="4">
        <v>98</v>
      </c>
      <c r="N919" s="4">
        <v>92</v>
      </c>
      <c r="O919" s="4" t="s">
        <v>21</v>
      </c>
      <c r="P919" s="7" t="s">
        <v>19</v>
      </c>
      <c r="S919">
        <v>1957</v>
      </c>
      <c r="T919" t="str">
        <v>Maputo Cidade</v>
      </c>
      <c r="U919" t="str">
        <v>Masculino</v>
      </c>
      <c r="V919" t="str">
        <v>Casado(a)</v>
      </c>
      <c r="W919" t="str">
        <v>Primaria</v>
      </c>
      <c r="X919" t="str">
        <v>Nao</v>
      </c>
      <c r="Y919" t="str">
        <v>Pneumonia</v>
      </c>
      <c r="Z919">
        <v>6</v>
      </c>
      <c r="AA919">
        <v>30.2</v>
      </c>
      <c r="AB919">
        <v>1.29</v>
      </c>
      <c r="AC919">
        <v>3</v>
      </c>
      <c r="AD919">
        <v>116</v>
      </c>
      <c r="AE919">
        <v>87</v>
      </c>
      <c r="AF919" t="str">
        <v>Rural</v>
      </c>
      <c r="AG919" t="str">
        <v>Sim</v>
      </c>
    </row>
    <row r="920" spans="2:33" x14ac:dyDescent="0.45">
      <c r="B920" s="4">
        <v>919</v>
      </c>
      <c r="C920" s="4" t="s">
        <v>33</v>
      </c>
      <c r="D920" s="4" t="s">
        <v>23</v>
      </c>
      <c r="E920" s="4" t="s">
        <v>17</v>
      </c>
      <c r="F920" s="4" t="s">
        <v>18</v>
      </c>
      <c r="G920" s="4" t="s">
        <v>19</v>
      </c>
      <c r="H920" s="4" t="s">
        <v>36</v>
      </c>
      <c r="I920" s="4">
        <v>44</v>
      </c>
      <c r="J920" s="5">
        <v>67.7</v>
      </c>
      <c r="K920" s="6">
        <v>1.49</v>
      </c>
      <c r="L920" s="4">
        <v>1</v>
      </c>
      <c r="M920" s="4">
        <v>147</v>
      </c>
      <c r="N920" s="4">
        <v>93</v>
      </c>
      <c r="O920" s="4" t="s">
        <v>26</v>
      </c>
      <c r="P920" s="7" t="s">
        <v>30</v>
      </c>
      <c r="S920">
        <v>1959</v>
      </c>
      <c r="T920" t="str">
        <v>Zambezia</v>
      </c>
      <c r="U920" t="str">
        <v>Masculino</v>
      </c>
      <c r="V920" t="str">
        <v>Solteiro(a)</v>
      </c>
      <c r="W920" t="str">
        <v>Nenhuma</v>
      </c>
      <c r="X920" t="str">
        <v>Nao</v>
      </c>
      <c r="Y920" t="str">
        <v>HIV/SIDA</v>
      </c>
      <c r="Z920">
        <v>32</v>
      </c>
      <c r="AA920">
        <v>53.2</v>
      </c>
      <c r="AB920">
        <v>1.79</v>
      </c>
      <c r="AC920">
        <v>2</v>
      </c>
      <c r="AD920">
        <v>111</v>
      </c>
      <c r="AE920">
        <v>76</v>
      </c>
      <c r="AF920" t="str">
        <v>Urbana</v>
      </c>
      <c r="AG920" t="str">
        <v>Sim</v>
      </c>
    </row>
    <row r="921" spans="2:33" x14ac:dyDescent="0.45">
      <c r="B921" s="4">
        <v>920</v>
      </c>
      <c r="C921" s="4" t="s">
        <v>29</v>
      </c>
      <c r="D921" s="4" t="s">
        <v>16</v>
      </c>
      <c r="E921" s="4" t="s">
        <v>17</v>
      </c>
      <c r="F921" s="4" t="s">
        <v>24</v>
      </c>
      <c r="G921" s="4" t="s">
        <v>19</v>
      </c>
      <c r="H921" s="4" t="s">
        <v>28</v>
      </c>
      <c r="I921" s="4">
        <v>56</v>
      </c>
      <c r="J921" s="5">
        <v>80.900000000000006</v>
      </c>
      <c r="K921" s="6">
        <v>1.73</v>
      </c>
      <c r="L921" s="4">
        <v>0</v>
      </c>
      <c r="M921" s="4">
        <v>116</v>
      </c>
      <c r="N921" s="4">
        <v>75</v>
      </c>
      <c r="O921" s="4" t="s">
        <v>26</v>
      </c>
      <c r="P921" s="7" t="s">
        <v>30</v>
      </c>
      <c r="S921">
        <v>1962</v>
      </c>
      <c r="T921" t="str">
        <v>Maputo Provincia</v>
      </c>
      <c r="U921" t="str">
        <v>Masculino</v>
      </c>
      <c r="V921" t="str">
        <v>Casado(a)</v>
      </c>
      <c r="W921" t="str">
        <v>Primaria</v>
      </c>
      <c r="X921" t="str">
        <v>Sim</v>
      </c>
      <c r="Y921" t="str">
        <v>Hipertensao</v>
      </c>
      <c r="Z921">
        <v>0</v>
      </c>
      <c r="AA921">
        <v>12.6</v>
      </c>
      <c r="AB921">
        <v>0.71</v>
      </c>
      <c r="AC921">
        <v>0</v>
      </c>
      <c r="AD921">
        <v>134</v>
      </c>
      <c r="AE921">
        <v>85</v>
      </c>
      <c r="AF921" t="str">
        <v>Urbana</v>
      </c>
      <c r="AG921" t="str">
        <v>Sim</v>
      </c>
    </row>
    <row r="922" spans="2:33" x14ac:dyDescent="0.45">
      <c r="B922" s="4">
        <v>921</v>
      </c>
      <c r="C922" s="4" t="s">
        <v>27</v>
      </c>
      <c r="D922" s="4" t="s">
        <v>23</v>
      </c>
      <c r="E922" s="4" t="s">
        <v>17</v>
      </c>
      <c r="F922" s="4" t="s">
        <v>42</v>
      </c>
      <c r="G922" s="4" t="s">
        <v>19</v>
      </c>
      <c r="H922" s="4" t="s">
        <v>20</v>
      </c>
      <c r="I922" s="4">
        <v>34</v>
      </c>
      <c r="J922" s="5">
        <v>45.9</v>
      </c>
      <c r="K922" s="6">
        <v>1.66</v>
      </c>
      <c r="L922" s="4">
        <v>5</v>
      </c>
      <c r="M922" s="4">
        <v>107</v>
      </c>
      <c r="N922" s="4">
        <v>98</v>
      </c>
      <c r="O922" s="4" t="s">
        <v>26</v>
      </c>
      <c r="P922" s="7" t="s">
        <v>30</v>
      </c>
      <c r="S922">
        <v>1963</v>
      </c>
      <c r="T922" t="str">
        <v>Zambezia</v>
      </c>
      <c r="U922" t="str">
        <v>Masculino</v>
      </c>
      <c r="V922" t="str">
        <v>Casado(a)</v>
      </c>
      <c r="W922" t="str">
        <v>Primaria</v>
      </c>
      <c r="X922" t="str">
        <v>Sim</v>
      </c>
      <c r="Y922" t="str">
        <v>Diarreia</v>
      </c>
      <c r="Z922">
        <v>64</v>
      </c>
      <c r="AA922">
        <v>58.7</v>
      </c>
      <c r="AB922">
        <v>1.72</v>
      </c>
      <c r="AC922">
        <v>8</v>
      </c>
      <c r="AD922">
        <v>117</v>
      </c>
      <c r="AE922">
        <v>94</v>
      </c>
      <c r="AF922" t="str">
        <v>Rural</v>
      </c>
      <c r="AG922" t="str">
        <v>Sim</v>
      </c>
    </row>
    <row r="923" spans="2:33" x14ac:dyDescent="0.45">
      <c r="B923" s="4">
        <v>922</v>
      </c>
      <c r="C923" s="4" t="s">
        <v>41</v>
      </c>
      <c r="D923" s="4" t="s">
        <v>23</v>
      </c>
      <c r="E923" s="4" t="s">
        <v>17</v>
      </c>
      <c r="F923" s="4" t="s">
        <v>24</v>
      </c>
      <c r="G923" s="4" t="s">
        <v>19</v>
      </c>
      <c r="H923" s="4" t="s">
        <v>28</v>
      </c>
      <c r="I923" s="4">
        <v>6</v>
      </c>
      <c r="J923" s="5">
        <v>30.2</v>
      </c>
      <c r="K923" s="6">
        <v>1.36</v>
      </c>
      <c r="L923" s="4">
        <v>2</v>
      </c>
      <c r="M923" s="4">
        <v>110</v>
      </c>
      <c r="N923" s="4">
        <v>82</v>
      </c>
      <c r="O923" s="4" t="s">
        <v>21</v>
      </c>
      <c r="P923" s="7" t="s">
        <v>30</v>
      </c>
      <c r="S923">
        <v>1966</v>
      </c>
      <c r="T923" t="str">
        <v>Inhambane</v>
      </c>
      <c r="U923" t="str">
        <v>Masculino</v>
      </c>
      <c r="V923" t="str">
        <v>Solteiro(a)</v>
      </c>
      <c r="W923" t="str">
        <v>Secundaria</v>
      </c>
      <c r="X923" t="str">
        <v>Nao</v>
      </c>
      <c r="Y923" t="str">
        <v>Diabetes</v>
      </c>
      <c r="Z923">
        <v>29</v>
      </c>
      <c r="AA923">
        <v>49.2</v>
      </c>
      <c r="AB923">
        <v>1.83</v>
      </c>
      <c r="AC923">
        <v>3</v>
      </c>
      <c r="AD923">
        <v>115</v>
      </c>
      <c r="AE923">
        <v>125</v>
      </c>
      <c r="AF923" t="str">
        <v>Rural</v>
      </c>
      <c r="AG923" t="str">
        <v>Nao</v>
      </c>
    </row>
    <row r="924" spans="2:33" x14ac:dyDescent="0.45">
      <c r="B924" s="4">
        <v>923</v>
      </c>
      <c r="C924" s="4" t="s">
        <v>27</v>
      </c>
      <c r="D924" s="4" t="s">
        <v>16</v>
      </c>
      <c r="E924" s="4" t="s">
        <v>35</v>
      </c>
      <c r="F924" s="4" t="s">
        <v>24</v>
      </c>
      <c r="G924" s="4" t="s">
        <v>19</v>
      </c>
      <c r="H924" s="4" t="s">
        <v>20</v>
      </c>
      <c r="I924" s="4">
        <v>14</v>
      </c>
      <c r="J924" s="5">
        <v>47.9</v>
      </c>
      <c r="K924" s="6">
        <v>1.56</v>
      </c>
      <c r="L924" s="4">
        <v>2</v>
      </c>
      <c r="M924" s="4">
        <v>116</v>
      </c>
      <c r="N924" s="4">
        <v>77</v>
      </c>
      <c r="O924" s="4" t="s">
        <v>26</v>
      </c>
      <c r="P924" s="7" t="s">
        <v>19</v>
      </c>
      <c r="S924">
        <v>1972</v>
      </c>
      <c r="T924" t="str">
        <v>Sofala</v>
      </c>
      <c r="U924" t="str">
        <v>Masculino</v>
      </c>
      <c r="V924" t="str">
        <v>Divorciado(a)</v>
      </c>
      <c r="W924" t="str">
        <v>Primaria</v>
      </c>
      <c r="X924" t="str">
        <v>Sim</v>
      </c>
      <c r="Y924" t="str">
        <v>HIV/SIDA</v>
      </c>
      <c r="Z924">
        <v>11</v>
      </c>
      <c r="AA924">
        <v>21.5</v>
      </c>
      <c r="AB924">
        <v>1.19</v>
      </c>
      <c r="AC924">
        <v>1</v>
      </c>
      <c r="AD924">
        <v>106</v>
      </c>
      <c r="AE924">
        <v>101</v>
      </c>
      <c r="AF924" t="str">
        <v>Urbana</v>
      </c>
      <c r="AG924" t="str">
        <v>Nao</v>
      </c>
    </row>
    <row r="925" spans="2:33" x14ac:dyDescent="0.45">
      <c r="B925" s="4">
        <v>924</v>
      </c>
      <c r="C925" s="4" t="s">
        <v>45</v>
      </c>
      <c r="D925" s="4" t="s">
        <v>23</v>
      </c>
      <c r="E925" s="4" t="s">
        <v>17</v>
      </c>
      <c r="F925" s="4" t="s">
        <v>24</v>
      </c>
      <c r="G925" s="4" t="s">
        <v>19</v>
      </c>
      <c r="H925" s="4" t="s">
        <v>38</v>
      </c>
      <c r="I925" s="4">
        <v>16</v>
      </c>
      <c r="J925" s="5">
        <v>56.5</v>
      </c>
      <c r="K925" s="6">
        <v>1.73</v>
      </c>
      <c r="L925" s="4">
        <v>0</v>
      </c>
      <c r="M925" s="4">
        <v>95</v>
      </c>
      <c r="N925" s="4">
        <v>71</v>
      </c>
      <c r="O925" s="4" t="s">
        <v>21</v>
      </c>
      <c r="P925" s="7" t="s">
        <v>19</v>
      </c>
      <c r="S925">
        <v>1978</v>
      </c>
      <c r="T925" t="str">
        <v>Nampula</v>
      </c>
      <c r="U925" t="str">
        <v>Masculino</v>
      </c>
      <c r="V925" t="str">
        <v>Divorciado(a)</v>
      </c>
      <c r="W925" t="str">
        <v>Primaria</v>
      </c>
      <c r="X925" t="str">
        <v>Nao</v>
      </c>
      <c r="Y925" t="str">
        <v>Diarreia</v>
      </c>
      <c r="Z925">
        <v>22</v>
      </c>
      <c r="AA925">
        <v>74</v>
      </c>
      <c r="AB925">
        <v>1.82</v>
      </c>
      <c r="AC925">
        <v>4</v>
      </c>
      <c r="AD925">
        <v>108</v>
      </c>
      <c r="AE925">
        <v>102</v>
      </c>
      <c r="AF925" t="str">
        <v>Rural</v>
      </c>
      <c r="AG925" t="str">
        <v>Nao</v>
      </c>
    </row>
    <row r="926" spans="2:33" x14ac:dyDescent="0.45">
      <c r="B926" s="4">
        <v>925</v>
      </c>
      <c r="C926" s="4" t="s">
        <v>22</v>
      </c>
      <c r="D926" s="4" t="s">
        <v>23</v>
      </c>
      <c r="E926" s="4" t="s">
        <v>17</v>
      </c>
      <c r="F926" s="4" t="s">
        <v>18</v>
      </c>
      <c r="G926" s="4" t="s">
        <v>19</v>
      </c>
      <c r="H926" s="4" t="s">
        <v>25</v>
      </c>
      <c r="I926" s="4">
        <v>26</v>
      </c>
      <c r="J926" s="5">
        <v>76.900000000000006</v>
      </c>
      <c r="K926" s="6">
        <v>1.6</v>
      </c>
      <c r="L926" s="4">
        <v>0</v>
      </c>
      <c r="M926" s="4">
        <v>120</v>
      </c>
      <c r="N926" s="4">
        <v>82</v>
      </c>
      <c r="O926" s="4" t="s">
        <v>26</v>
      </c>
      <c r="P926" s="7" t="s">
        <v>19</v>
      </c>
      <c r="S926">
        <v>1980</v>
      </c>
      <c r="T926" t="str">
        <v>Nampula</v>
      </c>
      <c r="U926" t="str">
        <v>Masculino</v>
      </c>
      <c r="V926" t="str">
        <v>Casado(a)</v>
      </c>
      <c r="W926" t="str">
        <v>Secundaria</v>
      </c>
      <c r="X926" t="str">
        <v>Nao</v>
      </c>
      <c r="Y926" t="str">
        <v>Diarreia</v>
      </c>
      <c r="Z926">
        <v>20</v>
      </c>
      <c r="AA926">
        <v>51.1</v>
      </c>
      <c r="AB926">
        <v>1.7</v>
      </c>
      <c r="AC926">
        <v>5</v>
      </c>
      <c r="AD926">
        <v>109</v>
      </c>
      <c r="AE926">
        <v>86</v>
      </c>
      <c r="AF926" t="str">
        <v>Urbana</v>
      </c>
      <c r="AG926" t="str">
        <v>Sim</v>
      </c>
    </row>
    <row r="927" spans="2:33" x14ac:dyDescent="0.45">
      <c r="B927" s="4">
        <v>926</v>
      </c>
      <c r="C927" s="4" t="s">
        <v>31</v>
      </c>
      <c r="D927" s="4" t="s">
        <v>16</v>
      </c>
      <c r="E927" s="4" t="s">
        <v>17</v>
      </c>
      <c r="F927" s="4" t="s">
        <v>28</v>
      </c>
      <c r="G927" s="4" t="s">
        <v>19</v>
      </c>
      <c r="H927" s="4" t="s">
        <v>20</v>
      </c>
      <c r="I927" s="4">
        <v>17</v>
      </c>
      <c r="J927" s="5">
        <v>58.2</v>
      </c>
      <c r="K927" s="6">
        <v>1.64</v>
      </c>
      <c r="L927" s="4">
        <v>5</v>
      </c>
      <c r="M927" s="4">
        <v>110</v>
      </c>
      <c r="N927" s="4">
        <v>85</v>
      </c>
      <c r="O927" s="4" t="s">
        <v>26</v>
      </c>
      <c r="P927" s="7" t="s">
        <v>19</v>
      </c>
      <c r="S927">
        <v>1981</v>
      </c>
      <c r="T927" t="str">
        <v>Manica</v>
      </c>
      <c r="U927" t="str">
        <v>Masculino</v>
      </c>
      <c r="V927" t="str">
        <v>Solteiro(a)</v>
      </c>
      <c r="W927" t="str">
        <v>Superior</v>
      </c>
      <c r="X927" t="str">
        <v>Sim</v>
      </c>
      <c r="Y927" t="str">
        <v>Malaria</v>
      </c>
      <c r="Z927">
        <v>17</v>
      </c>
      <c r="AA927">
        <v>61.9</v>
      </c>
      <c r="AB927">
        <v>1.6</v>
      </c>
      <c r="AC927">
        <v>1</v>
      </c>
      <c r="AD927">
        <v>110</v>
      </c>
      <c r="AE927">
        <v>100</v>
      </c>
      <c r="AF927" t="str">
        <v>Rural</v>
      </c>
      <c r="AG927" t="str">
        <v>Nao</v>
      </c>
    </row>
    <row r="928" spans="2:33" x14ac:dyDescent="0.45">
      <c r="B928" s="4">
        <v>927</v>
      </c>
      <c r="C928" s="4" t="s">
        <v>45</v>
      </c>
      <c r="D928" s="4" t="s">
        <v>16</v>
      </c>
      <c r="E928" s="4" t="s">
        <v>17</v>
      </c>
      <c r="F928" s="4" t="s">
        <v>24</v>
      </c>
      <c r="G928" s="4" t="s">
        <v>19</v>
      </c>
      <c r="H928" s="4" t="s">
        <v>20</v>
      </c>
      <c r="I928" s="4">
        <v>15</v>
      </c>
      <c r="J928" s="5">
        <v>56.8</v>
      </c>
      <c r="K928" s="6">
        <v>1.64</v>
      </c>
      <c r="L928" s="4">
        <v>6</v>
      </c>
      <c r="M928" s="4">
        <v>95</v>
      </c>
      <c r="N928" s="4">
        <v>80</v>
      </c>
      <c r="O928" s="4" t="s">
        <v>26</v>
      </c>
      <c r="P928" s="7" t="s">
        <v>19</v>
      </c>
      <c r="S928">
        <v>1982</v>
      </c>
      <c r="T928" t="str">
        <v>Maputo Provincia</v>
      </c>
      <c r="U928" t="str">
        <v>Masculino</v>
      </c>
      <c r="V928" t="str">
        <v>Casado(a)</v>
      </c>
      <c r="W928" t="str">
        <v>Secundaria</v>
      </c>
      <c r="X928" t="str">
        <v>Nao</v>
      </c>
      <c r="Y928" t="str">
        <v>Tuberculose</v>
      </c>
      <c r="Z928">
        <v>15</v>
      </c>
      <c r="AA928">
        <v>61.1</v>
      </c>
      <c r="AB928">
        <v>1.65</v>
      </c>
      <c r="AC928">
        <v>0</v>
      </c>
      <c r="AD928">
        <v>106</v>
      </c>
      <c r="AE928">
        <v>102</v>
      </c>
      <c r="AF928" t="str">
        <v>Rural</v>
      </c>
      <c r="AG928" t="str">
        <v>Nao</v>
      </c>
    </row>
    <row r="929" spans="2:33" x14ac:dyDescent="0.45">
      <c r="B929" s="4">
        <v>928</v>
      </c>
      <c r="C929" s="4" t="s">
        <v>40</v>
      </c>
      <c r="D929" s="4" t="s">
        <v>23</v>
      </c>
      <c r="E929" s="4" t="s">
        <v>44</v>
      </c>
      <c r="F929" s="4" t="s">
        <v>18</v>
      </c>
      <c r="G929" s="4" t="s">
        <v>30</v>
      </c>
      <c r="H929" s="4" t="s">
        <v>20</v>
      </c>
      <c r="I929" s="4">
        <v>13</v>
      </c>
      <c r="J929" s="5">
        <v>48.3</v>
      </c>
      <c r="K929" s="6">
        <v>1.62</v>
      </c>
      <c r="L929" s="4">
        <v>3</v>
      </c>
      <c r="M929" s="4">
        <v>112</v>
      </c>
      <c r="N929" s="4">
        <v>102</v>
      </c>
      <c r="O929" s="4" t="s">
        <v>21</v>
      </c>
      <c r="P929" s="7" t="s">
        <v>30</v>
      </c>
      <c r="S929">
        <v>1985</v>
      </c>
      <c r="T929" t="str">
        <v>Gaza</v>
      </c>
      <c r="U929" t="str">
        <v>Masculino</v>
      </c>
      <c r="V929" t="str">
        <v>Casado(a)</v>
      </c>
      <c r="W929" t="str">
        <v>Secundaria</v>
      </c>
      <c r="X929" t="str">
        <v>Sim</v>
      </c>
      <c r="Y929" t="str">
        <v>Malaria</v>
      </c>
      <c r="Z929">
        <v>72</v>
      </c>
      <c r="AA929">
        <v>65.900000000000006</v>
      </c>
      <c r="AB929">
        <v>1.86</v>
      </c>
      <c r="AC929">
        <v>1</v>
      </c>
      <c r="AD929">
        <v>114</v>
      </c>
      <c r="AE929">
        <v>82</v>
      </c>
      <c r="AF929" t="str">
        <v>Rural</v>
      </c>
      <c r="AG929" t="str">
        <v>Nao</v>
      </c>
    </row>
    <row r="930" spans="2:33" x14ac:dyDescent="0.45">
      <c r="B930" s="4">
        <v>929</v>
      </c>
      <c r="C930" s="4" t="s">
        <v>27</v>
      </c>
      <c r="D930" s="4" t="s">
        <v>23</v>
      </c>
      <c r="E930" s="4" t="s">
        <v>17</v>
      </c>
      <c r="F930" s="4" t="s">
        <v>24</v>
      </c>
      <c r="G930" s="4" t="s">
        <v>30</v>
      </c>
      <c r="H930" s="4" t="s">
        <v>25</v>
      </c>
      <c r="I930" s="4">
        <v>2</v>
      </c>
      <c r="J930" s="5">
        <v>15.5</v>
      </c>
      <c r="K930" s="6">
        <v>1.02</v>
      </c>
      <c r="L930" s="4">
        <v>9</v>
      </c>
      <c r="M930" s="4">
        <v>106</v>
      </c>
      <c r="N930" s="4">
        <v>90</v>
      </c>
      <c r="O930" s="4" t="s">
        <v>21</v>
      </c>
      <c r="P930" s="7" t="s">
        <v>30</v>
      </c>
      <c r="S930">
        <v>1990</v>
      </c>
      <c r="T930" t="str">
        <v>Nampula</v>
      </c>
      <c r="U930" t="str">
        <v>Masculino</v>
      </c>
      <c r="V930" t="str">
        <v>Casado(a)</v>
      </c>
      <c r="W930" t="str">
        <v>Nenhuma</v>
      </c>
      <c r="X930" t="str">
        <v>Nao</v>
      </c>
      <c r="Y930" t="str">
        <v>Pneumonia</v>
      </c>
      <c r="Z930">
        <v>87</v>
      </c>
      <c r="AA930">
        <v>58.4</v>
      </c>
      <c r="AB930">
        <v>1.73</v>
      </c>
      <c r="AC930">
        <v>2</v>
      </c>
      <c r="AD930">
        <v>134</v>
      </c>
      <c r="AE930">
        <v>95</v>
      </c>
      <c r="AF930" t="str">
        <v>Rural</v>
      </c>
      <c r="AG930" t="str">
        <v>Nao</v>
      </c>
    </row>
    <row r="931" spans="2:33" x14ac:dyDescent="0.45">
      <c r="B931" s="4">
        <v>930</v>
      </c>
      <c r="C931" s="4" t="s">
        <v>27</v>
      </c>
      <c r="D931" s="4" t="s">
        <v>16</v>
      </c>
      <c r="E931" s="4" t="s">
        <v>17</v>
      </c>
      <c r="F931" s="4" t="s">
        <v>24</v>
      </c>
      <c r="G931" s="4" t="s">
        <v>19</v>
      </c>
      <c r="H931" s="4" t="s">
        <v>25</v>
      </c>
      <c r="I931" s="4">
        <v>51</v>
      </c>
      <c r="J931" s="5">
        <v>74.7</v>
      </c>
      <c r="K931" s="6">
        <v>1.84</v>
      </c>
      <c r="L931" s="4">
        <v>10</v>
      </c>
      <c r="M931" s="4">
        <v>120</v>
      </c>
      <c r="N931" s="4">
        <v>72</v>
      </c>
      <c r="O931" s="4" t="s">
        <v>26</v>
      </c>
      <c r="P931" s="7" t="s">
        <v>19</v>
      </c>
      <c r="S931">
        <v>1991</v>
      </c>
      <c r="T931" t="str">
        <v>Nampula</v>
      </c>
      <c r="U931" t="str">
        <v>Masculino</v>
      </c>
      <c r="V931" t="str">
        <v>Casado(a)</v>
      </c>
      <c r="W931" t="str">
        <v>Secundaria</v>
      </c>
      <c r="X931" t="str">
        <v>Nao</v>
      </c>
      <c r="Y931" t="str">
        <v>Malaria</v>
      </c>
      <c r="Z931">
        <v>23</v>
      </c>
      <c r="AA931">
        <v>80.3</v>
      </c>
      <c r="AB931">
        <v>1.51</v>
      </c>
      <c r="AC931">
        <v>6</v>
      </c>
      <c r="AD931">
        <v>119</v>
      </c>
      <c r="AE931">
        <v>72</v>
      </c>
      <c r="AF931" t="str">
        <v>Urbana</v>
      </c>
      <c r="AG931" t="str">
        <v>Sim</v>
      </c>
    </row>
    <row r="932" spans="2:33" x14ac:dyDescent="0.45">
      <c r="B932" s="4">
        <v>931</v>
      </c>
      <c r="C932" s="4" t="s">
        <v>45</v>
      </c>
      <c r="D932" s="4" t="s">
        <v>16</v>
      </c>
      <c r="E932" s="4" t="s">
        <v>35</v>
      </c>
      <c r="F932" s="4" t="s">
        <v>24</v>
      </c>
      <c r="G932" s="4" t="s">
        <v>19</v>
      </c>
      <c r="H932" s="4" t="s">
        <v>46</v>
      </c>
      <c r="I932" s="4">
        <v>52</v>
      </c>
      <c r="J932" s="5">
        <v>49.3</v>
      </c>
      <c r="K932" s="6">
        <v>1.69</v>
      </c>
      <c r="L932" s="4">
        <v>8</v>
      </c>
      <c r="M932" s="4">
        <v>119</v>
      </c>
      <c r="N932" s="4">
        <v>82</v>
      </c>
      <c r="O932" s="4" t="s">
        <v>26</v>
      </c>
      <c r="P932" s="7" t="s">
        <v>19</v>
      </c>
      <c r="S932">
        <v>1992</v>
      </c>
      <c r="T932" t="str">
        <v>Manica</v>
      </c>
      <c r="U932" t="str">
        <v>Masculino</v>
      </c>
      <c r="V932" t="str">
        <v>Solteiro(a)</v>
      </c>
      <c r="W932" t="str">
        <v>Secundaria</v>
      </c>
      <c r="X932" t="str">
        <v>Nao</v>
      </c>
      <c r="Y932" t="str">
        <v>Nenhuma</v>
      </c>
      <c r="Z932">
        <v>7</v>
      </c>
      <c r="AA932">
        <v>28.6</v>
      </c>
      <c r="AB932">
        <v>1.31</v>
      </c>
      <c r="AC932">
        <v>2</v>
      </c>
      <c r="AD932">
        <v>102</v>
      </c>
      <c r="AE932">
        <v>78</v>
      </c>
      <c r="AF932" t="str">
        <v>Rural</v>
      </c>
      <c r="AG932" t="str">
        <v>Nao</v>
      </c>
    </row>
    <row r="933" spans="2:33" x14ac:dyDescent="0.45">
      <c r="B933" s="4">
        <v>932</v>
      </c>
      <c r="C933" s="4" t="s">
        <v>43</v>
      </c>
      <c r="D933" s="4" t="s">
        <v>16</v>
      </c>
      <c r="E933" s="4" t="s">
        <v>17</v>
      </c>
      <c r="F933" s="4" t="s">
        <v>18</v>
      </c>
      <c r="G933" s="4" t="s">
        <v>30</v>
      </c>
      <c r="H933" s="4" t="s">
        <v>36</v>
      </c>
      <c r="I933" s="4">
        <v>22</v>
      </c>
      <c r="J933" s="5">
        <v>59.4</v>
      </c>
      <c r="K933" s="6">
        <v>1.69</v>
      </c>
      <c r="L933" s="4">
        <v>1</v>
      </c>
      <c r="M933" s="4">
        <v>140</v>
      </c>
      <c r="N933" s="4">
        <v>77</v>
      </c>
      <c r="O933" s="4" t="s">
        <v>26</v>
      </c>
      <c r="P933" s="7" t="s">
        <v>30</v>
      </c>
      <c r="S933">
        <v>1993</v>
      </c>
      <c r="T933" t="str">
        <v>Manica</v>
      </c>
      <c r="U933" t="str">
        <v>Masculino</v>
      </c>
      <c r="V933" t="str">
        <v>Solteiro(a)</v>
      </c>
      <c r="W933" t="str">
        <v>Primaria</v>
      </c>
      <c r="X933" t="str">
        <v>Nao</v>
      </c>
      <c r="Y933" t="str">
        <v>Malaria</v>
      </c>
      <c r="Z933">
        <v>4</v>
      </c>
      <c r="AA933">
        <v>8.4</v>
      </c>
      <c r="AB933">
        <v>0.94</v>
      </c>
      <c r="AC933">
        <v>0</v>
      </c>
      <c r="AD933">
        <v>101</v>
      </c>
      <c r="AE933">
        <v>71</v>
      </c>
      <c r="AF933" t="str">
        <v>Urbana</v>
      </c>
      <c r="AG933" t="str">
        <v>Nao</v>
      </c>
    </row>
    <row r="934" spans="2:33" x14ac:dyDescent="0.45">
      <c r="B934" s="4">
        <v>933</v>
      </c>
      <c r="C934" s="4" t="s">
        <v>15</v>
      </c>
      <c r="D934" s="4" t="s">
        <v>16</v>
      </c>
      <c r="E934" s="4" t="s">
        <v>35</v>
      </c>
      <c r="F934" s="4" t="s">
        <v>24</v>
      </c>
      <c r="G934" s="4" t="s">
        <v>19</v>
      </c>
      <c r="H934" s="4" t="s">
        <v>20</v>
      </c>
      <c r="I934" s="4">
        <v>47</v>
      </c>
      <c r="J934" s="5">
        <v>75.400000000000006</v>
      </c>
      <c r="K934" s="6">
        <v>1.88</v>
      </c>
      <c r="L934" s="4">
        <v>2</v>
      </c>
      <c r="M934" s="4">
        <v>127</v>
      </c>
      <c r="N934" s="4">
        <v>85</v>
      </c>
      <c r="O934" s="4" t="s">
        <v>26</v>
      </c>
      <c r="P934" s="7" t="s">
        <v>19</v>
      </c>
      <c r="S934">
        <v>1995</v>
      </c>
      <c r="T934" t="str">
        <v>Inhambane</v>
      </c>
      <c r="U934" t="str">
        <v>Masculino</v>
      </c>
      <c r="V934" t="str">
        <v>Viuvo(a)</v>
      </c>
      <c r="W934" t="str">
        <v>Primaria</v>
      </c>
      <c r="X934" t="str">
        <v>Nao</v>
      </c>
      <c r="Y934" t="str">
        <v>Diabetes</v>
      </c>
      <c r="Z934">
        <v>19</v>
      </c>
      <c r="AA934">
        <v>72.599999999999994</v>
      </c>
      <c r="AB934">
        <v>1.73</v>
      </c>
      <c r="AC934">
        <v>5</v>
      </c>
      <c r="AD934">
        <v>113</v>
      </c>
      <c r="AE934">
        <v>177</v>
      </c>
      <c r="AF934" t="str">
        <v>Rural</v>
      </c>
      <c r="AG934" t="str">
        <v>Sim</v>
      </c>
    </row>
    <row r="935" spans="2:33" x14ac:dyDescent="0.45">
      <c r="B935" s="4">
        <v>934</v>
      </c>
      <c r="C935" s="4" t="s">
        <v>45</v>
      </c>
      <c r="D935" s="4" t="s">
        <v>23</v>
      </c>
      <c r="E935" s="4" t="s">
        <v>17</v>
      </c>
      <c r="F935" s="4" t="s">
        <v>42</v>
      </c>
      <c r="G935" s="4" t="s">
        <v>19</v>
      </c>
      <c r="H935" s="4" t="s">
        <v>28</v>
      </c>
      <c r="I935" s="4">
        <v>5</v>
      </c>
      <c r="J935" s="5">
        <v>27.9</v>
      </c>
      <c r="K935" s="6">
        <v>1.1399999999999999</v>
      </c>
      <c r="L935" s="4">
        <v>0</v>
      </c>
      <c r="M935" s="4">
        <v>111</v>
      </c>
      <c r="N935" s="4">
        <v>84</v>
      </c>
      <c r="O935" s="4" t="s">
        <v>26</v>
      </c>
      <c r="P935" s="7" t="s">
        <v>19</v>
      </c>
      <c r="S935">
        <v>1996</v>
      </c>
      <c r="T935" t="str">
        <v>Maputo Provincia</v>
      </c>
      <c r="U935" t="str">
        <v>Masculino</v>
      </c>
      <c r="V935" t="str">
        <v>Casado(a)</v>
      </c>
      <c r="W935" t="str">
        <v>Superior</v>
      </c>
      <c r="X935" t="str">
        <v>Nao</v>
      </c>
      <c r="Y935" t="str">
        <v>HIV/SIDA</v>
      </c>
      <c r="Z935">
        <v>18</v>
      </c>
      <c r="AA935">
        <v>69.8</v>
      </c>
      <c r="AB935">
        <v>1.51</v>
      </c>
      <c r="AC935">
        <v>5</v>
      </c>
      <c r="AD935">
        <v>108</v>
      </c>
      <c r="AE935">
        <v>102</v>
      </c>
      <c r="AF935" t="str">
        <v>Rural</v>
      </c>
      <c r="AG935" t="str">
        <v>Nao</v>
      </c>
    </row>
    <row r="936" spans="2:33" x14ac:dyDescent="0.45">
      <c r="B936" s="4">
        <v>935</v>
      </c>
      <c r="C936" s="4" t="s">
        <v>27</v>
      </c>
      <c r="D936" s="4" t="s">
        <v>23</v>
      </c>
      <c r="E936" s="4" t="s">
        <v>17</v>
      </c>
      <c r="F936" s="4" t="s">
        <v>18</v>
      </c>
      <c r="G936" s="4" t="s">
        <v>19</v>
      </c>
      <c r="H936" s="4" t="s">
        <v>34</v>
      </c>
      <c r="I936" s="4">
        <v>0</v>
      </c>
      <c r="J936" s="5">
        <v>17.600000000000001</v>
      </c>
      <c r="K936" s="6">
        <v>0.97</v>
      </c>
      <c r="L936" s="4">
        <v>6</v>
      </c>
      <c r="M936" s="4">
        <v>103</v>
      </c>
      <c r="N936" s="4">
        <v>75</v>
      </c>
      <c r="O936" s="4" t="s">
        <v>21</v>
      </c>
      <c r="P936" s="7" t="s">
        <v>19</v>
      </c>
      <c r="S936">
        <v>2000</v>
      </c>
      <c r="T936" t="str">
        <v>Maputo Provincia</v>
      </c>
      <c r="U936" t="str">
        <v>Masculino</v>
      </c>
      <c r="V936" t="str">
        <v>Casado(a)</v>
      </c>
      <c r="W936" t="str">
        <v>Primaria</v>
      </c>
      <c r="X936" t="str">
        <v>Nao</v>
      </c>
      <c r="Y936" t="str">
        <v>HIV/SIDA</v>
      </c>
      <c r="Z936">
        <v>4</v>
      </c>
      <c r="AA936">
        <v>15.6</v>
      </c>
      <c r="AB936">
        <v>0.83</v>
      </c>
      <c r="AC936">
        <v>4</v>
      </c>
      <c r="AD936">
        <v>115</v>
      </c>
      <c r="AE936">
        <v>103</v>
      </c>
      <c r="AF936" t="str">
        <v>Rural</v>
      </c>
      <c r="AG936" t="str">
        <v>Nao</v>
      </c>
    </row>
    <row r="937" spans="2:33" x14ac:dyDescent="0.45">
      <c r="B937" s="4">
        <v>936</v>
      </c>
      <c r="C937" s="4" t="s">
        <v>29</v>
      </c>
      <c r="D937" s="4" t="s">
        <v>16</v>
      </c>
      <c r="E937" s="4" t="s">
        <v>17</v>
      </c>
      <c r="F937" s="4" t="s">
        <v>28</v>
      </c>
      <c r="G937" s="4" t="s">
        <v>19</v>
      </c>
      <c r="H937" s="4" t="s">
        <v>34</v>
      </c>
      <c r="I937" s="4">
        <v>40</v>
      </c>
      <c r="J937" s="5">
        <v>69.7</v>
      </c>
      <c r="K937" s="6">
        <v>1.9</v>
      </c>
      <c r="L937" s="4">
        <v>9</v>
      </c>
      <c r="M937" s="4">
        <v>114</v>
      </c>
      <c r="N937" s="4">
        <v>98</v>
      </c>
      <c r="O937" s="4" t="s">
        <v>26</v>
      </c>
      <c r="P937" s="7" t="s">
        <v>19</v>
      </c>
      <c r="S937">
        <v>2001</v>
      </c>
      <c r="T937" t="str">
        <v>Niassa</v>
      </c>
      <c r="U937" t="str">
        <v>Masculino</v>
      </c>
      <c r="V937" t="str">
        <v>Solteiro(a)</v>
      </c>
      <c r="W937" t="str">
        <v>Primaria</v>
      </c>
      <c r="X937" t="str">
        <v>Nao</v>
      </c>
      <c r="Y937" t="str">
        <v>Nenhuma</v>
      </c>
      <c r="Z937">
        <v>37</v>
      </c>
      <c r="AA937">
        <v>48.1</v>
      </c>
      <c r="AB937">
        <v>1.5</v>
      </c>
      <c r="AC937">
        <v>4</v>
      </c>
      <c r="AD937">
        <v>104</v>
      </c>
      <c r="AE937">
        <v>96</v>
      </c>
      <c r="AF937" t="str">
        <v>Rural</v>
      </c>
      <c r="AG937" t="str">
        <v>Nao</v>
      </c>
    </row>
    <row r="938" spans="2:33" x14ac:dyDescent="0.45">
      <c r="B938" s="4">
        <v>937</v>
      </c>
      <c r="C938" s="4" t="s">
        <v>39</v>
      </c>
      <c r="D938" s="4" t="s">
        <v>23</v>
      </c>
      <c r="E938" s="4" t="s">
        <v>17</v>
      </c>
      <c r="F938" s="4" t="s">
        <v>24</v>
      </c>
      <c r="G938" s="4" t="s">
        <v>19</v>
      </c>
      <c r="H938" s="4" t="s">
        <v>25</v>
      </c>
      <c r="I938" s="4">
        <v>14</v>
      </c>
      <c r="J938" s="5">
        <v>64</v>
      </c>
      <c r="K938" s="6">
        <v>1.49</v>
      </c>
      <c r="L938" s="4">
        <v>8</v>
      </c>
      <c r="M938" s="4">
        <v>118</v>
      </c>
      <c r="N938" s="4">
        <v>104</v>
      </c>
      <c r="O938" s="4" t="s">
        <v>26</v>
      </c>
      <c r="P938" s="7" t="s">
        <v>30</v>
      </c>
      <c r="S938">
        <v>2003</v>
      </c>
      <c r="T938" t="str">
        <v>Nampula</v>
      </c>
      <c r="U938" t="str">
        <v>Masculino</v>
      </c>
      <c r="V938" t="str">
        <v>Solteiro(a)</v>
      </c>
      <c r="W938" t="str">
        <v>Primaria</v>
      </c>
      <c r="X938" t="str">
        <v>Nao</v>
      </c>
      <c r="Y938" t="str">
        <v>Pneumonia</v>
      </c>
      <c r="Z938">
        <v>17</v>
      </c>
      <c r="AA938">
        <v>59</v>
      </c>
      <c r="AB938">
        <v>1.55</v>
      </c>
      <c r="AC938">
        <v>6</v>
      </c>
      <c r="AD938">
        <v>115</v>
      </c>
      <c r="AE938">
        <v>94</v>
      </c>
      <c r="AF938" t="str">
        <v>Urbana</v>
      </c>
      <c r="AG938" t="str">
        <v>Nao</v>
      </c>
    </row>
    <row r="939" spans="2:33" x14ac:dyDescent="0.45">
      <c r="B939" s="4">
        <v>938</v>
      </c>
      <c r="C939" s="4" t="s">
        <v>43</v>
      </c>
      <c r="D939" s="4" t="s">
        <v>23</v>
      </c>
      <c r="E939" s="4" t="s">
        <v>37</v>
      </c>
      <c r="F939" s="4" t="s">
        <v>24</v>
      </c>
      <c r="G939" s="4" t="s">
        <v>19</v>
      </c>
      <c r="H939" s="4" t="s">
        <v>28</v>
      </c>
      <c r="I939" s="4">
        <v>13</v>
      </c>
      <c r="J939" s="5">
        <v>52.9</v>
      </c>
      <c r="K939" s="6">
        <v>1.48</v>
      </c>
      <c r="L939" s="4">
        <v>2</v>
      </c>
      <c r="M939" s="4">
        <v>117</v>
      </c>
      <c r="N939" s="4">
        <v>102</v>
      </c>
      <c r="O939" s="4" t="s">
        <v>26</v>
      </c>
      <c r="P939" s="7" t="s">
        <v>19</v>
      </c>
      <c r="S939">
        <v>2005</v>
      </c>
      <c r="T939" t="str">
        <v>Sofala</v>
      </c>
      <c r="U939" t="str">
        <v>Masculino</v>
      </c>
      <c r="V939" t="str">
        <v>Solteiro(a)</v>
      </c>
      <c r="W939" t="str">
        <v>Primaria</v>
      </c>
      <c r="X939" t="str">
        <v>Nao</v>
      </c>
      <c r="Y939" t="str">
        <v>Malaria</v>
      </c>
      <c r="Z939">
        <v>27</v>
      </c>
      <c r="AA939">
        <v>50</v>
      </c>
      <c r="AB939">
        <v>1.57</v>
      </c>
      <c r="AC939">
        <v>3</v>
      </c>
      <c r="AD939">
        <v>130</v>
      </c>
      <c r="AE939">
        <v>73</v>
      </c>
      <c r="AF939" t="str">
        <v>Urbana</v>
      </c>
      <c r="AG939" t="str">
        <v>Sim</v>
      </c>
    </row>
    <row r="940" spans="2:33" x14ac:dyDescent="0.45">
      <c r="B940" s="4">
        <v>939</v>
      </c>
      <c r="C940" s="4" t="s">
        <v>41</v>
      </c>
      <c r="D940" s="4" t="s">
        <v>23</v>
      </c>
      <c r="E940" s="4" t="s">
        <v>35</v>
      </c>
      <c r="F940" s="4" t="s">
        <v>18</v>
      </c>
      <c r="G940" s="4" t="s">
        <v>30</v>
      </c>
      <c r="H940" s="4" t="s">
        <v>34</v>
      </c>
      <c r="I940" s="4">
        <v>25</v>
      </c>
      <c r="J940" s="5">
        <v>94.8</v>
      </c>
      <c r="K940" s="6">
        <v>1.62</v>
      </c>
      <c r="L940" s="4">
        <v>1</v>
      </c>
      <c r="M940" s="4">
        <v>119</v>
      </c>
      <c r="N940" s="4">
        <v>79</v>
      </c>
      <c r="O940" s="4" t="s">
        <v>26</v>
      </c>
      <c r="P940" s="7" t="s">
        <v>30</v>
      </c>
      <c r="S940">
        <v>2011</v>
      </c>
      <c r="T940" t="str">
        <v>Maputo Cidade</v>
      </c>
      <c r="U940" t="str">
        <v>Masculino</v>
      </c>
      <c r="V940" t="str">
        <v>Divorciado(a)</v>
      </c>
      <c r="W940" t="str">
        <v>Secundaria</v>
      </c>
      <c r="X940" t="str">
        <v>Nao</v>
      </c>
      <c r="Y940" t="str">
        <v>Malaria</v>
      </c>
      <c r="Z940">
        <v>7</v>
      </c>
      <c r="AA940">
        <v>18.100000000000001</v>
      </c>
      <c r="AB940">
        <v>1.0900000000000001</v>
      </c>
      <c r="AC940">
        <v>0</v>
      </c>
      <c r="AD940">
        <v>98</v>
      </c>
      <c r="AE940">
        <v>90</v>
      </c>
      <c r="AF940" t="str">
        <v>Rural</v>
      </c>
      <c r="AG940" t="str">
        <v>Nao</v>
      </c>
    </row>
    <row r="941" spans="2:33" x14ac:dyDescent="0.45">
      <c r="B941" s="4">
        <v>940</v>
      </c>
      <c r="C941" s="4" t="s">
        <v>22</v>
      </c>
      <c r="D941" s="4" t="s">
        <v>23</v>
      </c>
      <c r="E941" s="4" t="s">
        <v>17</v>
      </c>
      <c r="F941" s="4" t="s">
        <v>28</v>
      </c>
      <c r="G941" s="4" t="s">
        <v>19</v>
      </c>
      <c r="H941" s="4" t="s">
        <v>20</v>
      </c>
      <c r="I941" s="4">
        <v>59</v>
      </c>
      <c r="J941" s="5">
        <v>87.1</v>
      </c>
      <c r="K941" s="6">
        <v>1.6</v>
      </c>
      <c r="L941" s="4">
        <v>2</v>
      </c>
      <c r="M941" s="4">
        <v>121</v>
      </c>
      <c r="N941" s="4">
        <v>95</v>
      </c>
      <c r="O941" s="4" t="s">
        <v>21</v>
      </c>
      <c r="P941" s="7" t="s">
        <v>19</v>
      </c>
      <c r="S941">
        <v>2013</v>
      </c>
      <c r="T941" t="str">
        <v>Tete</v>
      </c>
      <c r="U941" t="str">
        <v>Masculino</v>
      </c>
      <c r="V941" t="str">
        <v>Casado(a)</v>
      </c>
      <c r="W941" t="str">
        <v>Secundaria</v>
      </c>
      <c r="X941" t="str">
        <v>Nao</v>
      </c>
      <c r="Y941" t="str">
        <v>Malaria</v>
      </c>
      <c r="Z941">
        <v>42</v>
      </c>
      <c r="AA941">
        <v>71.3</v>
      </c>
      <c r="AB941">
        <v>1.72</v>
      </c>
      <c r="AC941">
        <v>5</v>
      </c>
      <c r="AD941">
        <v>107</v>
      </c>
      <c r="AE941">
        <v>98</v>
      </c>
      <c r="AF941" t="str">
        <v>Urbana</v>
      </c>
      <c r="AG941" t="str">
        <v>Nao</v>
      </c>
    </row>
    <row r="942" spans="2:33" x14ac:dyDescent="0.45">
      <c r="B942" s="4">
        <v>941</v>
      </c>
      <c r="C942" s="4" t="s">
        <v>22</v>
      </c>
      <c r="D942" s="4" t="s">
        <v>23</v>
      </c>
      <c r="E942" s="4" t="s">
        <v>17</v>
      </c>
      <c r="F942" s="4" t="s">
        <v>18</v>
      </c>
      <c r="G942" s="4" t="s">
        <v>19</v>
      </c>
      <c r="H942" s="4" t="s">
        <v>32</v>
      </c>
      <c r="I942" s="4">
        <v>6</v>
      </c>
      <c r="J942" s="5">
        <v>29.9</v>
      </c>
      <c r="K942" s="6">
        <v>1.0900000000000001</v>
      </c>
      <c r="L942" s="4">
        <v>1</v>
      </c>
      <c r="M942" s="4">
        <v>94</v>
      </c>
      <c r="N942" s="4">
        <v>173</v>
      </c>
      <c r="O942" s="4" t="s">
        <v>26</v>
      </c>
      <c r="P942" s="7" t="s">
        <v>19</v>
      </c>
      <c r="S942">
        <v>2017</v>
      </c>
      <c r="T942" t="str">
        <v>Tete</v>
      </c>
      <c r="U942" t="str">
        <v>Masculino</v>
      </c>
      <c r="V942" t="str">
        <v>Viuvo(a)</v>
      </c>
      <c r="W942" t="str">
        <v>Nenhuma</v>
      </c>
      <c r="X942" t="str">
        <v>Nao</v>
      </c>
      <c r="Y942" t="str">
        <v>Nenhuma</v>
      </c>
      <c r="Z942">
        <v>48</v>
      </c>
      <c r="AA942">
        <v>52.5</v>
      </c>
      <c r="AB942">
        <v>1.55</v>
      </c>
      <c r="AC942">
        <v>2</v>
      </c>
      <c r="AD942">
        <v>122</v>
      </c>
      <c r="AE942">
        <v>75</v>
      </c>
      <c r="AF942" t="str">
        <v>Rural</v>
      </c>
      <c r="AG942" t="str">
        <v>Nao</v>
      </c>
    </row>
    <row r="943" spans="2:33" x14ac:dyDescent="0.45">
      <c r="B943" s="4">
        <v>942</v>
      </c>
      <c r="C943" s="4" t="s">
        <v>27</v>
      </c>
      <c r="D943" s="4" t="s">
        <v>23</v>
      </c>
      <c r="E943" s="4" t="s">
        <v>44</v>
      </c>
      <c r="F943" s="4" t="s">
        <v>18</v>
      </c>
      <c r="G943" s="4" t="s">
        <v>19</v>
      </c>
      <c r="H943" s="4" t="s">
        <v>20</v>
      </c>
      <c r="I943" s="4">
        <v>8</v>
      </c>
      <c r="J943" s="5">
        <v>18.100000000000001</v>
      </c>
      <c r="K943" s="6">
        <v>1.1200000000000001</v>
      </c>
      <c r="L943" s="4">
        <v>0</v>
      </c>
      <c r="M943" s="4">
        <v>93</v>
      </c>
      <c r="N943" s="4">
        <v>77</v>
      </c>
      <c r="O943" s="4" t="s">
        <v>21</v>
      </c>
      <c r="P943" s="7" t="s">
        <v>19</v>
      </c>
      <c r="S943">
        <v>2019</v>
      </c>
      <c r="T943" t="str">
        <v>Zambezia</v>
      </c>
      <c r="U943" t="str">
        <v>Masculino</v>
      </c>
      <c r="V943" t="str">
        <v>Casado(a)</v>
      </c>
      <c r="W943" t="str">
        <v>Secundaria</v>
      </c>
      <c r="X943" t="str">
        <v>Nao</v>
      </c>
      <c r="Y943" t="str">
        <v>Nenhuma</v>
      </c>
      <c r="Z943">
        <v>54</v>
      </c>
      <c r="AA943">
        <v>81.8</v>
      </c>
      <c r="AB943">
        <v>1.63</v>
      </c>
      <c r="AC943">
        <v>8</v>
      </c>
      <c r="AD943">
        <v>113</v>
      </c>
      <c r="AE943">
        <v>73</v>
      </c>
      <c r="AF943" t="str">
        <v>Rural</v>
      </c>
      <c r="AG943" t="str">
        <v>Nao</v>
      </c>
    </row>
    <row r="944" spans="2:33" x14ac:dyDescent="0.45">
      <c r="B944" s="4">
        <v>943</v>
      </c>
      <c r="C944" s="4" t="s">
        <v>41</v>
      </c>
      <c r="D944" s="4" t="s">
        <v>23</v>
      </c>
      <c r="E944" s="4" t="s">
        <v>17</v>
      </c>
      <c r="F944" s="4" t="s">
        <v>24</v>
      </c>
      <c r="G944" s="4" t="s">
        <v>19</v>
      </c>
      <c r="H944" s="4" t="s">
        <v>20</v>
      </c>
      <c r="I944" s="4">
        <v>27</v>
      </c>
      <c r="J944" s="5">
        <v>64.900000000000006</v>
      </c>
      <c r="K944" s="6">
        <v>1.52</v>
      </c>
      <c r="L944" s="4">
        <v>2</v>
      </c>
      <c r="M944" s="4">
        <v>118</v>
      </c>
      <c r="N944" s="4">
        <v>76</v>
      </c>
      <c r="O944" s="4" t="s">
        <v>26</v>
      </c>
      <c r="P944" s="7" t="s">
        <v>30</v>
      </c>
      <c r="S944">
        <v>2021</v>
      </c>
      <c r="T944" t="str">
        <v>Cabo Delgado</v>
      </c>
      <c r="U944" t="str">
        <v>Masculino</v>
      </c>
      <c r="V944" t="str">
        <v>Casado(a)</v>
      </c>
      <c r="W944" t="str">
        <v>Primaria</v>
      </c>
      <c r="X944" t="str">
        <v>Nao</v>
      </c>
      <c r="Y944" t="str">
        <v>Diabetes</v>
      </c>
      <c r="Z944">
        <v>16</v>
      </c>
      <c r="AA944">
        <v>58.2</v>
      </c>
      <c r="AB944">
        <v>1.62</v>
      </c>
      <c r="AC944">
        <v>1</v>
      </c>
      <c r="AD944">
        <v>108</v>
      </c>
      <c r="AE944">
        <v>135</v>
      </c>
      <c r="AF944" t="str">
        <v>Urbana</v>
      </c>
      <c r="AG944" t="str">
        <v>Nao</v>
      </c>
    </row>
    <row r="945" spans="2:33" x14ac:dyDescent="0.45">
      <c r="B945" s="4">
        <v>944</v>
      </c>
      <c r="C945" s="4" t="s">
        <v>27</v>
      </c>
      <c r="D945" s="4" t="s">
        <v>23</v>
      </c>
      <c r="E945" s="4" t="s">
        <v>17</v>
      </c>
      <c r="F945" s="4" t="s">
        <v>24</v>
      </c>
      <c r="G945" s="4" t="s">
        <v>19</v>
      </c>
      <c r="H945" s="4" t="s">
        <v>20</v>
      </c>
      <c r="I945" s="4">
        <v>18</v>
      </c>
      <c r="J945" s="5">
        <v>67.099999999999994</v>
      </c>
      <c r="K945" s="6">
        <v>1.57</v>
      </c>
      <c r="L945" s="4">
        <v>0</v>
      </c>
      <c r="M945" s="4">
        <v>110</v>
      </c>
      <c r="N945" s="4">
        <v>87</v>
      </c>
      <c r="O945" s="4" t="s">
        <v>26</v>
      </c>
      <c r="P945" s="7" t="s">
        <v>19</v>
      </c>
      <c r="S945">
        <v>2023</v>
      </c>
      <c r="T945" t="str">
        <v>Nampula</v>
      </c>
      <c r="U945" t="str">
        <v>Masculino</v>
      </c>
      <c r="V945" t="str">
        <v>Casado(a)</v>
      </c>
      <c r="W945" t="str">
        <v>Primaria</v>
      </c>
      <c r="X945" t="str">
        <v>Nao</v>
      </c>
      <c r="Y945" t="str">
        <v>Nenhuma</v>
      </c>
      <c r="Z945">
        <v>16</v>
      </c>
      <c r="AA945">
        <v>40.700000000000003</v>
      </c>
      <c r="AB945">
        <v>1.74</v>
      </c>
      <c r="AC945">
        <v>5</v>
      </c>
      <c r="AD945">
        <v>112</v>
      </c>
      <c r="AE945">
        <v>100</v>
      </c>
      <c r="AF945" t="str">
        <v>Rural</v>
      </c>
      <c r="AG945" t="str">
        <v>Sim</v>
      </c>
    </row>
    <row r="946" spans="2:33" x14ac:dyDescent="0.45">
      <c r="B946" s="4">
        <v>945</v>
      </c>
      <c r="C946" s="4" t="s">
        <v>29</v>
      </c>
      <c r="D946" s="4" t="s">
        <v>23</v>
      </c>
      <c r="E946" s="4" t="s">
        <v>17</v>
      </c>
      <c r="F946" s="4" t="s">
        <v>18</v>
      </c>
      <c r="G946" s="4" t="s">
        <v>30</v>
      </c>
      <c r="H946" s="4" t="s">
        <v>25</v>
      </c>
      <c r="I946" s="4">
        <v>13</v>
      </c>
      <c r="J946" s="5">
        <v>56.3</v>
      </c>
      <c r="K946" s="6">
        <v>1.45</v>
      </c>
      <c r="L946" s="4">
        <v>2</v>
      </c>
      <c r="M946" s="4">
        <v>109</v>
      </c>
      <c r="N946" s="4">
        <v>95</v>
      </c>
      <c r="O946" s="4" t="s">
        <v>21</v>
      </c>
      <c r="P946" s="7" t="s">
        <v>30</v>
      </c>
      <c r="S946">
        <v>2024</v>
      </c>
      <c r="T946" t="str">
        <v>Gaza</v>
      </c>
      <c r="U946" t="str">
        <v>Masculino</v>
      </c>
      <c r="V946" t="str">
        <v>Solteiro(a)</v>
      </c>
      <c r="W946" t="str">
        <v>Secundaria</v>
      </c>
      <c r="X946" t="str">
        <v>Nao</v>
      </c>
      <c r="Y946" t="str">
        <v>HIV/SIDA</v>
      </c>
      <c r="Z946">
        <v>5</v>
      </c>
      <c r="AA946">
        <v>21.8</v>
      </c>
      <c r="AB946">
        <v>1.44</v>
      </c>
      <c r="AC946">
        <v>1</v>
      </c>
      <c r="AD946">
        <v>96</v>
      </c>
      <c r="AE946">
        <v>82</v>
      </c>
      <c r="AF946" t="str">
        <v>Urbana</v>
      </c>
      <c r="AG946" t="str">
        <v>Nao</v>
      </c>
    </row>
    <row r="947" spans="2:33" x14ac:dyDescent="0.45">
      <c r="B947" s="4">
        <v>946</v>
      </c>
      <c r="C947" s="4" t="s">
        <v>15</v>
      </c>
      <c r="D947" s="4" t="s">
        <v>23</v>
      </c>
      <c r="E947" s="4" t="s">
        <v>17</v>
      </c>
      <c r="F947" s="4" t="s">
        <v>24</v>
      </c>
      <c r="G947" s="4" t="s">
        <v>30</v>
      </c>
      <c r="H947" s="4" t="s">
        <v>46</v>
      </c>
      <c r="I947" s="4">
        <v>42</v>
      </c>
      <c r="J947" s="5">
        <v>87.9</v>
      </c>
      <c r="K947" s="6">
        <v>1.52</v>
      </c>
      <c r="L947" s="4">
        <v>4</v>
      </c>
      <c r="M947" s="4">
        <v>112</v>
      </c>
      <c r="N947" s="4">
        <v>77</v>
      </c>
      <c r="O947" s="4" t="s">
        <v>21</v>
      </c>
      <c r="P947" s="7" t="s">
        <v>19</v>
      </c>
      <c r="S947">
        <v>2028</v>
      </c>
      <c r="T947" t="str">
        <v>Nampula</v>
      </c>
      <c r="U947" t="str">
        <v>Masculino</v>
      </c>
      <c r="V947" t="str">
        <v>Casado(a)</v>
      </c>
      <c r="W947" t="str">
        <v>Primaria</v>
      </c>
      <c r="X947" t="str">
        <v>Nao</v>
      </c>
      <c r="Y947" t="str">
        <v>Malaria</v>
      </c>
      <c r="Z947">
        <v>1</v>
      </c>
      <c r="AA947">
        <v>9.6</v>
      </c>
      <c r="AB947">
        <v>1.02</v>
      </c>
      <c r="AC947">
        <v>7</v>
      </c>
      <c r="AD947">
        <v>100</v>
      </c>
      <c r="AE947">
        <v>103</v>
      </c>
      <c r="AF947" t="str">
        <v>Rural</v>
      </c>
      <c r="AG947" t="str">
        <v>Sim</v>
      </c>
    </row>
    <row r="948" spans="2:33" x14ac:dyDescent="0.45">
      <c r="B948" s="4">
        <v>947</v>
      </c>
      <c r="C948" s="4" t="s">
        <v>27</v>
      </c>
      <c r="D948" s="4" t="s">
        <v>16</v>
      </c>
      <c r="E948" s="4" t="s">
        <v>35</v>
      </c>
      <c r="F948" s="4" t="s">
        <v>24</v>
      </c>
      <c r="G948" s="4" t="s">
        <v>19</v>
      </c>
      <c r="H948" s="4" t="s">
        <v>25</v>
      </c>
      <c r="I948" s="4">
        <v>6</v>
      </c>
      <c r="J948" s="5">
        <v>30.4</v>
      </c>
      <c r="K948" s="6">
        <v>1.26</v>
      </c>
      <c r="L948" s="4">
        <v>1</v>
      </c>
      <c r="M948" s="4">
        <v>94</v>
      </c>
      <c r="N948" s="4">
        <v>81</v>
      </c>
      <c r="O948" s="4" t="s">
        <v>21</v>
      </c>
      <c r="P948" s="7" t="s">
        <v>19</v>
      </c>
      <c r="S948">
        <v>2031</v>
      </c>
      <c r="T948" t="str">
        <v>Manica</v>
      </c>
      <c r="U948" t="str">
        <v>Masculino</v>
      </c>
      <c r="V948" t="str">
        <v>Solteiro(a)</v>
      </c>
      <c r="W948" t="str">
        <v>Superior</v>
      </c>
      <c r="X948" t="str">
        <v>Nao</v>
      </c>
      <c r="Y948" t="str">
        <v>Nenhuma</v>
      </c>
      <c r="Z948">
        <v>27</v>
      </c>
      <c r="AA948">
        <v>92.7</v>
      </c>
      <c r="AB948">
        <v>1.66</v>
      </c>
      <c r="AC948">
        <v>3</v>
      </c>
      <c r="AD948">
        <v>111</v>
      </c>
      <c r="AE948">
        <v>96</v>
      </c>
      <c r="AF948" t="str">
        <v>Urbana</v>
      </c>
      <c r="AG948" t="str">
        <v>Nao</v>
      </c>
    </row>
    <row r="949" spans="2:33" x14ac:dyDescent="0.45">
      <c r="B949" s="4">
        <v>948</v>
      </c>
      <c r="C949" s="4" t="s">
        <v>27</v>
      </c>
      <c r="D949" s="4" t="s">
        <v>16</v>
      </c>
      <c r="E949" s="4" t="s">
        <v>35</v>
      </c>
      <c r="F949" s="4" t="s">
        <v>24</v>
      </c>
      <c r="G949" s="4" t="s">
        <v>19</v>
      </c>
      <c r="H949" s="4" t="s">
        <v>32</v>
      </c>
      <c r="I949" s="4">
        <v>3</v>
      </c>
      <c r="J949" s="5">
        <v>8.1</v>
      </c>
      <c r="K949" s="6">
        <v>0.6</v>
      </c>
      <c r="L949" s="4">
        <v>2</v>
      </c>
      <c r="M949" s="4">
        <v>103</v>
      </c>
      <c r="N949" s="4">
        <v>176</v>
      </c>
      <c r="O949" s="4" t="s">
        <v>26</v>
      </c>
      <c r="P949" s="7" t="s">
        <v>19</v>
      </c>
      <c r="S949">
        <v>2044</v>
      </c>
      <c r="T949" t="str">
        <v>Maputo Cidade</v>
      </c>
      <c r="U949" t="str">
        <v>Masculino</v>
      </c>
      <c r="V949" t="str">
        <v>Casado(a)</v>
      </c>
      <c r="W949" t="str">
        <v>Superior</v>
      </c>
      <c r="X949" t="str">
        <v>Nao</v>
      </c>
      <c r="Y949" t="str">
        <v>Malaria</v>
      </c>
      <c r="Z949">
        <v>52</v>
      </c>
      <c r="AA949">
        <v>52.3</v>
      </c>
      <c r="AB949">
        <v>1.69</v>
      </c>
      <c r="AC949">
        <v>2</v>
      </c>
      <c r="AD949">
        <v>120</v>
      </c>
      <c r="AE949">
        <v>95</v>
      </c>
      <c r="AF949" t="str">
        <v>Urbana</v>
      </c>
      <c r="AG949" t="str">
        <v>Nao</v>
      </c>
    </row>
    <row r="950" spans="2:33" x14ac:dyDescent="0.45">
      <c r="B950" s="4">
        <v>949</v>
      </c>
      <c r="C950" s="4" t="s">
        <v>22</v>
      </c>
      <c r="D950" s="4" t="s">
        <v>16</v>
      </c>
      <c r="E950" s="4" t="s">
        <v>35</v>
      </c>
      <c r="F950" s="4" t="s">
        <v>18</v>
      </c>
      <c r="G950" s="4" t="s">
        <v>30</v>
      </c>
      <c r="H950" s="4" t="s">
        <v>46</v>
      </c>
      <c r="I950" s="4">
        <v>2</v>
      </c>
      <c r="J950" s="5">
        <v>6.1</v>
      </c>
      <c r="K950" s="6">
        <v>0.92</v>
      </c>
      <c r="L950" s="4">
        <v>4</v>
      </c>
      <c r="M950" s="4">
        <v>105</v>
      </c>
      <c r="N950" s="4">
        <v>85</v>
      </c>
      <c r="O950" s="4" t="s">
        <v>26</v>
      </c>
      <c r="P950" s="7" t="s">
        <v>19</v>
      </c>
      <c r="S950">
        <v>2052</v>
      </c>
      <c r="T950" t="str">
        <v>Manica</v>
      </c>
      <c r="U950" t="str">
        <v>Masculino</v>
      </c>
      <c r="V950" t="str">
        <v>Casado(a)</v>
      </c>
      <c r="W950" t="str">
        <v>Primaria</v>
      </c>
      <c r="X950" t="str">
        <v>Nao</v>
      </c>
      <c r="Y950" t="str">
        <v>HIV/SIDA</v>
      </c>
      <c r="Z950">
        <v>9</v>
      </c>
      <c r="AA950">
        <v>27</v>
      </c>
      <c r="AB950">
        <v>1.18</v>
      </c>
      <c r="AC950">
        <v>2</v>
      </c>
      <c r="AD950">
        <v>111</v>
      </c>
      <c r="AE950">
        <v>99</v>
      </c>
      <c r="AF950" t="str">
        <v>Rural</v>
      </c>
      <c r="AG950" t="str">
        <v>Nao</v>
      </c>
    </row>
    <row r="951" spans="2:33" x14ac:dyDescent="0.45">
      <c r="B951" s="4">
        <v>950</v>
      </c>
      <c r="C951" s="4" t="s">
        <v>29</v>
      </c>
      <c r="D951" s="4" t="s">
        <v>23</v>
      </c>
      <c r="E951" s="4" t="s">
        <v>17</v>
      </c>
      <c r="F951" s="4" t="s">
        <v>28</v>
      </c>
      <c r="G951" s="4" t="s">
        <v>30</v>
      </c>
      <c r="H951" s="4" t="s">
        <v>20</v>
      </c>
      <c r="I951" s="4">
        <v>9</v>
      </c>
      <c r="J951" s="5">
        <v>24.8</v>
      </c>
      <c r="K951" s="6">
        <v>1.29</v>
      </c>
      <c r="L951" s="4">
        <v>7</v>
      </c>
      <c r="M951" s="4">
        <v>104</v>
      </c>
      <c r="N951" s="4">
        <v>93</v>
      </c>
      <c r="O951" s="4" t="s">
        <v>21</v>
      </c>
      <c r="P951" s="7" t="s">
        <v>19</v>
      </c>
      <c r="S951">
        <v>2053</v>
      </c>
      <c r="T951" t="str">
        <v>Zambezia</v>
      </c>
      <c r="U951" t="str">
        <v>Masculino</v>
      </c>
      <c r="V951" t="str">
        <v>Casado(a)</v>
      </c>
      <c r="W951" t="str">
        <v>Secundaria</v>
      </c>
      <c r="X951" t="str">
        <v>Nao</v>
      </c>
      <c r="Y951" t="str">
        <v>Malaria</v>
      </c>
      <c r="Z951">
        <v>35</v>
      </c>
      <c r="AA951">
        <v>48.1</v>
      </c>
      <c r="AB951">
        <v>1.76</v>
      </c>
      <c r="AC951">
        <v>3</v>
      </c>
      <c r="AD951">
        <v>108</v>
      </c>
      <c r="AE951">
        <v>102</v>
      </c>
      <c r="AF951" t="str">
        <v>Urbana</v>
      </c>
      <c r="AG951" t="str">
        <v>Sim</v>
      </c>
    </row>
    <row r="952" spans="2:33" x14ac:dyDescent="0.45">
      <c r="B952" s="4">
        <v>951</v>
      </c>
      <c r="C952" s="4" t="s">
        <v>45</v>
      </c>
      <c r="D952" s="4" t="s">
        <v>23</v>
      </c>
      <c r="E952" s="4" t="s">
        <v>35</v>
      </c>
      <c r="F952" s="4" t="s">
        <v>24</v>
      </c>
      <c r="G952" s="4" t="s">
        <v>19</v>
      </c>
      <c r="H952" s="4" t="s">
        <v>25</v>
      </c>
      <c r="I952" s="4">
        <v>60</v>
      </c>
      <c r="J952" s="5">
        <v>93.4</v>
      </c>
      <c r="K952" s="6">
        <v>1.61</v>
      </c>
      <c r="L952" s="4">
        <v>4</v>
      </c>
      <c r="M952" s="4">
        <v>119</v>
      </c>
      <c r="N952" s="4">
        <v>72</v>
      </c>
      <c r="O952" s="4" t="s">
        <v>21</v>
      </c>
      <c r="P952" s="7" t="s">
        <v>30</v>
      </c>
      <c r="S952">
        <v>2054</v>
      </c>
      <c r="T952" t="str">
        <v>Niassa</v>
      </c>
      <c r="U952" t="str">
        <v>Masculino</v>
      </c>
      <c r="V952" t="str">
        <v>Casado(a)</v>
      </c>
      <c r="W952" t="str">
        <v>Primaria</v>
      </c>
      <c r="X952" t="str">
        <v>Nao</v>
      </c>
      <c r="Y952" t="str">
        <v>Nenhuma</v>
      </c>
      <c r="Z952">
        <v>2</v>
      </c>
      <c r="AA952">
        <v>8.8000000000000007</v>
      </c>
      <c r="AB952">
        <v>0.83</v>
      </c>
      <c r="AC952">
        <v>0</v>
      </c>
      <c r="AD952">
        <v>116</v>
      </c>
      <c r="AE952">
        <v>73</v>
      </c>
      <c r="AF952" t="str">
        <v>Rural</v>
      </c>
      <c r="AG952" t="str">
        <v>Nao</v>
      </c>
    </row>
    <row r="953" spans="2:33" x14ac:dyDescent="0.45">
      <c r="B953" s="4">
        <v>952</v>
      </c>
      <c r="C953" s="4" t="s">
        <v>33</v>
      </c>
      <c r="D953" s="4" t="s">
        <v>16</v>
      </c>
      <c r="E953" s="4" t="s">
        <v>17</v>
      </c>
      <c r="F953" s="4" t="s">
        <v>24</v>
      </c>
      <c r="G953" s="4" t="s">
        <v>19</v>
      </c>
      <c r="H953" s="4" t="s">
        <v>38</v>
      </c>
      <c r="I953" s="4">
        <v>1</v>
      </c>
      <c r="J953" s="5">
        <v>8.6</v>
      </c>
      <c r="K953" s="6">
        <v>0.68</v>
      </c>
      <c r="L953" s="4">
        <v>2</v>
      </c>
      <c r="M953" s="4">
        <v>121</v>
      </c>
      <c r="N953" s="4">
        <v>101</v>
      </c>
      <c r="O953" s="4" t="s">
        <v>26</v>
      </c>
      <c r="P953" s="7" t="s">
        <v>30</v>
      </c>
      <c r="S953">
        <v>2055</v>
      </c>
      <c r="T953" t="str">
        <v>Maputo Provincia</v>
      </c>
      <c r="U953" t="str">
        <v>Masculino</v>
      </c>
      <c r="V953" t="str">
        <v>Casado(a)</v>
      </c>
      <c r="W953" t="str">
        <v>Secundaria</v>
      </c>
      <c r="X953" t="str">
        <v>Nao</v>
      </c>
      <c r="Y953" t="str">
        <v>Nenhuma</v>
      </c>
      <c r="Z953">
        <v>21</v>
      </c>
      <c r="AA953">
        <v>67.7</v>
      </c>
      <c r="AB953">
        <v>1.85</v>
      </c>
      <c r="AC953">
        <v>3</v>
      </c>
      <c r="AD953">
        <v>103</v>
      </c>
      <c r="AE953">
        <v>79</v>
      </c>
      <c r="AF953" t="str">
        <v>Rural</v>
      </c>
      <c r="AG953" t="str">
        <v>Nao</v>
      </c>
    </row>
    <row r="954" spans="2:33" x14ac:dyDescent="0.45">
      <c r="B954" s="4">
        <v>953</v>
      </c>
      <c r="C954" s="4" t="s">
        <v>27</v>
      </c>
      <c r="D954" s="4" t="s">
        <v>16</v>
      </c>
      <c r="E954" s="4" t="s">
        <v>17</v>
      </c>
      <c r="F954" s="4" t="s">
        <v>24</v>
      </c>
      <c r="G954" s="4" t="s">
        <v>19</v>
      </c>
      <c r="H954" s="4" t="s">
        <v>32</v>
      </c>
      <c r="I954" s="4">
        <v>0</v>
      </c>
      <c r="J954" s="5">
        <v>9.9</v>
      </c>
      <c r="K954" s="6">
        <v>0.68</v>
      </c>
      <c r="L954" s="4">
        <v>5</v>
      </c>
      <c r="M954" s="4">
        <v>99</v>
      </c>
      <c r="N954" s="4">
        <v>164</v>
      </c>
      <c r="O954" s="4" t="s">
        <v>26</v>
      </c>
      <c r="P954" s="7" t="s">
        <v>19</v>
      </c>
      <c r="S954">
        <v>2056</v>
      </c>
      <c r="T954" t="str">
        <v>Gaza</v>
      </c>
      <c r="U954" t="str">
        <v>Masculino</v>
      </c>
      <c r="V954" t="str">
        <v>Casado(a)</v>
      </c>
      <c r="W954" t="str">
        <v>Primaria</v>
      </c>
      <c r="X954" t="str">
        <v>Sim</v>
      </c>
      <c r="Y954" t="str">
        <v>HIV/SIDA</v>
      </c>
      <c r="Z954">
        <v>54</v>
      </c>
      <c r="AA954">
        <v>65.099999999999994</v>
      </c>
      <c r="AB954">
        <v>1.81</v>
      </c>
      <c r="AC954">
        <v>7</v>
      </c>
      <c r="AD954">
        <v>124</v>
      </c>
      <c r="AE954">
        <v>71</v>
      </c>
      <c r="AF954" t="str">
        <v>Urbana</v>
      </c>
      <c r="AG954" t="str">
        <v>Nao</v>
      </c>
    </row>
    <row r="955" spans="2:33" x14ac:dyDescent="0.45">
      <c r="B955" s="4">
        <v>954</v>
      </c>
      <c r="C955" s="4" t="s">
        <v>27</v>
      </c>
      <c r="D955" s="4" t="s">
        <v>23</v>
      </c>
      <c r="E955" s="4" t="s">
        <v>35</v>
      </c>
      <c r="F955" s="4" t="s">
        <v>24</v>
      </c>
      <c r="G955" s="4" t="s">
        <v>19</v>
      </c>
      <c r="H955" s="4" t="s">
        <v>20</v>
      </c>
      <c r="I955" s="4">
        <v>83</v>
      </c>
      <c r="J955" s="5">
        <v>81.8</v>
      </c>
      <c r="K955" s="6">
        <v>1.9</v>
      </c>
      <c r="L955" s="4">
        <v>2</v>
      </c>
      <c r="M955" s="4">
        <v>128</v>
      </c>
      <c r="N955" s="4">
        <v>72</v>
      </c>
      <c r="O955" s="4" t="s">
        <v>26</v>
      </c>
      <c r="P955" s="7" t="s">
        <v>30</v>
      </c>
      <c r="S955">
        <v>2057</v>
      </c>
      <c r="T955" t="str">
        <v>Tete</v>
      </c>
      <c r="U955" t="str">
        <v>Masculino</v>
      </c>
      <c r="V955" t="str">
        <v>Casado(a)</v>
      </c>
      <c r="W955" t="str">
        <v>Primaria</v>
      </c>
      <c r="X955" t="str">
        <v>Nao</v>
      </c>
      <c r="Y955" t="str">
        <v>HIV/SIDA</v>
      </c>
      <c r="Z955">
        <v>24</v>
      </c>
      <c r="AA955">
        <v>61.1</v>
      </c>
      <c r="AB955">
        <v>1.49</v>
      </c>
      <c r="AC955">
        <v>1</v>
      </c>
      <c r="AD955">
        <v>98</v>
      </c>
      <c r="AE955">
        <v>91</v>
      </c>
      <c r="AF955" t="str">
        <v>Urbana</v>
      </c>
      <c r="AG955" t="str">
        <v>Nao</v>
      </c>
    </row>
    <row r="956" spans="2:33" x14ac:dyDescent="0.45">
      <c r="B956" s="4">
        <v>955</v>
      </c>
      <c r="C956" s="4" t="s">
        <v>29</v>
      </c>
      <c r="D956" s="4" t="s">
        <v>16</v>
      </c>
      <c r="E956" s="4" t="s">
        <v>17</v>
      </c>
      <c r="F956" s="4" t="s">
        <v>28</v>
      </c>
      <c r="G956" s="4" t="s">
        <v>19</v>
      </c>
      <c r="H956" s="4" t="s">
        <v>32</v>
      </c>
      <c r="I956" s="4">
        <v>58</v>
      </c>
      <c r="J956" s="5">
        <v>78.7</v>
      </c>
      <c r="K956" s="6">
        <v>1.82</v>
      </c>
      <c r="L956" s="4">
        <v>5</v>
      </c>
      <c r="M956" s="4">
        <v>124</v>
      </c>
      <c r="N956" s="4">
        <v>154</v>
      </c>
      <c r="O956" s="4" t="s">
        <v>21</v>
      </c>
      <c r="P956" s="7" t="s">
        <v>19</v>
      </c>
      <c r="S956">
        <v>2058</v>
      </c>
      <c r="T956" t="str">
        <v>Nampula</v>
      </c>
      <c r="U956" t="str">
        <v>Masculino</v>
      </c>
      <c r="V956" t="str">
        <v>Solteiro(a)</v>
      </c>
      <c r="W956" t="str">
        <v>Secundaria</v>
      </c>
      <c r="X956" t="str">
        <v>Nao</v>
      </c>
      <c r="Y956" t="str">
        <v>Hipertensao</v>
      </c>
      <c r="Z956">
        <v>55</v>
      </c>
      <c r="AA956">
        <v>72.599999999999994</v>
      </c>
      <c r="AB956">
        <v>1.69</v>
      </c>
      <c r="AC956">
        <v>0</v>
      </c>
      <c r="AD956">
        <v>150</v>
      </c>
      <c r="AE956">
        <v>95</v>
      </c>
      <c r="AF956" t="str">
        <v>Rural</v>
      </c>
      <c r="AG956" t="str">
        <v>Sim</v>
      </c>
    </row>
    <row r="957" spans="2:33" x14ac:dyDescent="0.45">
      <c r="B957" s="4">
        <v>956</v>
      </c>
      <c r="C957" s="4" t="s">
        <v>39</v>
      </c>
      <c r="D957" s="4" t="s">
        <v>23</v>
      </c>
      <c r="E957" s="4" t="s">
        <v>35</v>
      </c>
      <c r="F957" s="4" t="s">
        <v>42</v>
      </c>
      <c r="G957" s="4" t="s">
        <v>30</v>
      </c>
      <c r="H957" s="4" t="s">
        <v>46</v>
      </c>
      <c r="I957" s="4">
        <v>13</v>
      </c>
      <c r="J957" s="5">
        <v>41.7</v>
      </c>
      <c r="K957" s="6">
        <v>1.69</v>
      </c>
      <c r="L957" s="4">
        <v>6</v>
      </c>
      <c r="M957" s="4">
        <v>119</v>
      </c>
      <c r="N957" s="4">
        <v>70</v>
      </c>
      <c r="O957" s="4" t="s">
        <v>21</v>
      </c>
      <c r="P957" s="7" t="s">
        <v>19</v>
      </c>
      <c r="S957">
        <v>2059</v>
      </c>
      <c r="T957" t="str">
        <v>Inhambane</v>
      </c>
      <c r="U957" t="str">
        <v>Masculino</v>
      </c>
      <c r="V957" t="str">
        <v>Casado(a)</v>
      </c>
      <c r="W957" t="str">
        <v>Secundaria</v>
      </c>
      <c r="X957" t="str">
        <v>Nao</v>
      </c>
      <c r="Y957" t="str">
        <v>Nenhuma</v>
      </c>
      <c r="Z957">
        <v>10</v>
      </c>
      <c r="AA957">
        <v>26.5</v>
      </c>
      <c r="AB957">
        <v>1.43</v>
      </c>
      <c r="AC957">
        <v>3</v>
      </c>
      <c r="AD957">
        <v>95</v>
      </c>
      <c r="AE957">
        <v>89</v>
      </c>
      <c r="AF957" t="str">
        <v>Urbana</v>
      </c>
      <c r="AG957" t="str">
        <v>Nao</v>
      </c>
    </row>
    <row r="958" spans="2:33" x14ac:dyDescent="0.45">
      <c r="B958" s="4">
        <v>957</v>
      </c>
      <c r="C958" s="4" t="s">
        <v>29</v>
      </c>
      <c r="D958" s="4" t="s">
        <v>23</v>
      </c>
      <c r="E958" s="4" t="s">
        <v>35</v>
      </c>
      <c r="F958" s="4" t="s">
        <v>24</v>
      </c>
      <c r="G958" s="4" t="s">
        <v>19</v>
      </c>
      <c r="H958" s="4" t="s">
        <v>25</v>
      </c>
      <c r="I958" s="4">
        <v>10</v>
      </c>
      <c r="J958" s="5">
        <v>21.4</v>
      </c>
      <c r="K958" s="6">
        <v>1.07</v>
      </c>
      <c r="L958" s="4">
        <v>3</v>
      </c>
      <c r="M958" s="4">
        <v>117</v>
      </c>
      <c r="N958" s="4">
        <v>84</v>
      </c>
      <c r="O958" s="4" t="s">
        <v>26</v>
      </c>
      <c r="P958" s="7" t="s">
        <v>19</v>
      </c>
      <c r="S958">
        <v>2061</v>
      </c>
      <c r="T958" t="str">
        <v>Maputo Provincia</v>
      </c>
      <c r="U958" t="str">
        <v>Masculino</v>
      </c>
      <c r="V958" t="str">
        <v>Casado(a)</v>
      </c>
      <c r="W958" t="str">
        <v>Secundaria</v>
      </c>
      <c r="X958" t="str">
        <v>Nao</v>
      </c>
      <c r="Y958" t="str">
        <v>Malaria</v>
      </c>
      <c r="Z958">
        <v>10</v>
      </c>
      <c r="AA958">
        <v>25</v>
      </c>
      <c r="AB958">
        <v>1.23</v>
      </c>
      <c r="AC958">
        <v>1</v>
      </c>
      <c r="AD958">
        <v>94</v>
      </c>
      <c r="AE958">
        <v>89</v>
      </c>
      <c r="AF958" t="str">
        <v>Rural</v>
      </c>
      <c r="AG958" t="str">
        <v>Nao</v>
      </c>
    </row>
    <row r="959" spans="2:33" x14ac:dyDescent="0.45">
      <c r="B959" s="4">
        <v>958</v>
      </c>
      <c r="C959" s="4" t="s">
        <v>27</v>
      </c>
      <c r="D959" s="4" t="s">
        <v>16</v>
      </c>
      <c r="E959" s="4" t="s">
        <v>17</v>
      </c>
      <c r="F959" s="4" t="s">
        <v>18</v>
      </c>
      <c r="G959" s="4" t="s">
        <v>19</v>
      </c>
      <c r="H959" s="4" t="s">
        <v>20</v>
      </c>
      <c r="I959" s="4">
        <v>23</v>
      </c>
      <c r="J959" s="5">
        <v>53.5</v>
      </c>
      <c r="K959" s="6">
        <v>1.5</v>
      </c>
      <c r="L959" s="4">
        <v>5</v>
      </c>
      <c r="M959" s="4">
        <v>112</v>
      </c>
      <c r="N959" s="4">
        <v>78</v>
      </c>
      <c r="O959" s="4" t="s">
        <v>26</v>
      </c>
      <c r="P959" s="7" t="s">
        <v>19</v>
      </c>
      <c r="S959">
        <v>2062</v>
      </c>
      <c r="T959" t="str">
        <v>Inhambane</v>
      </c>
      <c r="U959" t="str">
        <v>Masculino</v>
      </c>
      <c r="V959" t="str">
        <v>Casado(a)</v>
      </c>
      <c r="W959" t="str">
        <v>Primaria</v>
      </c>
      <c r="X959" t="str">
        <v>Nao</v>
      </c>
      <c r="Y959" t="str">
        <v>HIV/SIDA</v>
      </c>
      <c r="Z959">
        <v>29</v>
      </c>
      <c r="AA959">
        <v>81.599999999999994</v>
      </c>
      <c r="AB959">
        <v>1.85</v>
      </c>
      <c r="AC959">
        <v>1</v>
      </c>
      <c r="AD959">
        <v>112</v>
      </c>
      <c r="AE959">
        <v>84</v>
      </c>
      <c r="AF959" t="str">
        <v>Rural</v>
      </c>
      <c r="AG959" t="str">
        <v>Nao</v>
      </c>
    </row>
    <row r="960" spans="2:33" x14ac:dyDescent="0.45">
      <c r="B960" s="4">
        <v>959</v>
      </c>
      <c r="C960" s="4" t="s">
        <v>39</v>
      </c>
      <c r="D960" s="4" t="s">
        <v>16</v>
      </c>
      <c r="E960" s="4" t="s">
        <v>17</v>
      </c>
      <c r="F960" s="4" t="s">
        <v>24</v>
      </c>
      <c r="G960" s="4" t="s">
        <v>19</v>
      </c>
      <c r="H960" s="4" t="s">
        <v>28</v>
      </c>
      <c r="I960" s="4">
        <v>13</v>
      </c>
      <c r="J960" s="5">
        <v>59.2</v>
      </c>
      <c r="K960" s="6">
        <v>1.75</v>
      </c>
      <c r="L960" s="4">
        <v>9</v>
      </c>
      <c r="M960" s="4">
        <v>119</v>
      </c>
      <c r="N960" s="4">
        <v>89</v>
      </c>
      <c r="O960" s="4" t="s">
        <v>26</v>
      </c>
      <c r="P960" s="7" t="s">
        <v>19</v>
      </c>
      <c r="S960">
        <v>2065</v>
      </c>
      <c r="T960" t="str">
        <v>Zambezia</v>
      </c>
      <c r="U960" t="str">
        <v>Masculino</v>
      </c>
      <c r="V960" t="str">
        <v>Solteiro(a)</v>
      </c>
      <c r="W960" t="str">
        <v>Secundaria</v>
      </c>
      <c r="X960" t="str">
        <v>Nao</v>
      </c>
      <c r="Y960" t="str">
        <v>Hipertensao</v>
      </c>
      <c r="Z960">
        <v>15</v>
      </c>
      <c r="AA960">
        <v>57.9</v>
      </c>
      <c r="AB960">
        <v>1.72</v>
      </c>
      <c r="AC960">
        <v>8</v>
      </c>
      <c r="AD960">
        <v>135</v>
      </c>
      <c r="AE960">
        <v>77</v>
      </c>
      <c r="AF960" t="str">
        <v>Rural</v>
      </c>
      <c r="AG960" t="str">
        <v>Sim</v>
      </c>
    </row>
    <row r="961" spans="2:33" x14ac:dyDescent="0.45">
      <c r="B961" s="4">
        <v>960</v>
      </c>
      <c r="C961" s="4" t="s">
        <v>41</v>
      </c>
      <c r="D961" s="4" t="s">
        <v>23</v>
      </c>
      <c r="E961" s="4" t="s">
        <v>35</v>
      </c>
      <c r="F961" s="4" t="s">
        <v>28</v>
      </c>
      <c r="G961" s="4" t="s">
        <v>19</v>
      </c>
      <c r="H961" s="4" t="s">
        <v>34</v>
      </c>
      <c r="I961" s="4">
        <v>14</v>
      </c>
      <c r="J961" s="5">
        <v>45.8</v>
      </c>
      <c r="K961" s="6">
        <v>1.55</v>
      </c>
      <c r="L961" s="4">
        <v>1</v>
      </c>
      <c r="M961" s="4">
        <v>125</v>
      </c>
      <c r="N961" s="4">
        <v>90</v>
      </c>
      <c r="O961" s="4" t="s">
        <v>26</v>
      </c>
      <c r="P961" s="7" t="s">
        <v>30</v>
      </c>
      <c r="S961">
        <v>2066</v>
      </c>
      <c r="T961" t="str">
        <v>Zambezia</v>
      </c>
      <c r="U961" t="str">
        <v>Masculino</v>
      </c>
      <c r="V961" t="str">
        <v>Solteiro(a)</v>
      </c>
      <c r="W961" t="str">
        <v>Primaria</v>
      </c>
      <c r="X961" t="str">
        <v>Nao</v>
      </c>
      <c r="Y961" t="str">
        <v>Nenhuma</v>
      </c>
      <c r="Z961">
        <v>18</v>
      </c>
      <c r="AA961">
        <v>85.9</v>
      </c>
      <c r="AB961">
        <v>1.82</v>
      </c>
      <c r="AC961">
        <v>2</v>
      </c>
      <c r="AD961">
        <v>109</v>
      </c>
      <c r="AE961">
        <v>93</v>
      </c>
      <c r="AF961" t="str">
        <v>Rural</v>
      </c>
      <c r="AG961" t="str">
        <v>Nao</v>
      </c>
    </row>
    <row r="962" spans="2:33" x14ac:dyDescent="0.45">
      <c r="B962" s="4">
        <v>961</v>
      </c>
      <c r="C962" s="4" t="s">
        <v>27</v>
      </c>
      <c r="D962" s="4" t="s">
        <v>16</v>
      </c>
      <c r="E962" s="4" t="s">
        <v>35</v>
      </c>
      <c r="F962" s="4" t="s">
        <v>18</v>
      </c>
      <c r="G962" s="4" t="s">
        <v>19</v>
      </c>
      <c r="H962" s="4" t="s">
        <v>28</v>
      </c>
      <c r="I962" s="4">
        <v>47</v>
      </c>
      <c r="J962" s="5">
        <v>76</v>
      </c>
      <c r="K962" s="6">
        <v>1.56</v>
      </c>
      <c r="L962" s="4">
        <v>3</v>
      </c>
      <c r="M962" s="4">
        <v>109</v>
      </c>
      <c r="N962" s="4">
        <v>96</v>
      </c>
      <c r="O962" s="4" t="s">
        <v>21</v>
      </c>
      <c r="P962" s="7" t="s">
        <v>19</v>
      </c>
      <c r="S962">
        <v>2067</v>
      </c>
      <c r="T962" t="str">
        <v>Inhambane</v>
      </c>
      <c r="U962" t="str">
        <v>Masculino</v>
      </c>
      <c r="V962" t="str">
        <v>Casado(a)</v>
      </c>
      <c r="W962" t="str">
        <v>Primaria</v>
      </c>
      <c r="X962" t="str">
        <v>Sim</v>
      </c>
      <c r="Y962" t="str">
        <v>HIV/SIDA</v>
      </c>
      <c r="Z962">
        <v>14</v>
      </c>
      <c r="AA962">
        <v>51.1</v>
      </c>
      <c r="AB962">
        <v>1.49</v>
      </c>
      <c r="AC962">
        <v>4</v>
      </c>
      <c r="AD962">
        <v>115</v>
      </c>
      <c r="AE962">
        <v>101</v>
      </c>
      <c r="AF962" t="str">
        <v>Urbana</v>
      </c>
      <c r="AG962" t="str">
        <v>Nao</v>
      </c>
    </row>
    <row r="963" spans="2:33" x14ac:dyDescent="0.45">
      <c r="B963" s="4">
        <v>962</v>
      </c>
      <c r="C963" s="4" t="s">
        <v>27</v>
      </c>
      <c r="D963" s="4" t="s">
        <v>16</v>
      </c>
      <c r="E963" s="4" t="s">
        <v>35</v>
      </c>
      <c r="F963" s="4" t="s">
        <v>24</v>
      </c>
      <c r="G963" s="4" t="s">
        <v>19</v>
      </c>
      <c r="H963" s="4" t="s">
        <v>20</v>
      </c>
      <c r="I963" s="4">
        <v>27</v>
      </c>
      <c r="J963" s="5">
        <v>90.6</v>
      </c>
      <c r="K963" s="6">
        <v>1.87</v>
      </c>
      <c r="L963" s="4">
        <v>2</v>
      </c>
      <c r="M963" s="4">
        <v>122</v>
      </c>
      <c r="N963" s="4">
        <v>91</v>
      </c>
      <c r="O963" s="4" t="s">
        <v>21</v>
      </c>
      <c r="P963" s="7" t="s">
        <v>19</v>
      </c>
      <c r="S963">
        <v>2070</v>
      </c>
      <c r="T963" t="str">
        <v>Zambezia</v>
      </c>
      <c r="U963" t="str">
        <v>Masculino</v>
      </c>
      <c r="V963" t="str">
        <v>Solteiro(a)</v>
      </c>
      <c r="W963" t="str">
        <v>Primaria</v>
      </c>
      <c r="X963" t="str">
        <v>Nao</v>
      </c>
      <c r="Y963" t="str">
        <v>Malaria</v>
      </c>
      <c r="Z963">
        <v>26</v>
      </c>
      <c r="AA963">
        <v>64.5</v>
      </c>
      <c r="AB963">
        <v>1.5</v>
      </c>
      <c r="AC963">
        <v>1</v>
      </c>
      <c r="AD963">
        <v>113</v>
      </c>
      <c r="AE963">
        <v>81</v>
      </c>
      <c r="AF963" t="str">
        <v>Rural</v>
      </c>
      <c r="AG963" t="str">
        <v>Nao</v>
      </c>
    </row>
    <row r="964" spans="2:33" x14ac:dyDescent="0.45">
      <c r="B964" s="4">
        <v>963</v>
      </c>
      <c r="C964" s="4" t="s">
        <v>22</v>
      </c>
      <c r="D964" s="4" t="s">
        <v>16</v>
      </c>
      <c r="E964" s="4" t="s">
        <v>44</v>
      </c>
      <c r="F964" s="4" t="s">
        <v>24</v>
      </c>
      <c r="G964" s="4" t="s">
        <v>19</v>
      </c>
      <c r="H964" s="4" t="s">
        <v>28</v>
      </c>
      <c r="I964" s="4">
        <v>90</v>
      </c>
      <c r="J964" s="5">
        <v>77.2</v>
      </c>
      <c r="K964" s="6">
        <v>1.65</v>
      </c>
      <c r="L964" s="4">
        <v>2</v>
      </c>
      <c r="M964" s="4">
        <v>129</v>
      </c>
      <c r="N964" s="4">
        <v>96</v>
      </c>
      <c r="O964" s="4" t="s">
        <v>26</v>
      </c>
      <c r="P964" s="7" t="s">
        <v>19</v>
      </c>
      <c r="S964">
        <v>2072</v>
      </c>
      <c r="T964" t="str">
        <v>Maputo Provincia</v>
      </c>
      <c r="U964" t="str">
        <v>Masculino</v>
      </c>
      <c r="V964" t="str">
        <v>Solteiro(a)</v>
      </c>
      <c r="W964" t="str">
        <v>Secundaria</v>
      </c>
      <c r="X964" t="str">
        <v>Nao</v>
      </c>
      <c r="Y964" t="str">
        <v>Tuberculose</v>
      </c>
      <c r="Z964">
        <v>36</v>
      </c>
      <c r="AA964">
        <v>61.7</v>
      </c>
      <c r="AB964">
        <v>1.66</v>
      </c>
      <c r="AC964">
        <v>2</v>
      </c>
      <c r="AD964">
        <v>118</v>
      </c>
      <c r="AE964">
        <v>99</v>
      </c>
      <c r="AF964" t="str">
        <v>Rural</v>
      </c>
      <c r="AG964" t="str">
        <v>Nao</v>
      </c>
    </row>
    <row r="965" spans="2:33" x14ac:dyDescent="0.45">
      <c r="B965" s="4">
        <v>964</v>
      </c>
      <c r="C965" s="4" t="s">
        <v>43</v>
      </c>
      <c r="D965" s="4" t="s">
        <v>16</v>
      </c>
      <c r="E965" s="4" t="s">
        <v>17</v>
      </c>
      <c r="F965" s="4" t="s">
        <v>28</v>
      </c>
      <c r="G965" s="4" t="s">
        <v>19</v>
      </c>
      <c r="H965" s="4" t="s">
        <v>20</v>
      </c>
      <c r="I965" s="4">
        <v>20</v>
      </c>
      <c r="J965" s="5">
        <v>64.400000000000006</v>
      </c>
      <c r="K965" s="6">
        <v>1.9</v>
      </c>
      <c r="L965" s="4">
        <v>2</v>
      </c>
      <c r="M965" s="4">
        <v>119</v>
      </c>
      <c r="N965" s="4">
        <v>81</v>
      </c>
      <c r="O965" s="4" t="s">
        <v>21</v>
      </c>
      <c r="P965" s="7" t="s">
        <v>19</v>
      </c>
      <c r="S965">
        <v>2073</v>
      </c>
      <c r="T965" t="str">
        <v>Sofala</v>
      </c>
      <c r="U965" t="str">
        <v>Masculino</v>
      </c>
      <c r="V965" t="str">
        <v>Solteiro(a)</v>
      </c>
      <c r="W965" t="str">
        <v>Secundaria</v>
      </c>
      <c r="X965" t="str">
        <v>Nao</v>
      </c>
      <c r="Y965" t="str">
        <v>Diabetes</v>
      </c>
      <c r="Z965">
        <v>0</v>
      </c>
      <c r="AA965">
        <v>7.8</v>
      </c>
      <c r="AB965">
        <v>0.61</v>
      </c>
      <c r="AC965">
        <v>2</v>
      </c>
      <c r="AD965">
        <v>92</v>
      </c>
      <c r="AE965">
        <v>144</v>
      </c>
      <c r="AF965" t="str">
        <v>Rural</v>
      </c>
      <c r="AG965" t="str">
        <v>Nao</v>
      </c>
    </row>
    <row r="966" spans="2:33" x14ac:dyDescent="0.45">
      <c r="B966" s="4">
        <v>965</v>
      </c>
      <c r="C966" s="4" t="s">
        <v>22</v>
      </c>
      <c r="D966" s="4" t="s">
        <v>16</v>
      </c>
      <c r="E966" s="4" t="s">
        <v>17</v>
      </c>
      <c r="F966" s="4" t="s">
        <v>18</v>
      </c>
      <c r="G966" s="4" t="s">
        <v>19</v>
      </c>
      <c r="H966" s="4" t="s">
        <v>28</v>
      </c>
      <c r="I966" s="4">
        <v>57</v>
      </c>
      <c r="J966" s="5">
        <v>53.9</v>
      </c>
      <c r="K966" s="6">
        <v>1.6</v>
      </c>
      <c r="L966" s="4">
        <v>1</v>
      </c>
      <c r="M966" s="4">
        <v>120</v>
      </c>
      <c r="N966" s="4">
        <v>97</v>
      </c>
      <c r="O966" s="4" t="s">
        <v>26</v>
      </c>
      <c r="P966" s="7" t="s">
        <v>19</v>
      </c>
      <c r="S966">
        <v>2075</v>
      </c>
      <c r="T966" t="str">
        <v>Niassa</v>
      </c>
      <c r="U966" t="str">
        <v>Masculino</v>
      </c>
      <c r="V966" t="str">
        <v>Casado(a)</v>
      </c>
      <c r="W966" t="str">
        <v>Primaria</v>
      </c>
      <c r="X966" t="str">
        <v>Nao</v>
      </c>
      <c r="Y966" t="str">
        <v>Malaria</v>
      </c>
      <c r="Z966">
        <v>10</v>
      </c>
      <c r="AA966">
        <v>33.799999999999997</v>
      </c>
      <c r="AB966">
        <v>1.1599999999999999</v>
      </c>
      <c r="AC966">
        <v>1</v>
      </c>
      <c r="AD966">
        <v>118</v>
      </c>
      <c r="AE966">
        <v>105</v>
      </c>
      <c r="AF966" t="str">
        <v>Rural</v>
      </c>
      <c r="AG966" t="str">
        <v>Nao</v>
      </c>
    </row>
    <row r="967" spans="2:33" x14ac:dyDescent="0.45">
      <c r="B967" s="4">
        <v>966</v>
      </c>
      <c r="C967" s="4" t="s">
        <v>41</v>
      </c>
      <c r="D967" s="4" t="s">
        <v>16</v>
      </c>
      <c r="E967" s="4" t="s">
        <v>35</v>
      </c>
      <c r="F967" s="4" t="s">
        <v>18</v>
      </c>
      <c r="G967" s="4" t="s">
        <v>19</v>
      </c>
      <c r="H967" s="4" t="s">
        <v>36</v>
      </c>
      <c r="I967" s="4">
        <v>26</v>
      </c>
      <c r="J967" s="5">
        <v>74.3</v>
      </c>
      <c r="K967" s="6">
        <v>1.69</v>
      </c>
      <c r="L967" s="4">
        <v>2</v>
      </c>
      <c r="M967" s="4">
        <v>135</v>
      </c>
      <c r="N967" s="4">
        <v>83</v>
      </c>
      <c r="O967" s="4" t="s">
        <v>26</v>
      </c>
      <c r="P967" s="7" t="s">
        <v>19</v>
      </c>
      <c r="S967">
        <v>2076</v>
      </c>
      <c r="T967" t="str">
        <v>Gaza</v>
      </c>
      <c r="U967" t="str">
        <v>Masculino</v>
      </c>
      <c r="V967" t="str">
        <v>Solteiro(a)</v>
      </c>
      <c r="W967" t="str">
        <v>Primaria</v>
      </c>
      <c r="X967" t="str">
        <v>Nao</v>
      </c>
      <c r="Y967" t="str">
        <v>HIV/SIDA</v>
      </c>
      <c r="Z967">
        <v>61</v>
      </c>
      <c r="AA967">
        <v>50.2</v>
      </c>
      <c r="AB967">
        <v>1.73</v>
      </c>
      <c r="AC967">
        <v>1</v>
      </c>
      <c r="AD967">
        <v>127</v>
      </c>
      <c r="AE967">
        <v>71</v>
      </c>
      <c r="AF967" t="str">
        <v>Rural</v>
      </c>
      <c r="AG967" t="str">
        <v>Nao</v>
      </c>
    </row>
    <row r="968" spans="2:33" x14ac:dyDescent="0.45">
      <c r="B968" s="4">
        <v>967</v>
      </c>
      <c r="C968" s="4" t="s">
        <v>45</v>
      </c>
      <c r="D968" s="4" t="s">
        <v>16</v>
      </c>
      <c r="E968" s="4" t="s">
        <v>17</v>
      </c>
      <c r="F968" s="4" t="s">
        <v>24</v>
      </c>
      <c r="G968" s="4" t="s">
        <v>19</v>
      </c>
      <c r="H968" s="4" t="s">
        <v>20</v>
      </c>
      <c r="I968" s="4">
        <v>33</v>
      </c>
      <c r="J968" s="5">
        <v>54.6</v>
      </c>
      <c r="K968" s="6">
        <v>1.49</v>
      </c>
      <c r="L968" s="4">
        <v>6</v>
      </c>
      <c r="M968" s="4">
        <v>113</v>
      </c>
      <c r="N968" s="4">
        <v>71</v>
      </c>
      <c r="O968" s="4" t="s">
        <v>26</v>
      </c>
      <c r="P968" s="7" t="s">
        <v>19</v>
      </c>
      <c r="S968">
        <v>2081</v>
      </c>
      <c r="T968" t="str">
        <v>Gaza</v>
      </c>
      <c r="U968" t="str">
        <v>Masculino</v>
      </c>
      <c r="V968" t="str">
        <v>Solteiro(a)</v>
      </c>
      <c r="W968" t="str">
        <v>Primaria</v>
      </c>
      <c r="X968" t="str">
        <v>Nao</v>
      </c>
      <c r="Y968" t="str">
        <v>Malaria</v>
      </c>
      <c r="Z968">
        <v>65</v>
      </c>
      <c r="AA968">
        <v>61.1</v>
      </c>
      <c r="AB968">
        <v>1.87</v>
      </c>
      <c r="AC968">
        <v>2</v>
      </c>
      <c r="AD968">
        <v>126</v>
      </c>
      <c r="AE968">
        <v>87</v>
      </c>
      <c r="AF968" t="str">
        <v>Rural</v>
      </c>
      <c r="AG968" t="str">
        <v>Nao</v>
      </c>
    </row>
    <row r="969" spans="2:33" x14ac:dyDescent="0.45">
      <c r="B969" s="4">
        <v>968</v>
      </c>
      <c r="C969" s="4" t="s">
        <v>22</v>
      </c>
      <c r="D969" s="4" t="s">
        <v>23</v>
      </c>
      <c r="E969" s="4" t="s">
        <v>17</v>
      </c>
      <c r="F969" s="4" t="s">
        <v>18</v>
      </c>
      <c r="G969" s="4" t="s">
        <v>19</v>
      </c>
      <c r="H969" s="4" t="s">
        <v>34</v>
      </c>
      <c r="I969" s="4">
        <v>12</v>
      </c>
      <c r="J969" s="5">
        <v>56.7</v>
      </c>
      <c r="K969" s="6">
        <v>1.69</v>
      </c>
      <c r="L969" s="4">
        <v>2</v>
      </c>
      <c r="M969" s="4">
        <v>112</v>
      </c>
      <c r="N969" s="4">
        <v>79</v>
      </c>
      <c r="O969" s="4" t="s">
        <v>26</v>
      </c>
      <c r="P969" s="7" t="s">
        <v>19</v>
      </c>
      <c r="S969">
        <v>2082</v>
      </c>
      <c r="T969" t="str">
        <v>Zambezia</v>
      </c>
      <c r="U969" t="str">
        <v>Masculino</v>
      </c>
      <c r="V969" t="str">
        <v>Casado(a)</v>
      </c>
      <c r="W969" t="str">
        <v>Primaria</v>
      </c>
      <c r="X969" t="str">
        <v>Nao</v>
      </c>
      <c r="Y969" t="str">
        <v>Diabetes</v>
      </c>
      <c r="Z969">
        <v>6</v>
      </c>
      <c r="AA969">
        <v>33.5</v>
      </c>
      <c r="AB969">
        <v>1.22</v>
      </c>
      <c r="AC969">
        <v>5</v>
      </c>
      <c r="AD969">
        <v>98</v>
      </c>
      <c r="AE969">
        <v>140</v>
      </c>
      <c r="AF969" t="str">
        <v>Urbana</v>
      </c>
      <c r="AG969" t="str">
        <v>Nao</v>
      </c>
    </row>
    <row r="970" spans="2:33" x14ac:dyDescent="0.45">
      <c r="B970" s="4">
        <v>969</v>
      </c>
      <c r="C970" s="4" t="s">
        <v>29</v>
      </c>
      <c r="D970" s="4" t="s">
        <v>23</v>
      </c>
      <c r="E970" s="4" t="s">
        <v>35</v>
      </c>
      <c r="F970" s="4" t="s">
        <v>28</v>
      </c>
      <c r="G970" s="4" t="s">
        <v>19</v>
      </c>
      <c r="H970" s="4" t="s">
        <v>28</v>
      </c>
      <c r="I970" s="4">
        <v>25</v>
      </c>
      <c r="J970" s="5">
        <v>77.099999999999994</v>
      </c>
      <c r="K970" s="6">
        <v>1.62</v>
      </c>
      <c r="L970" s="4">
        <v>5</v>
      </c>
      <c r="M970" s="4">
        <v>122</v>
      </c>
      <c r="N970" s="4">
        <v>77</v>
      </c>
      <c r="O970" s="4" t="s">
        <v>21</v>
      </c>
      <c r="P970" s="7" t="s">
        <v>19</v>
      </c>
      <c r="S970">
        <v>2083</v>
      </c>
      <c r="T970" t="str">
        <v>Nampula</v>
      </c>
      <c r="U970" t="str">
        <v>Masculino</v>
      </c>
      <c r="V970" t="str">
        <v>Solteiro(a)</v>
      </c>
      <c r="W970" t="str">
        <v>Primaria</v>
      </c>
      <c r="X970" t="str">
        <v>Nao</v>
      </c>
      <c r="Y970" t="str">
        <v>Diabetes</v>
      </c>
      <c r="Z970">
        <v>7</v>
      </c>
      <c r="AA970">
        <v>21.3</v>
      </c>
      <c r="AB970">
        <v>1.3</v>
      </c>
      <c r="AC970">
        <v>4</v>
      </c>
      <c r="AD970">
        <v>108</v>
      </c>
      <c r="AE970">
        <v>133</v>
      </c>
      <c r="AF970" t="str">
        <v>Rural</v>
      </c>
      <c r="AG970" t="str">
        <v>Nao</v>
      </c>
    </row>
    <row r="971" spans="2:33" x14ac:dyDescent="0.45">
      <c r="B971" s="4">
        <v>970</v>
      </c>
      <c r="C971" s="4" t="s">
        <v>27</v>
      </c>
      <c r="D971" s="4" t="s">
        <v>23</v>
      </c>
      <c r="E971" s="4" t="s">
        <v>17</v>
      </c>
      <c r="F971" s="4" t="s">
        <v>24</v>
      </c>
      <c r="G971" s="4" t="s">
        <v>19</v>
      </c>
      <c r="H971" s="4" t="s">
        <v>20</v>
      </c>
      <c r="I971" s="4">
        <v>29</v>
      </c>
      <c r="J971" s="5">
        <v>91.7</v>
      </c>
      <c r="K971" s="6">
        <v>1.88</v>
      </c>
      <c r="L971" s="4">
        <v>1</v>
      </c>
      <c r="M971" s="4">
        <v>116</v>
      </c>
      <c r="N971" s="4">
        <v>75</v>
      </c>
      <c r="O971" s="4" t="s">
        <v>26</v>
      </c>
      <c r="P971" s="7" t="s">
        <v>19</v>
      </c>
      <c r="S971">
        <v>2087</v>
      </c>
      <c r="T971" t="str">
        <v>Sofala</v>
      </c>
      <c r="U971" t="str">
        <v>Masculino</v>
      </c>
      <c r="V971" t="str">
        <v>Viuvo(a)</v>
      </c>
      <c r="W971" t="str">
        <v>Primaria</v>
      </c>
      <c r="X971" t="str">
        <v>Nao</v>
      </c>
      <c r="Y971" t="str">
        <v>Nenhuma</v>
      </c>
      <c r="Z971">
        <v>36</v>
      </c>
      <c r="AA971">
        <v>60.6</v>
      </c>
      <c r="AB971">
        <v>1.59</v>
      </c>
      <c r="AC971">
        <v>3</v>
      </c>
      <c r="AD971">
        <v>105</v>
      </c>
      <c r="AE971">
        <v>83</v>
      </c>
      <c r="AF971" t="str">
        <v>Rural</v>
      </c>
      <c r="AG971" t="str">
        <v>Nao</v>
      </c>
    </row>
    <row r="972" spans="2:33" x14ac:dyDescent="0.45">
      <c r="B972" s="4">
        <v>971</v>
      </c>
      <c r="C972" s="4" t="s">
        <v>41</v>
      </c>
      <c r="D972" s="4" t="s">
        <v>23</v>
      </c>
      <c r="E972" s="4" t="s">
        <v>37</v>
      </c>
      <c r="F972" s="4" t="s">
        <v>18</v>
      </c>
      <c r="G972" s="4" t="s">
        <v>19</v>
      </c>
      <c r="H972" s="4" t="s">
        <v>20</v>
      </c>
      <c r="I972" s="4">
        <v>15</v>
      </c>
      <c r="J972" s="5">
        <v>48.1</v>
      </c>
      <c r="K972" s="6">
        <v>1.52</v>
      </c>
      <c r="L972" s="4">
        <v>1</v>
      </c>
      <c r="M972" s="4">
        <v>113</v>
      </c>
      <c r="N972" s="4">
        <v>105</v>
      </c>
      <c r="O972" s="4" t="s">
        <v>21</v>
      </c>
      <c r="P972" s="7" t="s">
        <v>19</v>
      </c>
      <c r="S972">
        <v>2090</v>
      </c>
      <c r="T972" t="str">
        <v>Zambezia</v>
      </c>
      <c r="U972" t="str">
        <v>Masculino</v>
      </c>
      <c r="V972" t="str">
        <v>Solteiro(a)</v>
      </c>
      <c r="W972" t="str">
        <v>Nenhuma</v>
      </c>
      <c r="X972" t="str">
        <v>Nao</v>
      </c>
      <c r="Y972" t="str">
        <v>Nenhuma</v>
      </c>
      <c r="Z972">
        <v>22</v>
      </c>
      <c r="AA972">
        <v>62.5</v>
      </c>
      <c r="AB972">
        <v>1.6</v>
      </c>
      <c r="AC972">
        <v>2</v>
      </c>
      <c r="AD972">
        <v>101</v>
      </c>
      <c r="AE972">
        <v>81</v>
      </c>
      <c r="AF972" t="str">
        <v>Urbana</v>
      </c>
      <c r="AG972" t="str">
        <v>Sim</v>
      </c>
    </row>
    <row r="973" spans="2:33" x14ac:dyDescent="0.45">
      <c r="B973" s="4">
        <v>972</v>
      </c>
      <c r="C973" s="4" t="s">
        <v>27</v>
      </c>
      <c r="D973" s="4" t="s">
        <v>23</v>
      </c>
      <c r="E973" s="4" t="s">
        <v>17</v>
      </c>
      <c r="F973" s="4" t="s">
        <v>24</v>
      </c>
      <c r="G973" s="4" t="s">
        <v>19</v>
      </c>
      <c r="H973" s="4" t="s">
        <v>20</v>
      </c>
      <c r="I973" s="4">
        <v>90</v>
      </c>
      <c r="J973" s="5">
        <v>66</v>
      </c>
      <c r="K973" s="6">
        <v>1.52</v>
      </c>
      <c r="L973" s="4">
        <v>1</v>
      </c>
      <c r="M973" s="4">
        <v>121</v>
      </c>
      <c r="N973" s="4">
        <v>91</v>
      </c>
      <c r="O973" s="4" t="s">
        <v>21</v>
      </c>
      <c r="P973" s="7" t="s">
        <v>30</v>
      </c>
      <c r="S973">
        <v>2092</v>
      </c>
      <c r="T973" t="str">
        <v>Sofala</v>
      </c>
      <c r="U973" t="str">
        <v>Masculino</v>
      </c>
      <c r="V973" t="str">
        <v>Divorciado(a)</v>
      </c>
      <c r="W973" t="str">
        <v>Primaria</v>
      </c>
      <c r="X973" t="str">
        <v>Nao</v>
      </c>
      <c r="Y973" t="str">
        <v>Nenhuma</v>
      </c>
      <c r="Z973">
        <v>36</v>
      </c>
      <c r="AA973">
        <v>74.900000000000006</v>
      </c>
      <c r="AB973">
        <v>1.8</v>
      </c>
      <c r="AC973">
        <v>1</v>
      </c>
      <c r="AD973">
        <v>111</v>
      </c>
      <c r="AE973">
        <v>99</v>
      </c>
      <c r="AF973" t="str">
        <v>Rural</v>
      </c>
      <c r="AG973" t="str">
        <v>Nao</v>
      </c>
    </row>
    <row r="974" spans="2:33" x14ac:dyDescent="0.45">
      <c r="B974" s="4">
        <v>973</v>
      </c>
      <c r="C974" s="4" t="s">
        <v>33</v>
      </c>
      <c r="D974" s="4" t="s">
        <v>16</v>
      </c>
      <c r="E974" s="4" t="s">
        <v>17</v>
      </c>
      <c r="F974" s="4" t="s">
        <v>18</v>
      </c>
      <c r="G974" s="4" t="s">
        <v>30</v>
      </c>
      <c r="H974" s="4" t="s">
        <v>28</v>
      </c>
      <c r="I974" s="4">
        <v>41</v>
      </c>
      <c r="J974" s="5">
        <v>87.2</v>
      </c>
      <c r="K974" s="6">
        <v>1.89</v>
      </c>
      <c r="L974" s="4">
        <v>1</v>
      </c>
      <c r="M974" s="4">
        <v>105</v>
      </c>
      <c r="N974" s="4">
        <v>77</v>
      </c>
      <c r="O974" s="4" t="s">
        <v>21</v>
      </c>
      <c r="P974" s="7" t="s">
        <v>19</v>
      </c>
      <c r="S974">
        <v>2096</v>
      </c>
      <c r="T974" t="str">
        <v>Sofala</v>
      </c>
      <c r="U974" t="str">
        <v>Masculino</v>
      </c>
      <c r="V974" t="str">
        <v>Solteiro(a)</v>
      </c>
      <c r="W974" t="str">
        <v>Nenhuma</v>
      </c>
      <c r="X974" t="str">
        <v>Nao</v>
      </c>
      <c r="Y974" t="str">
        <v>Tuberculose</v>
      </c>
      <c r="Z974">
        <v>26</v>
      </c>
      <c r="AA974">
        <v>70</v>
      </c>
      <c r="AB974">
        <v>1.56</v>
      </c>
      <c r="AC974">
        <v>2</v>
      </c>
      <c r="AD974">
        <v>107</v>
      </c>
      <c r="AE974">
        <v>105</v>
      </c>
      <c r="AF974" t="str">
        <v>Rural</v>
      </c>
      <c r="AG974" t="str">
        <v>Nao</v>
      </c>
    </row>
    <row r="975" spans="2:33" x14ac:dyDescent="0.45">
      <c r="B975" s="4">
        <v>974</v>
      </c>
      <c r="C975" s="4" t="s">
        <v>31</v>
      </c>
      <c r="D975" s="4" t="s">
        <v>16</v>
      </c>
      <c r="E975" s="4" t="s">
        <v>17</v>
      </c>
      <c r="F975" s="4" t="s">
        <v>18</v>
      </c>
      <c r="G975" s="4" t="s">
        <v>30</v>
      </c>
      <c r="H975" s="4" t="s">
        <v>36</v>
      </c>
      <c r="I975" s="4">
        <v>53</v>
      </c>
      <c r="J975" s="5">
        <v>77.7</v>
      </c>
      <c r="K975" s="6">
        <v>1.78</v>
      </c>
      <c r="L975" s="4">
        <v>2</v>
      </c>
      <c r="M975" s="4">
        <v>143</v>
      </c>
      <c r="N975" s="4">
        <v>86</v>
      </c>
      <c r="O975" s="4" t="s">
        <v>21</v>
      </c>
      <c r="P975" s="7" t="s">
        <v>19</v>
      </c>
      <c r="S975">
        <v>2098</v>
      </c>
      <c r="T975" t="str">
        <v>Zambezia</v>
      </c>
      <c r="U975" t="str">
        <v>Masculino</v>
      </c>
      <c r="V975" t="str">
        <v>Solteiro(a)</v>
      </c>
      <c r="W975" t="str">
        <v>Primaria</v>
      </c>
      <c r="X975" t="str">
        <v>Nao</v>
      </c>
      <c r="Y975" t="str">
        <v>Malaria</v>
      </c>
      <c r="Z975">
        <v>5</v>
      </c>
      <c r="AA975">
        <v>25.8</v>
      </c>
      <c r="AB975">
        <v>1.1599999999999999</v>
      </c>
      <c r="AC975">
        <v>3</v>
      </c>
      <c r="AD975">
        <v>117</v>
      </c>
      <c r="AE975">
        <v>97</v>
      </c>
      <c r="AF975" t="str">
        <v>Rural</v>
      </c>
      <c r="AG975" t="str">
        <v>Sim</v>
      </c>
    </row>
    <row r="976" spans="2:33" x14ac:dyDescent="0.45">
      <c r="B976" s="4">
        <v>975</v>
      </c>
      <c r="C976" s="4" t="s">
        <v>33</v>
      </c>
      <c r="D976" s="4" t="s">
        <v>23</v>
      </c>
      <c r="E976" s="4" t="s">
        <v>37</v>
      </c>
      <c r="F976" s="4" t="s">
        <v>18</v>
      </c>
      <c r="G976" s="4" t="s">
        <v>30</v>
      </c>
      <c r="H976" s="4" t="s">
        <v>28</v>
      </c>
      <c r="I976" s="4">
        <v>64</v>
      </c>
      <c r="J976" s="5">
        <v>61.6</v>
      </c>
      <c r="K976" s="6">
        <v>1.84</v>
      </c>
      <c r="L976" s="4">
        <v>2</v>
      </c>
      <c r="M976" s="4">
        <v>138</v>
      </c>
      <c r="N976" s="4">
        <v>94</v>
      </c>
      <c r="O976" s="4" t="s">
        <v>21</v>
      </c>
      <c r="P976" s="7" t="s">
        <v>30</v>
      </c>
      <c r="S976">
        <v>2100</v>
      </c>
      <c r="T976" t="str">
        <v>Manica</v>
      </c>
      <c r="U976" t="str">
        <v>Masculino</v>
      </c>
      <c r="V976" t="str">
        <v>Casado(a)</v>
      </c>
      <c r="W976" t="str">
        <v>Secundaria</v>
      </c>
      <c r="X976" t="str">
        <v>Nao</v>
      </c>
      <c r="Y976" t="str">
        <v>Nenhuma</v>
      </c>
      <c r="Z976">
        <v>7</v>
      </c>
      <c r="AA976">
        <v>25.2</v>
      </c>
      <c r="AB976">
        <v>1.1599999999999999</v>
      </c>
      <c r="AC976">
        <v>4</v>
      </c>
      <c r="AD976">
        <v>108</v>
      </c>
      <c r="AE976">
        <v>85</v>
      </c>
      <c r="AF976" t="str">
        <v>Rural</v>
      </c>
      <c r="AG976" t="str">
        <v>Sim</v>
      </c>
    </row>
    <row r="977" spans="2:33" x14ac:dyDescent="0.45">
      <c r="B977" s="4">
        <v>976</v>
      </c>
      <c r="C977" s="4" t="s">
        <v>39</v>
      </c>
      <c r="D977" s="4" t="s">
        <v>23</v>
      </c>
      <c r="E977" s="4" t="s">
        <v>35</v>
      </c>
      <c r="F977" s="4" t="s">
        <v>18</v>
      </c>
      <c r="G977" s="4" t="s">
        <v>19</v>
      </c>
      <c r="H977" s="4" t="s">
        <v>20</v>
      </c>
      <c r="I977" s="4">
        <v>1</v>
      </c>
      <c r="J977" s="5">
        <v>18</v>
      </c>
      <c r="K977" s="6">
        <v>0.71</v>
      </c>
      <c r="L977" s="4">
        <v>2</v>
      </c>
      <c r="M977" s="4">
        <v>108</v>
      </c>
      <c r="N977" s="4">
        <v>93</v>
      </c>
      <c r="O977" s="4" t="s">
        <v>21</v>
      </c>
      <c r="P977" s="7" t="s">
        <v>19</v>
      </c>
      <c r="S977">
        <v>2101</v>
      </c>
      <c r="T977" t="str">
        <v>Maputo Cidade</v>
      </c>
      <c r="U977" t="str">
        <v>Masculino</v>
      </c>
      <c r="V977" t="str">
        <v>Solteiro(a)</v>
      </c>
      <c r="W977" t="str">
        <v>Secundaria</v>
      </c>
      <c r="X977" t="str">
        <v>Nao</v>
      </c>
      <c r="Y977" t="str">
        <v>Malaria</v>
      </c>
      <c r="Z977">
        <v>7</v>
      </c>
      <c r="AA977">
        <v>24.6</v>
      </c>
      <c r="AB977">
        <v>1.26</v>
      </c>
      <c r="AC977">
        <v>5</v>
      </c>
      <c r="AD977">
        <v>101</v>
      </c>
      <c r="AE977">
        <v>96</v>
      </c>
      <c r="AF977" t="str">
        <v>Rural</v>
      </c>
      <c r="AG977" t="str">
        <v>Nao</v>
      </c>
    </row>
    <row r="978" spans="2:33" x14ac:dyDescent="0.45">
      <c r="B978" s="4">
        <v>977</v>
      </c>
      <c r="C978" s="4" t="s">
        <v>33</v>
      </c>
      <c r="D978" s="4" t="s">
        <v>16</v>
      </c>
      <c r="E978" s="4" t="s">
        <v>17</v>
      </c>
      <c r="F978" s="4" t="s">
        <v>24</v>
      </c>
      <c r="G978" s="4" t="s">
        <v>19</v>
      </c>
      <c r="H978" s="4" t="s">
        <v>34</v>
      </c>
      <c r="I978" s="4">
        <v>55</v>
      </c>
      <c r="J978" s="5">
        <v>52.6</v>
      </c>
      <c r="K978" s="6">
        <v>1.66</v>
      </c>
      <c r="L978" s="4">
        <v>9</v>
      </c>
      <c r="M978" s="4">
        <v>131</v>
      </c>
      <c r="N978" s="4">
        <v>96</v>
      </c>
      <c r="O978" s="4" t="s">
        <v>21</v>
      </c>
      <c r="P978" s="7" t="s">
        <v>19</v>
      </c>
      <c r="S978">
        <v>2104</v>
      </c>
      <c r="T978" t="str">
        <v>Sofala</v>
      </c>
      <c r="U978" t="str">
        <v>Masculino</v>
      </c>
      <c r="V978" t="str">
        <v>Divorciado(a)</v>
      </c>
      <c r="W978" t="str">
        <v>Secundaria</v>
      </c>
      <c r="X978" t="str">
        <v>Sim</v>
      </c>
      <c r="Y978" t="str">
        <v>Pneumonia</v>
      </c>
      <c r="Z978">
        <v>27</v>
      </c>
      <c r="AA978">
        <v>89.6</v>
      </c>
      <c r="AB978">
        <v>1.64</v>
      </c>
      <c r="AC978">
        <v>2</v>
      </c>
      <c r="AD978">
        <v>103</v>
      </c>
      <c r="AE978">
        <v>80</v>
      </c>
      <c r="AF978" t="str">
        <v>Urbana</v>
      </c>
      <c r="AG978" t="str">
        <v>Sim</v>
      </c>
    </row>
    <row r="979" spans="2:33" x14ac:dyDescent="0.45">
      <c r="B979" s="4">
        <v>978</v>
      </c>
      <c r="C979" s="4" t="s">
        <v>22</v>
      </c>
      <c r="D979" s="4" t="s">
        <v>16</v>
      </c>
      <c r="E979" s="4" t="s">
        <v>35</v>
      </c>
      <c r="F979" s="4" t="s">
        <v>42</v>
      </c>
      <c r="G979" s="4" t="s">
        <v>19</v>
      </c>
      <c r="H979" s="4" t="s">
        <v>38</v>
      </c>
      <c r="I979" s="4">
        <v>34</v>
      </c>
      <c r="J979" s="5">
        <v>53.4</v>
      </c>
      <c r="K979" s="6">
        <v>1.54</v>
      </c>
      <c r="L979" s="4">
        <v>4</v>
      </c>
      <c r="M979" s="4">
        <v>110</v>
      </c>
      <c r="N979" s="4">
        <v>80</v>
      </c>
      <c r="O979" s="4" t="s">
        <v>26</v>
      </c>
      <c r="P979" s="7" t="s">
        <v>19</v>
      </c>
      <c r="S979">
        <v>2105</v>
      </c>
      <c r="T979" t="str">
        <v>Zambezia</v>
      </c>
      <c r="U979" t="str">
        <v>Masculino</v>
      </c>
      <c r="V979" t="str">
        <v>Solteiro(a)</v>
      </c>
      <c r="W979" t="str">
        <v>Secundaria</v>
      </c>
      <c r="X979" t="str">
        <v>Sim</v>
      </c>
      <c r="Y979" t="str">
        <v>Malaria</v>
      </c>
      <c r="Z979">
        <v>39</v>
      </c>
      <c r="AA979">
        <v>58.9</v>
      </c>
      <c r="AB979">
        <v>1.63</v>
      </c>
      <c r="AC979">
        <v>5</v>
      </c>
      <c r="AD979">
        <v>103</v>
      </c>
      <c r="AE979">
        <v>77</v>
      </c>
      <c r="AF979" t="str">
        <v>Rural</v>
      </c>
      <c r="AG979" t="str">
        <v>Nao</v>
      </c>
    </row>
    <row r="980" spans="2:33" x14ac:dyDescent="0.45">
      <c r="B980" s="4">
        <v>979</v>
      </c>
      <c r="C980" s="4" t="s">
        <v>29</v>
      </c>
      <c r="D980" s="4" t="s">
        <v>23</v>
      </c>
      <c r="E980" s="4" t="s">
        <v>35</v>
      </c>
      <c r="F980" s="4" t="s">
        <v>18</v>
      </c>
      <c r="G980" s="4" t="s">
        <v>19</v>
      </c>
      <c r="H980" s="4" t="s">
        <v>38</v>
      </c>
      <c r="I980" s="4">
        <v>7</v>
      </c>
      <c r="J980" s="5">
        <v>35.799999999999997</v>
      </c>
      <c r="K980" s="6">
        <v>1.41</v>
      </c>
      <c r="L980" s="4">
        <v>0</v>
      </c>
      <c r="M980" s="4">
        <v>111</v>
      </c>
      <c r="N980" s="4">
        <v>87</v>
      </c>
      <c r="O980" s="4" t="s">
        <v>21</v>
      </c>
      <c r="P980" s="7" t="s">
        <v>19</v>
      </c>
      <c r="S980">
        <v>2106</v>
      </c>
      <c r="T980" t="str">
        <v>Niassa</v>
      </c>
      <c r="U980" t="str">
        <v>Masculino</v>
      </c>
      <c r="V980" t="str">
        <v>Casado(a)</v>
      </c>
      <c r="W980" t="str">
        <v>Secundaria</v>
      </c>
      <c r="X980" t="str">
        <v>Nao</v>
      </c>
      <c r="Y980" t="str">
        <v>Hipertensao</v>
      </c>
      <c r="Z980">
        <v>11</v>
      </c>
      <c r="AA980">
        <v>26.3</v>
      </c>
      <c r="AB980">
        <v>1.25</v>
      </c>
      <c r="AC980">
        <v>3</v>
      </c>
      <c r="AD980">
        <v>150</v>
      </c>
      <c r="AE980">
        <v>71</v>
      </c>
      <c r="AF980" t="str">
        <v>Urbana</v>
      </c>
      <c r="AG980" t="str">
        <v>Sim</v>
      </c>
    </row>
    <row r="981" spans="2:33" x14ac:dyDescent="0.45">
      <c r="B981" s="4">
        <v>980</v>
      </c>
      <c r="C981" s="4" t="s">
        <v>15</v>
      </c>
      <c r="D981" s="4" t="s">
        <v>23</v>
      </c>
      <c r="E981" s="4" t="s">
        <v>17</v>
      </c>
      <c r="F981" s="4" t="s">
        <v>18</v>
      </c>
      <c r="G981" s="4" t="s">
        <v>19</v>
      </c>
      <c r="H981" s="4" t="s">
        <v>28</v>
      </c>
      <c r="I981" s="4">
        <v>14</v>
      </c>
      <c r="J981" s="5">
        <v>59.4</v>
      </c>
      <c r="K981" s="6">
        <v>1.7</v>
      </c>
      <c r="L981" s="4">
        <v>5</v>
      </c>
      <c r="M981" s="4">
        <v>98</v>
      </c>
      <c r="N981" s="4">
        <v>93</v>
      </c>
      <c r="O981" s="4" t="s">
        <v>26</v>
      </c>
      <c r="P981" s="7" t="s">
        <v>19</v>
      </c>
      <c r="S981">
        <v>2110</v>
      </c>
      <c r="T981" t="str">
        <v>Zambezia</v>
      </c>
      <c r="U981" t="str">
        <v>Masculino</v>
      </c>
      <c r="V981" t="str">
        <v>Casado(a)</v>
      </c>
      <c r="W981" t="str">
        <v>Primaria</v>
      </c>
      <c r="X981" t="str">
        <v>Nao</v>
      </c>
      <c r="Y981" t="str">
        <v>Hipertensao</v>
      </c>
      <c r="Z981">
        <v>57</v>
      </c>
      <c r="AA981">
        <v>63.2</v>
      </c>
      <c r="AB981">
        <v>1.49</v>
      </c>
      <c r="AC981">
        <v>3</v>
      </c>
      <c r="AD981">
        <v>154</v>
      </c>
      <c r="AE981">
        <v>97</v>
      </c>
      <c r="AF981" t="str">
        <v>Urbana</v>
      </c>
      <c r="AG981" t="str">
        <v>Nao</v>
      </c>
    </row>
    <row r="982" spans="2:33" x14ac:dyDescent="0.45">
      <c r="B982" s="4">
        <v>981</v>
      </c>
      <c r="C982" s="4" t="s">
        <v>29</v>
      </c>
      <c r="D982" s="4" t="s">
        <v>23</v>
      </c>
      <c r="E982" s="4" t="s">
        <v>44</v>
      </c>
      <c r="F982" s="4" t="s">
        <v>18</v>
      </c>
      <c r="G982" s="4" t="s">
        <v>19</v>
      </c>
      <c r="H982" s="4" t="s">
        <v>20</v>
      </c>
      <c r="I982" s="4">
        <v>16</v>
      </c>
      <c r="J982" s="5">
        <v>41.9</v>
      </c>
      <c r="K982" s="6">
        <v>1.58</v>
      </c>
      <c r="L982" s="4">
        <v>2</v>
      </c>
      <c r="M982" s="4">
        <v>107</v>
      </c>
      <c r="N982" s="4">
        <v>85</v>
      </c>
      <c r="O982" s="4" t="s">
        <v>26</v>
      </c>
      <c r="P982" s="7" t="s">
        <v>19</v>
      </c>
      <c r="S982">
        <v>2111</v>
      </c>
      <c r="T982" t="str">
        <v>Gaza</v>
      </c>
      <c r="U982" t="str">
        <v>Masculino</v>
      </c>
      <c r="V982" t="str">
        <v>Solteiro(a)</v>
      </c>
      <c r="W982" t="str">
        <v>Secundaria</v>
      </c>
      <c r="X982" t="str">
        <v>Nao</v>
      </c>
      <c r="Y982" t="str">
        <v>Nenhuma</v>
      </c>
      <c r="Z982">
        <v>29</v>
      </c>
      <c r="AA982">
        <v>52.5</v>
      </c>
      <c r="AB982">
        <v>1.86</v>
      </c>
      <c r="AC982">
        <v>2</v>
      </c>
      <c r="AD982">
        <v>115</v>
      </c>
      <c r="AE982">
        <v>70</v>
      </c>
      <c r="AF982" t="str">
        <v>Urbana</v>
      </c>
      <c r="AG982" t="str">
        <v>Nao</v>
      </c>
    </row>
    <row r="983" spans="2:33" x14ac:dyDescent="0.45">
      <c r="B983" s="4">
        <v>982</v>
      </c>
      <c r="C983" s="4" t="s">
        <v>45</v>
      </c>
      <c r="D983" s="4" t="s">
        <v>16</v>
      </c>
      <c r="E983" s="4" t="s">
        <v>35</v>
      </c>
      <c r="F983" s="4" t="s">
        <v>18</v>
      </c>
      <c r="G983" s="4" t="s">
        <v>19</v>
      </c>
      <c r="H983" s="4" t="s">
        <v>20</v>
      </c>
      <c r="I983" s="4">
        <v>26</v>
      </c>
      <c r="J983" s="5">
        <v>69.8</v>
      </c>
      <c r="K983" s="6">
        <v>1.7</v>
      </c>
      <c r="L983" s="4">
        <v>2</v>
      </c>
      <c r="M983" s="4">
        <v>111</v>
      </c>
      <c r="N983" s="4">
        <v>74</v>
      </c>
      <c r="O983" s="4" t="s">
        <v>26</v>
      </c>
      <c r="P983" s="7" t="s">
        <v>19</v>
      </c>
      <c r="S983">
        <v>2112</v>
      </c>
      <c r="T983" t="str">
        <v>Maputo Cidade</v>
      </c>
      <c r="U983" t="str">
        <v>Masculino</v>
      </c>
      <c r="V983" t="str">
        <v>Casado(a)</v>
      </c>
      <c r="W983" t="str">
        <v>Nenhuma</v>
      </c>
      <c r="X983" t="str">
        <v>Nao</v>
      </c>
      <c r="Y983" t="str">
        <v>Nenhuma</v>
      </c>
      <c r="Z983">
        <v>79</v>
      </c>
      <c r="AA983">
        <v>84.4</v>
      </c>
      <c r="AB983">
        <v>1.89</v>
      </c>
      <c r="AC983">
        <v>6</v>
      </c>
      <c r="AD983">
        <v>133</v>
      </c>
      <c r="AE983">
        <v>73</v>
      </c>
      <c r="AF983" t="str">
        <v>Rural</v>
      </c>
      <c r="AG983" t="str">
        <v>Nao</v>
      </c>
    </row>
    <row r="984" spans="2:33" x14ac:dyDescent="0.45">
      <c r="B984" s="4">
        <v>983</v>
      </c>
      <c r="C984" s="4" t="s">
        <v>40</v>
      </c>
      <c r="D984" s="4" t="s">
        <v>23</v>
      </c>
      <c r="E984" s="4" t="s">
        <v>35</v>
      </c>
      <c r="F984" s="4" t="s">
        <v>18</v>
      </c>
      <c r="G984" s="4" t="s">
        <v>19</v>
      </c>
      <c r="H984" s="4" t="s">
        <v>28</v>
      </c>
      <c r="I984" s="4">
        <v>12</v>
      </c>
      <c r="J984" s="5">
        <v>52.8</v>
      </c>
      <c r="K984" s="6">
        <v>1.49</v>
      </c>
      <c r="L984" s="4">
        <v>1</v>
      </c>
      <c r="M984" s="4">
        <v>107</v>
      </c>
      <c r="N984" s="4">
        <v>76</v>
      </c>
      <c r="O984" s="4" t="s">
        <v>26</v>
      </c>
      <c r="P984" s="7" t="s">
        <v>19</v>
      </c>
      <c r="S984">
        <v>2113</v>
      </c>
      <c r="T984" t="str">
        <v>Tete</v>
      </c>
      <c r="U984" t="str">
        <v>Masculino</v>
      </c>
      <c r="V984" t="str">
        <v>Casado(a)</v>
      </c>
      <c r="W984" t="str">
        <v>Secundaria</v>
      </c>
      <c r="X984" t="str">
        <v>Nao</v>
      </c>
      <c r="Y984" t="str">
        <v>HIV/SIDA</v>
      </c>
      <c r="Z984">
        <v>16</v>
      </c>
      <c r="AA984">
        <v>53.8</v>
      </c>
      <c r="AB984">
        <v>1.59</v>
      </c>
      <c r="AC984">
        <v>2</v>
      </c>
      <c r="AD984">
        <v>99</v>
      </c>
      <c r="AE984">
        <v>101</v>
      </c>
      <c r="AF984" t="str">
        <v>Rural</v>
      </c>
      <c r="AG984" t="str">
        <v>Nao</v>
      </c>
    </row>
    <row r="985" spans="2:33" x14ac:dyDescent="0.45">
      <c r="B985" s="4">
        <v>984</v>
      </c>
      <c r="C985" s="4" t="s">
        <v>27</v>
      </c>
      <c r="D985" s="4" t="s">
        <v>16</v>
      </c>
      <c r="E985" s="4" t="s">
        <v>17</v>
      </c>
      <c r="F985" s="4" t="s">
        <v>18</v>
      </c>
      <c r="G985" s="4" t="s">
        <v>19</v>
      </c>
      <c r="H985" s="4" t="s">
        <v>25</v>
      </c>
      <c r="I985" s="4">
        <v>6</v>
      </c>
      <c r="J985" s="5">
        <v>30.3</v>
      </c>
      <c r="K985" s="6">
        <v>1.06</v>
      </c>
      <c r="L985" s="4">
        <v>9</v>
      </c>
      <c r="M985" s="4">
        <v>110</v>
      </c>
      <c r="N985" s="4">
        <v>89</v>
      </c>
      <c r="O985" s="4" t="s">
        <v>26</v>
      </c>
      <c r="P985" s="7" t="s">
        <v>19</v>
      </c>
      <c r="S985">
        <v>2115</v>
      </c>
      <c r="T985" t="str">
        <v>Maputo Cidade</v>
      </c>
      <c r="U985" t="str">
        <v>Masculino</v>
      </c>
      <c r="V985" t="str">
        <v>Solteiro(a)</v>
      </c>
      <c r="W985" t="str">
        <v>Secundaria</v>
      </c>
      <c r="X985" t="str">
        <v>Sim</v>
      </c>
      <c r="Y985" t="str">
        <v>Pneumonia</v>
      </c>
      <c r="Z985">
        <v>7</v>
      </c>
      <c r="AA985">
        <v>27.9</v>
      </c>
      <c r="AB985">
        <v>1.2</v>
      </c>
      <c r="AC985">
        <v>3</v>
      </c>
      <c r="AD985">
        <v>101</v>
      </c>
      <c r="AE985">
        <v>97</v>
      </c>
      <c r="AF985" t="str">
        <v>Rural</v>
      </c>
      <c r="AG985" t="str">
        <v>Nao</v>
      </c>
    </row>
    <row r="986" spans="2:33" x14ac:dyDescent="0.45">
      <c r="B986" s="4">
        <v>985</v>
      </c>
      <c r="C986" s="4" t="s">
        <v>27</v>
      </c>
      <c r="D986" s="4" t="s">
        <v>23</v>
      </c>
      <c r="E986" s="4" t="s">
        <v>17</v>
      </c>
      <c r="F986" s="4" t="s">
        <v>24</v>
      </c>
      <c r="G986" s="4" t="s">
        <v>19</v>
      </c>
      <c r="H986" s="4" t="s">
        <v>32</v>
      </c>
      <c r="I986" s="4">
        <v>5</v>
      </c>
      <c r="J986" s="5">
        <v>29.1</v>
      </c>
      <c r="K986" s="6">
        <v>1.35</v>
      </c>
      <c r="L986" s="4">
        <v>2</v>
      </c>
      <c r="M986" s="4">
        <v>94</v>
      </c>
      <c r="N986" s="4">
        <v>142</v>
      </c>
      <c r="O986" s="4" t="s">
        <v>21</v>
      </c>
      <c r="P986" s="7" t="s">
        <v>19</v>
      </c>
      <c r="S986">
        <v>2118</v>
      </c>
      <c r="T986" t="str">
        <v>Cabo Delgado</v>
      </c>
      <c r="U986" t="str">
        <v>Masculino</v>
      </c>
      <c r="V986" t="str">
        <v>Casado(a)</v>
      </c>
      <c r="W986" t="str">
        <v>Secundaria</v>
      </c>
      <c r="X986" t="str">
        <v>Nao</v>
      </c>
      <c r="Y986" t="str">
        <v>Nenhuma</v>
      </c>
      <c r="Z986">
        <v>57</v>
      </c>
      <c r="AA986">
        <v>46.9</v>
      </c>
      <c r="AB986">
        <v>1.87</v>
      </c>
      <c r="AC986">
        <v>4</v>
      </c>
      <c r="AD986">
        <v>115</v>
      </c>
      <c r="AE986">
        <v>79</v>
      </c>
      <c r="AF986" t="str">
        <v>Rural</v>
      </c>
      <c r="AG986" t="str">
        <v>Nao</v>
      </c>
    </row>
    <row r="987" spans="2:33" x14ac:dyDescent="0.45">
      <c r="B987" s="4">
        <v>986</v>
      </c>
      <c r="C987" s="4" t="s">
        <v>27</v>
      </c>
      <c r="D987" s="4" t="s">
        <v>16</v>
      </c>
      <c r="E987" s="4" t="s">
        <v>17</v>
      </c>
      <c r="F987" s="4" t="s">
        <v>18</v>
      </c>
      <c r="G987" s="4" t="s">
        <v>19</v>
      </c>
      <c r="H987" s="4" t="s">
        <v>28</v>
      </c>
      <c r="I987" s="4">
        <v>10</v>
      </c>
      <c r="J987" s="5">
        <v>35</v>
      </c>
      <c r="K987" s="6">
        <v>1.3</v>
      </c>
      <c r="L987" s="4">
        <v>5</v>
      </c>
      <c r="M987" s="4">
        <v>109</v>
      </c>
      <c r="N987" s="4">
        <v>84</v>
      </c>
      <c r="O987" s="4" t="s">
        <v>26</v>
      </c>
      <c r="P987" s="7" t="s">
        <v>19</v>
      </c>
      <c r="S987">
        <v>2119</v>
      </c>
      <c r="T987" t="str">
        <v>Zambezia</v>
      </c>
      <c r="U987" t="str">
        <v>Masculino</v>
      </c>
      <c r="V987" t="str">
        <v>Viuvo(a)</v>
      </c>
      <c r="W987" t="str">
        <v>Nenhuma</v>
      </c>
      <c r="X987" t="str">
        <v>Nao</v>
      </c>
      <c r="Y987" t="str">
        <v>Nenhuma</v>
      </c>
      <c r="Z987">
        <v>4</v>
      </c>
      <c r="AA987">
        <v>13.4</v>
      </c>
      <c r="AB987">
        <v>0.85</v>
      </c>
      <c r="AC987">
        <v>3</v>
      </c>
      <c r="AD987">
        <v>98</v>
      </c>
      <c r="AE987">
        <v>104</v>
      </c>
      <c r="AF987" t="str">
        <v>Urbana</v>
      </c>
      <c r="AG987" t="str">
        <v>Nao</v>
      </c>
    </row>
    <row r="988" spans="2:33" x14ac:dyDescent="0.45">
      <c r="B988" s="4">
        <v>987</v>
      </c>
      <c r="C988" s="4" t="s">
        <v>31</v>
      </c>
      <c r="D988" s="4" t="s">
        <v>16</v>
      </c>
      <c r="E988" s="4" t="s">
        <v>17</v>
      </c>
      <c r="F988" s="4" t="s">
        <v>24</v>
      </c>
      <c r="G988" s="4" t="s">
        <v>19</v>
      </c>
      <c r="H988" s="4" t="s">
        <v>28</v>
      </c>
      <c r="I988" s="4">
        <v>24</v>
      </c>
      <c r="J988" s="5">
        <v>66</v>
      </c>
      <c r="K988" s="6">
        <v>1.61</v>
      </c>
      <c r="L988" s="4">
        <v>5</v>
      </c>
      <c r="M988" s="4">
        <v>107</v>
      </c>
      <c r="N988" s="4">
        <v>76</v>
      </c>
      <c r="O988" s="4" t="s">
        <v>26</v>
      </c>
      <c r="P988" s="7" t="s">
        <v>19</v>
      </c>
      <c r="S988">
        <v>2121</v>
      </c>
      <c r="T988" t="str">
        <v>Sofala</v>
      </c>
      <c r="U988" t="str">
        <v>Masculino</v>
      </c>
      <c r="V988" t="str">
        <v>Solteiro(a)</v>
      </c>
      <c r="W988" t="str">
        <v>Nenhuma</v>
      </c>
      <c r="X988" t="str">
        <v>Nao</v>
      </c>
      <c r="Y988" t="str">
        <v>HIV/SIDA</v>
      </c>
      <c r="Z988">
        <v>16</v>
      </c>
      <c r="AA988">
        <v>63.1</v>
      </c>
      <c r="AB988">
        <v>1.7</v>
      </c>
      <c r="AC988">
        <v>10</v>
      </c>
      <c r="AD988">
        <v>96</v>
      </c>
      <c r="AE988">
        <v>99</v>
      </c>
      <c r="AF988" t="str">
        <v>Rural</v>
      </c>
      <c r="AG988" t="str">
        <v>Nao</v>
      </c>
    </row>
    <row r="989" spans="2:33" x14ac:dyDescent="0.45">
      <c r="B989" s="4">
        <v>988</v>
      </c>
      <c r="C989" s="4" t="s">
        <v>29</v>
      </c>
      <c r="D989" s="4" t="s">
        <v>16</v>
      </c>
      <c r="E989" s="4" t="s">
        <v>17</v>
      </c>
      <c r="F989" s="4" t="s">
        <v>24</v>
      </c>
      <c r="G989" s="4" t="s">
        <v>19</v>
      </c>
      <c r="H989" s="4" t="s">
        <v>36</v>
      </c>
      <c r="I989" s="4">
        <v>7</v>
      </c>
      <c r="J989" s="5">
        <v>28.2</v>
      </c>
      <c r="K989" s="6">
        <v>1.1399999999999999</v>
      </c>
      <c r="L989" s="4">
        <v>2</v>
      </c>
      <c r="M989" s="4">
        <v>131</v>
      </c>
      <c r="N989" s="4">
        <v>92</v>
      </c>
      <c r="O989" s="4" t="s">
        <v>26</v>
      </c>
      <c r="P989" s="7" t="s">
        <v>19</v>
      </c>
      <c r="S989">
        <v>2122</v>
      </c>
      <c r="T989" t="str">
        <v>Nampula</v>
      </c>
      <c r="U989" t="str">
        <v>Masculino</v>
      </c>
      <c r="V989" t="str">
        <v>Casado(a)</v>
      </c>
      <c r="W989" t="str">
        <v>Primaria</v>
      </c>
      <c r="X989" t="str">
        <v>Nao</v>
      </c>
      <c r="Y989" t="str">
        <v>Diarreia</v>
      </c>
      <c r="Z989">
        <v>21</v>
      </c>
      <c r="AA989">
        <v>72.5</v>
      </c>
      <c r="AB989">
        <v>1.59</v>
      </c>
      <c r="AC989">
        <v>6</v>
      </c>
      <c r="AD989">
        <v>110</v>
      </c>
      <c r="AE989">
        <v>83</v>
      </c>
      <c r="AF989" t="str">
        <v>Rural</v>
      </c>
      <c r="AG989" t="str">
        <v>Nao</v>
      </c>
    </row>
    <row r="990" spans="2:33" x14ac:dyDescent="0.45">
      <c r="B990" s="4">
        <v>989</v>
      </c>
      <c r="C990" s="4" t="s">
        <v>45</v>
      </c>
      <c r="D990" s="4" t="s">
        <v>23</v>
      </c>
      <c r="E990" s="4" t="s">
        <v>35</v>
      </c>
      <c r="F990" s="4" t="s">
        <v>24</v>
      </c>
      <c r="G990" s="4" t="s">
        <v>19</v>
      </c>
      <c r="H990" s="4" t="s">
        <v>34</v>
      </c>
      <c r="I990" s="4">
        <v>54</v>
      </c>
      <c r="J990" s="5">
        <v>77.3</v>
      </c>
      <c r="K990" s="6">
        <v>1.51</v>
      </c>
      <c r="L990" s="4">
        <v>9</v>
      </c>
      <c r="M990" s="4">
        <v>116</v>
      </c>
      <c r="N990" s="4">
        <v>104</v>
      </c>
      <c r="O990" s="4" t="s">
        <v>26</v>
      </c>
      <c r="P990" s="7" t="s">
        <v>19</v>
      </c>
      <c r="S990">
        <v>2123</v>
      </c>
      <c r="T990" t="str">
        <v>Maputo Provincia</v>
      </c>
      <c r="U990" t="str">
        <v>Masculino</v>
      </c>
      <c r="V990" t="str">
        <v>Viuvo(a)</v>
      </c>
      <c r="W990" t="str">
        <v>Superior</v>
      </c>
      <c r="X990" t="str">
        <v>Sim</v>
      </c>
      <c r="Y990" t="str">
        <v>Hipertensao</v>
      </c>
      <c r="Z990">
        <v>11</v>
      </c>
      <c r="AA990">
        <v>21.4</v>
      </c>
      <c r="AB990">
        <v>1.21</v>
      </c>
      <c r="AC990">
        <v>3</v>
      </c>
      <c r="AD990">
        <v>118</v>
      </c>
      <c r="AE990">
        <v>103</v>
      </c>
      <c r="AF990" t="str">
        <v>Urbana</v>
      </c>
      <c r="AG990" t="str">
        <v>Nao</v>
      </c>
    </row>
    <row r="991" spans="2:33" x14ac:dyDescent="0.45">
      <c r="B991" s="4">
        <v>990</v>
      </c>
      <c r="C991" s="4" t="s">
        <v>15</v>
      </c>
      <c r="D991" s="4" t="s">
        <v>16</v>
      </c>
      <c r="E991" s="4" t="s">
        <v>17</v>
      </c>
      <c r="F991" s="4" t="s">
        <v>24</v>
      </c>
      <c r="G991" s="4" t="s">
        <v>19</v>
      </c>
      <c r="H991" s="4" t="s">
        <v>32</v>
      </c>
      <c r="I991" s="4">
        <v>43</v>
      </c>
      <c r="J991" s="5">
        <v>60.1</v>
      </c>
      <c r="K991" s="6">
        <v>1.85</v>
      </c>
      <c r="L991" s="4">
        <v>2</v>
      </c>
      <c r="M991" s="4">
        <v>109</v>
      </c>
      <c r="N991" s="4">
        <v>156</v>
      </c>
      <c r="O991" s="4" t="s">
        <v>26</v>
      </c>
      <c r="P991" s="7" t="s">
        <v>19</v>
      </c>
      <c r="S991">
        <v>2124</v>
      </c>
      <c r="T991" t="str">
        <v>Maputo Cidade</v>
      </c>
      <c r="U991" t="str">
        <v>Masculino</v>
      </c>
      <c r="V991" t="str">
        <v>Casado(a)</v>
      </c>
      <c r="W991" t="str">
        <v>Nenhuma</v>
      </c>
      <c r="X991" t="str">
        <v>Nao</v>
      </c>
      <c r="Y991" t="str">
        <v>Diabetes</v>
      </c>
      <c r="Z991">
        <v>23</v>
      </c>
      <c r="AA991">
        <v>57.3</v>
      </c>
      <c r="AB991">
        <v>1.54</v>
      </c>
      <c r="AC991">
        <v>1</v>
      </c>
      <c r="AD991">
        <v>112</v>
      </c>
      <c r="AE991">
        <v>134</v>
      </c>
      <c r="AF991" t="str">
        <v>Rural</v>
      </c>
      <c r="AG991" t="str">
        <v>Nao</v>
      </c>
    </row>
    <row r="992" spans="2:33" x14ac:dyDescent="0.45">
      <c r="B992" s="4">
        <v>991</v>
      </c>
      <c r="C992" s="4" t="s">
        <v>43</v>
      </c>
      <c r="D992" s="4" t="s">
        <v>23</v>
      </c>
      <c r="E992" s="4" t="s">
        <v>17</v>
      </c>
      <c r="F992" s="4" t="s">
        <v>18</v>
      </c>
      <c r="G992" s="4" t="s">
        <v>19</v>
      </c>
      <c r="H992" s="4" t="s">
        <v>28</v>
      </c>
      <c r="I992" s="4">
        <v>15</v>
      </c>
      <c r="J992" s="5">
        <v>60.8</v>
      </c>
      <c r="K992" s="6">
        <v>1.63</v>
      </c>
      <c r="L992" s="4">
        <v>8</v>
      </c>
      <c r="M992" s="4">
        <v>117</v>
      </c>
      <c r="N992" s="4">
        <v>95</v>
      </c>
      <c r="O992" s="4" t="s">
        <v>26</v>
      </c>
      <c r="P992" s="7" t="s">
        <v>19</v>
      </c>
      <c r="S992">
        <v>2125</v>
      </c>
      <c r="T992" t="str">
        <v>Manica</v>
      </c>
      <c r="U992" t="str">
        <v>Masculino</v>
      </c>
      <c r="V992" t="str">
        <v>Viuvo(a)</v>
      </c>
      <c r="W992" t="str">
        <v>Primaria</v>
      </c>
      <c r="X992" t="str">
        <v>Nao</v>
      </c>
      <c r="Y992" t="str">
        <v>Malaria</v>
      </c>
      <c r="Z992">
        <v>6</v>
      </c>
      <c r="AA992">
        <v>26.1</v>
      </c>
      <c r="AB992">
        <v>1.19</v>
      </c>
      <c r="AC992">
        <v>10</v>
      </c>
      <c r="AD992">
        <v>115</v>
      </c>
      <c r="AE992">
        <v>78</v>
      </c>
      <c r="AF992" t="str">
        <v>Rural</v>
      </c>
      <c r="AG992" t="str">
        <v>Sim</v>
      </c>
    </row>
    <row r="993" spans="2:33" x14ac:dyDescent="0.45">
      <c r="B993" s="4">
        <v>992</v>
      </c>
      <c r="C993" s="4" t="s">
        <v>43</v>
      </c>
      <c r="D993" s="4" t="s">
        <v>16</v>
      </c>
      <c r="E993" s="4" t="s">
        <v>44</v>
      </c>
      <c r="F993" s="4" t="s">
        <v>24</v>
      </c>
      <c r="G993" s="4" t="s">
        <v>19</v>
      </c>
      <c r="H993" s="4" t="s">
        <v>20</v>
      </c>
      <c r="I993" s="4">
        <v>13</v>
      </c>
      <c r="J993" s="5">
        <v>56.5</v>
      </c>
      <c r="K993" s="6">
        <v>1.69</v>
      </c>
      <c r="L993" s="4">
        <v>2</v>
      </c>
      <c r="M993" s="4">
        <v>97</v>
      </c>
      <c r="N993" s="4">
        <v>96</v>
      </c>
      <c r="O993" s="4" t="s">
        <v>26</v>
      </c>
      <c r="P993" s="7" t="s">
        <v>19</v>
      </c>
      <c r="S993">
        <v>2130</v>
      </c>
      <c r="T993" t="str">
        <v>Maputo Cidade</v>
      </c>
      <c r="U993" t="str">
        <v>Masculino</v>
      </c>
      <c r="V993" t="str">
        <v>Solteiro(a)</v>
      </c>
      <c r="W993" t="str">
        <v>Primaria</v>
      </c>
      <c r="X993" t="str">
        <v>Nao</v>
      </c>
      <c r="Y993" t="str">
        <v>Diarreia</v>
      </c>
      <c r="Z993">
        <v>29</v>
      </c>
      <c r="AA993">
        <v>82.5</v>
      </c>
      <c r="AB993">
        <v>1.72</v>
      </c>
      <c r="AC993">
        <v>6</v>
      </c>
      <c r="AD993">
        <v>114</v>
      </c>
      <c r="AE993">
        <v>92</v>
      </c>
      <c r="AF993" t="str">
        <v>Rural</v>
      </c>
      <c r="AG993" t="str">
        <v>Nao</v>
      </c>
    </row>
    <row r="994" spans="2:33" x14ac:dyDescent="0.45">
      <c r="B994" s="4">
        <v>993</v>
      </c>
      <c r="C994" s="4" t="s">
        <v>27</v>
      </c>
      <c r="D994" s="4" t="s">
        <v>16</v>
      </c>
      <c r="E994" s="4" t="s">
        <v>44</v>
      </c>
      <c r="F994" s="4" t="s">
        <v>24</v>
      </c>
      <c r="G994" s="4" t="s">
        <v>19</v>
      </c>
      <c r="H994" s="4" t="s">
        <v>20</v>
      </c>
      <c r="I994" s="4">
        <v>1</v>
      </c>
      <c r="J994" s="5">
        <v>13.1</v>
      </c>
      <c r="K994" s="6">
        <v>0.74</v>
      </c>
      <c r="L994" s="4">
        <v>1</v>
      </c>
      <c r="M994" s="4">
        <v>114</v>
      </c>
      <c r="N994" s="4">
        <v>97</v>
      </c>
      <c r="O994" s="4" t="s">
        <v>21</v>
      </c>
      <c r="P994" s="7" t="s">
        <v>19</v>
      </c>
      <c r="S994">
        <v>2132</v>
      </c>
      <c r="T994" t="str">
        <v>Nampula</v>
      </c>
      <c r="U994" t="str">
        <v>Masculino</v>
      </c>
      <c r="V994" t="str">
        <v>Casado(a)</v>
      </c>
      <c r="W994" t="str">
        <v>Secundaria</v>
      </c>
      <c r="X994" t="str">
        <v>Nao</v>
      </c>
      <c r="Y994" t="str">
        <v>Nenhuma</v>
      </c>
      <c r="Z994">
        <v>41</v>
      </c>
      <c r="AA994">
        <v>45.6</v>
      </c>
      <c r="AB994">
        <v>1.65</v>
      </c>
      <c r="AC994">
        <v>3</v>
      </c>
      <c r="AD994">
        <v>112</v>
      </c>
      <c r="AE994">
        <v>83</v>
      </c>
      <c r="AF994" t="str">
        <v>Rural</v>
      </c>
      <c r="AG994" t="str">
        <v>Sim</v>
      </c>
    </row>
    <row r="995" spans="2:33" x14ac:dyDescent="0.45">
      <c r="B995" s="4">
        <v>994</v>
      </c>
      <c r="C995" s="4" t="s">
        <v>31</v>
      </c>
      <c r="D995" s="4" t="s">
        <v>23</v>
      </c>
      <c r="E995" s="4" t="s">
        <v>35</v>
      </c>
      <c r="F995" s="4" t="s">
        <v>24</v>
      </c>
      <c r="G995" s="4" t="s">
        <v>19</v>
      </c>
      <c r="H995" s="4" t="s">
        <v>34</v>
      </c>
      <c r="I995" s="4">
        <v>10</v>
      </c>
      <c r="J995" s="5">
        <v>32.299999999999997</v>
      </c>
      <c r="K995" s="6">
        <v>1.4</v>
      </c>
      <c r="L995" s="4">
        <v>0</v>
      </c>
      <c r="M995" s="4">
        <v>121</v>
      </c>
      <c r="N995" s="4">
        <v>98</v>
      </c>
      <c r="O995" s="4" t="s">
        <v>21</v>
      </c>
      <c r="P995" s="7" t="s">
        <v>30</v>
      </c>
      <c r="S995">
        <v>2135</v>
      </c>
      <c r="T995" t="str">
        <v>Nampula</v>
      </c>
      <c r="U995" t="str">
        <v>Masculino</v>
      </c>
      <c r="V995" t="str">
        <v>Solteiro(a)</v>
      </c>
      <c r="W995" t="str">
        <v>Nenhuma</v>
      </c>
      <c r="X995" t="str">
        <v>Nao</v>
      </c>
      <c r="Y995" t="str">
        <v>Malaria</v>
      </c>
      <c r="Z995">
        <v>11</v>
      </c>
      <c r="AA995">
        <v>25.9</v>
      </c>
      <c r="AB995">
        <v>1.39</v>
      </c>
      <c r="AC995">
        <v>1</v>
      </c>
      <c r="AD995">
        <v>101</v>
      </c>
      <c r="AE995">
        <v>95</v>
      </c>
      <c r="AF995" t="str">
        <v>Rural</v>
      </c>
      <c r="AG995" t="str">
        <v>Nao</v>
      </c>
    </row>
    <row r="996" spans="2:33" x14ac:dyDescent="0.45">
      <c r="B996" s="4">
        <v>995</v>
      </c>
      <c r="C996" s="4" t="s">
        <v>41</v>
      </c>
      <c r="D996" s="4" t="s">
        <v>16</v>
      </c>
      <c r="E996" s="4" t="s">
        <v>35</v>
      </c>
      <c r="F996" s="4" t="s">
        <v>24</v>
      </c>
      <c r="G996" s="4" t="s">
        <v>19</v>
      </c>
      <c r="H996" s="4" t="s">
        <v>32</v>
      </c>
      <c r="I996" s="4">
        <v>77</v>
      </c>
      <c r="J996" s="5">
        <v>68.900000000000006</v>
      </c>
      <c r="K996" s="6">
        <v>1.48</v>
      </c>
      <c r="L996" s="4">
        <v>1</v>
      </c>
      <c r="M996" s="4">
        <v>135</v>
      </c>
      <c r="N996" s="4">
        <v>143</v>
      </c>
      <c r="O996" s="4" t="s">
        <v>26</v>
      </c>
      <c r="P996" s="7" t="s">
        <v>19</v>
      </c>
      <c r="S996">
        <v>2138</v>
      </c>
      <c r="T996" t="str">
        <v>Inhambane</v>
      </c>
      <c r="U996" t="str">
        <v>Masculino</v>
      </c>
      <c r="V996" t="str">
        <v>Solteiro(a)</v>
      </c>
      <c r="W996" t="str">
        <v>Primaria</v>
      </c>
      <c r="X996" t="str">
        <v>Nao</v>
      </c>
      <c r="Y996" t="str">
        <v>Malaria</v>
      </c>
      <c r="Z996">
        <v>60</v>
      </c>
      <c r="AA996">
        <v>81</v>
      </c>
      <c r="AB996">
        <v>1.84</v>
      </c>
      <c r="AC996">
        <v>0</v>
      </c>
      <c r="AD996">
        <v>118</v>
      </c>
      <c r="AE996">
        <v>94</v>
      </c>
      <c r="AF996" t="str">
        <v>Urbana</v>
      </c>
      <c r="AG996" t="str">
        <v>Nao</v>
      </c>
    </row>
    <row r="997" spans="2:33" x14ac:dyDescent="0.45">
      <c r="B997" s="4">
        <v>996</v>
      </c>
      <c r="C997" s="4" t="s">
        <v>39</v>
      </c>
      <c r="D997" s="4" t="s">
        <v>23</v>
      </c>
      <c r="E997" s="4" t="s">
        <v>17</v>
      </c>
      <c r="F997" s="4" t="s">
        <v>18</v>
      </c>
      <c r="G997" s="4" t="s">
        <v>19</v>
      </c>
      <c r="H997" s="4" t="s">
        <v>20</v>
      </c>
      <c r="I997" s="4">
        <v>20</v>
      </c>
      <c r="J997" s="5">
        <v>84.9</v>
      </c>
      <c r="K997" s="6">
        <v>1.6</v>
      </c>
      <c r="L997" s="4">
        <v>0</v>
      </c>
      <c r="M997" s="4">
        <v>123</v>
      </c>
      <c r="N997" s="4">
        <v>77</v>
      </c>
      <c r="O997" s="4" t="s">
        <v>26</v>
      </c>
      <c r="P997" s="7" t="s">
        <v>30</v>
      </c>
      <c r="S997">
        <v>2145</v>
      </c>
      <c r="T997" t="str">
        <v>Gaza</v>
      </c>
      <c r="U997" t="str">
        <v>Masculino</v>
      </c>
      <c r="V997" t="str">
        <v>Solteiro(a)</v>
      </c>
      <c r="W997" t="str">
        <v>Primaria</v>
      </c>
      <c r="X997" t="str">
        <v>Nao</v>
      </c>
      <c r="Y997" t="str">
        <v>Nenhuma</v>
      </c>
      <c r="Z997">
        <v>1</v>
      </c>
      <c r="AA997">
        <v>16.5</v>
      </c>
      <c r="AB997">
        <v>0.88</v>
      </c>
      <c r="AC997">
        <v>2</v>
      </c>
      <c r="AD997">
        <v>92</v>
      </c>
      <c r="AE997">
        <v>79</v>
      </c>
      <c r="AF997" t="str">
        <v>Rural</v>
      </c>
      <c r="AG997" t="str">
        <v>Nao</v>
      </c>
    </row>
    <row r="998" spans="2:33" x14ac:dyDescent="0.45">
      <c r="B998" s="4">
        <v>997</v>
      </c>
      <c r="C998" s="4" t="s">
        <v>43</v>
      </c>
      <c r="D998" s="4" t="s">
        <v>23</v>
      </c>
      <c r="E998" s="4" t="s">
        <v>44</v>
      </c>
      <c r="F998" s="4" t="s">
        <v>24</v>
      </c>
      <c r="G998" s="4" t="s">
        <v>30</v>
      </c>
      <c r="H998" s="4" t="s">
        <v>25</v>
      </c>
      <c r="I998" s="4">
        <v>17</v>
      </c>
      <c r="J998" s="5">
        <v>41.1</v>
      </c>
      <c r="K998" s="6">
        <v>1.62</v>
      </c>
      <c r="L998" s="4">
        <v>0</v>
      </c>
      <c r="M998" s="4">
        <v>100</v>
      </c>
      <c r="N998" s="4">
        <v>75</v>
      </c>
      <c r="O998" s="4" t="s">
        <v>21</v>
      </c>
      <c r="P998" s="7" t="s">
        <v>19</v>
      </c>
      <c r="S998">
        <v>2146</v>
      </c>
      <c r="T998" t="str">
        <v>Nampula</v>
      </c>
      <c r="U998" t="str">
        <v>Masculino</v>
      </c>
      <c r="V998" t="str">
        <v>Solteiro(a)</v>
      </c>
      <c r="W998" t="str">
        <v>Primaria</v>
      </c>
      <c r="X998" t="str">
        <v>Nao</v>
      </c>
      <c r="Y998" t="str">
        <v>Malaria</v>
      </c>
      <c r="Z998">
        <v>43</v>
      </c>
      <c r="AA998">
        <v>57.2</v>
      </c>
      <c r="AB998">
        <v>1.81</v>
      </c>
      <c r="AC998">
        <v>1</v>
      </c>
      <c r="AD998">
        <v>124</v>
      </c>
      <c r="AE998">
        <v>79</v>
      </c>
      <c r="AF998" t="str">
        <v>Rural</v>
      </c>
      <c r="AG998" t="str">
        <v>Nao</v>
      </c>
    </row>
    <row r="999" spans="2:33" x14ac:dyDescent="0.45">
      <c r="B999" s="4">
        <v>998</v>
      </c>
      <c r="C999" s="4" t="s">
        <v>45</v>
      </c>
      <c r="D999" s="4" t="s">
        <v>23</v>
      </c>
      <c r="E999" s="4" t="s">
        <v>17</v>
      </c>
      <c r="F999" s="4" t="s">
        <v>24</v>
      </c>
      <c r="G999" s="4" t="s">
        <v>19</v>
      </c>
      <c r="H999" s="4" t="s">
        <v>38</v>
      </c>
      <c r="I999" s="4">
        <v>38</v>
      </c>
      <c r="J999" s="5">
        <v>47.5</v>
      </c>
      <c r="K999" s="6">
        <v>1.5</v>
      </c>
      <c r="L999" s="4">
        <v>9</v>
      </c>
      <c r="M999" s="4">
        <v>125</v>
      </c>
      <c r="N999" s="4">
        <v>85</v>
      </c>
      <c r="O999" s="4" t="s">
        <v>21</v>
      </c>
      <c r="P999" s="7" t="s">
        <v>19</v>
      </c>
      <c r="S999">
        <v>2150</v>
      </c>
      <c r="T999" t="str">
        <v>Inhambane</v>
      </c>
      <c r="U999" t="str">
        <v>Masculino</v>
      </c>
      <c r="V999" t="str">
        <v>Casado(a)</v>
      </c>
      <c r="W999" t="str">
        <v>Primaria</v>
      </c>
      <c r="X999" t="str">
        <v>Nao</v>
      </c>
      <c r="Y999" t="str">
        <v>HIV/SIDA</v>
      </c>
      <c r="Z999">
        <v>41</v>
      </c>
      <c r="AA999">
        <v>71.099999999999994</v>
      </c>
      <c r="AB999">
        <v>1.87</v>
      </c>
      <c r="AC999">
        <v>4</v>
      </c>
      <c r="AD999">
        <v>116</v>
      </c>
      <c r="AE999">
        <v>94</v>
      </c>
      <c r="AF999" t="str">
        <v>Rural</v>
      </c>
      <c r="AG999" t="str">
        <v>Nao</v>
      </c>
    </row>
    <row r="1000" spans="2:33" x14ac:dyDescent="0.45">
      <c r="B1000" s="4">
        <v>999</v>
      </c>
      <c r="C1000" s="4" t="s">
        <v>27</v>
      </c>
      <c r="D1000" s="4" t="s">
        <v>16</v>
      </c>
      <c r="E1000" s="4" t="s">
        <v>35</v>
      </c>
      <c r="F1000" s="4" t="s">
        <v>24</v>
      </c>
      <c r="G1000" s="4" t="s">
        <v>19</v>
      </c>
      <c r="H1000" s="4" t="s">
        <v>20</v>
      </c>
      <c r="I1000" s="4">
        <v>4</v>
      </c>
      <c r="J1000" s="5">
        <v>13.6</v>
      </c>
      <c r="K1000" s="6">
        <v>1.04</v>
      </c>
      <c r="L1000" s="4">
        <v>5</v>
      </c>
      <c r="M1000" s="4">
        <v>92</v>
      </c>
      <c r="N1000" s="4">
        <v>90</v>
      </c>
      <c r="O1000" s="4" t="s">
        <v>26</v>
      </c>
      <c r="P1000" s="7" t="s">
        <v>19</v>
      </c>
      <c r="S1000">
        <v>2151</v>
      </c>
      <c r="T1000" t="str">
        <v>Inhambane</v>
      </c>
      <c r="U1000" t="str">
        <v>Masculino</v>
      </c>
      <c r="V1000" t="str">
        <v>Solteiro(a)</v>
      </c>
      <c r="W1000" t="str">
        <v>Secundaria</v>
      </c>
      <c r="X1000" t="str">
        <v>Nao</v>
      </c>
      <c r="Y1000" t="str">
        <v>Pneumonia</v>
      </c>
      <c r="Z1000">
        <v>12</v>
      </c>
      <c r="AA1000">
        <v>57.1</v>
      </c>
      <c r="AB1000">
        <v>1.5</v>
      </c>
      <c r="AC1000">
        <v>4</v>
      </c>
      <c r="AD1000">
        <v>110</v>
      </c>
      <c r="AE1000">
        <v>91</v>
      </c>
      <c r="AF1000" t="str">
        <v>Rural</v>
      </c>
      <c r="AG1000" t="str">
        <v>Nao</v>
      </c>
    </row>
    <row r="1001" spans="2:33" x14ac:dyDescent="0.45">
      <c r="B1001" s="4">
        <v>1000</v>
      </c>
      <c r="C1001" s="4" t="s">
        <v>43</v>
      </c>
      <c r="D1001" s="4" t="s">
        <v>16</v>
      </c>
      <c r="E1001" s="4" t="s">
        <v>17</v>
      </c>
      <c r="F1001" s="4" t="s">
        <v>28</v>
      </c>
      <c r="G1001" s="4" t="s">
        <v>19</v>
      </c>
      <c r="H1001" s="4" t="s">
        <v>28</v>
      </c>
      <c r="I1001" s="4">
        <v>34</v>
      </c>
      <c r="J1001" s="5">
        <v>90.7</v>
      </c>
      <c r="K1001" s="6">
        <v>1.86</v>
      </c>
      <c r="L1001" s="4">
        <v>3</v>
      </c>
      <c r="M1001" s="4">
        <v>113</v>
      </c>
      <c r="N1001" s="4">
        <v>89</v>
      </c>
      <c r="O1001" s="4" t="s">
        <v>21</v>
      </c>
      <c r="P1001" s="7" t="s">
        <v>19</v>
      </c>
      <c r="S1001">
        <v>2154</v>
      </c>
      <c r="T1001" t="str">
        <v>Maputo Provincia</v>
      </c>
      <c r="U1001" t="str">
        <v>Masculino</v>
      </c>
      <c r="V1001" t="str">
        <v>Casado(a)</v>
      </c>
      <c r="W1001" t="str">
        <v>Primaria</v>
      </c>
      <c r="X1001" t="str">
        <v>Nao</v>
      </c>
      <c r="Y1001" t="str">
        <v>Tuberculose</v>
      </c>
      <c r="Z1001">
        <v>21</v>
      </c>
      <c r="AA1001">
        <v>80.099999999999994</v>
      </c>
      <c r="AB1001">
        <v>1.64</v>
      </c>
      <c r="AC1001">
        <v>2</v>
      </c>
      <c r="AD1001">
        <v>111</v>
      </c>
      <c r="AE1001">
        <v>92</v>
      </c>
      <c r="AF1001" t="str">
        <v>Rural</v>
      </c>
      <c r="AG1001" t="str">
        <v>Nao</v>
      </c>
    </row>
    <row r="1002" spans="2:33" x14ac:dyDescent="0.45">
      <c r="B1002" s="4">
        <v>1001</v>
      </c>
      <c r="C1002" s="4" t="s">
        <v>27</v>
      </c>
      <c r="D1002" s="4" t="s">
        <v>16</v>
      </c>
      <c r="E1002" s="4" t="s">
        <v>35</v>
      </c>
      <c r="F1002" s="4" t="s">
        <v>28</v>
      </c>
      <c r="G1002" s="4" t="s">
        <v>19</v>
      </c>
      <c r="H1002" s="4" t="s">
        <v>28</v>
      </c>
      <c r="I1002" s="4">
        <v>31</v>
      </c>
      <c r="J1002" s="5">
        <v>92.2</v>
      </c>
      <c r="K1002" s="6">
        <v>1.88</v>
      </c>
      <c r="L1002" s="4">
        <v>4</v>
      </c>
      <c r="M1002" s="4">
        <v>113</v>
      </c>
      <c r="N1002" s="4">
        <v>104</v>
      </c>
      <c r="O1002" s="4" t="s">
        <v>26</v>
      </c>
      <c r="P1002" s="7" t="s">
        <v>19</v>
      </c>
      <c r="S1002">
        <v>2156</v>
      </c>
      <c r="T1002" t="str">
        <v>Sofala</v>
      </c>
      <c r="U1002" t="str">
        <v>Masculino</v>
      </c>
      <c r="V1002" t="str">
        <v>Casado(a)</v>
      </c>
      <c r="W1002" t="str">
        <v>Primaria</v>
      </c>
      <c r="X1002" t="str">
        <v>Nao</v>
      </c>
      <c r="Y1002" t="str">
        <v>Tuberculose</v>
      </c>
      <c r="Z1002">
        <v>3</v>
      </c>
      <c r="AA1002">
        <v>8</v>
      </c>
      <c r="AB1002">
        <v>0.81</v>
      </c>
      <c r="AC1002">
        <v>1</v>
      </c>
      <c r="AD1002">
        <v>99</v>
      </c>
      <c r="AE1002">
        <v>89</v>
      </c>
      <c r="AF1002" t="str">
        <v>Rural</v>
      </c>
      <c r="AG1002" t="str">
        <v>Nao</v>
      </c>
    </row>
    <row r="1003" spans="2:33" x14ac:dyDescent="0.45">
      <c r="B1003" s="4">
        <v>1002</v>
      </c>
      <c r="C1003" s="4" t="s">
        <v>15</v>
      </c>
      <c r="D1003" s="4" t="s">
        <v>23</v>
      </c>
      <c r="E1003" s="4" t="s">
        <v>17</v>
      </c>
      <c r="F1003" s="4" t="s">
        <v>28</v>
      </c>
      <c r="G1003" s="4" t="s">
        <v>19</v>
      </c>
      <c r="H1003" s="4" t="s">
        <v>25</v>
      </c>
      <c r="I1003" s="4">
        <v>12</v>
      </c>
      <c r="J1003" s="5">
        <v>53.3</v>
      </c>
      <c r="K1003" s="6">
        <v>1.46</v>
      </c>
      <c r="L1003" s="4">
        <v>2</v>
      </c>
      <c r="M1003" s="4">
        <v>104</v>
      </c>
      <c r="N1003" s="4">
        <v>89</v>
      </c>
      <c r="O1003" s="4" t="s">
        <v>26</v>
      </c>
      <c r="P1003" s="7" t="s">
        <v>19</v>
      </c>
      <c r="S1003">
        <v>2158</v>
      </c>
      <c r="T1003" t="str">
        <v>Zambezia</v>
      </c>
      <c r="U1003" t="str">
        <v>Masculino</v>
      </c>
      <c r="V1003" t="str">
        <v>Solteiro(a)</v>
      </c>
      <c r="W1003" t="str">
        <v>Primaria</v>
      </c>
      <c r="X1003" t="str">
        <v>Sim</v>
      </c>
      <c r="Y1003" t="str">
        <v>Nenhuma</v>
      </c>
      <c r="Z1003">
        <v>56</v>
      </c>
      <c r="AA1003">
        <v>75.099999999999994</v>
      </c>
      <c r="AB1003">
        <v>1.78</v>
      </c>
      <c r="AC1003">
        <v>1</v>
      </c>
      <c r="AD1003">
        <v>108</v>
      </c>
      <c r="AE1003">
        <v>86</v>
      </c>
      <c r="AF1003" t="str">
        <v>Urbana</v>
      </c>
      <c r="AG1003" t="str">
        <v>Nao</v>
      </c>
    </row>
    <row r="1004" spans="2:33" x14ac:dyDescent="0.45">
      <c r="B1004" s="4">
        <v>1003</v>
      </c>
      <c r="C1004" s="4" t="s">
        <v>29</v>
      </c>
      <c r="D1004" s="4" t="s">
        <v>16</v>
      </c>
      <c r="E1004" s="4" t="s">
        <v>44</v>
      </c>
      <c r="F1004" s="4" t="s">
        <v>24</v>
      </c>
      <c r="G1004" s="4" t="s">
        <v>19</v>
      </c>
      <c r="H1004" s="4" t="s">
        <v>28</v>
      </c>
      <c r="I1004" s="4">
        <v>14</v>
      </c>
      <c r="J1004" s="5">
        <v>58.6</v>
      </c>
      <c r="K1004" s="6">
        <v>1.72</v>
      </c>
      <c r="L1004" s="4">
        <v>4</v>
      </c>
      <c r="M1004" s="4">
        <v>109</v>
      </c>
      <c r="N1004" s="4">
        <v>94</v>
      </c>
      <c r="O1004" s="4" t="s">
        <v>26</v>
      </c>
      <c r="P1004" s="7" t="s">
        <v>19</v>
      </c>
      <c r="S1004">
        <v>2162</v>
      </c>
      <c r="T1004" t="str">
        <v>Zambezia</v>
      </c>
      <c r="U1004" t="str">
        <v>Masculino</v>
      </c>
      <c r="V1004" t="str">
        <v>Casado(a)</v>
      </c>
      <c r="W1004" t="str">
        <v>Superior</v>
      </c>
      <c r="X1004" t="str">
        <v>Sim</v>
      </c>
      <c r="Y1004" t="str">
        <v>Hipertensao</v>
      </c>
      <c r="Z1004">
        <v>2</v>
      </c>
      <c r="AA1004">
        <v>6.2</v>
      </c>
      <c r="AB1004">
        <v>0.82</v>
      </c>
      <c r="AC1004">
        <v>3</v>
      </c>
      <c r="AD1004">
        <v>122</v>
      </c>
      <c r="AE1004">
        <v>71</v>
      </c>
      <c r="AF1004" t="str">
        <v>Rural</v>
      </c>
      <c r="AG1004" t="str">
        <v>Sim</v>
      </c>
    </row>
    <row r="1005" spans="2:33" x14ac:dyDescent="0.45">
      <c r="B1005" s="4">
        <v>1004</v>
      </c>
      <c r="C1005" s="4" t="s">
        <v>27</v>
      </c>
      <c r="D1005" s="4" t="s">
        <v>16</v>
      </c>
      <c r="E1005" s="4" t="s">
        <v>37</v>
      </c>
      <c r="F1005" s="4" t="s">
        <v>24</v>
      </c>
      <c r="G1005" s="4" t="s">
        <v>30</v>
      </c>
      <c r="H1005" s="4" t="s">
        <v>20</v>
      </c>
      <c r="I1005" s="4">
        <v>0</v>
      </c>
      <c r="J1005" s="5">
        <v>9.5</v>
      </c>
      <c r="K1005" s="6">
        <v>1.01</v>
      </c>
      <c r="L1005" s="4">
        <v>6</v>
      </c>
      <c r="M1005" s="4">
        <v>111</v>
      </c>
      <c r="N1005" s="4">
        <v>88</v>
      </c>
      <c r="O1005" s="4" t="s">
        <v>26</v>
      </c>
      <c r="P1005" s="7" t="s">
        <v>19</v>
      </c>
      <c r="S1005">
        <v>2163</v>
      </c>
      <c r="T1005" t="str">
        <v>Inhambane</v>
      </c>
      <c r="U1005" t="str">
        <v>Masculino</v>
      </c>
      <c r="V1005" t="str">
        <v>Viuvo(a)</v>
      </c>
      <c r="W1005" t="str">
        <v>Secundaria</v>
      </c>
      <c r="X1005" t="str">
        <v>Nao</v>
      </c>
      <c r="Y1005" t="str">
        <v>Pneumonia</v>
      </c>
      <c r="Z1005">
        <v>9</v>
      </c>
      <c r="AA1005">
        <v>26.1</v>
      </c>
      <c r="AB1005">
        <v>1.35</v>
      </c>
      <c r="AC1005">
        <v>0</v>
      </c>
      <c r="AD1005">
        <v>97</v>
      </c>
      <c r="AE1005">
        <v>99</v>
      </c>
      <c r="AF1005" t="str">
        <v>Urbana</v>
      </c>
      <c r="AG1005" t="str">
        <v>Nao</v>
      </c>
    </row>
    <row r="1006" spans="2:33" x14ac:dyDescent="0.45">
      <c r="B1006" s="4">
        <v>1005</v>
      </c>
      <c r="C1006" s="4" t="s">
        <v>15</v>
      </c>
      <c r="D1006" s="4" t="s">
        <v>16</v>
      </c>
      <c r="E1006" s="4" t="s">
        <v>35</v>
      </c>
      <c r="F1006" s="4" t="s">
        <v>42</v>
      </c>
      <c r="G1006" s="4" t="s">
        <v>19</v>
      </c>
      <c r="H1006" s="4" t="s">
        <v>36</v>
      </c>
      <c r="I1006" s="4">
        <v>12</v>
      </c>
      <c r="J1006" s="5">
        <v>45.8</v>
      </c>
      <c r="K1006" s="6">
        <v>1.71</v>
      </c>
      <c r="L1006" s="4">
        <v>1</v>
      </c>
      <c r="M1006" s="4">
        <v>118</v>
      </c>
      <c r="N1006" s="4">
        <v>83</v>
      </c>
      <c r="O1006" s="4" t="s">
        <v>21</v>
      </c>
      <c r="P1006" s="7" t="s">
        <v>19</v>
      </c>
      <c r="S1006">
        <v>2166</v>
      </c>
      <c r="T1006" t="str">
        <v>Cabo Delgado</v>
      </c>
      <c r="U1006" t="str">
        <v>Masculino</v>
      </c>
      <c r="V1006" t="str">
        <v>Solteiro(a)</v>
      </c>
      <c r="W1006" t="str">
        <v>Primaria</v>
      </c>
      <c r="X1006" t="str">
        <v>Nao</v>
      </c>
      <c r="Y1006" t="str">
        <v>Hipertensao</v>
      </c>
      <c r="Z1006">
        <v>53</v>
      </c>
      <c r="AA1006">
        <v>54.9</v>
      </c>
      <c r="AB1006">
        <v>1.5</v>
      </c>
      <c r="AC1006">
        <v>1</v>
      </c>
      <c r="AD1006">
        <v>137</v>
      </c>
      <c r="AE1006">
        <v>83</v>
      </c>
      <c r="AF1006" t="str">
        <v>Rural</v>
      </c>
      <c r="AG1006" t="str">
        <v>Nao</v>
      </c>
    </row>
    <row r="1007" spans="2:33" x14ac:dyDescent="0.45">
      <c r="B1007" s="4">
        <v>1006</v>
      </c>
      <c r="C1007" s="4" t="s">
        <v>22</v>
      </c>
      <c r="D1007" s="4" t="s">
        <v>23</v>
      </c>
      <c r="E1007" s="4" t="s">
        <v>17</v>
      </c>
      <c r="F1007" s="4" t="s">
        <v>18</v>
      </c>
      <c r="G1007" s="4" t="s">
        <v>30</v>
      </c>
      <c r="H1007" s="4" t="s">
        <v>36</v>
      </c>
      <c r="I1007" s="4">
        <v>20</v>
      </c>
      <c r="J1007" s="5">
        <v>77.099999999999994</v>
      </c>
      <c r="K1007" s="6">
        <v>1.78</v>
      </c>
      <c r="L1007" s="4">
        <v>3</v>
      </c>
      <c r="M1007" s="4">
        <v>141</v>
      </c>
      <c r="N1007" s="4">
        <v>78</v>
      </c>
      <c r="O1007" s="4" t="s">
        <v>21</v>
      </c>
      <c r="P1007" s="7" t="s">
        <v>30</v>
      </c>
      <c r="S1007">
        <v>2167</v>
      </c>
      <c r="T1007" t="str">
        <v>Gaza</v>
      </c>
      <c r="U1007" t="str">
        <v>Masculino</v>
      </c>
      <c r="V1007" t="str">
        <v>Divorciado(a)</v>
      </c>
      <c r="W1007" t="str">
        <v>Superior</v>
      </c>
      <c r="X1007" t="str">
        <v>Nao</v>
      </c>
      <c r="Y1007" t="str">
        <v>Hipertensao</v>
      </c>
      <c r="Z1007">
        <v>4</v>
      </c>
      <c r="AA1007">
        <v>8.6</v>
      </c>
      <c r="AB1007">
        <v>0.62</v>
      </c>
      <c r="AC1007">
        <v>5</v>
      </c>
      <c r="AD1007">
        <v>138</v>
      </c>
      <c r="AE1007">
        <v>85</v>
      </c>
      <c r="AF1007" t="str">
        <v>Urbana</v>
      </c>
      <c r="AG1007" t="str">
        <v>Nao</v>
      </c>
    </row>
    <row r="1008" spans="2:33" x14ac:dyDescent="0.45">
      <c r="B1008" s="4">
        <v>1007</v>
      </c>
      <c r="C1008" s="4" t="s">
        <v>22</v>
      </c>
      <c r="D1008" s="4" t="s">
        <v>16</v>
      </c>
      <c r="E1008" s="4" t="s">
        <v>17</v>
      </c>
      <c r="F1008" s="4" t="s">
        <v>24</v>
      </c>
      <c r="G1008" s="4" t="s">
        <v>19</v>
      </c>
      <c r="H1008" s="4" t="s">
        <v>20</v>
      </c>
      <c r="I1008" s="4">
        <v>33</v>
      </c>
      <c r="J1008" s="5">
        <v>85.2</v>
      </c>
      <c r="K1008" s="6">
        <v>1.77</v>
      </c>
      <c r="L1008" s="4">
        <v>2</v>
      </c>
      <c r="M1008" s="4">
        <v>110</v>
      </c>
      <c r="N1008" s="4">
        <v>98</v>
      </c>
      <c r="O1008" s="4" t="s">
        <v>26</v>
      </c>
      <c r="P1008" s="7" t="s">
        <v>19</v>
      </c>
      <c r="S1008">
        <v>2168</v>
      </c>
      <c r="T1008" t="str">
        <v>Sofala</v>
      </c>
      <c r="U1008" t="str">
        <v>Masculino</v>
      </c>
      <c r="V1008" t="str">
        <v>Divorciado(a)</v>
      </c>
      <c r="W1008" t="str">
        <v>Secundaria</v>
      </c>
      <c r="X1008" t="str">
        <v>Nao</v>
      </c>
      <c r="Y1008" t="str">
        <v>Diabetes</v>
      </c>
      <c r="Z1008">
        <v>11</v>
      </c>
      <c r="AA1008">
        <v>27.9</v>
      </c>
      <c r="AB1008">
        <v>1.31</v>
      </c>
      <c r="AC1008">
        <v>1</v>
      </c>
      <c r="AD1008">
        <v>115</v>
      </c>
      <c r="AE1008">
        <v>138</v>
      </c>
      <c r="AF1008" t="str">
        <v>Urbana</v>
      </c>
      <c r="AG1008" t="str">
        <v>Nao</v>
      </c>
    </row>
    <row r="1009" spans="2:33" x14ac:dyDescent="0.45">
      <c r="B1009" s="4">
        <v>1008</v>
      </c>
      <c r="C1009" s="4" t="s">
        <v>40</v>
      </c>
      <c r="D1009" s="4" t="s">
        <v>16</v>
      </c>
      <c r="E1009" s="4" t="s">
        <v>35</v>
      </c>
      <c r="F1009" s="4" t="s">
        <v>42</v>
      </c>
      <c r="G1009" s="4" t="s">
        <v>19</v>
      </c>
      <c r="H1009" s="4" t="s">
        <v>28</v>
      </c>
      <c r="I1009" s="4">
        <v>46</v>
      </c>
      <c r="J1009" s="5">
        <v>86.9</v>
      </c>
      <c r="K1009" s="6">
        <v>1.76</v>
      </c>
      <c r="L1009" s="4">
        <v>2</v>
      </c>
      <c r="M1009" s="4">
        <v>108</v>
      </c>
      <c r="N1009" s="4">
        <v>88</v>
      </c>
      <c r="O1009" s="4" t="s">
        <v>21</v>
      </c>
      <c r="P1009" s="7" t="s">
        <v>19</v>
      </c>
      <c r="S1009">
        <v>2170</v>
      </c>
      <c r="T1009" t="str">
        <v>Inhambane</v>
      </c>
      <c r="U1009" t="str">
        <v>Masculino</v>
      </c>
      <c r="V1009" t="str">
        <v>Solteiro(a)</v>
      </c>
      <c r="W1009" t="str">
        <v>Nenhuma</v>
      </c>
      <c r="X1009" t="str">
        <v>Nao</v>
      </c>
      <c r="Y1009" t="str">
        <v>Nenhuma</v>
      </c>
      <c r="Z1009">
        <v>36</v>
      </c>
      <c r="AA1009">
        <v>75.8</v>
      </c>
      <c r="AB1009">
        <v>1.67</v>
      </c>
      <c r="AC1009">
        <v>1</v>
      </c>
      <c r="AD1009">
        <v>113</v>
      </c>
      <c r="AE1009">
        <v>74</v>
      </c>
      <c r="AF1009" t="str">
        <v>Rural</v>
      </c>
      <c r="AG1009" t="str">
        <v>Nao</v>
      </c>
    </row>
    <row r="1010" spans="2:33" x14ac:dyDescent="0.45">
      <c r="B1010" s="4">
        <v>1009</v>
      </c>
      <c r="C1010" s="4" t="s">
        <v>39</v>
      </c>
      <c r="D1010" s="4" t="s">
        <v>23</v>
      </c>
      <c r="E1010" s="4" t="s">
        <v>17</v>
      </c>
      <c r="F1010" s="4" t="s">
        <v>24</v>
      </c>
      <c r="G1010" s="4" t="s">
        <v>30</v>
      </c>
      <c r="H1010" s="4" t="s">
        <v>28</v>
      </c>
      <c r="I1010" s="4">
        <v>27</v>
      </c>
      <c r="J1010" s="5">
        <v>93.2</v>
      </c>
      <c r="K1010" s="6">
        <v>1.64</v>
      </c>
      <c r="L1010" s="4">
        <v>2</v>
      </c>
      <c r="M1010" s="4">
        <v>117</v>
      </c>
      <c r="N1010" s="4">
        <v>99</v>
      </c>
      <c r="O1010" s="4" t="s">
        <v>21</v>
      </c>
      <c r="P1010" s="7" t="s">
        <v>19</v>
      </c>
      <c r="S1010">
        <v>2171</v>
      </c>
      <c r="T1010" t="str">
        <v>Manica</v>
      </c>
      <c r="U1010" t="str">
        <v>Masculino</v>
      </c>
      <c r="V1010" t="str">
        <v>Casado(a)</v>
      </c>
      <c r="W1010" t="str">
        <v>Nenhuma</v>
      </c>
      <c r="X1010" t="str">
        <v>Nao</v>
      </c>
      <c r="Y1010" t="str">
        <v>Pneumonia</v>
      </c>
      <c r="Z1010">
        <v>4</v>
      </c>
      <c r="AA1010">
        <v>10.1</v>
      </c>
      <c r="AB1010">
        <v>0.86</v>
      </c>
      <c r="AC1010">
        <v>5</v>
      </c>
      <c r="AD1010">
        <v>110</v>
      </c>
      <c r="AE1010">
        <v>74</v>
      </c>
      <c r="AF1010" t="str">
        <v>Rural</v>
      </c>
      <c r="AG1010" t="str">
        <v>Sim</v>
      </c>
    </row>
    <row r="1011" spans="2:33" x14ac:dyDescent="0.45">
      <c r="B1011" s="4">
        <v>1010</v>
      </c>
      <c r="C1011" s="4" t="s">
        <v>29</v>
      </c>
      <c r="D1011" s="4" t="s">
        <v>16</v>
      </c>
      <c r="E1011" s="4" t="s">
        <v>17</v>
      </c>
      <c r="F1011" s="4" t="s">
        <v>18</v>
      </c>
      <c r="G1011" s="4" t="s">
        <v>19</v>
      </c>
      <c r="H1011" s="4" t="s">
        <v>28</v>
      </c>
      <c r="I1011" s="4">
        <v>9</v>
      </c>
      <c r="J1011" s="5">
        <v>18.8</v>
      </c>
      <c r="K1011" s="6">
        <v>1.36</v>
      </c>
      <c r="L1011" s="4">
        <v>6</v>
      </c>
      <c r="M1011" s="4">
        <v>101</v>
      </c>
      <c r="N1011" s="4">
        <v>89</v>
      </c>
      <c r="O1011" s="4" t="s">
        <v>26</v>
      </c>
      <c r="P1011" s="7" t="s">
        <v>19</v>
      </c>
      <c r="S1011">
        <v>2172</v>
      </c>
      <c r="T1011" t="str">
        <v>Gaza</v>
      </c>
      <c r="U1011" t="str">
        <v>Masculino</v>
      </c>
      <c r="V1011" t="str">
        <v>Viuvo(a)</v>
      </c>
      <c r="W1011" t="str">
        <v>Secundaria</v>
      </c>
      <c r="X1011" t="str">
        <v>Nao</v>
      </c>
      <c r="Y1011" t="str">
        <v>Nenhuma</v>
      </c>
      <c r="Z1011">
        <v>2</v>
      </c>
      <c r="AA1011">
        <v>15.8</v>
      </c>
      <c r="AB1011">
        <v>0.67</v>
      </c>
      <c r="AC1011">
        <v>4</v>
      </c>
      <c r="AD1011">
        <v>102</v>
      </c>
      <c r="AE1011">
        <v>85</v>
      </c>
      <c r="AF1011" t="str">
        <v>Rural</v>
      </c>
      <c r="AG1011" t="str">
        <v>Nao</v>
      </c>
    </row>
    <row r="1012" spans="2:33" x14ac:dyDescent="0.45">
      <c r="B1012" s="4">
        <v>1011</v>
      </c>
      <c r="C1012" s="4" t="s">
        <v>33</v>
      </c>
      <c r="D1012" s="4" t="s">
        <v>16</v>
      </c>
      <c r="E1012" s="4" t="s">
        <v>17</v>
      </c>
      <c r="F1012" s="4" t="s">
        <v>24</v>
      </c>
      <c r="G1012" s="4" t="s">
        <v>19</v>
      </c>
      <c r="H1012" s="4" t="s">
        <v>46</v>
      </c>
      <c r="I1012" s="4">
        <v>15</v>
      </c>
      <c r="J1012" s="5">
        <v>55.9</v>
      </c>
      <c r="K1012" s="6">
        <v>1.66</v>
      </c>
      <c r="L1012" s="4">
        <v>0</v>
      </c>
      <c r="M1012" s="4">
        <v>96</v>
      </c>
      <c r="N1012" s="4">
        <v>88</v>
      </c>
      <c r="O1012" s="4" t="s">
        <v>26</v>
      </c>
      <c r="P1012" s="7" t="s">
        <v>19</v>
      </c>
      <c r="S1012">
        <v>2174</v>
      </c>
      <c r="T1012" t="str">
        <v>Gaza</v>
      </c>
      <c r="U1012" t="str">
        <v>Masculino</v>
      </c>
      <c r="V1012" t="str">
        <v>Solteiro(a)</v>
      </c>
      <c r="W1012" t="str">
        <v>Secundaria</v>
      </c>
      <c r="X1012" t="str">
        <v>Nao</v>
      </c>
      <c r="Y1012" t="str">
        <v>Pneumonia</v>
      </c>
      <c r="Z1012">
        <v>40</v>
      </c>
      <c r="AA1012">
        <v>74.099999999999994</v>
      </c>
      <c r="AB1012">
        <v>1.5</v>
      </c>
      <c r="AC1012">
        <v>1</v>
      </c>
      <c r="AD1012">
        <v>125</v>
      </c>
      <c r="AE1012">
        <v>79</v>
      </c>
      <c r="AF1012" t="str">
        <v>Rural</v>
      </c>
      <c r="AG1012" t="str">
        <v>Sim</v>
      </c>
    </row>
    <row r="1013" spans="2:33" x14ac:dyDescent="0.45">
      <c r="B1013" s="4">
        <v>1012</v>
      </c>
      <c r="C1013" s="4" t="s">
        <v>31</v>
      </c>
      <c r="D1013" s="4" t="s">
        <v>16</v>
      </c>
      <c r="E1013" s="4" t="s">
        <v>17</v>
      </c>
      <c r="F1013" s="4" t="s">
        <v>18</v>
      </c>
      <c r="G1013" s="4" t="s">
        <v>19</v>
      </c>
      <c r="H1013" s="4" t="s">
        <v>46</v>
      </c>
      <c r="I1013" s="4">
        <v>12</v>
      </c>
      <c r="J1013" s="5">
        <v>64.900000000000006</v>
      </c>
      <c r="K1013" s="6">
        <v>1.49</v>
      </c>
      <c r="L1013" s="4">
        <v>3</v>
      </c>
      <c r="M1013" s="4">
        <v>97</v>
      </c>
      <c r="N1013" s="4">
        <v>77</v>
      </c>
      <c r="O1013" s="4" t="s">
        <v>26</v>
      </c>
      <c r="P1013" s="7" t="s">
        <v>19</v>
      </c>
      <c r="S1013">
        <v>2175</v>
      </c>
      <c r="T1013" t="str">
        <v>Tete</v>
      </c>
      <c r="U1013" t="str">
        <v>Masculino</v>
      </c>
      <c r="V1013" t="str">
        <v>Solteiro(a)</v>
      </c>
      <c r="W1013" t="str">
        <v>Secundaria</v>
      </c>
      <c r="X1013" t="str">
        <v>Nao</v>
      </c>
      <c r="Y1013" t="str">
        <v>Tuberculose</v>
      </c>
      <c r="Z1013">
        <v>17</v>
      </c>
      <c r="AA1013">
        <v>43</v>
      </c>
      <c r="AB1013">
        <v>1.52</v>
      </c>
      <c r="AC1013">
        <v>3</v>
      </c>
      <c r="AD1013">
        <v>119</v>
      </c>
      <c r="AE1013">
        <v>82</v>
      </c>
      <c r="AF1013" t="str">
        <v>Urbana</v>
      </c>
      <c r="AG1013" t="str">
        <v>Nao</v>
      </c>
    </row>
    <row r="1014" spans="2:33" x14ac:dyDescent="0.45">
      <c r="B1014" s="4">
        <v>1013</v>
      </c>
      <c r="C1014" s="4" t="s">
        <v>41</v>
      </c>
      <c r="D1014" s="4" t="s">
        <v>16</v>
      </c>
      <c r="E1014" s="4" t="s">
        <v>35</v>
      </c>
      <c r="F1014" s="4" t="s">
        <v>18</v>
      </c>
      <c r="G1014" s="4" t="s">
        <v>30</v>
      </c>
      <c r="H1014" s="4" t="s">
        <v>46</v>
      </c>
      <c r="I1014" s="4">
        <v>61</v>
      </c>
      <c r="J1014" s="5">
        <v>59.7</v>
      </c>
      <c r="K1014" s="6">
        <v>1.88</v>
      </c>
      <c r="L1014" s="4">
        <v>5</v>
      </c>
      <c r="M1014" s="4">
        <v>117</v>
      </c>
      <c r="N1014" s="4">
        <v>97</v>
      </c>
      <c r="O1014" s="4" t="s">
        <v>21</v>
      </c>
      <c r="P1014" s="7" t="s">
        <v>19</v>
      </c>
      <c r="S1014">
        <v>2178</v>
      </c>
      <c r="T1014" t="str">
        <v>Manica</v>
      </c>
      <c r="U1014" t="str">
        <v>Masculino</v>
      </c>
      <c r="V1014" t="str">
        <v>Casado(a)</v>
      </c>
      <c r="W1014" t="str">
        <v>Nenhuma</v>
      </c>
      <c r="X1014" t="str">
        <v>Nao</v>
      </c>
      <c r="Y1014" t="str">
        <v>Diabetes</v>
      </c>
      <c r="Z1014">
        <v>45</v>
      </c>
      <c r="AA1014">
        <v>93.9</v>
      </c>
      <c r="AB1014">
        <v>1.71</v>
      </c>
      <c r="AC1014">
        <v>1</v>
      </c>
      <c r="AD1014">
        <v>117</v>
      </c>
      <c r="AE1014">
        <v>155</v>
      </c>
      <c r="AF1014" t="str">
        <v>Urbana</v>
      </c>
      <c r="AG1014" t="str">
        <v>Nao</v>
      </c>
    </row>
    <row r="1015" spans="2:33" x14ac:dyDescent="0.45">
      <c r="B1015" s="4">
        <v>1014</v>
      </c>
      <c r="C1015" s="4" t="s">
        <v>31</v>
      </c>
      <c r="D1015" s="4" t="s">
        <v>23</v>
      </c>
      <c r="E1015" s="4" t="s">
        <v>35</v>
      </c>
      <c r="F1015" s="4" t="s">
        <v>24</v>
      </c>
      <c r="G1015" s="4" t="s">
        <v>19</v>
      </c>
      <c r="H1015" s="4" t="s">
        <v>46</v>
      </c>
      <c r="I1015" s="4">
        <v>20</v>
      </c>
      <c r="J1015" s="5">
        <v>67.599999999999994</v>
      </c>
      <c r="K1015" s="6">
        <v>1.49</v>
      </c>
      <c r="L1015" s="4">
        <v>1</v>
      </c>
      <c r="M1015" s="4">
        <v>105</v>
      </c>
      <c r="N1015" s="4">
        <v>95</v>
      </c>
      <c r="O1015" s="4" t="s">
        <v>26</v>
      </c>
      <c r="P1015" s="7" t="s">
        <v>30</v>
      </c>
      <c r="S1015">
        <v>2179</v>
      </c>
      <c r="T1015" t="str">
        <v>Inhambane</v>
      </c>
      <c r="U1015" t="str">
        <v>Masculino</v>
      </c>
      <c r="V1015" t="str">
        <v>Casado(a)</v>
      </c>
      <c r="W1015" t="str">
        <v>Primaria</v>
      </c>
      <c r="X1015" t="str">
        <v>Nao</v>
      </c>
      <c r="Y1015" t="str">
        <v>HIV/SIDA</v>
      </c>
      <c r="Z1015">
        <v>11</v>
      </c>
      <c r="AA1015">
        <v>21.5</v>
      </c>
      <c r="AB1015">
        <v>1.1200000000000001</v>
      </c>
      <c r="AC1015">
        <v>1</v>
      </c>
      <c r="AD1015">
        <v>96</v>
      </c>
      <c r="AE1015">
        <v>74</v>
      </c>
      <c r="AF1015" t="str">
        <v>Urbana</v>
      </c>
      <c r="AG1015" t="str">
        <v>Nao</v>
      </c>
    </row>
    <row r="1016" spans="2:33" x14ac:dyDescent="0.45">
      <c r="B1016" s="4">
        <v>1015</v>
      </c>
      <c r="C1016" s="4" t="s">
        <v>31</v>
      </c>
      <c r="D1016" s="4" t="s">
        <v>23</v>
      </c>
      <c r="E1016" s="4" t="s">
        <v>17</v>
      </c>
      <c r="F1016" s="4" t="s">
        <v>18</v>
      </c>
      <c r="G1016" s="4" t="s">
        <v>19</v>
      </c>
      <c r="H1016" s="4" t="s">
        <v>32</v>
      </c>
      <c r="I1016" s="4">
        <v>20</v>
      </c>
      <c r="J1016" s="5">
        <v>54.3</v>
      </c>
      <c r="K1016" s="6">
        <v>1.56</v>
      </c>
      <c r="L1016" s="4">
        <v>5</v>
      </c>
      <c r="M1016" s="4">
        <v>108</v>
      </c>
      <c r="N1016" s="4">
        <v>157</v>
      </c>
      <c r="O1016" s="4" t="s">
        <v>26</v>
      </c>
      <c r="P1016" s="7" t="s">
        <v>19</v>
      </c>
      <c r="S1016">
        <v>2182</v>
      </c>
      <c r="T1016" t="str">
        <v>Zambezia</v>
      </c>
      <c r="U1016" t="str">
        <v>Masculino</v>
      </c>
      <c r="V1016" t="str">
        <v>Casado(a)</v>
      </c>
      <c r="W1016" t="str">
        <v>Primaria</v>
      </c>
      <c r="X1016" t="str">
        <v>Sim</v>
      </c>
      <c r="Y1016" t="str">
        <v>Malaria</v>
      </c>
      <c r="Z1016">
        <v>16</v>
      </c>
      <c r="AA1016">
        <v>46</v>
      </c>
      <c r="AB1016">
        <v>1.46</v>
      </c>
      <c r="AC1016">
        <v>1</v>
      </c>
      <c r="AD1016">
        <v>114</v>
      </c>
      <c r="AE1016">
        <v>87</v>
      </c>
      <c r="AF1016" t="str">
        <v>Rural</v>
      </c>
      <c r="AG1016" t="str">
        <v>Nao</v>
      </c>
    </row>
    <row r="1017" spans="2:33" x14ac:dyDescent="0.45">
      <c r="B1017" s="4">
        <v>1016</v>
      </c>
      <c r="C1017" s="4" t="s">
        <v>15</v>
      </c>
      <c r="D1017" s="4" t="s">
        <v>23</v>
      </c>
      <c r="E1017" s="4" t="s">
        <v>17</v>
      </c>
      <c r="F1017" s="4" t="s">
        <v>18</v>
      </c>
      <c r="G1017" s="4" t="s">
        <v>19</v>
      </c>
      <c r="H1017" s="4" t="s">
        <v>20</v>
      </c>
      <c r="I1017" s="4">
        <v>15</v>
      </c>
      <c r="J1017" s="5">
        <v>64.7</v>
      </c>
      <c r="K1017" s="6">
        <v>1.69</v>
      </c>
      <c r="L1017" s="4">
        <v>5</v>
      </c>
      <c r="M1017" s="4">
        <v>96</v>
      </c>
      <c r="N1017" s="4">
        <v>86</v>
      </c>
      <c r="O1017" s="4" t="s">
        <v>26</v>
      </c>
      <c r="P1017" s="7" t="s">
        <v>19</v>
      </c>
      <c r="S1017">
        <v>2183</v>
      </c>
      <c r="T1017" t="str">
        <v>Sofala</v>
      </c>
      <c r="U1017" t="str">
        <v>Masculino</v>
      </c>
      <c r="V1017" t="str">
        <v>Casado(a)</v>
      </c>
      <c r="W1017" t="str">
        <v>Primaria</v>
      </c>
      <c r="X1017" t="str">
        <v>Nao</v>
      </c>
      <c r="Y1017" t="str">
        <v>Diabetes</v>
      </c>
      <c r="Z1017">
        <v>16</v>
      </c>
      <c r="AA1017">
        <v>42.7</v>
      </c>
      <c r="AB1017">
        <v>1.51</v>
      </c>
      <c r="AC1017">
        <v>3</v>
      </c>
      <c r="AD1017">
        <v>99</v>
      </c>
      <c r="AE1017">
        <v>133</v>
      </c>
      <c r="AF1017" t="str">
        <v>Rural</v>
      </c>
      <c r="AG1017" t="str">
        <v>Nao</v>
      </c>
    </row>
    <row r="1018" spans="2:33" x14ac:dyDescent="0.45">
      <c r="B1018" s="4">
        <v>1017</v>
      </c>
      <c r="C1018" s="4" t="s">
        <v>45</v>
      </c>
      <c r="D1018" s="4" t="s">
        <v>16</v>
      </c>
      <c r="E1018" s="4" t="s">
        <v>44</v>
      </c>
      <c r="F1018" s="4" t="s">
        <v>24</v>
      </c>
      <c r="G1018" s="4" t="s">
        <v>19</v>
      </c>
      <c r="H1018" s="4" t="s">
        <v>28</v>
      </c>
      <c r="I1018" s="4">
        <v>49</v>
      </c>
      <c r="J1018" s="5">
        <v>45.4</v>
      </c>
      <c r="K1018" s="6">
        <v>1.63</v>
      </c>
      <c r="L1018" s="4">
        <v>8</v>
      </c>
      <c r="M1018" s="4">
        <v>108</v>
      </c>
      <c r="N1018" s="4">
        <v>97</v>
      </c>
      <c r="O1018" s="4" t="s">
        <v>21</v>
      </c>
      <c r="P1018" s="7" t="s">
        <v>19</v>
      </c>
      <c r="S1018">
        <v>2184</v>
      </c>
      <c r="T1018" t="str">
        <v>Maputo Cidade</v>
      </c>
      <c r="U1018" t="str">
        <v>Masculino</v>
      </c>
      <c r="V1018" t="str">
        <v>Casado(a)</v>
      </c>
      <c r="W1018" t="str">
        <v>Primaria</v>
      </c>
      <c r="X1018" t="str">
        <v>Nao</v>
      </c>
      <c r="Y1018" t="str">
        <v>Malaria</v>
      </c>
      <c r="Z1018">
        <v>6</v>
      </c>
      <c r="AA1018">
        <v>30.7</v>
      </c>
      <c r="AB1018">
        <v>1.42</v>
      </c>
      <c r="AC1018">
        <v>2</v>
      </c>
      <c r="AD1018">
        <v>106</v>
      </c>
      <c r="AE1018">
        <v>91</v>
      </c>
      <c r="AF1018" t="str">
        <v>Urbana</v>
      </c>
      <c r="AG1018" t="str">
        <v>Nao</v>
      </c>
    </row>
    <row r="1019" spans="2:33" x14ac:dyDescent="0.45">
      <c r="B1019" s="4">
        <v>1018</v>
      </c>
      <c r="C1019" s="4" t="s">
        <v>15</v>
      </c>
      <c r="D1019" s="4" t="s">
        <v>16</v>
      </c>
      <c r="E1019" s="4" t="s">
        <v>35</v>
      </c>
      <c r="F1019" s="4" t="s">
        <v>24</v>
      </c>
      <c r="G1019" s="4" t="s">
        <v>19</v>
      </c>
      <c r="H1019" s="4" t="s">
        <v>25</v>
      </c>
      <c r="I1019" s="4">
        <v>76</v>
      </c>
      <c r="J1019" s="5">
        <v>92.9</v>
      </c>
      <c r="K1019" s="6">
        <v>1.82</v>
      </c>
      <c r="L1019" s="4">
        <v>2</v>
      </c>
      <c r="M1019" s="4">
        <v>122</v>
      </c>
      <c r="N1019" s="4">
        <v>89</v>
      </c>
      <c r="O1019" s="4" t="s">
        <v>26</v>
      </c>
      <c r="P1019" s="7" t="s">
        <v>19</v>
      </c>
      <c r="S1019">
        <v>2185</v>
      </c>
      <c r="T1019" t="str">
        <v>Zambezia</v>
      </c>
      <c r="U1019" t="str">
        <v>Masculino</v>
      </c>
      <c r="V1019" t="str">
        <v>Casado(a)</v>
      </c>
      <c r="W1019" t="str">
        <v>Primaria</v>
      </c>
      <c r="X1019" t="str">
        <v>Nao</v>
      </c>
      <c r="Y1019" t="str">
        <v>Hipertensao</v>
      </c>
      <c r="Z1019">
        <v>64</v>
      </c>
      <c r="AA1019">
        <v>87</v>
      </c>
      <c r="AB1019">
        <v>1.62</v>
      </c>
      <c r="AC1019">
        <v>3</v>
      </c>
      <c r="AD1019">
        <v>156</v>
      </c>
      <c r="AE1019">
        <v>71</v>
      </c>
      <c r="AF1019" t="str">
        <v>Urbana</v>
      </c>
      <c r="AG1019" t="str">
        <v>Nao</v>
      </c>
    </row>
    <row r="1020" spans="2:33" x14ac:dyDescent="0.45">
      <c r="B1020" s="4">
        <v>1019</v>
      </c>
      <c r="C1020" s="4" t="s">
        <v>43</v>
      </c>
      <c r="D1020" s="4" t="s">
        <v>16</v>
      </c>
      <c r="E1020" s="4" t="s">
        <v>35</v>
      </c>
      <c r="F1020" s="4" t="s">
        <v>24</v>
      </c>
      <c r="G1020" s="4" t="s">
        <v>19</v>
      </c>
      <c r="H1020" s="4" t="s">
        <v>25</v>
      </c>
      <c r="I1020" s="4">
        <v>14</v>
      </c>
      <c r="J1020" s="5">
        <v>60.8</v>
      </c>
      <c r="K1020" s="6">
        <v>1.61</v>
      </c>
      <c r="L1020" s="4">
        <v>0</v>
      </c>
      <c r="M1020" s="4">
        <v>116</v>
      </c>
      <c r="N1020" s="4">
        <v>87</v>
      </c>
      <c r="O1020" s="4" t="s">
        <v>26</v>
      </c>
      <c r="P1020" s="7" t="s">
        <v>19</v>
      </c>
      <c r="S1020">
        <v>2187</v>
      </c>
      <c r="T1020" t="str">
        <v>Nampula</v>
      </c>
      <c r="U1020" t="str">
        <v>Masculino</v>
      </c>
      <c r="V1020" t="str">
        <v>Solteiro(a)</v>
      </c>
      <c r="W1020" t="str">
        <v>Primaria</v>
      </c>
      <c r="X1020" t="str">
        <v>Nao</v>
      </c>
      <c r="Y1020" t="str">
        <v>Pneumonia</v>
      </c>
      <c r="Z1020">
        <v>11</v>
      </c>
      <c r="AA1020">
        <v>31.6</v>
      </c>
      <c r="AB1020">
        <v>1.35</v>
      </c>
      <c r="AC1020">
        <v>9</v>
      </c>
      <c r="AD1020">
        <v>114</v>
      </c>
      <c r="AE1020">
        <v>85</v>
      </c>
      <c r="AF1020" t="str">
        <v>Rural</v>
      </c>
      <c r="AG1020" t="str">
        <v>Nao</v>
      </c>
    </row>
    <row r="1021" spans="2:33" x14ac:dyDescent="0.45">
      <c r="B1021" s="4">
        <v>1020</v>
      </c>
      <c r="C1021" s="4" t="s">
        <v>22</v>
      </c>
      <c r="D1021" s="4" t="s">
        <v>23</v>
      </c>
      <c r="E1021" s="4" t="s">
        <v>35</v>
      </c>
      <c r="F1021" s="4" t="s">
        <v>18</v>
      </c>
      <c r="G1021" s="4" t="s">
        <v>19</v>
      </c>
      <c r="H1021" s="4" t="s">
        <v>34</v>
      </c>
      <c r="I1021" s="4">
        <v>63</v>
      </c>
      <c r="J1021" s="5">
        <v>73.5</v>
      </c>
      <c r="K1021" s="6">
        <v>1.6</v>
      </c>
      <c r="L1021" s="4">
        <v>2</v>
      </c>
      <c r="M1021" s="4">
        <v>136</v>
      </c>
      <c r="N1021" s="4">
        <v>101</v>
      </c>
      <c r="O1021" s="4" t="s">
        <v>21</v>
      </c>
      <c r="P1021" s="7" t="s">
        <v>30</v>
      </c>
      <c r="S1021">
        <v>2188</v>
      </c>
      <c r="T1021" t="str">
        <v>Niassa</v>
      </c>
      <c r="U1021" t="str">
        <v>Masculino</v>
      </c>
      <c r="V1021" t="str">
        <v>Casado(a)</v>
      </c>
      <c r="W1021" t="str">
        <v>Nenhuma</v>
      </c>
      <c r="X1021" t="str">
        <v>Nao</v>
      </c>
      <c r="Y1021" t="str">
        <v>Tuberculose</v>
      </c>
      <c r="Z1021">
        <v>62</v>
      </c>
      <c r="AA1021">
        <v>90.4</v>
      </c>
      <c r="AB1021">
        <v>1.59</v>
      </c>
      <c r="AC1021">
        <v>3</v>
      </c>
      <c r="AD1021">
        <v>127</v>
      </c>
      <c r="AE1021">
        <v>87</v>
      </c>
      <c r="AF1021" t="str">
        <v>Rural</v>
      </c>
      <c r="AG1021" t="str">
        <v>Nao</v>
      </c>
    </row>
    <row r="1022" spans="2:33" x14ac:dyDescent="0.45">
      <c r="B1022" s="4">
        <v>1021</v>
      </c>
      <c r="C1022" s="4" t="s">
        <v>22</v>
      </c>
      <c r="D1022" s="4" t="s">
        <v>16</v>
      </c>
      <c r="E1022" s="4" t="s">
        <v>17</v>
      </c>
      <c r="F1022" s="4" t="s">
        <v>24</v>
      </c>
      <c r="G1022" s="4" t="s">
        <v>19</v>
      </c>
      <c r="H1022" s="4" t="s">
        <v>36</v>
      </c>
      <c r="I1022" s="4">
        <v>43</v>
      </c>
      <c r="J1022" s="5">
        <v>89.8</v>
      </c>
      <c r="K1022" s="6">
        <v>1.73</v>
      </c>
      <c r="L1022" s="4">
        <v>2</v>
      </c>
      <c r="M1022" s="4">
        <v>135</v>
      </c>
      <c r="N1022" s="4">
        <v>74</v>
      </c>
      <c r="O1022" s="4" t="s">
        <v>21</v>
      </c>
      <c r="P1022" s="7" t="s">
        <v>19</v>
      </c>
      <c r="S1022">
        <v>2194</v>
      </c>
      <c r="T1022" t="str">
        <v>Tete</v>
      </c>
      <c r="U1022" t="str">
        <v>Masculino</v>
      </c>
      <c r="V1022" t="str">
        <v>Casado(a)</v>
      </c>
      <c r="W1022" t="str">
        <v>Secundaria</v>
      </c>
      <c r="X1022" t="str">
        <v>Nao</v>
      </c>
      <c r="Y1022" t="str">
        <v>Nenhuma</v>
      </c>
      <c r="Z1022">
        <v>16</v>
      </c>
      <c r="AA1022">
        <v>40.700000000000003</v>
      </c>
      <c r="AB1022">
        <v>1.56</v>
      </c>
      <c r="AC1022">
        <v>4</v>
      </c>
      <c r="AD1022">
        <v>99</v>
      </c>
      <c r="AE1022">
        <v>95</v>
      </c>
      <c r="AF1022" t="str">
        <v>Rural</v>
      </c>
      <c r="AG1022" t="str">
        <v>Nao</v>
      </c>
    </row>
    <row r="1023" spans="2:33" x14ac:dyDescent="0.45">
      <c r="B1023" s="4">
        <v>1022</v>
      </c>
      <c r="C1023" s="4" t="s">
        <v>22</v>
      </c>
      <c r="D1023" s="4" t="s">
        <v>16</v>
      </c>
      <c r="E1023" s="4" t="s">
        <v>17</v>
      </c>
      <c r="F1023" s="4" t="s">
        <v>24</v>
      </c>
      <c r="G1023" s="4" t="s">
        <v>19</v>
      </c>
      <c r="H1023" s="4" t="s">
        <v>20</v>
      </c>
      <c r="I1023" s="4">
        <v>28</v>
      </c>
      <c r="J1023" s="5">
        <v>89.3</v>
      </c>
      <c r="K1023" s="6">
        <v>1.86</v>
      </c>
      <c r="L1023" s="4">
        <v>4</v>
      </c>
      <c r="M1023" s="4">
        <v>119</v>
      </c>
      <c r="N1023" s="4">
        <v>76</v>
      </c>
      <c r="O1023" s="4" t="s">
        <v>26</v>
      </c>
      <c r="P1023" s="7" t="s">
        <v>19</v>
      </c>
      <c r="S1023">
        <v>2196</v>
      </c>
      <c r="T1023" t="str">
        <v>Sofala</v>
      </c>
      <c r="U1023" t="str">
        <v>Masculino</v>
      </c>
      <c r="V1023" t="str">
        <v>Solteiro(a)</v>
      </c>
      <c r="W1023" t="str">
        <v>Secundaria</v>
      </c>
      <c r="X1023" t="str">
        <v>Sim</v>
      </c>
      <c r="Y1023" t="str">
        <v>Malaria</v>
      </c>
      <c r="Z1023">
        <v>33</v>
      </c>
      <c r="AA1023">
        <v>88.3</v>
      </c>
      <c r="AB1023">
        <v>1.78</v>
      </c>
      <c r="AC1023">
        <v>0</v>
      </c>
      <c r="AD1023">
        <v>112</v>
      </c>
      <c r="AE1023">
        <v>100</v>
      </c>
      <c r="AF1023" t="str">
        <v>Urbana</v>
      </c>
      <c r="AG1023" t="str">
        <v>Sim</v>
      </c>
    </row>
    <row r="1024" spans="2:33" x14ac:dyDescent="0.45">
      <c r="B1024" s="4">
        <v>1023</v>
      </c>
      <c r="C1024" s="4" t="s">
        <v>41</v>
      </c>
      <c r="D1024" s="4" t="s">
        <v>16</v>
      </c>
      <c r="E1024" s="4" t="s">
        <v>17</v>
      </c>
      <c r="F1024" s="4" t="s">
        <v>24</v>
      </c>
      <c r="G1024" s="4" t="s">
        <v>19</v>
      </c>
      <c r="H1024" s="4" t="s">
        <v>28</v>
      </c>
      <c r="I1024" s="4">
        <v>26</v>
      </c>
      <c r="J1024" s="5">
        <v>84.2</v>
      </c>
      <c r="K1024" s="6">
        <v>1.83</v>
      </c>
      <c r="L1024" s="4">
        <v>1</v>
      </c>
      <c r="M1024" s="4">
        <v>104</v>
      </c>
      <c r="N1024" s="4">
        <v>98</v>
      </c>
      <c r="O1024" s="4" t="s">
        <v>26</v>
      </c>
      <c r="P1024" s="7" t="s">
        <v>19</v>
      </c>
      <c r="S1024">
        <v>2198</v>
      </c>
      <c r="T1024" t="str">
        <v>Maputo Cidade</v>
      </c>
      <c r="U1024" t="str">
        <v>Masculino</v>
      </c>
      <c r="V1024" t="str">
        <v>Solteiro(a)</v>
      </c>
      <c r="W1024" t="str">
        <v>Secundaria</v>
      </c>
      <c r="X1024" t="str">
        <v>Sim</v>
      </c>
      <c r="Y1024" t="str">
        <v>Nenhuma</v>
      </c>
      <c r="Z1024">
        <v>3</v>
      </c>
      <c r="AA1024">
        <v>7.2</v>
      </c>
      <c r="AB1024">
        <v>1.02</v>
      </c>
      <c r="AC1024">
        <v>0</v>
      </c>
      <c r="AD1024">
        <v>92</v>
      </c>
      <c r="AE1024">
        <v>73</v>
      </c>
      <c r="AF1024" t="str">
        <v>Urbana</v>
      </c>
      <c r="AG1024" t="str">
        <v>Nao</v>
      </c>
    </row>
    <row r="1025" spans="2:33" x14ac:dyDescent="0.45">
      <c r="B1025" s="4">
        <v>1024</v>
      </c>
      <c r="C1025" s="4" t="s">
        <v>29</v>
      </c>
      <c r="D1025" s="4" t="s">
        <v>23</v>
      </c>
      <c r="E1025" s="4" t="s">
        <v>35</v>
      </c>
      <c r="F1025" s="4" t="s">
        <v>18</v>
      </c>
      <c r="G1025" s="4" t="s">
        <v>19</v>
      </c>
      <c r="H1025" s="4" t="s">
        <v>20</v>
      </c>
      <c r="I1025" s="4">
        <v>20</v>
      </c>
      <c r="J1025" s="5">
        <v>50.2</v>
      </c>
      <c r="K1025" s="6">
        <v>1.61</v>
      </c>
      <c r="L1025" s="4">
        <v>1</v>
      </c>
      <c r="M1025" s="4">
        <v>101</v>
      </c>
      <c r="N1025" s="4">
        <v>80</v>
      </c>
      <c r="O1025" s="4" t="s">
        <v>21</v>
      </c>
      <c r="P1025" s="7" t="s">
        <v>19</v>
      </c>
      <c r="S1025">
        <v>2200</v>
      </c>
      <c r="T1025" t="str">
        <v>Gaza</v>
      </c>
      <c r="U1025" t="str">
        <v>Masculino</v>
      </c>
      <c r="V1025" t="str">
        <v>Casado(a)</v>
      </c>
      <c r="W1025" t="str">
        <v>Primaria</v>
      </c>
      <c r="X1025" t="str">
        <v>Nao</v>
      </c>
      <c r="Y1025" t="str">
        <v>Pneumonia</v>
      </c>
      <c r="Z1025">
        <v>16</v>
      </c>
      <c r="AA1025">
        <v>47.2</v>
      </c>
      <c r="AB1025">
        <v>1.63</v>
      </c>
      <c r="AC1025">
        <v>0</v>
      </c>
      <c r="AD1025">
        <v>110</v>
      </c>
      <c r="AE1025">
        <v>76</v>
      </c>
      <c r="AF1025" t="str">
        <v>Urbana</v>
      </c>
      <c r="AG1025" t="str">
        <v>Nao</v>
      </c>
    </row>
    <row r="1026" spans="2:33" x14ac:dyDescent="0.45">
      <c r="B1026" s="4">
        <v>1025</v>
      </c>
      <c r="C1026" s="4" t="s">
        <v>15</v>
      </c>
      <c r="D1026" s="4" t="s">
        <v>16</v>
      </c>
      <c r="E1026" s="4" t="s">
        <v>35</v>
      </c>
      <c r="F1026" s="4" t="s">
        <v>24</v>
      </c>
      <c r="G1026" s="4" t="s">
        <v>19</v>
      </c>
      <c r="H1026" s="4" t="s">
        <v>32</v>
      </c>
      <c r="I1026" s="4">
        <v>11</v>
      </c>
      <c r="J1026" s="5">
        <v>22.8</v>
      </c>
      <c r="K1026" s="6">
        <v>1.4</v>
      </c>
      <c r="L1026" s="4">
        <v>1</v>
      </c>
      <c r="M1026" s="4">
        <v>100</v>
      </c>
      <c r="N1026" s="4">
        <v>162</v>
      </c>
      <c r="O1026" s="4" t="s">
        <v>21</v>
      </c>
      <c r="P1026" s="7" t="s">
        <v>19</v>
      </c>
      <c r="S1026">
        <v>2201</v>
      </c>
      <c r="T1026" t="str">
        <v>Zambezia</v>
      </c>
      <c r="U1026" t="str">
        <v>Masculino</v>
      </c>
      <c r="V1026" t="str">
        <v>Solteiro(a)</v>
      </c>
      <c r="W1026" t="str">
        <v>Primaria</v>
      </c>
      <c r="X1026" t="str">
        <v>Nao</v>
      </c>
      <c r="Y1026" t="str">
        <v>HIV/SIDA</v>
      </c>
      <c r="Z1026">
        <v>8</v>
      </c>
      <c r="AA1026">
        <v>20.8</v>
      </c>
      <c r="AB1026">
        <v>1.0900000000000001</v>
      </c>
      <c r="AC1026">
        <v>6</v>
      </c>
      <c r="AD1026">
        <v>111</v>
      </c>
      <c r="AE1026">
        <v>99</v>
      </c>
      <c r="AF1026" t="str">
        <v>Rural</v>
      </c>
      <c r="AG1026" t="str">
        <v>Nao</v>
      </c>
    </row>
    <row r="1027" spans="2:33" x14ac:dyDescent="0.45">
      <c r="B1027" s="4">
        <v>1026</v>
      </c>
      <c r="C1027" s="4" t="s">
        <v>39</v>
      </c>
      <c r="D1027" s="4" t="s">
        <v>16</v>
      </c>
      <c r="E1027" s="4" t="s">
        <v>17</v>
      </c>
      <c r="F1027" s="4" t="s">
        <v>28</v>
      </c>
      <c r="G1027" s="4" t="s">
        <v>19</v>
      </c>
      <c r="H1027" s="4" t="s">
        <v>25</v>
      </c>
      <c r="I1027" s="4">
        <v>4</v>
      </c>
      <c r="J1027" s="5">
        <v>15.4</v>
      </c>
      <c r="K1027" s="6">
        <v>0.75</v>
      </c>
      <c r="L1027" s="4">
        <v>2</v>
      </c>
      <c r="M1027" s="4">
        <v>112</v>
      </c>
      <c r="N1027" s="4">
        <v>96</v>
      </c>
      <c r="O1027" s="4" t="s">
        <v>26</v>
      </c>
      <c r="P1027" s="7" t="s">
        <v>19</v>
      </c>
      <c r="S1027">
        <v>2202</v>
      </c>
      <c r="T1027" t="str">
        <v>Tete</v>
      </c>
      <c r="U1027" t="str">
        <v>Masculino</v>
      </c>
      <c r="V1027" t="str">
        <v>Casado(a)</v>
      </c>
      <c r="W1027" t="str">
        <v>Primaria</v>
      </c>
      <c r="X1027" t="str">
        <v>Sim</v>
      </c>
      <c r="Y1027" t="str">
        <v>Diarreia</v>
      </c>
      <c r="Z1027">
        <v>84</v>
      </c>
      <c r="AA1027">
        <v>92</v>
      </c>
      <c r="AB1027">
        <v>1.62</v>
      </c>
      <c r="AC1027">
        <v>2</v>
      </c>
      <c r="AD1027">
        <v>129</v>
      </c>
      <c r="AE1027">
        <v>73</v>
      </c>
      <c r="AF1027" t="str">
        <v>Urbana</v>
      </c>
      <c r="AG1027" t="str">
        <v>Nao</v>
      </c>
    </row>
    <row r="1028" spans="2:33" x14ac:dyDescent="0.45">
      <c r="B1028" s="4">
        <v>1027</v>
      </c>
      <c r="C1028" s="4" t="s">
        <v>27</v>
      </c>
      <c r="D1028" s="4" t="s">
        <v>23</v>
      </c>
      <c r="E1028" s="4" t="s">
        <v>17</v>
      </c>
      <c r="F1028" s="4" t="s">
        <v>28</v>
      </c>
      <c r="G1028" s="4" t="s">
        <v>30</v>
      </c>
      <c r="H1028" s="4" t="s">
        <v>28</v>
      </c>
      <c r="I1028" s="4">
        <v>32</v>
      </c>
      <c r="J1028" s="5">
        <v>63.7</v>
      </c>
      <c r="K1028" s="6">
        <v>1.62</v>
      </c>
      <c r="L1028" s="4">
        <v>7</v>
      </c>
      <c r="M1028" s="4">
        <v>101</v>
      </c>
      <c r="N1028" s="4">
        <v>86</v>
      </c>
      <c r="O1028" s="4" t="s">
        <v>26</v>
      </c>
      <c r="P1028" s="7" t="s">
        <v>19</v>
      </c>
      <c r="S1028">
        <v>2205</v>
      </c>
      <c r="T1028" t="str">
        <v>Cabo Delgado</v>
      </c>
      <c r="U1028" t="str">
        <v>Masculino</v>
      </c>
      <c r="V1028" t="str">
        <v>Casado(a)</v>
      </c>
      <c r="W1028" t="str">
        <v>Nenhuma</v>
      </c>
      <c r="X1028" t="str">
        <v>Nao</v>
      </c>
      <c r="Y1028" t="str">
        <v>Tuberculose</v>
      </c>
      <c r="Z1028">
        <v>35</v>
      </c>
      <c r="AA1028">
        <v>52.4</v>
      </c>
      <c r="AB1028">
        <v>1.82</v>
      </c>
      <c r="AC1028">
        <v>4</v>
      </c>
      <c r="AD1028">
        <v>112</v>
      </c>
      <c r="AE1028">
        <v>100</v>
      </c>
      <c r="AF1028" t="str">
        <v>Urbana</v>
      </c>
      <c r="AG1028" t="str">
        <v>Sim</v>
      </c>
    </row>
    <row r="1029" spans="2:33" x14ac:dyDescent="0.45">
      <c r="B1029" s="4">
        <v>1028</v>
      </c>
      <c r="C1029" s="4" t="s">
        <v>39</v>
      </c>
      <c r="D1029" s="4" t="s">
        <v>23</v>
      </c>
      <c r="E1029" s="4" t="s">
        <v>17</v>
      </c>
      <c r="F1029" s="4" t="s">
        <v>18</v>
      </c>
      <c r="G1029" s="4" t="s">
        <v>30</v>
      </c>
      <c r="H1029" s="4" t="s">
        <v>25</v>
      </c>
      <c r="I1029" s="4">
        <v>65</v>
      </c>
      <c r="J1029" s="5">
        <v>65</v>
      </c>
      <c r="K1029" s="6">
        <v>1.57</v>
      </c>
      <c r="L1029" s="4">
        <v>8</v>
      </c>
      <c r="M1029" s="4">
        <v>140</v>
      </c>
      <c r="N1029" s="4">
        <v>88</v>
      </c>
      <c r="O1029" s="4" t="s">
        <v>21</v>
      </c>
      <c r="P1029" s="7" t="s">
        <v>30</v>
      </c>
      <c r="S1029">
        <v>2208</v>
      </c>
      <c r="T1029" t="str">
        <v>Zambezia</v>
      </c>
      <c r="U1029" t="str">
        <v>Masculino</v>
      </c>
      <c r="V1029" t="str">
        <v>Viuvo(a)</v>
      </c>
      <c r="W1029" t="str">
        <v>Secundaria</v>
      </c>
      <c r="X1029" t="str">
        <v>Nao</v>
      </c>
      <c r="Y1029" t="str">
        <v>Tuberculose</v>
      </c>
      <c r="Z1029">
        <v>62</v>
      </c>
      <c r="AA1029">
        <v>53</v>
      </c>
      <c r="AB1029">
        <v>1.87</v>
      </c>
      <c r="AC1029">
        <v>2</v>
      </c>
      <c r="AD1029">
        <v>123</v>
      </c>
      <c r="AE1029">
        <v>95</v>
      </c>
      <c r="AF1029" t="str">
        <v>Urbana</v>
      </c>
      <c r="AG1029" t="str">
        <v>Nao</v>
      </c>
    </row>
    <row r="1030" spans="2:33" x14ac:dyDescent="0.45">
      <c r="B1030" s="4">
        <v>1029</v>
      </c>
      <c r="C1030" s="4" t="s">
        <v>41</v>
      </c>
      <c r="D1030" s="4" t="s">
        <v>23</v>
      </c>
      <c r="E1030" s="4" t="s">
        <v>17</v>
      </c>
      <c r="F1030" s="4" t="s">
        <v>18</v>
      </c>
      <c r="G1030" s="4" t="s">
        <v>30</v>
      </c>
      <c r="H1030" s="4" t="s">
        <v>25</v>
      </c>
      <c r="I1030" s="4">
        <v>9</v>
      </c>
      <c r="J1030" s="5">
        <v>25.9</v>
      </c>
      <c r="K1030" s="6">
        <v>1.28</v>
      </c>
      <c r="L1030" s="4">
        <v>5</v>
      </c>
      <c r="M1030" s="4">
        <v>101</v>
      </c>
      <c r="N1030" s="4">
        <v>76</v>
      </c>
      <c r="O1030" s="4" t="s">
        <v>26</v>
      </c>
      <c r="P1030" s="7" t="s">
        <v>19</v>
      </c>
      <c r="S1030">
        <v>2209</v>
      </c>
      <c r="T1030" t="str">
        <v>Maputo Provincia</v>
      </c>
      <c r="U1030" t="str">
        <v>Masculino</v>
      </c>
      <c r="V1030" t="str">
        <v>Casado(a)</v>
      </c>
      <c r="W1030" t="str">
        <v>Secundaria</v>
      </c>
      <c r="X1030" t="str">
        <v>Nao</v>
      </c>
      <c r="Y1030" t="str">
        <v>Pneumonia</v>
      </c>
      <c r="Z1030">
        <v>15</v>
      </c>
      <c r="AA1030">
        <v>53.3</v>
      </c>
      <c r="AB1030">
        <v>1.47</v>
      </c>
      <c r="AC1030">
        <v>2</v>
      </c>
      <c r="AD1030">
        <v>98</v>
      </c>
      <c r="AE1030">
        <v>82</v>
      </c>
      <c r="AF1030" t="str">
        <v>Rural</v>
      </c>
      <c r="AG1030" t="str">
        <v>Nao</v>
      </c>
    </row>
    <row r="1031" spans="2:33" x14ac:dyDescent="0.45">
      <c r="B1031" s="4">
        <v>1030</v>
      </c>
      <c r="C1031" s="4" t="s">
        <v>39</v>
      </c>
      <c r="D1031" s="4" t="s">
        <v>23</v>
      </c>
      <c r="E1031" s="4" t="s">
        <v>17</v>
      </c>
      <c r="F1031" s="4" t="s">
        <v>18</v>
      </c>
      <c r="G1031" s="4" t="s">
        <v>19</v>
      </c>
      <c r="H1031" s="4" t="s">
        <v>36</v>
      </c>
      <c r="I1031" s="4">
        <v>7</v>
      </c>
      <c r="J1031" s="5">
        <v>36.299999999999997</v>
      </c>
      <c r="K1031" s="6">
        <v>1.42</v>
      </c>
      <c r="L1031" s="4">
        <v>3</v>
      </c>
      <c r="M1031" s="4">
        <v>127</v>
      </c>
      <c r="N1031" s="4">
        <v>76</v>
      </c>
      <c r="O1031" s="4" t="s">
        <v>21</v>
      </c>
      <c r="P1031" s="7" t="s">
        <v>30</v>
      </c>
      <c r="S1031">
        <v>2213</v>
      </c>
      <c r="T1031" t="str">
        <v>Zambezia</v>
      </c>
      <c r="U1031" t="str">
        <v>Masculino</v>
      </c>
      <c r="V1031" t="str">
        <v>Solteiro(a)</v>
      </c>
      <c r="W1031" t="str">
        <v>Secundaria</v>
      </c>
      <c r="X1031" t="str">
        <v>Nao</v>
      </c>
      <c r="Y1031" t="str">
        <v>HIV/SIDA</v>
      </c>
      <c r="Z1031">
        <v>20</v>
      </c>
      <c r="AA1031">
        <v>61.9</v>
      </c>
      <c r="AB1031">
        <v>1.56</v>
      </c>
      <c r="AC1031">
        <v>6</v>
      </c>
      <c r="AD1031">
        <v>113</v>
      </c>
      <c r="AE1031">
        <v>101</v>
      </c>
      <c r="AF1031" t="str">
        <v>Rural</v>
      </c>
      <c r="AG1031" t="str">
        <v>Nao</v>
      </c>
    </row>
    <row r="1032" spans="2:33" x14ac:dyDescent="0.45">
      <c r="B1032" s="4">
        <v>1031</v>
      </c>
      <c r="C1032" s="4" t="s">
        <v>45</v>
      </c>
      <c r="D1032" s="4" t="s">
        <v>16</v>
      </c>
      <c r="E1032" s="4" t="s">
        <v>35</v>
      </c>
      <c r="F1032" s="4" t="s">
        <v>18</v>
      </c>
      <c r="G1032" s="4" t="s">
        <v>19</v>
      </c>
      <c r="H1032" s="4" t="s">
        <v>36</v>
      </c>
      <c r="I1032" s="4">
        <v>1</v>
      </c>
      <c r="J1032" s="5">
        <v>18</v>
      </c>
      <c r="K1032" s="6">
        <v>0.68</v>
      </c>
      <c r="L1032" s="4">
        <v>1</v>
      </c>
      <c r="M1032" s="4">
        <v>137</v>
      </c>
      <c r="N1032" s="4">
        <v>103</v>
      </c>
      <c r="O1032" s="4" t="s">
        <v>26</v>
      </c>
      <c r="P1032" s="7" t="s">
        <v>19</v>
      </c>
      <c r="S1032">
        <v>2215</v>
      </c>
      <c r="T1032" t="str">
        <v>Maputo Provincia</v>
      </c>
      <c r="U1032" t="str">
        <v>Masculino</v>
      </c>
      <c r="V1032" t="str">
        <v>Divorciado(a)</v>
      </c>
      <c r="W1032" t="str">
        <v>Secundaria</v>
      </c>
      <c r="X1032" t="str">
        <v>Sim</v>
      </c>
      <c r="Y1032" t="str">
        <v>Nenhuma</v>
      </c>
      <c r="Z1032">
        <v>4</v>
      </c>
      <c r="AA1032">
        <v>13.8</v>
      </c>
      <c r="AB1032">
        <v>0.77</v>
      </c>
      <c r="AC1032">
        <v>10</v>
      </c>
      <c r="AD1032">
        <v>105</v>
      </c>
      <c r="AE1032">
        <v>81</v>
      </c>
      <c r="AF1032" t="str">
        <v>Urbana</v>
      </c>
      <c r="AG1032" t="str">
        <v>Nao</v>
      </c>
    </row>
    <row r="1033" spans="2:33" x14ac:dyDescent="0.45">
      <c r="B1033" s="4">
        <v>1032</v>
      </c>
      <c r="C1033" s="4" t="s">
        <v>41</v>
      </c>
      <c r="D1033" s="4" t="s">
        <v>16</v>
      </c>
      <c r="E1033" s="4" t="s">
        <v>17</v>
      </c>
      <c r="F1033" s="4" t="s">
        <v>24</v>
      </c>
      <c r="G1033" s="4" t="s">
        <v>19</v>
      </c>
      <c r="H1033" s="4" t="s">
        <v>25</v>
      </c>
      <c r="I1033" s="4">
        <v>30</v>
      </c>
      <c r="J1033" s="5">
        <v>73.7</v>
      </c>
      <c r="K1033" s="6">
        <v>1.74</v>
      </c>
      <c r="L1033" s="4">
        <v>2</v>
      </c>
      <c r="M1033" s="4">
        <v>121</v>
      </c>
      <c r="N1033" s="4">
        <v>96</v>
      </c>
      <c r="O1033" s="4" t="s">
        <v>21</v>
      </c>
      <c r="P1033" s="7" t="s">
        <v>19</v>
      </c>
      <c r="S1033">
        <v>2218</v>
      </c>
      <c r="T1033" t="str">
        <v>Nampula</v>
      </c>
      <c r="U1033" t="str">
        <v>Masculino</v>
      </c>
      <c r="V1033" t="str">
        <v>Casado(a)</v>
      </c>
      <c r="W1033" t="str">
        <v>Primaria</v>
      </c>
      <c r="X1033" t="str">
        <v>Nao</v>
      </c>
      <c r="Y1033" t="str">
        <v>Nenhuma</v>
      </c>
      <c r="Z1033">
        <v>5</v>
      </c>
      <c r="AA1033">
        <v>19.899999999999999</v>
      </c>
      <c r="AB1033">
        <v>1.35</v>
      </c>
      <c r="AC1033">
        <v>1</v>
      </c>
      <c r="AD1033">
        <v>109</v>
      </c>
      <c r="AE1033">
        <v>73</v>
      </c>
      <c r="AF1033" t="str">
        <v>Rural</v>
      </c>
      <c r="AG1033" t="str">
        <v>Nao</v>
      </c>
    </row>
    <row r="1034" spans="2:33" x14ac:dyDescent="0.45">
      <c r="B1034" s="4">
        <v>1033</v>
      </c>
      <c r="C1034" s="4" t="s">
        <v>33</v>
      </c>
      <c r="D1034" s="4" t="s">
        <v>16</v>
      </c>
      <c r="E1034" s="4" t="s">
        <v>35</v>
      </c>
      <c r="F1034" s="4" t="s">
        <v>18</v>
      </c>
      <c r="G1034" s="4" t="s">
        <v>30</v>
      </c>
      <c r="H1034" s="4" t="s">
        <v>25</v>
      </c>
      <c r="I1034" s="4">
        <v>2</v>
      </c>
      <c r="J1034" s="5">
        <v>16</v>
      </c>
      <c r="K1034" s="6">
        <v>0.82</v>
      </c>
      <c r="L1034" s="4">
        <v>1</v>
      </c>
      <c r="M1034" s="4">
        <v>95</v>
      </c>
      <c r="N1034" s="4">
        <v>76</v>
      </c>
      <c r="O1034" s="4" t="s">
        <v>26</v>
      </c>
      <c r="P1034" s="7" t="s">
        <v>19</v>
      </c>
      <c r="S1034">
        <v>2220</v>
      </c>
      <c r="T1034" t="str">
        <v>Sofala</v>
      </c>
      <c r="U1034" t="str">
        <v>Masculino</v>
      </c>
      <c r="V1034" t="str">
        <v>Casado(a)</v>
      </c>
      <c r="W1034" t="str">
        <v>Superior</v>
      </c>
      <c r="X1034" t="str">
        <v>Sim</v>
      </c>
      <c r="Y1034" t="str">
        <v>Malaria</v>
      </c>
      <c r="Z1034">
        <v>14</v>
      </c>
      <c r="AA1034">
        <v>48.1</v>
      </c>
      <c r="AB1034">
        <v>1.58</v>
      </c>
      <c r="AC1034">
        <v>3</v>
      </c>
      <c r="AD1034">
        <v>116</v>
      </c>
      <c r="AE1034">
        <v>91</v>
      </c>
      <c r="AF1034" t="str">
        <v>Urbana</v>
      </c>
      <c r="AG1034" t="str">
        <v>Nao</v>
      </c>
    </row>
    <row r="1035" spans="2:33" x14ac:dyDescent="0.45">
      <c r="B1035" s="4">
        <v>1034</v>
      </c>
      <c r="C1035" s="4" t="s">
        <v>31</v>
      </c>
      <c r="D1035" s="4" t="s">
        <v>23</v>
      </c>
      <c r="E1035" s="4" t="s">
        <v>37</v>
      </c>
      <c r="F1035" s="4" t="s">
        <v>24</v>
      </c>
      <c r="G1035" s="4" t="s">
        <v>19</v>
      </c>
      <c r="H1035" s="4" t="s">
        <v>38</v>
      </c>
      <c r="I1035" s="4">
        <v>86</v>
      </c>
      <c r="J1035" s="5">
        <v>50.8</v>
      </c>
      <c r="K1035" s="6">
        <v>1.58</v>
      </c>
      <c r="L1035" s="4">
        <v>4</v>
      </c>
      <c r="M1035" s="4">
        <v>124</v>
      </c>
      <c r="N1035" s="4">
        <v>95</v>
      </c>
      <c r="O1035" s="4" t="s">
        <v>26</v>
      </c>
      <c r="P1035" s="7" t="s">
        <v>19</v>
      </c>
      <c r="S1035">
        <v>2222</v>
      </c>
      <c r="T1035" t="str">
        <v>Cabo Delgado</v>
      </c>
      <c r="U1035" t="str">
        <v>Masculino</v>
      </c>
      <c r="V1035" t="str">
        <v>Casado(a)</v>
      </c>
      <c r="W1035" t="str">
        <v>Primaria</v>
      </c>
      <c r="X1035" t="str">
        <v>Sim</v>
      </c>
      <c r="Y1035" t="str">
        <v>Nenhuma</v>
      </c>
      <c r="Z1035">
        <v>17</v>
      </c>
      <c r="AA1035">
        <v>45</v>
      </c>
      <c r="AB1035">
        <v>1.61</v>
      </c>
      <c r="AC1035">
        <v>3</v>
      </c>
      <c r="AD1035">
        <v>99</v>
      </c>
      <c r="AE1035">
        <v>78</v>
      </c>
      <c r="AF1035" t="str">
        <v>Rural</v>
      </c>
      <c r="AG1035" t="str">
        <v>Nao</v>
      </c>
    </row>
    <row r="1036" spans="2:33" x14ac:dyDescent="0.45">
      <c r="B1036" s="4">
        <v>1035</v>
      </c>
      <c r="C1036" s="4" t="s">
        <v>39</v>
      </c>
      <c r="D1036" s="4" t="s">
        <v>16</v>
      </c>
      <c r="E1036" s="4" t="s">
        <v>17</v>
      </c>
      <c r="F1036" s="4" t="s">
        <v>24</v>
      </c>
      <c r="G1036" s="4" t="s">
        <v>19</v>
      </c>
      <c r="H1036" s="4" t="s">
        <v>36</v>
      </c>
      <c r="I1036" s="4">
        <v>56</v>
      </c>
      <c r="J1036" s="5">
        <v>68.099999999999994</v>
      </c>
      <c r="K1036" s="6">
        <v>1.57</v>
      </c>
      <c r="L1036" s="4">
        <v>2</v>
      </c>
      <c r="M1036" s="4">
        <v>156</v>
      </c>
      <c r="N1036" s="4">
        <v>98</v>
      </c>
      <c r="O1036" s="4" t="s">
        <v>26</v>
      </c>
      <c r="P1036" s="7" t="s">
        <v>30</v>
      </c>
      <c r="S1036">
        <v>2223</v>
      </c>
      <c r="T1036" t="str">
        <v>Nampula</v>
      </c>
      <c r="U1036" t="str">
        <v>Masculino</v>
      </c>
      <c r="V1036" t="str">
        <v>Solteiro(a)</v>
      </c>
      <c r="W1036" t="str">
        <v>Nenhuma</v>
      </c>
      <c r="X1036" t="str">
        <v>Nao</v>
      </c>
      <c r="Y1036" t="str">
        <v>Nenhuma</v>
      </c>
      <c r="Z1036">
        <v>71</v>
      </c>
      <c r="AA1036">
        <v>70.7</v>
      </c>
      <c r="AB1036">
        <v>1.54</v>
      </c>
      <c r="AC1036">
        <v>2</v>
      </c>
      <c r="AD1036">
        <v>140</v>
      </c>
      <c r="AE1036">
        <v>93</v>
      </c>
      <c r="AF1036" t="str">
        <v>Rural</v>
      </c>
      <c r="AG1036" t="str">
        <v>Sim</v>
      </c>
    </row>
    <row r="1037" spans="2:33" x14ac:dyDescent="0.45">
      <c r="B1037" s="4">
        <v>1036</v>
      </c>
      <c r="C1037" s="4" t="s">
        <v>22</v>
      </c>
      <c r="D1037" s="4" t="s">
        <v>16</v>
      </c>
      <c r="E1037" s="4" t="s">
        <v>17</v>
      </c>
      <c r="F1037" s="4" t="s">
        <v>42</v>
      </c>
      <c r="G1037" s="4" t="s">
        <v>30</v>
      </c>
      <c r="H1037" s="4" t="s">
        <v>28</v>
      </c>
      <c r="I1037" s="4">
        <v>23</v>
      </c>
      <c r="J1037" s="5">
        <v>70.2</v>
      </c>
      <c r="K1037" s="6">
        <v>1.61</v>
      </c>
      <c r="L1037" s="4">
        <v>2</v>
      </c>
      <c r="M1037" s="4">
        <v>103</v>
      </c>
      <c r="N1037" s="4">
        <v>73</v>
      </c>
      <c r="O1037" s="4" t="s">
        <v>26</v>
      </c>
      <c r="P1037" s="7" t="s">
        <v>19</v>
      </c>
      <c r="S1037">
        <v>2226</v>
      </c>
      <c r="T1037" t="str">
        <v>Manica</v>
      </c>
      <c r="U1037" t="str">
        <v>Masculino</v>
      </c>
      <c r="V1037" t="str">
        <v>Divorciado(a)</v>
      </c>
      <c r="W1037" t="str">
        <v>Nenhuma</v>
      </c>
      <c r="X1037" t="str">
        <v>Sim</v>
      </c>
      <c r="Y1037" t="str">
        <v>Hipertensao</v>
      </c>
      <c r="Z1037">
        <v>19</v>
      </c>
      <c r="AA1037">
        <v>74.5</v>
      </c>
      <c r="AB1037">
        <v>1.66</v>
      </c>
      <c r="AC1037">
        <v>5</v>
      </c>
      <c r="AD1037">
        <v>120</v>
      </c>
      <c r="AE1037">
        <v>84</v>
      </c>
      <c r="AF1037" t="str">
        <v>Urbana</v>
      </c>
      <c r="AG1037" t="str">
        <v>Nao</v>
      </c>
    </row>
    <row r="1038" spans="2:33" x14ac:dyDescent="0.45">
      <c r="B1038" s="4">
        <v>1037</v>
      </c>
      <c r="C1038" s="4" t="s">
        <v>15</v>
      </c>
      <c r="D1038" s="4" t="s">
        <v>23</v>
      </c>
      <c r="E1038" s="4" t="s">
        <v>35</v>
      </c>
      <c r="F1038" s="4" t="s">
        <v>24</v>
      </c>
      <c r="G1038" s="4" t="s">
        <v>19</v>
      </c>
      <c r="H1038" s="4" t="s">
        <v>34</v>
      </c>
      <c r="I1038" s="4">
        <v>39</v>
      </c>
      <c r="J1038" s="5">
        <v>53.2</v>
      </c>
      <c r="K1038" s="6">
        <v>1.71</v>
      </c>
      <c r="L1038" s="4">
        <v>0</v>
      </c>
      <c r="M1038" s="4">
        <v>111</v>
      </c>
      <c r="N1038" s="4">
        <v>97</v>
      </c>
      <c r="O1038" s="4" t="s">
        <v>26</v>
      </c>
      <c r="P1038" s="7" t="s">
        <v>19</v>
      </c>
      <c r="S1038">
        <v>2228</v>
      </c>
      <c r="T1038" t="str">
        <v>Cabo Delgado</v>
      </c>
      <c r="U1038" t="str">
        <v>Masculino</v>
      </c>
      <c r="V1038" t="str">
        <v>Solteiro(a)</v>
      </c>
      <c r="W1038" t="str">
        <v>Superior</v>
      </c>
      <c r="X1038" t="str">
        <v>Nao</v>
      </c>
      <c r="Y1038" t="str">
        <v>Hipertensao</v>
      </c>
      <c r="Z1038">
        <v>6</v>
      </c>
      <c r="AA1038">
        <v>18.899999999999999</v>
      </c>
      <c r="AB1038">
        <v>1.39</v>
      </c>
      <c r="AC1038">
        <v>9</v>
      </c>
      <c r="AD1038">
        <v>121</v>
      </c>
      <c r="AE1038">
        <v>97</v>
      </c>
      <c r="AF1038" t="str">
        <v>Rural</v>
      </c>
      <c r="AG1038" t="str">
        <v>Sim</v>
      </c>
    </row>
    <row r="1039" spans="2:33" x14ac:dyDescent="0.45">
      <c r="B1039" s="4">
        <v>1038</v>
      </c>
      <c r="C1039" s="4" t="s">
        <v>39</v>
      </c>
      <c r="D1039" s="4" t="s">
        <v>16</v>
      </c>
      <c r="E1039" s="4" t="s">
        <v>17</v>
      </c>
      <c r="F1039" s="4" t="s">
        <v>24</v>
      </c>
      <c r="G1039" s="4" t="s">
        <v>30</v>
      </c>
      <c r="H1039" s="4" t="s">
        <v>36</v>
      </c>
      <c r="I1039" s="4">
        <v>59</v>
      </c>
      <c r="J1039" s="5">
        <v>54.6</v>
      </c>
      <c r="K1039" s="6">
        <v>1.85</v>
      </c>
      <c r="L1039" s="4">
        <v>7</v>
      </c>
      <c r="M1039" s="4">
        <v>135</v>
      </c>
      <c r="N1039" s="4">
        <v>89</v>
      </c>
      <c r="O1039" s="4" t="s">
        <v>21</v>
      </c>
      <c r="P1039" s="7" t="s">
        <v>19</v>
      </c>
      <c r="S1039">
        <v>2229</v>
      </c>
      <c r="T1039" t="str">
        <v>Zambezia</v>
      </c>
      <c r="U1039" t="str">
        <v>Masculino</v>
      </c>
      <c r="V1039" t="str">
        <v>Solteiro(a)</v>
      </c>
      <c r="W1039" t="str">
        <v>Primaria</v>
      </c>
      <c r="X1039" t="str">
        <v>Nao</v>
      </c>
      <c r="Y1039" t="str">
        <v>Pneumonia</v>
      </c>
      <c r="Z1039">
        <v>16</v>
      </c>
      <c r="AA1039">
        <v>58.3</v>
      </c>
      <c r="AB1039">
        <v>1.6</v>
      </c>
      <c r="AC1039">
        <v>5</v>
      </c>
      <c r="AD1039">
        <v>126</v>
      </c>
      <c r="AE1039">
        <v>87</v>
      </c>
      <c r="AF1039" t="str">
        <v>Rural</v>
      </c>
      <c r="AG1039" t="str">
        <v>Sim</v>
      </c>
    </row>
    <row r="1040" spans="2:33" x14ac:dyDescent="0.45">
      <c r="B1040" s="4">
        <v>1039</v>
      </c>
      <c r="C1040" s="4" t="s">
        <v>33</v>
      </c>
      <c r="D1040" s="4" t="s">
        <v>16</v>
      </c>
      <c r="E1040" s="4" t="s">
        <v>35</v>
      </c>
      <c r="F1040" s="4" t="s">
        <v>18</v>
      </c>
      <c r="G1040" s="4" t="s">
        <v>19</v>
      </c>
      <c r="H1040" s="4" t="s">
        <v>36</v>
      </c>
      <c r="I1040" s="4">
        <v>28</v>
      </c>
      <c r="J1040" s="5">
        <v>93.1</v>
      </c>
      <c r="K1040" s="6">
        <v>1.64</v>
      </c>
      <c r="L1040" s="4">
        <v>2</v>
      </c>
      <c r="M1040" s="4">
        <v>126</v>
      </c>
      <c r="N1040" s="4">
        <v>85</v>
      </c>
      <c r="O1040" s="4" t="s">
        <v>21</v>
      </c>
      <c r="P1040" s="7" t="s">
        <v>19</v>
      </c>
      <c r="S1040">
        <v>2230</v>
      </c>
      <c r="T1040" t="str">
        <v>Cabo Delgado</v>
      </c>
      <c r="U1040" t="str">
        <v>Masculino</v>
      </c>
      <c r="V1040" t="str">
        <v>Solteiro(a)</v>
      </c>
      <c r="W1040" t="str">
        <v>Secundaria</v>
      </c>
      <c r="X1040" t="str">
        <v>Sim</v>
      </c>
      <c r="Y1040" t="str">
        <v>Diabetes</v>
      </c>
      <c r="Z1040">
        <v>1</v>
      </c>
      <c r="AA1040">
        <v>14.9</v>
      </c>
      <c r="AB1040">
        <v>0.75</v>
      </c>
      <c r="AC1040">
        <v>4</v>
      </c>
      <c r="AD1040">
        <v>124</v>
      </c>
      <c r="AE1040">
        <v>120</v>
      </c>
      <c r="AF1040" t="str">
        <v>Urbana</v>
      </c>
      <c r="AG1040" t="str">
        <v>Sim</v>
      </c>
    </row>
    <row r="1041" spans="2:33" x14ac:dyDescent="0.45">
      <c r="B1041" s="4">
        <v>1040</v>
      </c>
      <c r="C1041" s="4" t="s">
        <v>27</v>
      </c>
      <c r="D1041" s="4" t="s">
        <v>23</v>
      </c>
      <c r="E1041" s="4" t="s">
        <v>17</v>
      </c>
      <c r="F1041" s="4" t="s">
        <v>18</v>
      </c>
      <c r="G1041" s="4" t="s">
        <v>19</v>
      </c>
      <c r="H1041" s="4" t="s">
        <v>46</v>
      </c>
      <c r="I1041" s="4">
        <v>14</v>
      </c>
      <c r="J1041" s="5">
        <v>42.3</v>
      </c>
      <c r="K1041" s="6">
        <v>1.6</v>
      </c>
      <c r="L1041" s="4">
        <v>4</v>
      </c>
      <c r="M1041" s="4">
        <v>99</v>
      </c>
      <c r="N1041" s="4">
        <v>89</v>
      </c>
      <c r="O1041" s="4" t="s">
        <v>26</v>
      </c>
      <c r="P1041" s="7" t="s">
        <v>19</v>
      </c>
      <c r="S1041">
        <v>2231</v>
      </c>
      <c r="T1041" t="str">
        <v>Nampula</v>
      </c>
      <c r="U1041" t="str">
        <v>Masculino</v>
      </c>
      <c r="V1041" t="str">
        <v>Solteiro(a)</v>
      </c>
      <c r="W1041" t="str">
        <v>Secundaria</v>
      </c>
      <c r="X1041" t="str">
        <v>Nao</v>
      </c>
      <c r="Y1041" t="str">
        <v>Malaria</v>
      </c>
      <c r="Z1041">
        <v>0</v>
      </c>
      <c r="AA1041">
        <v>9.9</v>
      </c>
      <c r="AB1041">
        <v>0.98</v>
      </c>
      <c r="AC1041">
        <v>1</v>
      </c>
      <c r="AD1041">
        <v>111</v>
      </c>
      <c r="AE1041">
        <v>80</v>
      </c>
      <c r="AF1041" t="str">
        <v>Rural</v>
      </c>
      <c r="AG1041" t="str">
        <v>Nao</v>
      </c>
    </row>
    <row r="1042" spans="2:33" x14ac:dyDescent="0.45">
      <c r="B1042" s="4">
        <v>1041</v>
      </c>
      <c r="C1042" s="4" t="s">
        <v>27</v>
      </c>
      <c r="D1042" s="4" t="s">
        <v>16</v>
      </c>
      <c r="E1042" s="4" t="s">
        <v>17</v>
      </c>
      <c r="F1042" s="4" t="s">
        <v>18</v>
      </c>
      <c r="G1042" s="4" t="s">
        <v>19</v>
      </c>
      <c r="H1042" s="4" t="s">
        <v>36</v>
      </c>
      <c r="I1042" s="4">
        <v>39</v>
      </c>
      <c r="J1042" s="5">
        <v>92.2</v>
      </c>
      <c r="K1042" s="6">
        <v>1.64</v>
      </c>
      <c r="L1042" s="4">
        <v>2</v>
      </c>
      <c r="M1042" s="4">
        <v>144</v>
      </c>
      <c r="N1042" s="4">
        <v>76</v>
      </c>
      <c r="O1042" s="4" t="s">
        <v>21</v>
      </c>
      <c r="P1042" s="7" t="s">
        <v>19</v>
      </c>
      <c r="S1042">
        <v>2234</v>
      </c>
      <c r="T1042" t="str">
        <v>Tete</v>
      </c>
      <c r="U1042" t="str">
        <v>Masculino</v>
      </c>
      <c r="V1042" t="str">
        <v>Solteiro(a)</v>
      </c>
      <c r="W1042" t="str">
        <v>Nenhuma</v>
      </c>
      <c r="X1042" t="str">
        <v>Nao</v>
      </c>
      <c r="Y1042" t="str">
        <v>Nenhuma</v>
      </c>
      <c r="Z1042">
        <v>1</v>
      </c>
      <c r="AA1042">
        <v>9.8000000000000007</v>
      </c>
      <c r="AB1042">
        <v>0.87</v>
      </c>
      <c r="AC1042">
        <v>4</v>
      </c>
      <c r="AD1042">
        <v>112</v>
      </c>
      <c r="AE1042">
        <v>86</v>
      </c>
      <c r="AF1042" t="str">
        <v>Rural</v>
      </c>
      <c r="AG1042" t="str">
        <v>Sim</v>
      </c>
    </row>
    <row r="1043" spans="2:33" x14ac:dyDescent="0.45">
      <c r="B1043" s="4">
        <v>1042</v>
      </c>
      <c r="C1043" s="4" t="s">
        <v>31</v>
      </c>
      <c r="D1043" s="4" t="s">
        <v>23</v>
      </c>
      <c r="E1043" s="4" t="s">
        <v>17</v>
      </c>
      <c r="F1043" s="4" t="s">
        <v>24</v>
      </c>
      <c r="G1043" s="4" t="s">
        <v>19</v>
      </c>
      <c r="H1043" s="4" t="s">
        <v>36</v>
      </c>
      <c r="I1043" s="4">
        <v>6</v>
      </c>
      <c r="J1043" s="5">
        <v>33.700000000000003</v>
      </c>
      <c r="K1043" s="6">
        <v>1.1100000000000001</v>
      </c>
      <c r="L1043" s="4">
        <v>2</v>
      </c>
      <c r="M1043" s="4">
        <v>115</v>
      </c>
      <c r="N1043" s="4">
        <v>90</v>
      </c>
      <c r="O1043" s="4" t="s">
        <v>21</v>
      </c>
      <c r="P1043" s="7" t="s">
        <v>19</v>
      </c>
      <c r="S1043">
        <v>2235</v>
      </c>
      <c r="T1043" t="str">
        <v>Sofala</v>
      </c>
      <c r="U1043" t="str">
        <v>Masculino</v>
      </c>
      <c r="V1043" t="str">
        <v>Divorciado(a)</v>
      </c>
      <c r="W1043" t="str">
        <v>Secundaria</v>
      </c>
      <c r="X1043" t="str">
        <v>Nao</v>
      </c>
      <c r="Y1043" t="str">
        <v>HIV/SIDA</v>
      </c>
      <c r="Z1043">
        <v>31</v>
      </c>
      <c r="AA1043">
        <v>56.5</v>
      </c>
      <c r="AB1043">
        <v>1.53</v>
      </c>
      <c r="AC1043">
        <v>3</v>
      </c>
      <c r="AD1043">
        <v>126</v>
      </c>
      <c r="AE1043">
        <v>88</v>
      </c>
      <c r="AF1043" t="str">
        <v>Rural</v>
      </c>
      <c r="AG1043" t="str">
        <v>Sim</v>
      </c>
    </row>
    <row r="1044" spans="2:33" x14ac:dyDescent="0.45">
      <c r="B1044" s="4">
        <v>1043</v>
      </c>
      <c r="C1044" s="4" t="s">
        <v>27</v>
      </c>
      <c r="D1044" s="4" t="s">
        <v>23</v>
      </c>
      <c r="E1044" s="4" t="s">
        <v>17</v>
      </c>
      <c r="F1044" s="4" t="s">
        <v>24</v>
      </c>
      <c r="G1044" s="4" t="s">
        <v>19</v>
      </c>
      <c r="H1044" s="4" t="s">
        <v>20</v>
      </c>
      <c r="I1044" s="4">
        <v>17</v>
      </c>
      <c r="J1044" s="5">
        <v>60.9</v>
      </c>
      <c r="K1044" s="6">
        <v>1.62</v>
      </c>
      <c r="L1044" s="4">
        <v>2</v>
      </c>
      <c r="M1044" s="4">
        <v>99</v>
      </c>
      <c r="N1044" s="4">
        <v>83</v>
      </c>
      <c r="O1044" s="4" t="s">
        <v>26</v>
      </c>
      <c r="P1044" s="7" t="s">
        <v>19</v>
      </c>
      <c r="S1044">
        <v>2236</v>
      </c>
      <c r="T1044" t="str">
        <v>Sofala</v>
      </c>
      <c r="U1044" t="str">
        <v>Masculino</v>
      </c>
      <c r="V1044" t="str">
        <v>Casado(a)</v>
      </c>
      <c r="W1044" t="str">
        <v>Primaria</v>
      </c>
      <c r="X1044" t="str">
        <v>Nao</v>
      </c>
      <c r="Y1044" t="str">
        <v>Pneumonia</v>
      </c>
      <c r="Z1044">
        <v>12</v>
      </c>
      <c r="AA1044">
        <v>55.2</v>
      </c>
      <c r="AB1044">
        <v>1.72</v>
      </c>
      <c r="AC1044">
        <v>1</v>
      </c>
      <c r="AD1044">
        <v>107</v>
      </c>
      <c r="AE1044">
        <v>82</v>
      </c>
      <c r="AF1044" t="str">
        <v>Urbana</v>
      </c>
      <c r="AG1044" t="str">
        <v>Nao</v>
      </c>
    </row>
    <row r="1045" spans="2:33" x14ac:dyDescent="0.45">
      <c r="B1045" s="4">
        <v>1044</v>
      </c>
      <c r="C1045" s="4" t="s">
        <v>40</v>
      </c>
      <c r="D1045" s="4" t="s">
        <v>16</v>
      </c>
      <c r="E1045" s="4" t="s">
        <v>44</v>
      </c>
      <c r="F1045" s="4" t="s">
        <v>42</v>
      </c>
      <c r="G1045" s="4" t="s">
        <v>19</v>
      </c>
      <c r="H1045" s="4" t="s">
        <v>38</v>
      </c>
      <c r="I1045" s="4">
        <v>33</v>
      </c>
      <c r="J1045" s="5">
        <v>62.5</v>
      </c>
      <c r="K1045" s="6">
        <v>1.89</v>
      </c>
      <c r="L1045" s="4">
        <v>8</v>
      </c>
      <c r="M1045" s="4">
        <v>113</v>
      </c>
      <c r="N1045" s="4">
        <v>72</v>
      </c>
      <c r="O1045" s="4" t="s">
        <v>26</v>
      </c>
      <c r="P1045" s="7" t="s">
        <v>19</v>
      </c>
      <c r="S1045">
        <v>2237</v>
      </c>
      <c r="T1045" t="str">
        <v>Nampula</v>
      </c>
      <c r="U1045" t="str">
        <v>Masculino</v>
      </c>
      <c r="V1045" t="str">
        <v>Casado(a)</v>
      </c>
      <c r="W1045" t="str">
        <v>Secundaria</v>
      </c>
      <c r="X1045" t="str">
        <v>Nao</v>
      </c>
      <c r="Y1045" t="str">
        <v>Malaria</v>
      </c>
      <c r="Z1045">
        <v>47</v>
      </c>
      <c r="AA1045">
        <v>70.8</v>
      </c>
      <c r="AB1045">
        <v>1.76</v>
      </c>
      <c r="AC1045">
        <v>2</v>
      </c>
      <c r="AD1045">
        <v>110</v>
      </c>
      <c r="AE1045">
        <v>102</v>
      </c>
      <c r="AF1045" t="str">
        <v>Urbana</v>
      </c>
      <c r="AG1045" t="str">
        <v>Nao</v>
      </c>
    </row>
    <row r="1046" spans="2:33" x14ac:dyDescent="0.45">
      <c r="B1046" s="4">
        <v>1045</v>
      </c>
      <c r="C1046" s="4" t="s">
        <v>33</v>
      </c>
      <c r="D1046" s="4" t="s">
        <v>23</v>
      </c>
      <c r="E1046" s="4" t="s">
        <v>17</v>
      </c>
      <c r="F1046" s="4" t="s">
        <v>24</v>
      </c>
      <c r="G1046" s="4" t="s">
        <v>19</v>
      </c>
      <c r="H1046" s="4" t="s">
        <v>46</v>
      </c>
      <c r="I1046" s="4">
        <v>9</v>
      </c>
      <c r="J1046" s="5">
        <v>34.9</v>
      </c>
      <c r="K1046" s="6">
        <v>1.17</v>
      </c>
      <c r="L1046" s="4">
        <v>0</v>
      </c>
      <c r="M1046" s="4">
        <v>113</v>
      </c>
      <c r="N1046" s="4">
        <v>70</v>
      </c>
      <c r="O1046" s="4" t="s">
        <v>21</v>
      </c>
      <c r="P1046" s="7" t="s">
        <v>19</v>
      </c>
      <c r="S1046">
        <v>2239</v>
      </c>
      <c r="T1046" t="str">
        <v>Maputo Cidade</v>
      </c>
      <c r="U1046" t="str">
        <v>Masculino</v>
      </c>
      <c r="V1046" t="str">
        <v>Solteiro(a)</v>
      </c>
      <c r="W1046" t="str">
        <v>Secundaria</v>
      </c>
      <c r="X1046" t="str">
        <v>Nao</v>
      </c>
      <c r="Y1046" t="str">
        <v>Nenhuma</v>
      </c>
      <c r="Z1046">
        <v>5</v>
      </c>
      <c r="AA1046">
        <v>34.1</v>
      </c>
      <c r="AB1046">
        <v>1.1599999999999999</v>
      </c>
      <c r="AC1046">
        <v>0</v>
      </c>
      <c r="AD1046">
        <v>112</v>
      </c>
      <c r="AE1046">
        <v>86</v>
      </c>
      <c r="AF1046" t="str">
        <v>Rural</v>
      </c>
      <c r="AG1046" t="str">
        <v>Nao</v>
      </c>
    </row>
    <row r="1047" spans="2:33" x14ac:dyDescent="0.45">
      <c r="B1047" s="4">
        <v>1046</v>
      </c>
      <c r="C1047" s="4" t="s">
        <v>31</v>
      </c>
      <c r="D1047" s="4" t="s">
        <v>16</v>
      </c>
      <c r="E1047" s="4" t="s">
        <v>35</v>
      </c>
      <c r="F1047" s="4" t="s">
        <v>24</v>
      </c>
      <c r="G1047" s="4" t="s">
        <v>19</v>
      </c>
      <c r="H1047" s="4" t="s">
        <v>25</v>
      </c>
      <c r="I1047" s="4">
        <v>32</v>
      </c>
      <c r="J1047" s="5">
        <v>51.3</v>
      </c>
      <c r="K1047" s="6">
        <v>1.7</v>
      </c>
      <c r="L1047" s="4">
        <v>1</v>
      </c>
      <c r="M1047" s="4">
        <v>112</v>
      </c>
      <c r="N1047" s="4">
        <v>101</v>
      </c>
      <c r="O1047" s="4" t="s">
        <v>26</v>
      </c>
      <c r="P1047" s="7" t="s">
        <v>30</v>
      </c>
      <c r="S1047">
        <v>2243</v>
      </c>
      <c r="T1047" t="str">
        <v>Inhambane</v>
      </c>
      <c r="U1047" t="str">
        <v>Masculino</v>
      </c>
      <c r="V1047" t="str">
        <v>Solteiro(a)</v>
      </c>
      <c r="W1047" t="str">
        <v>Primaria</v>
      </c>
      <c r="X1047" t="str">
        <v>Nao</v>
      </c>
      <c r="Y1047" t="str">
        <v>Diarreia</v>
      </c>
      <c r="Z1047">
        <v>21</v>
      </c>
      <c r="AA1047">
        <v>78.599999999999994</v>
      </c>
      <c r="AB1047">
        <v>1.85</v>
      </c>
      <c r="AC1047">
        <v>1</v>
      </c>
      <c r="AD1047">
        <v>106</v>
      </c>
      <c r="AE1047">
        <v>88</v>
      </c>
      <c r="AF1047" t="str">
        <v>Urbana</v>
      </c>
      <c r="AG1047" t="str">
        <v>Nao</v>
      </c>
    </row>
    <row r="1048" spans="2:33" x14ac:dyDescent="0.45">
      <c r="B1048" s="4">
        <v>1047</v>
      </c>
      <c r="C1048" s="4" t="s">
        <v>41</v>
      </c>
      <c r="D1048" s="4" t="s">
        <v>16</v>
      </c>
      <c r="E1048" s="4" t="s">
        <v>35</v>
      </c>
      <c r="F1048" s="4" t="s">
        <v>24</v>
      </c>
      <c r="G1048" s="4" t="s">
        <v>19</v>
      </c>
      <c r="H1048" s="4" t="s">
        <v>28</v>
      </c>
      <c r="I1048" s="4">
        <v>21</v>
      </c>
      <c r="J1048" s="5">
        <v>74.3</v>
      </c>
      <c r="K1048" s="6">
        <v>1.53</v>
      </c>
      <c r="L1048" s="4">
        <v>2</v>
      </c>
      <c r="M1048" s="4">
        <v>99</v>
      </c>
      <c r="N1048" s="4">
        <v>103</v>
      </c>
      <c r="O1048" s="4" t="s">
        <v>26</v>
      </c>
      <c r="P1048" s="7" t="s">
        <v>19</v>
      </c>
      <c r="S1048">
        <v>2244</v>
      </c>
      <c r="T1048" t="str">
        <v>Maputo Cidade</v>
      </c>
      <c r="U1048" t="str">
        <v>Masculino</v>
      </c>
      <c r="V1048" t="str">
        <v>Casado(a)</v>
      </c>
      <c r="W1048" t="str">
        <v>Nenhuma</v>
      </c>
      <c r="X1048" t="str">
        <v>Nao</v>
      </c>
      <c r="Y1048" t="str">
        <v>Hipertensao</v>
      </c>
      <c r="Z1048">
        <v>8</v>
      </c>
      <c r="AA1048">
        <v>30</v>
      </c>
      <c r="AB1048">
        <v>1.44</v>
      </c>
      <c r="AC1048">
        <v>4</v>
      </c>
      <c r="AD1048">
        <v>137</v>
      </c>
      <c r="AE1048">
        <v>101</v>
      </c>
      <c r="AF1048" t="str">
        <v>Urbana</v>
      </c>
      <c r="AG1048" t="str">
        <v>Nao</v>
      </c>
    </row>
    <row r="1049" spans="2:33" x14ac:dyDescent="0.45">
      <c r="B1049" s="4">
        <v>1048</v>
      </c>
      <c r="C1049" s="4" t="s">
        <v>40</v>
      </c>
      <c r="D1049" s="4" t="s">
        <v>16</v>
      </c>
      <c r="E1049" s="4" t="s">
        <v>17</v>
      </c>
      <c r="F1049" s="4" t="s">
        <v>24</v>
      </c>
      <c r="G1049" s="4" t="s">
        <v>19</v>
      </c>
      <c r="H1049" s="4" t="s">
        <v>28</v>
      </c>
      <c r="I1049" s="4">
        <v>35</v>
      </c>
      <c r="J1049" s="5">
        <v>57</v>
      </c>
      <c r="K1049" s="6">
        <v>1.85</v>
      </c>
      <c r="L1049" s="4">
        <v>2</v>
      </c>
      <c r="M1049" s="4">
        <v>117</v>
      </c>
      <c r="N1049" s="4">
        <v>92</v>
      </c>
      <c r="O1049" s="4" t="s">
        <v>21</v>
      </c>
      <c r="P1049" s="7" t="s">
        <v>30</v>
      </c>
      <c r="S1049">
        <v>2245</v>
      </c>
      <c r="T1049" t="str">
        <v>Maputo Cidade</v>
      </c>
      <c r="U1049" t="str">
        <v>Masculino</v>
      </c>
      <c r="V1049" t="str">
        <v>Casado(a)</v>
      </c>
      <c r="W1049" t="str">
        <v>Primaria</v>
      </c>
      <c r="X1049" t="str">
        <v>Sim</v>
      </c>
      <c r="Y1049" t="str">
        <v>Pneumonia</v>
      </c>
      <c r="Z1049">
        <v>46</v>
      </c>
      <c r="AA1049">
        <v>83.1</v>
      </c>
      <c r="AB1049">
        <v>1.55</v>
      </c>
      <c r="AC1049">
        <v>0</v>
      </c>
      <c r="AD1049">
        <v>138</v>
      </c>
      <c r="AE1049">
        <v>87</v>
      </c>
      <c r="AF1049" t="str">
        <v>Urbana</v>
      </c>
      <c r="AG1049" t="str">
        <v>Sim</v>
      </c>
    </row>
    <row r="1050" spans="2:33" x14ac:dyDescent="0.45">
      <c r="B1050" s="4">
        <v>1049</v>
      </c>
      <c r="C1050" s="4" t="s">
        <v>33</v>
      </c>
      <c r="D1050" s="4" t="s">
        <v>16</v>
      </c>
      <c r="E1050" s="4" t="s">
        <v>17</v>
      </c>
      <c r="F1050" s="4" t="s">
        <v>24</v>
      </c>
      <c r="G1050" s="4" t="s">
        <v>30</v>
      </c>
      <c r="H1050" s="4" t="s">
        <v>20</v>
      </c>
      <c r="I1050" s="4">
        <v>32</v>
      </c>
      <c r="J1050" s="5">
        <v>49.3</v>
      </c>
      <c r="K1050" s="6">
        <v>1.65</v>
      </c>
      <c r="L1050" s="4">
        <v>2</v>
      </c>
      <c r="M1050" s="4">
        <v>125</v>
      </c>
      <c r="N1050" s="4">
        <v>79</v>
      </c>
      <c r="O1050" s="4" t="s">
        <v>21</v>
      </c>
      <c r="P1050" s="7" t="s">
        <v>30</v>
      </c>
      <c r="S1050">
        <v>2247</v>
      </c>
      <c r="T1050" t="str">
        <v>Zambezia</v>
      </c>
      <c r="U1050" t="str">
        <v>Masculino</v>
      </c>
      <c r="V1050" t="str">
        <v>Solteiro(a)</v>
      </c>
      <c r="W1050" t="str">
        <v>Secundaria</v>
      </c>
      <c r="X1050" t="str">
        <v>Nao</v>
      </c>
      <c r="Y1050" t="str">
        <v>Hipertensao</v>
      </c>
      <c r="Z1050">
        <v>9</v>
      </c>
      <c r="AA1050">
        <v>29.7</v>
      </c>
      <c r="AB1050">
        <v>1.18</v>
      </c>
      <c r="AC1050">
        <v>3</v>
      </c>
      <c r="AD1050">
        <v>123</v>
      </c>
      <c r="AE1050">
        <v>75</v>
      </c>
      <c r="AF1050" t="str">
        <v>Rural</v>
      </c>
      <c r="AG1050" t="str">
        <v>Nao</v>
      </c>
    </row>
    <row r="1051" spans="2:33" x14ac:dyDescent="0.45">
      <c r="B1051" s="4">
        <v>1050</v>
      </c>
      <c r="C1051" s="4" t="s">
        <v>22</v>
      </c>
      <c r="D1051" s="4" t="s">
        <v>23</v>
      </c>
      <c r="E1051" s="4" t="s">
        <v>37</v>
      </c>
      <c r="F1051" s="4" t="s">
        <v>28</v>
      </c>
      <c r="G1051" s="4" t="s">
        <v>19</v>
      </c>
      <c r="H1051" s="4" t="s">
        <v>25</v>
      </c>
      <c r="I1051" s="4">
        <v>1</v>
      </c>
      <c r="J1051" s="5">
        <v>8.4</v>
      </c>
      <c r="K1051" s="6">
        <v>1.01</v>
      </c>
      <c r="L1051" s="4">
        <v>1</v>
      </c>
      <c r="M1051" s="4">
        <v>92</v>
      </c>
      <c r="N1051" s="4">
        <v>90</v>
      </c>
      <c r="O1051" s="4" t="s">
        <v>21</v>
      </c>
      <c r="P1051" s="7" t="s">
        <v>19</v>
      </c>
      <c r="S1051">
        <v>2248</v>
      </c>
      <c r="T1051" t="str">
        <v>Gaza</v>
      </c>
      <c r="U1051" t="str">
        <v>Masculino</v>
      </c>
      <c r="V1051" t="str">
        <v>Solteiro(a)</v>
      </c>
      <c r="W1051" t="str">
        <v>Primaria</v>
      </c>
      <c r="X1051" t="str">
        <v>Nao</v>
      </c>
      <c r="Y1051" t="str">
        <v>Nenhuma</v>
      </c>
      <c r="Z1051">
        <v>35</v>
      </c>
      <c r="AA1051">
        <v>71.5</v>
      </c>
      <c r="AB1051">
        <v>1.89</v>
      </c>
      <c r="AC1051">
        <v>0</v>
      </c>
      <c r="AD1051">
        <v>124</v>
      </c>
      <c r="AE1051">
        <v>73</v>
      </c>
      <c r="AF1051" t="str">
        <v>Rural</v>
      </c>
      <c r="AG1051" t="str">
        <v>Sim</v>
      </c>
    </row>
    <row r="1052" spans="2:33" x14ac:dyDescent="0.45">
      <c r="B1052" s="4">
        <v>1051</v>
      </c>
      <c r="C1052" s="4" t="s">
        <v>15</v>
      </c>
      <c r="D1052" s="4" t="s">
        <v>16</v>
      </c>
      <c r="E1052" s="4" t="s">
        <v>37</v>
      </c>
      <c r="F1052" s="4" t="s">
        <v>28</v>
      </c>
      <c r="G1052" s="4" t="s">
        <v>19</v>
      </c>
      <c r="H1052" s="4" t="s">
        <v>20</v>
      </c>
      <c r="I1052" s="4">
        <v>19</v>
      </c>
      <c r="J1052" s="5">
        <v>51.6</v>
      </c>
      <c r="K1052" s="6">
        <v>1.75</v>
      </c>
      <c r="L1052" s="4">
        <v>2</v>
      </c>
      <c r="M1052" s="4">
        <v>100</v>
      </c>
      <c r="N1052" s="4">
        <v>102</v>
      </c>
      <c r="O1052" s="4" t="s">
        <v>21</v>
      </c>
      <c r="P1052" s="7" t="s">
        <v>19</v>
      </c>
      <c r="S1052">
        <v>2249</v>
      </c>
      <c r="T1052" t="str">
        <v>Zambezia</v>
      </c>
      <c r="U1052" t="str">
        <v>Masculino</v>
      </c>
      <c r="V1052" t="str">
        <v>Solteiro(a)</v>
      </c>
      <c r="W1052" t="str">
        <v>Primaria</v>
      </c>
      <c r="X1052" t="str">
        <v>Nao</v>
      </c>
      <c r="Y1052" t="str">
        <v>Malaria</v>
      </c>
      <c r="Z1052">
        <v>9</v>
      </c>
      <c r="AA1052">
        <v>30.6</v>
      </c>
      <c r="AB1052">
        <v>1.42</v>
      </c>
      <c r="AC1052">
        <v>2</v>
      </c>
      <c r="AD1052">
        <v>105</v>
      </c>
      <c r="AE1052">
        <v>96</v>
      </c>
      <c r="AF1052" t="str">
        <v>Rural</v>
      </c>
      <c r="AG1052" t="str">
        <v>Nao</v>
      </c>
    </row>
    <row r="1053" spans="2:33" x14ac:dyDescent="0.45">
      <c r="B1053" s="4">
        <v>1052</v>
      </c>
      <c r="C1053" s="4" t="s">
        <v>43</v>
      </c>
      <c r="D1053" s="4" t="s">
        <v>16</v>
      </c>
      <c r="E1053" s="4" t="s">
        <v>35</v>
      </c>
      <c r="F1053" s="4" t="s">
        <v>18</v>
      </c>
      <c r="G1053" s="4" t="s">
        <v>30</v>
      </c>
      <c r="H1053" s="4" t="s">
        <v>38</v>
      </c>
      <c r="I1053" s="4">
        <v>5</v>
      </c>
      <c r="J1053" s="5">
        <v>28.8</v>
      </c>
      <c r="K1053" s="6">
        <v>1.26</v>
      </c>
      <c r="L1053" s="4">
        <v>2</v>
      </c>
      <c r="M1053" s="4">
        <v>113</v>
      </c>
      <c r="N1053" s="4">
        <v>104</v>
      </c>
      <c r="O1053" s="4" t="s">
        <v>21</v>
      </c>
      <c r="P1053" s="7" t="s">
        <v>19</v>
      </c>
      <c r="S1053">
        <v>2252</v>
      </c>
      <c r="T1053" t="str">
        <v>Niassa</v>
      </c>
      <c r="U1053" t="str">
        <v>Masculino</v>
      </c>
      <c r="V1053" t="str">
        <v>Solteiro(a)</v>
      </c>
      <c r="W1053" t="str">
        <v>Nenhuma</v>
      </c>
      <c r="X1053" t="str">
        <v>Nao</v>
      </c>
      <c r="Y1053" t="str">
        <v>Malaria</v>
      </c>
      <c r="Z1053">
        <v>41</v>
      </c>
      <c r="AA1053">
        <v>63.1</v>
      </c>
      <c r="AB1053">
        <v>1.56</v>
      </c>
      <c r="AC1053">
        <v>1</v>
      </c>
      <c r="AD1053">
        <v>121</v>
      </c>
      <c r="AE1053">
        <v>88</v>
      </c>
      <c r="AF1053" t="str">
        <v>Urbana</v>
      </c>
      <c r="AG1053" t="str">
        <v>Nao</v>
      </c>
    </row>
    <row r="1054" spans="2:33" x14ac:dyDescent="0.45">
      <c r="B1054" s="4">
        <v>1053</v>
      </c>
      <c r="C1054" s="4" t="s">
        <v>29</v>
      </c>
      <c r="D1054" s="4" t="s">
        <v>23</v>
      </c>
      <c r="E1054" s="4" t="s">
        <v>17</v>
      </c>
      <c r="F1054" s="4" t="s">
        <v>24</v>
      </c>
      <c r="G1054" s="4" t="s">
        <v>19</v>
      </c>
      <c r="H1054" s="4" t="s">
        <v>20</v>
      </c>
      <c r="I1054" s="4">
        <v>8</v>
      </c>
      <c r="J1054" s="5">
        <v>23.4</v>
      </c>
      <c r="K1054" s="6">
        <v>1.0900000000000001</v>
      </c>
      <c r="L1054" s="4">
        <v>3</v>
      </c>
      <c r="M1054" s="4">
        <v>116</v>
      </c>
      <c r="N1054" s="4">
        <v>75</v>
      </c>
      <c r="O1054" s="4" t="s">
        <v>26</v>
      </c>
      <c r="P1054" s="7" t="s">
        <v>19</v>
      </c>
      <c r="S1054">
        <v>2253</v>
      </c>
      <c r="T1054" t="str">
        <v>Sofala</v>
      </c>
      <c r="U1054" t="str">
        <v>Masculino</v>
      </c>
      <c r="V1054" t="str">
        <v>Solteiro(a)</v>
      </c>
      <c r="W1054" t="str">
        <v>Primaria</v>
      </c>
      <c r="X1054" t="str">
        <v>Nao</v>
      </c>
      <c r="Y1054" t="str">
        <v>Malaria</v>
      </c>
      <c r="Z1054">
        <v>37</v>
      </c>
      <c r="AA1054">
        <v>45.8</v>
      </c>
      <c r="AB1054">
        <v>1.56</v>
      </c>
      <c r="AC1054">
        <v>2</v>
      </c>
      <c r="AD1054">
        <v>116</v>
      </c>
      <c r="AE1054">
        <v>92</v>
      </c>
      <c r="AF1054" t="str">
        <v>Rural</v>
      </c>
      <c r="AG1054" t="str">
        <v>Sim</v>
      </c>
    </row>
    <row r="1055" spans="2:33" x14ac:dyDescent="0.45">
      <c r="B1055" s="4">
        <v>1054</v>
      </c>
      <c r="C1055" s="4" t="s">
        <v>41</v>
      </c>
      <c r="D1055" s="4" t="s">
        <v>23</v>
      </c>
      <c r="E1055" s="4" t="s">
        <v>17</v>
      </c>
      <c r="F1055" s="4" t="s">
        <v>28</v>
      </c>
      <c r="G1055" s="4" t="s">
        <v>19</v>
      </c>
      <c r="H1055" s="4" t="s">
        <v>20</v>
      </c>
      <c r="I1055" s="4">
        <v>84</v>
      </c>
      <c r="J1055" s="5">
        <v>47</v>
      </c>
      <c r="K1055" s="6">
        <v>1.51</v>
      </c>
      <c r="L1055" s="4">
        <v>6</v>
      </c>
      <c r="M1055" s="4">
        <v>139</v>
      </c>
      <c r="N1055" s="4">
        <v>81</v>
      </c>
      <c r="O1055" s="4" t="s">
        <v>21</v>
      </c>
      <c r="P1055" s="7" t="s">
        <v>19</v>
      </c>
      <c r="S1055">
        <v>2259</v>
      </c>
      <c r="T1055" t="str">
        <v>Tete</v>
      </c>
      <c r="U1055" t="str">
        <v>Masculino</v>
      </c>
      <c r="V1055" t="str">
        <v>Casado(a)</v>
      </c>
      <c r="W1055" t="str">
        <v>Nenhuma</v>
      </c>
      <c r="X1055" t="str">
        <v>Nao</v>
      </c>
      <c r="Y1055" t="str">
        <v>HIV/SIDA</v>
      </c>
      <c r="Z1055">
        <v>20</v>
      </c>
      <c r="AA1055">
        <v>73.7</v>
      </c>
      <c r="AB1055">
        <v>1.76</v>
      </c>
      <c r="AC1055">
        <v>10</v>
      </c>
      <c r="AD1055">
        <v>109</v>
      </c>
      <c r="AE1055">
        <v>98</v>
      </c>
      <c r="AF1055" t="str">
        <v>Rural</v>
      </c>
      <c r="AG1055" t="str">
        <v>Nao</v>
      </c>
    </row>
    <row r="1056" spans="2:33" x14ac:dyDescent="0.45">
      <c r="B1056" s="4">
        <v>1055</v>
      </c>
      <c r="C1056" s="4" t="s">
        <v>27</v>
      </c>
      <c r="D1056" s="4" t="s">
        <v>16</v>
      </c>
      <c r="E1056" s="4" t="s">
        <v>35</v>
      </c>
      <c r="F1056" s="4" t="s">
        <v>28</v>
      </c>
      <c r="G1056" s="4" t="s">
        <v>30</v>
      </c>
      <c r="H1056" s="4" t="s">
        <v>32</v>
      </c>
      <c r="I1056" s="4">
        <v>62</v>
      </c>
      <c r="J1056" s="5">
        <v>76.900000000000006</v>
      </c>
      <c r="K1056" s="6">
        <v>1.83</v>
      </c>
      <c r="L1056" s="4">
        <v>3</v>
      </c>
      <c r="M1056" s="4">
        <v>111</v>
      </c>
      <c r="N1056" s="4">
        <v>177</v>
      </c>
      <c r="O1056" s="4" t="s">
        <v>26</v>
      </c>
      <c r="P1056" s="7" t="s">
        <v>19</v>
      </c>
      <c r="S1056">
        <v>2260</v>
      </c>
      <c r="T1056" t="str">
        <v>Maputo Provincia</v>
      </c>
      <c r="U1056" t="str">
        <v>Masculino</v>
      </c>
      <c r="V1056" t="str">
        <v>Divorciado(a)</v>
      </c>
      <c r="W1056" t="str">
        <v>Primaria</v>
      </c>
      <c r="X1056" t="str">
        <v>Nao</v>
      </c>
      <c r="Y1056" t="str">
        <v>Hipertensao</v>
      </c>
      <c r="Z1056">
        <v>10</v>
      </c>
      <c r="AA1056">
        <v>33.5</v>
      </c>
      <c r="AB1056">
        <v>1.0900000000000001</v>
      </c>
      <c r="AC1056">
        <v>1</v>
      </c>
      <c r="AD1056">
        <v>112</v>
      </c>
      <c r="AE1056">
        <v>71</v>
      </c>
      <c r="AF1056" t="str">
        <v>Rural</v>
      </c>
      <c r="AG1056" t="str">
        <v>Nao</v>
      </c>
    </row>
    <row r="1057" spans="2:33" x14ac:dyDescent="0.45">
      <c r="B1057" s="4">
        <v>1056</v>
      </c>
      <c r="C1057" s="4" t="s">
        <v>15</v>
      </c>
      <c r="D1057" s="4" t="s">
        <v>16</v>
      </c>
      <c r="E1057" s="4" t="s">
        <v>17</v>
      </c>
      <c r="F1057" s="4" t="s">
        <v>18</v>
      </c>
      <c r="G1057" s="4" t="s">
        <v>19</v>
      </c>
      <c r="H1057" s="4" t="s">
        <v>28</v>
      </c>
      <c r="I1057" s="4">
        <v>31</v>
      </c>
      <c r="J1057" s="5">
        <v>75.2</v>
      </c>
      <c r="K1057" s="6">
        <v>1.73</v>
      </c>
      <c r="L1057" s="4">
        <v>8</v>
      </c>
      <c r="M1057" s="4">
        <v>121</v>
      </c>
      <c r="N1057" s="4">
        <v>74</v>
      </c>
      <c r="O1057" s="4" t="s">
        <v>26</v>
      </c>
      <c r="P1057" s="7" t="s">
        <v>30</v>
      </c>
      <c r="S1057">
        <v>2263</v>
      </c>
      <c r="T1057" t="str">
        <v>Nampula</v>
      </c>
      <c r="U1057" t="str">
        <v>Masculino</v>
      </c>
      <c r="V1057" t="str">
        <v>Casado(a)</v>
      </c>
      <c r="W1057" t="str">
        <v>Primaria</v>
      </c>
      <c r="X1057" t="str">
        <v>Nao</v>
      </c>
      <c r="Y1057" t="str">
        <v>Diabetes</v>
      </c>
      <c r="Z1057">
        <v>2</v>
      </c>
      <c r="AA1057">
        <v>9.6999999999999993</v>
      </c>
      <c r="AB1057">
        <v>0.69</v>
      </c>
      <c r="AC1057">
        <v>1</v>
      </c>
      <c r="AD1057">
        <v>101</v>
      </c>
      <c r="AE1057">
        <v>146</v>
      </c>
      <c r="AF1057" t="str">
        <v>Rural</v>
      </c>
      <c r="AG1057" t="str">
        <v>Nao</v>
      </c>
    </row>
    <row r="1058" spans="2:33" x14ac:dyDescent="0.45">
      <c r="B1058" s="4">
        <v>1057</v>
      </c>
      <c r="C1058" s="4" t="s">
        <v>22</v>
      </c>
      <c r="D1058" s="4" t="s">
        <v>16</v>
      </c>
      <c r="E1058" s="4" t="s">
        <v>44</v>
      </c>
      <c r="F1058" s="4" t="s">
        <v>18</v>
      </c>
      <c r="G1058" s="4" t="s">
        <v>19</v>
      </c>
      <c r="H1058" s="4" t="s">
        <v>28</v>
      </c>
      <c r="I1058" s="4">
        <v>15</v>
      </c>
      <c r="J1058" s="5">
        <v>40.6</v>
      </c>
      <c r="K1058" s="6">
        <v>1.71</v>
      </c>
      <c r="L1058" s="4">
        <v>0</v>
      </c>
      <c r="M1058" s="4">
        <v>116</v>
      </c>
      <c r="N1058" s="4">
        <v>90</v>
      </c>
      <c r="O1058" s="4" t="s">
        <v>26</v>
      </c>
      <c r="P1058" s="7" t="s">
        <v>19</v>
      </c>
      <c r="S1058">
        <v>2264</v>
      </c>
      <c r="T1058" t="str">
        <v>Nampula</v>
      </c>
      <c r="U1058" t="str">
        <v>Masculino</v>
      </c>
      <c r="V1058" t="str">
        <v>Casado(a)</v>
      </c>
      <c r="W1058" t="str">
        <v>Secundaria</v>
      </c>
      <c r="X1058" t="str">
        <v>Nao</v>
      </c>
      <c r="Y1058" t="str">
        <v>Nenhuma</v>
      </c>
      <c r="Z1058">
        <v>7</v>
      </c>
      <c r="AA1058">
        <v>29</v>
      </c>
      <c r="AB1058">
        <v>1.08</v>
      </c>
      <c r="AC1058">
        <v>0</v>
      </c>
      <c r="AD1058">
        <v>108</v>
      </c>
      <c r="AE1058">
        <v>92</v>
      </c>
      <c r="AF1058" t="str">
        <v>Rural</v>
      </c>
      <c r="AG1058" t="str">
        <v>Nao</v>
      </c>
    </row>
    <row r="1059" spans="2:33" x14ac:dyDescent="0.45">
      <c r="B1059" s="4">
        <v>1058</v>
      </c>
      <c r="C1059" s="4" t="s">
        <v>27</v>
      </c>
      <c r="D1059" s="4" t="s">
        <v>16</v>
      </c>
      <c r="E1059" s="4" t="s">
        <v>17</v>
      </c>
      <c r="F1059" s="4" t="s">
        <v>42</v>
      </c>
      <c r="G1059" s="4" t="s">
        <v>30</v>
      </c>
      <c r="H1059" s="4" t="s">
        <v>32</v>
      </c>
      <c r="I1059" s="4">
        <v>23</v>
      </c>
      <c r="J1059" s="5">
        <v>77.599999999999994</v>
      </c>
      <c r="K1059" s="6">
        <v>1.57</v>
      </c>
      <c r="L1059" s="4">
        <v>3</v>
      </c>
      <c r="M1059" s="4">
        <v>109</v>
      </c>
      <c r="N1059" s="4">
        <v>174</v>
      </c>
      <c r="O1059" s="4" t="s">
        <v>21</v>
      </c>
      <c r="P1059" s="7" t="s">
        <v>19</v>
      </c>
      <c r="S1059">
        <v>2267</v>
      </c>
      <c r="T1059" t="str">
        <v>Nampula</v>
      </c>
      <c r="U1059" t="str">
        <v>Masculino</v>
      </c>
      <c r="V1059" t="str">
        <v>Solteiro(a)</v>
      </c>
      <c r="W1059" t="str">
        <v>Primaria</v>
      </c>
      <c r="X1059" t="str">
        <v>Sim</v>
      </c>
      <c r="Y1059" t="str">
        <v>Hipertensao</v>
      </c>
      <c r="Z1059">
        <v>38</v>
      </c>
      <c r="AA1059">
        <v>59.9</v>
      </c>
      <c r="AB1059">
        <v>1.69</v>
      </c>
      <c r="AC1059">
        <v>10</v>
      </c>
      <c r="AD1059">
        <v>145</v>
      </c>
      <c r="AE1059">
        <v>97</v>
      </c>
      <c r="AF1059" t="str">
        <v>Urbana</v>
      </c>
      <c r="AG1059" t="str">
        <v>Sim</v>
      </c>
    </row>
    <row r="1060" spans="2:33" x14ac:dyDescent="0.45">
      <c r="B1060" s="4">
        <v>1059</v>
      </c>
      <c r="C1060" s="4" t="s">
        <v>15</v>
      </c>
      <c r="D1060" s="4" t="s">
        <v>16</v>
      </c>
      <c r="E1060" s="4" t="s">
        <v>17</v>
      </c>
      <c r="F1060" s="4" t="s">
        <v>24</v>
      </c>
      <c r="G1060" s="4" t="s">
        <v>19</v>
      </c>
      <c r="H1060" s="4" t="s">
        <v>28</v>
      </c>
      <c r="I1060" s="4">
        <v>65</v>
      </c>
      <c r="J1060" s="5">
        <v>73.2</v>
      </c>
      <c r="K1060" s="6">
        <v>1.58</v>
      </c>
      <c r="L1060" s="4">
        <v>4</v>
      </c>
      <c r="M1060" s="4">
        <v>125</v>
      </c>
      <c r="N1060" s="4">
        <v>95</v>
      </c>
      <c r="O1060" s="4" t="s">
        <v>26</v>
      </c>
      <c r="P1060" s="7" t="s">
        <v>19</v>
      </c>
      <c r="S1060">
        <v>2273</v>
      </c>
      <c r="T1060" t="str">
        <v>Zambezia</v>
      </c>
      <c r="U1060" t="str">
        <v>Masculino</v>
      </c>
      <c r="V1060" t="str">
        <v>Divorciado(a)</v>
      </c>
      <c r="W1060" t="str">
        <v>Primaria</v>
      </c>
      <c r="X1060" t="str">
        <v>Nao</v>
      </c>
      <c r="Y1060" t="str">
        <v>Nenhuma</v>
      </c>
      <c r="Z1060">
        <v>18</v>
      </c>
      <c r="AA1060">
        <v>45.2</v>
      </c>
      <c r="AB1060">
        <v>1.52</v>
      </c>
      <c r="AC1060">
        <v>6</v>
      </c>
      <c r="AD1060">
        <v>117</v>
      </c>
      <c r="AE1060">
        <v>86</v>
      </c>
      <c r="AF1060" t="str">
        <v>Urbana</v>
      </c>
      <c r="AG1060" t="str">
        <v>Nao</v>
      </c>
    </row>
    <row r="1061" spans="2:33" x14ac:dyDescent="0.45">
      <c r="B1061" s="4">
        <v>1060</v>
      </c>
      <c r="C1061" s="4" t="s">
        <v>43</v>
      </c>
      <c r="D1061" s="4" t="s">
        <v>16</v>
      </c>
      <c r="E1061" s="4" t="s">
        <v>35</v>
      </c>
      <c r="F1061" s="4" t="s">
        <v>18</v>
      </c>
      <c r="G1061" s="4" t="s">
        <v>30</v>
      </c>
      <c r="H1061" s="4" t="s">
        <v>25</v>
      </c>
      <c r="I1061" s="4">
        <v>16</v>
      </c>
      <c r="J1061" s="5">
        <v>53.8</v>
      </c>
      <c r="K1061" s="6">
        <v>1.59</v>
      </c>
      <c r="L1061" s="4">
        <v>3</v>
      </c>
      <c r="M1061" s="4">
        <v>117</v>
      </c>
      <c r="N1061" s="4">
        <v>103</v>
      </c>
      <c r="O1061" s="4" t="s">
        <v>21</v>
      </c>
      <c r="P1061" s="7" t="s">
        <v>19</v>
      </c>
      <c r="S1061">
        <v>2276</v>
      </c>
      <c r="T1061" t="str">
        <v>Gaza</v>
      </c>
      <c r="U1061" t="str">
        <v>Masculino</v>
      </c>
      <c r="V1061" t="str">
        <v>Solteiro(a)</v>
      </c>
      <c r="W1061" t="str">
        <v>Primaria</v>
      </c>
      <c r="X1061" t="str">
        <v>Nao</v>
      </c>
      <c r="Y1061" t="str">
        <v>HIV/SIDA</v>
      </c>
      <c r="Z1061">
        <v>1</v>
      </c>
      <c r="AA1061">
        <v>11.6</v>
      </c>
      <c r="AB1061">
        <v>0.91</v>
      </c>
      <c r="AC1061">
        <v>0</v>
      </c>
      <c r="AD1061">
        <v>106</v>
      </c>
      <c r="AE1061">
        <v>86</v>
      </c>
      <c r="AF1061" t="str">
        <v>Rural</v>
      </c>
      <c r="AG1061" t="str">
        <v>Nao</v>
      </c>
    </row>
    <row r="1062" spans="2:33" x14ac:dyDescent="0.45">
      <c r="B1062" s="4">
        <v>1061</v>
      </c>
      <c r="C1062" s="4" t="s">
        <v>31</v>
      </c>
      <c r="D1062" s="4" t="s">
        <v>23</v>
      </c>
      <c r="E1062" s="4" t="s">
        <v>17</v>
      </c>
      <c r="F1062" s="4" t="s">
        <v>24</v>
      </c>
      <c r="G1062" s="4" t="s">
        <v>19</v>
      </c>
      <c r="H1062" s="4" t="s">
        <v>20</v>
      </c>
      <c r="I1062" s="4">
        <v>23</v>
      </c>
      <c r="J1062" s="5">
        <v>46</v>
      </c>
      <c r="K1062" s="6">
        <v>1.69</v>
      </c>
      <c r="L1062" s="4">
        <v>3</v>
      </c>
      <c r="M1062" s="4">
        <v>102</v>
      </c>
      <c r="N1062" s="4">
        <v>102</v>
      </c>
      <c r="O1062" s="4" t="s">
        <v>21</v>
      </c>
      <c r="P1062" s="7" t="s">
        <v>19</v>
      </c>
      <c r="S1062">
        <v>2277</v>
      </c>
      <c r="T1062" t="str">
        <v>Niassa</v>
      </c>
      <c r="U1062" t="str">
        <v>Masculino</v>
      </c>
      <c r="V1062" t="str">
        <v>Casado(a)</v>
      </c>
      <c r="W1062" t="str">
        <v>Primaria</v>
      </c>
      <c r="X1062" t="str">
        <v>Nao</v>
      </c>
      <c r="Y1062" t="str">
        <v>Malaria</v>
      </c>
      <c r="Z1062">
        <v>2</v>
      </c>
      <c r="AA1062">
        <v>12.6</v>
      </c>
      <c r="AB1062">
        <v>0.76</v>
      </c>
      <c r="AC1062">
        <v>8</v>
      </c>
      <c r="AD1062">
        <v>113</v>
      </c>
      <c r="AE1062">
        <v>102</v>
      </c>
      <c r="AF1062" t="str">
        <v>Urbana</v>
      </c>
      <c r="AG1062" t="str">
        <v>Nao</v>
      </c>
    </row>
    <row r="1063" spans="2:33" x14ac:dyDescent="0.45">
      <c r="B1063" s="4">
        <v>1062</v>
      </c>
      <c r="C1063" s="4" t="s">
        <v>27</v>
      </c>
      <c r="D1063" s="4" t="s">
        <v>23</v>
      </c>
      <c r="E1063" s="4" t="s">
        <v>17</v>
      </c>
      <c r="F1063" s="4" t="s">
        <v>24</v>
      </c>
      <c r="G1063" s="4" t="s">
        <v>19</v>
      </c>
      <c r="H1063" s="4" t="s">
        <v>25</v>
      </c>
      <c r="I1063" s="4">
        <v>30</v>
      </c>
      <c r="J1063" s="5">
        <v>69.7</v>
      </c>
      <c r="K1063" s="6">
        <v>1.7</v>
      </c>
      <c r="L1063" s="4">
        <v>6</v>
      </c>
      <c r="M1063" s="4">
        <v>110</v>
      </c>
      <c r="N1063" s="4">
        <v>83</v>
      </c>
      <c r="O1063" s="4" t="s">
        <v>26</v>
      </c>
      <c r="P1063" s="7" t="s">
        <v>30</v>
      </c>
      <c r="S1063">
        <v>2278</v>
      </c>
      <c r="T1063" t="str">
        <v>Tete</v>
      </c>
      <c r="U1063" t="str">
        <v>Masculino</v>
      </c>
      <c r="V1063" t="str">
        <v>Casado(a)</v>
      </c>
      <c r="W1063" t="str">
        <v>Primaria</v>
      </c>
      <c r="X1063" t="str">
        <v>Nao</v>
      </c>
      <c r="Y1063" t="str">
        <v>Malaria</v>
      </c>
      <c r="Z1063">
        <v>14</v>
      </c>
      <c r="AA1063">
        <v>41.4</v>
      </c>
      <c r="AB1063">
        <v>1.46</v>
      </c>
      <c r="AC1063">
        <v>2</v>
      </c>
      <c r="AD1063">
        <v>129</v>
      </c>
      <c r="AE1063">
        <v>83</v>
      </c>
      <c r="AF1063" t="str">
        <v>Rural</v>
      </c>
      <c r="AG1063" t="str">
        <v>Sim</v>
      </c>
    </row>
    <row r="1064" spans="2:33" x14ac:dyDescent="0.45">
      <c r="B1064" s="4">
        <v>1063</v>
      </c>
      <c r="C1064" s="4" t="s">
        <v>43</v>
      </c>
      <c r="D1064" s="4" t="s">
        <v>23</v>
      </c>
      <c r="E1064" s="4" t="s">
        <v>35</v>
      </c>
      <c r="F1064" s="4" t="s">
        <v>18</v>
      </c>
      <c r="G1064" s="4" t="s">
        <v>19</v>
      </c>
      <c r="H1064" s="4" t="s">
        <v>20</v>
      </c>
      <c r="I1064" s="4">
        <v>26</v>
      </c>
      <c r="J1064" s="5">
        <v>83.5</v>
      </c>
      <c r="K1064" s="6">
        <v>1.87</v>
      </c>
      <c r="L1064" s="4">
        <v>5</v>
      </c>
      <c r="M1064" s="4">
        <v>120</v>
      </c>
      <c r="N1064" s="4">
        <v>71</v>
      </c>
      <c r="O1064" s="4" t="s">
        <v>21</v>
      </c>
      <c r="P1064" s="7" t="s">
        <v>19</v>
      </c>
      <c r="S1064">
        <v>2279</v>
      </c>
      <c r="T1064" t="str">
        <v>Maputo Cidade</v>
      </c>
      <c r="U1064" t="str">
        <v>Masculino</v>
      </c>
      <c r="V1064" t="str">
        <v>Divorciado(a)</v>
      </c>
      <c r="W1064" t="str">
        <v>Secundaria</v>
      </c>
      <c r="X1064" t="str">
        <v>Sim</v>
      </c>
      <c r="Y1064" t="str">
        <v>Nenhuma</v>
      </c>
      <c r="Z1064">
        <v>43</v>
      </c>
      <c r="AA1064">
        <v>70.3</v>
      </c>
      <c r="AB1064">
        <v>1.88</v>
      </c>
      <c r="AC1064">
        <v>5</v>
      </c>
      <c r="AD1064">
        <v>109</v>
      </c>
      <c r="AE1064">
        <v>87</v>
      </c>
      <c r="AF1064" t="str">
        <v>Rural</v>
      </c>
      <c r="AG1064" t="str">
        <v>Nao</v>
      </c>
    </row>
    <row r="1065" spans="2:33" x14ac:dyDescent="0.45">
      <c r="B1065" s="4">
        <v>1064</v>
      </c>
      <c r="C1065" s="4" t="s">
        <v>22</v>
      </c>
      <c r="D1065" s="4" t="s">
        <v>23</v>
      </c>
      <c r="E1065" s="4" t="s">
        <v>17</v>
      </c>
      <c r="F1065" s="4" t="s">
        <v>28</v>
      </c>
      <c r="G1065" s="4" t="s">
        <v>19</v>
      </c>
      <c r="H1065" s="4" t="s">
        <v>34</v>
      </c>
      <c r="I1065" s="4">
        <v>20</v>
      </c>
      <c r="J1065" s="5">
        <v>86</v>
      </c>
      <c r="K1065" s="6">
        <v>1.79</v>
      </c>
      <c r="L1065" s="4">
        <v>5</v>
      </c>
      <c r="M1065" s="4">
        <v>103</v>
      </c>
      <c r="N1065" s="4">
        <v>71</v>
      </c>
      <c r="O1065" s="4" t="s">
        <v>26</v>
      </c>
      <c r="P1065" s="7" t="s">
        <v>19</v>
      </c>
      <c r="S1065">
        <v>2282</v>
      </c>
      <c r="T1065" t="str">
        <v>Sofala</v>
      </c>
      <c r="U1065" t="str">
        <v>Masculino</v>
      </c>
      <c r="V1065" t="str">
        <v>Solteiro(a)</v>
      </c>
      <c r="W1065" t="str">
        <v>Primaria</v>
      </c>
      <c r="X1065" t="str">
        <v>Sim</v>
      </c>
      <c r="Y1065" t="str">
        <v>Diarreia</v>
      </c>
      <c r="Z1065">
        <v>80</v>
      </c>
      <c r="AA1065">
        <v>80.5</v>
      </c>
      <c r="AB1065">
        <v>1.7</v>
      </c>
      <c r="AC1065">
        <v>2</v>
      </c>
      <c r="AD1065">
        <v>139</v>
      </c>
      <c r="AE1065">
        <v>76</v>
      </c>
      <c r="AF1065" t="str">
        <v>Urbana</v>
      </c>
      <c r="AG1065" t="str">
        <v>Sim</v>
      </c>
    </row>
    <row r="1066" spans="2:33" x14ac:dyDescent="0.45">
      <c r="B1066" s="4">
        <v>1065</v>
      </c>
      <c r="C1066" s="4" t="s">
        <v>22</v>
      </c>
      <c r="D1066" s="4" t="s">
        <v>16</v>
      </c>
      <c r="E1066" s="4" t="s">
        <v>35</v>
      </c>
      <c r="F1066" s="4" t="s">
        <v>24</v>
      </c>
      <c r="G1066" s="4" t="s">
        <v>19</v>
      </c>
      <c r="H1066" s="4" t="s">
        <v>20</v>
      </c>
      <c r="I1066" s="4">
        <v>6</v>
      </c>
      <c r="J1066" s="5">
        <v>28.5</v>
      </c>
      <c r="K1066" s="6">
        <v>1.19</v>
      </c>
      <c r="L1066" s="4">
        <v>1</v>
      </c>
      <c r="M1066" s="4">
        <v>113</v>
      </c>
      <c r="N1066" s="4">
        <v>81</v>
      </c>
      <c r="O1066" s="4" t="s">
        <v>26</v>
      </c>
      <c r="P1066" s="7" t="s">
        <v>19</v>
      </c>
      <c r="S1066">
        <v>2292</v>
      </c>
      <c r="T1066" t="str">
        <v>Maputo Provincia</v>
      </c>
      <c r="U1066" t="str">
        <v>Masculino</v>
      </c>
      <c r="V1066" t="str">
        <v>Casado(a)</v>
      </c>
      <c r="W1066" t="str">
        <v>Secundaria</v>
      </c>
      <c r="X1066" t="str">
        <v>Sim</v>
      </c>
      <c r="Y1066" t="str">
        <v>Hipertensao</v>
      </c>
      <c r="Z1066">
        <v>16</v>
      </c>
      <c r="AA1066">
        <v>64.7</v>
      </c>
      <c r="AB1066">
        <v>1.73</v>
      </c>
      <c r="AC1066">
        <v>1</v>
      </c>
      <c r="AD1066">
        <v>118</v>
      </c>
      <c r="AE1066">
        <v>98</v>
      </c>
      <c r="AF1066" t="str">
        <v>Rural</v>
      </c>
      <c r="AG1066" t="str">
        <v>Nao</v>
      </c>
    </row>
    <row r="1067" spans="2:33" x14ac:dyDescent="0.45">
      <c r="B1067" s="4">
        <v>1066</v>
      </c>
      <c r="C1067" s="4" t="s">
        <v>15</v>
      </c>
      <c r="D1067" s="4" t="s">
        <v>23</v>
      </c>
      <c r="E1067" s="4" t="s">
        <v>35</v>
      </c>
      <c r="F1067" s="4" t="s">
        <v>18</v>
      </c>
      <c r="G1067" s="4" t="s">
        <v>30</v>
      </c>
      <c r="H1067" s="4" t="s">
        <v>46</v>
      </c>
      <c r="I1067" s="4">
        <v>21</v>
      </c>
      <c r="J1067" s="5">
        <v>93.5</v>
      </c>
      <c r="K1067" s="6">
        <v>1.72</v>
      </c>
      <c r="L1067" s="4">
        <v>2</v>
      </c>
      <c r="M1067" s="4">
        <v>111</v>
      </c>
      <c r="N1067" s="4">
        <v>86</v>
      </c>
      <c r="O1067" s="4" t="s">
        <v>26</v>
      </c>
      <c r="P1067" s="7" t="s">
        <v>30</v>
      </c>
      <c r="S1067">
        <v>2294</v>
      </c>
      <c r="T1067" t="str">
        <v>Inhambane</v>
      </c>
      <c r="U1067" t="str">
        <v>Masculino</v>
      </c>
      <c r="V1067" t="str">
        <v>Casado(a)</v>
      </c>
      <c r="W1067" t="str">
        <v>Secundaria</v>
      </c>
      <c r="X1067" t="str">
        <v>Sim</v>
      </c>
      <c r="Y1067" t="str">
        <v>Diabetes</v>
      </c>
      <c r="Z1067">
        <v>25</v>
      </c>
      <c r="AA1067">
        <v>69.599999999999994</v>
      </c>
      <c r="AB1067">
        <v>1.72</v>
      </c>
      <c r="AC1067">
        <v>3</v>
      </c>
      <c r="AD1067">
        <v>119</v>
      </c>
      <c r="AE1067">
        <v>150</v>
      </c>
      <c r="AF1067" t="str">
        <v>Rural</v>
      </c>
      <c r="AG1067" t="str">
        <v>Nao</v>
      </c>
    </row>
    <row r="1068" spans="2:33" x14ac:dyDescent="0.45">
      <c r="B1068" s="4">
        <v>1067</v>
      </c>
      <c r="C1068" s="4" t="s">
        <v>45</v>
      </c>
      <c r="D1068" s="4" t="s">
        <v>16</v>
      </c>
      <c r="E1068" s="4" t="s">
        <v>17</v>
      </c>
      <c r="F1068" s="4" t="s">
        <v>18</v>
      </c>
      <c r="G1068" s="4" t="s">
        <v>30</v>
      </c>
      <c r="H1068" s="4" t="s">
        <v>38</v>
      </c>
      <c r="I1068" s="4">
        <v>45</v>
      </c>
      <c r="J1068" s="5">
        <v>90</v>
      </c>
      <c r="K1068" s="6">
        <v>1.6</v>
      </c>
      <c r="L1068" s="4">
        <v>1</v>
      </c>
      <c r="M1068" s="4">
        <v>126</v>
      </c>
      <c r="N1068" s="4">
        <v>90</v>
      </c>
      <c r="O1068" s="4" t="s">
        <v>26</v>
      </c>
      <c r="P1068" s="7" t="s">
        <v>19</v>
      </c>
      <c r="S1068">
        <v>2295</v>
      </c>
      <c r="T1068" t="str">
        <v>Zambezia</v>
      </c>
      <c r="U1068" t="str">
        <v>Masculino</v>
      </c>
      <c r="V1068" t="str">
        <v>Casado(a)</v>
      </c>
      <c r="W1068" t="str">
        <v>Primaria</v>
      </c>
      <c r="X1068" t="str">
        <v>Nao</v>
      </c>
      <c r="Y1068" t="str">
        <v>Nenhuma</v>
      </c>
      <c r="Z1068">
        <v>21</v>
      </c>
      <c r="AA1068">
        <v>63.5</v>
      </c>
      <c r="AB1068">
        <v>1.51</v>
      </c>
      <c r="AC1068">
        <v>1</v>
      </c>
      <c r="AD1068">
        <v>108</v>
      </c>
      <c r="AE1068">
        <v>97</v>
      </c>
      <c r="AF1068" t="str">
        <v>Rural</v>
      </c>
      <c r="AG1068" t="str">
        <v>Nao</v>
      </c>
    </row>
    <row r="1069" spans="2:33" x14ac:dyDescent="0.45">
      <c r="B1069" s="4">
        <v>1068</v>
      </c>
      <c r="C1069" s="4" t="s">
        <v>33</v>
      </c>
      <c r="D1069" s="4" t="s">
        <v>16</v>
      </c>
      <c r="E1069" s="4" t="s">
        <v>17</v>
      </c>
      <c r="F1069" s="4" t="s">
        <v>18</v>
      </c>
      <c r="G1069" s="4" t="s">
        <v>19</v>
      </c>
      <c r="H1069" s="4" t="s">
        <v>28</v>
      </c>
      <c r="I1069" s="4">
        <v>15</v>
      </c>
      <c r="J1069" s="5">
        <v>60.8</v>
      </c>
      <c r="K1069" s="6">
        <v>1.47</v>
      </c>
      <c r="L1069" s="4">
        <v>6</v>
      </c>
      <c r="M1069" s="4">
        <v>99</v>
      </c>
      <c r="N1069" s="4">
        <v>91</v>
      </c>
      <c r="O1069" s="4" t="s">
        <v>21</v>
      </c>
      <c r="P1069" s="7" t="s">
        <v>19</v>
      </c>
      <c r="S1069">
        <v>2296</v>
      </c>
      <c r="T1069" t="str">
        <v>Maputo Cidade</v>
      </c>
      <c r="U1069" t="str">
        <v>Masculino</v>
      </c>
      <c r="V1069" t="str">
        <v>Solteiro(a)</v>
      </c>
      <c r="W1069" t="str">
        <v>Nenhuma</v>
      </c>
      <c r="X1069" t="str">
        <v>Nao</v>
      </c>
      <c r="Y1069" t="str">
        <v>Nenhuma</v>
      </c>
      <c r="Z1069">
        <v>36</v>
      </c>
      <c r="AA1069">
        <v>75.8</v>
      </c>
      <c r="AB1069">
        <v>1.85</v>
      </c>
      <c r="AC1069">
        <v>2</v>
      </c>
      <c r="AD1069">
        <v>120</v>
      </c>
      <c r="AE1069">
        <v>82</v>
      </c>
      <c r="AF1069" t="str">
        <v>Rural</v>
      </c>
      <c r="AG1069" t="str">
        <v>Nao</v>
      </c>
    </row>
    <row r="1070" spans="2:33" x14ac:dyDescent="0.45">
      <c r="B1070" s="4">
        <v>1069</v>
      </c>
      <c r="C1070" s="4" t="s">
        <v>27</v>
      </c>
      <c r="D1070" s="4" t="s">
        <v>23</v>
      </c>
      <c r="E1070" s="4" t="s">
        <v>17</v>
      </c>
      <c r="F1070" s="4" t="s">
        <v>24</v>
      </c>
      <c r="G1070" s="4" t="s">
        <v>19</v>
      </c>
      <c r="H1070" s="4" t="s">
        <v>36</v>
      </c>
      <c r="I1070" s="4">
        <v>17</v>
      </c>
      <c r="J1070" s="5">
        <v>40.299999999999997</v>
      </c>
      <c r="K1070" s="6">
        <v>1.68</v>
      </c>
      <c r="L1070" s="4">
        <v>4</v>
      </c>
      <c r="M1070" s="4">
        <v>131</v>
      </c>
      <c r="N1070" s="4">
        <v>96</v>
      </c>
      <c r="O1070" s="4" t="s">
        <v>26</v>
      </c>
      <c r="P1070" s="7" t="s">
        <v>19</v>
      </c>
      <c r="S1070">
        <v>2297</v>
      </c>
      <c r="T1070" t="str">
        <v>Maputo Provincia</v>
      </c>
      <c r="U1070" t="str">
        <v>Masculino</v>
      </c>
      <c r="V1070" t="str">
        <v>Casado(a)</v>
      </c>
      <c r="W1070" t="str">
        <v>Nenhuma</v>
      </c>
      <c r="X1070" t="str">
        <v>Nao</v>
      </c>
      <c r="Y1070" t="str">
        <v>Nenhuma</v>
      </c>
      <c r="Z1070">
        <v>83</v>
      </c>
      <c r="AA1070">
        <v>67.2</v>
      </c>
      <c r="AB1070">
        <v>1.75</v>
      </c>
      <c r="AC1070">
        <v>1</v>
      </c>
      <c r="AD1070">
        <v>146</v>
      </c>
      <c r="AE1070">
        <v>93</v>
      </c>
      <c r="AF1070" t="str">
        <v>Urbana</v>
      </c>
      <c r="AG1070" t="str">
        <v>Sim</v>
      </c>
    </row>
    <row r="1071" spans="2:33" x14ac:dyDescent="0.45">
      <c r="B1071" s="4">
        <v>1070</v>
      </c>
      <c r="C1071" s="4" t="s">
        <v>27</v>
      </c>
      <c r="D1071" s="4" t="s">
        <v>16</v>
      </c>
      <c r="E1071" s="4" t="s">
        <v>35</v>
      </c>
      <c r="F1071" s="4" t="s">
        <v>18</v>
      </c>
      <c r="G1071" s="4" t="s">
        <v>30</v>
      </c>
      <c r="H1071" s="4" t="s">
        <v>25</v>
      </c>
      <c r="I1071" s="4">
        <v>61</v>
      </c>
      <c r="J1071" s="5">
        <v>65.599999999999994</v>
      </c>
      <c r="K1071" s="6">
        <v>1.56</v>
      </c>
      <c r="L1071" s="4">
        <v>5</v>
      </c>
      <c r="M1071" s="4">
        <v>126</v>
      </c>
      <c r="N1071" s="4">
        <v>88</v>
      </c>
      <c r="O1071" s="4" t="s">
        <v>21</v>
      </c>
      <c r="P1071" s="7" t="s">
        <v>30</v>
      </c>
      <c r="S1071">
        <v>2299</v>
      </c>
      <c r="T1071" t="str">
        <v>Tete</v>
      </c>
      <c r="U1071" t="str">
        <v>Masculino</v>
      </c>
      <c r="V1071" t="str">
        <v>Casado(a)</v>
      </c>
      <c r="W1071" t="str">
        <v>Superior</v>
      </c>
      <c r="X1071" t="str">
        <v>Nao</v>
      </c>
      <c r="Y1071" t="str">
        <v>HIV/SIDA</v>
      </c>
      <c r="Z1071">
        <v>4</v>
      </c>
      <c r="AA1071">
        <v>8.4</v>
      </c>
      <c r="AB1071">
        <v>0.61</v>
      </c>
      <c r="AC1071">
        <v>3</v>
      </c>
      <c r="AD1071">
        <v>110</v>
      </c>
      <c r="AE1071">
        <v>82</v>
      </c>
      <c r="AF1071" t="str">
        <v>Urbana</v>
      </c>
      <c r="AG1071" t="str">
        <v>Nao</v>
      </c>
    </row>
    <row r="1072" spans="2:33" x14ac:dyDescent="0.45">
      <c r="B1072" s="4">
        <v>1071</v>
      </c>
      <c r="C1072" s="4" t="s">
        <v>40</v>
      </c>
      <c r="D1072" s="4" t="s">
        <v>16</v>
      </c>
      <c r="E1072" s="4" t="s">
        <v>35</v>
      </c>
      <c r="F1072" s="4" t="s">
        <v>24</v>
      </c>
      <c r="G1072" s="4" t="s">
        <v>19</v>
      </c>
      <c r="H1072" s="4" t="s">
        <v>25</v>
      </c>
      <c r="I1072" s="4">
        <v>32</v>
      </c>
      <c r="J1072" s="5">
        <v>55.6</v>
      </c>
      <c r="K1072" s="6">
        <v>1.61</v>
      </c>
      <c r="L1072" s="4">
        <v>2</v>
      </c>
      <c r="M1072" s="4">
        <v>101</v>
      </c>
      <c r="N1072" s="4">
        <v>93</v>
      </c>
      <c r="O1072" s="4" t="s">
        <v>21</v>
      </c>
      <c r="P1072" s="7" t="s">
        <v>19</v>
      </c>
      <c r="S1072">
        <v>2300</v>
      </c>
      <c r="T1072" t="str">
        <v>Gaza</v>
      </c>
      <c r="U1072" t="str">
        <v>Masculino</v>
      </c>
      <c r="V1072" t="str">
        <v>Casado(a)</v>
      </c>
      <c r="W1072" t="str">
        <v>Secundaria</v>
      </c>
      <c r="X1072" t="str">
        <v>Nao</v>
      </c>
      <c r="Y1072" t="str">
        <v>Diabetes</v>
      </c>
      <c r="Z1072">
        <v>11</v>
      </c>
      <c r="AA1072">
        <v>36.9</v>
      </c>
      <c r="AB1072">
        <v>1.33</v>
      </c>
      <c r="AC1072">
        <v>2</v>
      </c>
      <c r="AD1072">
        <v>105</v>
      </c>
      <c r="AE1072">
        <v>187</v>
      </c>
      <c r="AF1072" t="str">
        <v>Urbana</v>
      </c>
      <c r="AG1072" t="str">
        <v>Sim</v>
      </c>
    </row>
    <row r="1073" spans="2:33" x14ac:dyDescent="0.45">
      <c r="B1073" s="4">
        <v>1072</v>
      </c>
      <c r="C1073" s="4" t="s">
        <v>22</v>
      </c>
      <c r="D1073" s="4" t="s">
        <v>23</v>
      </c>
      <c r="E1073" s="4" t="s">
        <v>17</v>
      </c>
      <c r="F1073" s="4" t="s">
        <v>24</v>
      </c>
      <c r="G1073" s="4" t="s">
        <v>19</v>
      </c>
      <c r="H1073" s="4" t="s">
        <v>32</v>
      </c>
      <c r="I1073" s="4">
        <v>31</v>
      </c>
      <c r="J1073" s="5">
        <v>78.599999999999994</v>
      </c>
      <c r="K1073" s="6">
        <v>1.71</v>
      </c>
      <c r="L1073" s="4">
        <v>2</v>
      </c>
      <c r="M1073" s="4">
        <v>101</v>
      </c>
      <c r="N1073" s="4">
        <v>172</v>
      </c>
      <c r="O1073" s="4" t="s">
        <v>26</v>
      </c>
      <c r="P1073" s="7" t="s">
        <v>19</v>
      </c>
      <c r="S1073">
        <v>2306</v>
      </c>
      <c r="T1073" t="str">
        <v>Manica</v>
      </c>
      <c r="U1073" t="str">
        <v>Masculino</v>
      </c>
      <c r="V1073" t="str">
        <v>Solteiro(a)</v>
      </c>
      <c r="W1073" t="str">
        <v>Nenhuma</v>
      </c>
      <c r="X1073" t="str">
        <v>Nao</v>
      </c>
      <c r="Y1073" t="str">
        <v>Nenhuma</v>
      </c>
      <c r="Z1073">
        <v>15</v>
      </c>
      <c r="AA1073">
        <v>60.8</v>
      </c>
      <c r="AB1073">
        <v>1.6</v>
      </c>
      <c r="AC1073">
        <v>8</v>
      </c>
      <c r="AD1073">
        <v>123</v>
      </c>
      <c r="AE1073">
        <v>87</v>
      </c>
      <c r="AF1073" t="str">
        <v>Rural</v>
      </c>
      <c r="AG1073" t="str">
        <v>Sim</v>
      </c>
    </row>
    <row r="1074" spans="2:33" x14ac:dyDescent="0.45">
      <c r="B1074" s="4">
        <v>1073</v>
      </c>
      <c r="C1074" s="4" t="s">
        <v>15</v>
      </c>
      <c r="D1074" s="4" t="s">
        <v>16</v>
      </c>
      <c r="E1074" s="4" t="s">
        <v>17</v>
      </c>
      <c r="F1074" s="4" t="s">
        <v>28</v>
      </c>
      <c r="G1074" s="4" t="s">
        <v>19</v>
      </c>
      <c r="H1074" s="4" t="s">
        <v>34</v>
      </c>
      <c r="I1074" s="4">
        <v>16</v>
      </c>
      <c r="J1074" s="5">
        <v>45</v>
      </c>
      <c r="K1074" s="6">
        <v>1.7</v>
      </c>
      <c r="L1074" s="4">
        <v>2</v>
      </c>
      <c r="M1074" s="4">
        <v>115</v>
      </c>
      <c r="N1074" s="4">
        <v>73</v>
      </c>
      <c r="O1074" s="4" t="s">
        <v>26</v>
      </c>
      <c r="P1074" s="7" t="s">
        <v>19</v>
      </c>
      <c r="S1074">
        <v>2307</v>
      </c>
      <c r="T1074" t="str">
        <v>Maputo Cidade</v>
      </c>
      <c r="U1074" t="str">
        <v>Masculino</v>
      </c>
      <c r="V1074" t="str">
        <v>Casado(a)</v>
      </c>
      <c r="W1074" t="str">
        <v>Nenhuma</v>
      </c>
      <c r="X1074" t="str">
        <v>Nao</v>
      </c>
      <c r="Y1074" t="str">
        <v>Malaria</v>
      </c>
      <c r="Z1074">
        <v>8</v>
      </c>
      <c r="AA1074">
        <v>32.200000000000003</v>
      </c>
      <c r="AB1074">
        <v>1.33</v>
      </c>
      <c r="AC1074">
        <v>5</v>
      </c>
      <c r="AD1074">
        <v>116</v>
      </c>
      <c r="AE1074">
        <v>82</v>
      </c>
      <c r="AF1074" t="str">
        <v>Rural</v>
      </c>
      <c r="AG1074" t="str">
        <v>Nao</v>
      </c>
    </row>
    <row r="1075" spans="2:33" x14ac:dyDescent="0.45">
      <c r="B1075" s="4">
        <v>1074</v>
      </c>
      <c r="C1075" s="4" t="s">
        <v>22</v>
      </c>
      <c r="D1075" s="4" t="s">
        <v>23</v>
      </c>
      <c r="E1075" s="4" t="s">
        <v>17</v>
      </c>
      <c r="F1075" s="4" t="s">
        <v>24</v>
      </c>
      <c r="G1075" s="4" t="s">
        <v>19</v>
      </c>
      <c r="H1075" s="4" t="s">
        <v>20</v>
      </c>
      <c r="I1075" s="4">
        <v>22</v>
      </c>
      <c r="J1075" s="5">
        <v>70.7</v>
      </c>
      <c r="K1075" s="6">
        <v>1.79</v>
      </c>
      <c r="L1075" s="4">
        <v>3</v>
      </c>
      <c r="M1075" s="4">
        <v>100</v>
      </c>
      <c r="N1075" s="4">
        <v>89</v>
      </c>
      <c r="O1075" s="4" t="s">
        <v>26</v>
      </c>
      <c r="P1075" s="7" t="s">
        <v>19</v>
      </c>
      <c r="S1075">
        <v>2308</v>
      </c>
      <c r="T1075" t="str">
        <v>Gaza</v>
      </c>
      <c r="U1075" t="str">
        <v>Masculino</v>
      </c>
      <c r="V1075" t="str">
        <v>Solteiro(a)</v>
      </c>
      <c r="W1075" t="str">
        <v>Nenhuma</v>
      </c>
      <c r="X1075" t="str">
        <v>Nao</v>
      </c>
      <c r="Y1075" t="str">
        <v>Malaria</v>
      </c>
      <c r="Z1075">
        <v>37</v>
      </c>
      <c r="AA1075">
        <v>72.2</v>
      </c>
      <c r="AB1075">
        <v>1.73</v>
      </c>
      <c r="AC1075">
        <v>4</v>
      </c>
      <c r="AD1075">
        <v>126</v>
      </c>
      <c r="AE1075">
        <v>82</v>
      </c>
      <c r="AF1075" t="str">
        <v>Rural</v>
      </c>
      <c r="AG1075" t="str">
        <v>Nao</v>
      </c>
    </row>
    <row r="1076" spans="2:33" x14ac:dyDescent="0.45">
      <c r="B1076" s="4">
        <v>1075</v>
      </c>
      <c r="C1076" s="4" t="s">
        <v>31</v>
      </c>
      <c r="D1076" s="4" t="s">
        <v>16</v>
      </c>
      <c r="E1076" s="4" t="s">
        <v>17</v>
      </c>
      <c r="F1076" s="4" t="s">
        <v>18</v>
      </c>
      <c r="G1076" s="4" t="s">
        <v>30</v>
      </c>
      <c r="H1076" s="4" t="s">
        <v>20</v>
      </c>
      <c r="I1076" s="4">
        <v>23</v>
      </c>
      <c r="J1076" s="5">
        <v>72.8</v>
      </c>
      <c r="K1076" s="6">
        <v>1.79</v>
      </c>
      <c r="L1076" s="4">
        <v>4</v>
      </c>
      <c r="M1076" s="4">
        <v>116</v>
      </c>
      <c r="N1076" s="4">
        <v>93</v>
      </c>
      <c r="O1076" s="4" t="s">
        <v>21</v>
      </c>
      <c r="P1076" s="7" t="s">
        <v>19</v>
      </c>
      <c r="S1076">
        <v>2309</v>
      </c>
      <c r="T1076" t="str">
        <v>Zambezia</v>
      </c>
      <c r="U1076" t="str">
        <v>Masculino</v>
      </c>
      <c r="V1076" t="str">
        <v>Solteiro(a)</v>
      </c>
      <c r="W1076" t="str">
        <v>Primaria</v>
      </c>
      <c r="X1076" t="str">
        <v>Nao</v>
      </c>
      <c r="Y1076" t="str">
        <v>HIV/SIDA</v>
      </c>
      <c r="Z1076">
        <v>42</v>
      </c>
      <c r="AA1076">
        <v>83.9</v>
      </c>
      <c r="AB1076">
        <v>1.87</v>
      </c>
      <c r="AC1076">
        <v>2</v>
      </c>
      <c r="AD1076">
        <v>121</v>
      </c>
      <c r="AE1076">
        <v>105</v>
      </c>
      <c r="AF1076" t="str">
        <v>Urbana</v>
      </c>
      <c r="AG1076" t="str">
        <v>Sim</v>
      </c>
    </row>
    <row r="1077" spans="2:33" x14ac:dyDescent="0.45">
      <c r="B1077" s="4">
        <v>1076</v>
      </c>
      <c r="C1077" s="4" t="s">
        <v>45</v>
      </c>
      <c r="D1077" s="4" t="s">
        <v>23</v>
      </c>
      <c r="E1077" s="4" t="s">
        <v>35</v>
      </c>
      <c r="F1077" s="4" t="s">
        <v>18</v>
      </c>
      <c r="G1077" s="4" t="s">
        <v>19</v>
      </c>
      <c r="H1077" s="4" t="s">
        <v>36</v>
      </c>
      <c r="I1077" s="4">
        <v>38</v>
      </c>
      <c r="J1077" s="5">
        <v>73.3</v>
      </c>
      <c r="K1077" s="6">
        <v>1.87</v>
      </c>
      <c r="L1077" s="4">
        <v>5</v>
      </c>
      <c r="M1077" s="4">
        <v>145</v>
      </c>
      <c r="N1077" s="4">
        <v>78</v>
      </c>
      <c r="O1077" s="4" t="s">
        <v>21</v>
      </c>
      <c r="P1077" s="7" t="s">
        <v>19</v>
      </c>
      <c r="S1077">
        <v>2310</v>
      </c>
      <c r="T1077" t="str">
        <v>Nampula</v>
      </c>
      <c r="U1077" t="str">
        <v>Masculino</v>
      </c>
      <c r="V1077" t="str">
        <v>Casado(a)</v>
      </c>
      <c r="W1077" t="str">
        <v>Nenhuma</v>
      </c>
      <c r="X1077" t="str">
        <v>Nao</v>
      </c>
      <c r="Y1077" t="str">
        <v>Nenhuma</v>
      </c>
      <c r="Z1077">
        <v>12</v>
      </c>
      <c r="AA1077">
        <v>60.1</v>
      </c>
      <c r="AB1077">
        <v>1.7</v>
      </c>
      <c r="AC1077">
        <v>2</v>
      </c>
      <c r="AD1077">
        <v>101</v>
      </c>
      <c r="AE1077">
        <v>98</v>
      </c>
      <c r="AF1077" t="str">
        <v>Rural</v>
      </c>
      <c r="AG1077" t="str">
        <v>Nao</v>
      </c>
    </row>
    <row r="1078" spans="2:33" x14ac:dyDescent="0.45">
      <c r="B1078" s="4">
        <v>1077</v>
      </c>
      <c r="C1078" s="4" t="s">
        <v>27</v>
      </c>
      <c r="D1078" s="4" t="s">
        <v>23</v>
      </c>
      <c r="E1078" s="4" t="s">
        <v>35</v>
      </c>
      <c r="F1078" s="4" t="s">
        <v>28</v>
      </c>
      <c r="G1078" s="4" t="s">
        <v>19</v>
      </c>
      <c r="H1078" s="4" t="s">
        <v>34</v>
      </c>
      <c r="I1078" s="4">
        <v>14</v>
      </c>
      <c r="J1078" s="5">
        <v>59</v>
      </c>
      <c r="K1078" s="6">
        <v>1.67</v>
      </c>
      <c r="L1078" s="4">
        <v>1</v>
      </c>
      <c r="M1078" s="4">
        <v>103</v>
      </c>
      <c r="N1078" s="4">
        <v>83</v>
      </c>
      <c r="O1078" s="4" t="s">
        <v>26</v>
      </c>
      <c r="P1078" s="7" t="s">
        <v>19</v>
      </c>
      <c r="S1078">
        <v>2311</v>
      </c>
      <c r="T1078" t="str">
        <v>Cabo Delgado</v>
      </c>
      <c r="U1078" t="str">
        <v>Masculino</v>
      </c>
      <c r="V1078" t="str">
        <v>Solteiro(a)</v>
      </c>
      <c r="W1078" t="str">
        <v>Nenhuma</v>
      </c>
      <c r="X1078" t="str">
        <v>Sim</v>
      </c>
      <c r="Y1078" t="str">
        <v>Nenhuma</v>
      </c>
      <c r="Z1078">
        <v>51</v>
      </c>
      <c r="AA1078">
        <v>91.9</v>
      </c>
      <c r="AB1078">
        <v>1.56</v>
      </c>
      <c r="AC1078">
        <v>1</v>
      </c>
      <c r="AD1078">
        <v>126</v>
      </c>
      <c r="AE1078">
        <v>77</v>
      </c>
      <c r="AF1078" t="str">
        <v>Rural</v>
      </c>
      <c r="AG1078" t="str">
        <v>Nao</v>
      </c>
    </row>
    <row r="1079" spans="2:33" x14ac:dyDescent="0.45">
      <c r="B1079" s="4">
        <v>1078</v>
      </c>
      <c r="C1079" s="4" t="s">
        <v>43</v>
      </c>
      <c r="D1079" s="4" t="s">
        <v>16</v>
      </c>
      <c r="E1079" s="4" t="s">
        <v>37</v>
      </c>
      <c r="F1079" s="4" t="s">
        <v>18</v>
      </c>
      <c r="G1079" s="4" t="s">
        <v>19</v>
      </c>
      <c r="H1079" s="4" t="s">
        <v>46</v>
      </c>
      <c r="I1079" s="4">
        <v>8</v>
      </c>
      <c r="J1079" s="5">
        <v>25.4</v>
      </c>
      <c r="K1079" s="6">
        <v>1.1299999999999999</v>
      </c>
      <c r="L1079" s="4">
        <v>7</v>
      </c>
      <c r="M1079" s="4">
        <v>97</v>
      </c>
      <c r="N1079" s="4">
        <v>102</v>
      </c>
      <c r="O1079" s="4" t="s">
        <v>26</v>
      </c>
      <c r="P1079" s="7" t="s">
        <v>19</v>
      </c>
      <c r="S1079">
        <v>2312</v>
      </c>
      <c r="T1079" t="str">
        <v>Zambezia</v>
      </c>
      <c r="U1079" t="str">
        <v>Masculino</v>
      </c>
      <c r="V1079" t="str">
        <v>Casado(a)</v>
      </c>
      <c r="W1079" t="str">
        <v>Secundaria</v>
      </c>
      <c r="X1079" t="str">
        <v>Nao</v>
      </c>
      <c r="Y1079" t="str">
        <v>Nenhuma</v>
      </c>
      <c r="Z1079">
        <v>17</v>
      </c>
      <c r="AA1079">
        <v>61.9</v>
      </c>
      <c r="AB1079">
        <v>1.64</v>
      </c>
      <c r="AC1079">
        <v>6</v>
      </c>
      <c r="AD1079">
        <v>103</v>
      </c>
      <c r="AE1079">
        <v>81</v>
      </c>
      <c r="AF1079" t="str">
        <v>Urbana</v>
      </c>
      <c r="AG1079" t="str">
        <v>Nao</v>
      </c>
    </row>
    <row r="1080" spans="2:33" x14ac:dyDescent="0.45">
      <c r="B1080" s="4">
        <v>1079</v>
      </c>
      <c r="C1080" s="4" t="s">
        <v>45</v>
      </c>
      <c r="D1080" s="4" t="s">
        <v>23</v>
      </c>
      <c r="E1080" s="4" t="s">
        <v>17</v>
      </c>
      <c r="F1080" s="4" t="s">
        <v>28</v>
      </c>
      <c r="G1080" s="4" t="s">
        <v>30</v>
      </c>
      <c r="H1080" s="4" t="s">
        <v>25</v>
      </c>
      <c r="I1080" s="4">
        <v>20</v>
      </c>
      <c r="J1080" s="5">
        <v>49.2</v>
      </c>
      <c r="K1080" s="6">
        <v>1.65</v>
      </c>
      <c r="L1080" s="4">
        <v>3</v>
      </c>
      <c r="M1080" s="4">
        <v>125</v>
      </c>
      <c r="N1080" s="4">
        <v>74</v>
      </c>
      <c r="O1080" s="4" t="s">
        <v>21</v>
      </c>
      <c r="P1080" s="7" t="s">
        <v>30</v>
      </c>
      <c r="S1080">
        <v>2316</v>
      </c>
      <c r="T1080" t="str">
        <v>Inhambane</v>
      </c>
      <c r="U1080" t="str">
        <v>Masculino</v>
      </c>
      <c r="V1080" t="str">
        <v>Casado(a)</v>
      </c>
      <c r="W1080" t="str">
        <v>Superior</v>
      </c>
      <c r="X1080" t="str">
        <v>Nao</v>
      </c>
      <c r="Y1080" t="str">
        <v>HIV/SIDA</v>
      </c>
      <c r="Z1080">
        <v>1</v>
      </c>
      <c r="AA1080">
        <v>16.399999999999999</v>
      </c>
      <c r="AB1080">
        <v>0.81</v>
      </c>
      <c r="AC1080">
        <v>5</v>
      </c>
      <c r="AD1080">
        <v>97</v>
      </c>
      <c r="AE1080">
        <v>73</v>
      </c>
      <c r="AF1080" t="str">
        <v>Urbana</v>
      </c>
      <c r="AG1080" t="str">
        <v>Sim</v>
      </c>
    </row>
    <row r="1081" spans="2:33" x14ac:dyDescent="0.45">
      <c r="B1081" s="4">
        <v>1080</v>
      </c>
      <c r="C1081" s="4" t="s">
        <v>43</v>
      </c>
      <c r="D1081" s="4" t="s">
        <v>23</v>
      </c>
      <c r="E1081" s="4" t="s">
        <v>35</v>
      </c>
      <c r="F1081" s="4" t="s">
        <v>28</v>
      </c>
      <c r="G1081" s="4" t="s">
        <v>30</v>
      </c>
      <c r="H1081" s="4" t="s">
        <v>28</v>
      </c>
      <c r="I1081" s="4">
        <v>8</v>
      </c>
      <c r="J1081" s="5">
        <v>33.9</v>
      </c>
      <c r="K1081" s="6">
        <v>1.25</v>
      </c>
      <c r="L1081" s="4">
        <v>4</v>
      </c>
      <c r="M1081" s="4">
        <v>117</v>
      </c>
      <c r="N1081" s="4">
        <v>80</v>
      </c>
      <c r="O1081" s="4" t="s">
        <v>21</v>
      </c>
      <c r="P1081" s="7" t="s">
        <v>19</v>
      </c>
      <c r="S1081">
        <v>2317</v>
      </c>
      <c r="T1081" t="str">
        <v>Zambezia</v>
      </c>
      <c r="U1081" t="str">
        <v>Masculino</v>
      </c>
      <c r="V1081" t="str">
        <v>Casado(a)</v>
      </c>
      <c r="W1081" t="str">
        <v>Secundaria</v>
      </c>
      <c r="X1081" t="str">
        <v>Sim</v>
      </c>
      <c r="Y1081" t="str">
        <v>Diabetes</v>
      </c>
      <c r="Z1081">
        <v>20</v>
      </c>
      <c r="AA1081">
        <v>64.400000000000006</v>
      </c>
      <c r="AB1081">
        <v>1.89</v>
      </c>
      <c r="AC1081">
        <v>2</v>
      </c>
      <c r="AD1081">
        <v>107</v>
      </c>
      <c r="AE1081">
        <v>162</v>
      </c>
      <c r="AF1081" t="str">
        <v>Rural</v>
      </c>
      <c r="AG1081" t="str">
        <v>Nao</v>
      </c>
    </row>
    <row r="1082" spans="2:33" x14ac:dyDescent="0.45">
      <c r="B1082" s="4">
        <v>1081</v>
      </c>
      <c r="C1082" s="4" t="s">
        <v>22</v>
      </c>
      <c r="D1082" s="4" t="s">
        <v>23</v>
      </c>
      <c r="E1082" s="4" t="s">
        <v>35</v>
      </c>
      <c r="F1082" s="4" t="s">
        <v>24</v>
      </c>
      <c r="G1082" s="4" t="s">
        <v>19</v>
      </c>
      <c r="H1082" s="4" t="s">
        <v>25</v>
      </c>
      <c r="I1082" s="4">
        <v>75</v>
      </c>
      <c r="J1082" s="5">
        <v>78.8</v>
      </c>
      <c r="K1082" s="6">
        <v>1.68</v>
      </c>
      <c r="L1082" s="4">
        <v>7</v>
      </c>
      <c r="M1082" s="4">
        <v>118</v>
      </c>
      <c r="N1082" s="4">
        <v>93</v>
      </c>
      <c r="O1082" s="4" t="s">
        <v>21</v>
      </c>
      <c r="P1082" s="7" t="s">
        <v>19</v>
      </c>
      <c r="S1082">
        <v>2318</v>
      </c>
      <c r="T1082" t="str">
        <v>Zambezia</v>
      </c>
      <c r="U1082" t="str">
        <v>Masculino</v>
      </c>
      <c r="V1082" t="str">
        <v>Viuvo(a)</v>
      </c>
      <c r="W1082" t="str">
        <v>Primaria</v>
      </c>
      <c r="X1082" t="str">
        <v>Sim</v>
      </c>
      <c r="Y1082" t="str">
        <v>Hipertensao</v>
      </c>
      <c r="Z1082">
        <v>3</v>
      </c>
      <c r="AA1082">
        <v>17.5</v>
      </c>
      <c r="AB1082">
        <v>0.82</v>
      </c>
      <c r="AC1082">
        <v>1</v>
      </c>
      <c r="AD1082">
        <v>122</v>
      </c>
      <c r="AE1082">
        <v>73</v>
      </c>
      <c r="AF1082" t="str">
        <v>Urbana</v>
      </c>
      <c r="AG1082" t="str">
        <v>Nao</v>
      </c>
    </row>
    <row r="1083" spans="2:33" x14ac:dyDescent="0.45">
      <c r="B1083" s="4">
        <v>1082</v>
      </c>
      <c r="C1083" s="4" t="s">
        <v>27</v>
      </c>
      <c r="D1083" s="4" t="s">
        <v>23</v>
      </c>
      <c r="E1083" s="4" t="s">
        <v>17</v>
      </c>
      <c r="F1083" s="4" t="s">
        <v>18</v>
      </c>
      <c r="G1083" s="4" t="s">
        <v>19</v>
      </c>
      <c r="H1083" s="4" t="s">
        <v>46</v>
      </c>
      <c r="I1083" s="4">
        <v>39</v>
      </c>
      <c r="J1083" s="5">
        <v>47</v>
      </c>
      <c r="K1083" s="6">
        <v>1.65</v>
      </c>
      <c r="L1083" s="4">
        <v>1</v>
      </c>
      <c r="M1083" s="4">
        <v>105</v>
      </c>
      <c r="N1083" s="4">
        <v>89</v>
      </c>
      <c r="O1083" s="4" t="s">
        <v>26</v>
      </c>
      <c r="P1083" s="7" t="s">
        <v>19</v>
      </c>
      <c r="S1083">
        <v>2319</v>
      </c>
      <c r="T1083" t="str">
        <v>Manica</v>
      </c>
      <c r="U1083" t="str">
        <v>Masculino</v>
      </c>
      <c r="V1083" t="str">
        <v>Solteiro(a)</v>
      </c>
      <c r="W1083" t="str">
        <v>Primaria</v>
      </c>
      <c r="X1083" t="str">
        <v>Nao</v>
      </c>
      <c r="Y1083" t="str">
        <v>Malaria</v>
      </c>
      <c r="Z1083">
        <v>28</v>
      </c>
      <c r="AA1083">
        <v>83.2</v>
      </c>
      <c r="AB1083">
        <v>1.51</v>
      </c>
      <c r="AC1083">
        <v>2</v>
      </c>
      <c r="AD1083">
        <v>106</v>
      </c>
      <c r="AE1083">
        <v>74</v>
      </c>
      <c r="AF1083" t="str">
        <v>Rural</v>
      </c>
      <c r="AG1083" t="str">
        <v>Nao</v>
      </c>
    </row>
    <row r="1084" spans="2:33" x14ac:dyDescent="0.45">
      <c r="B1084" s="4">
        <v>1083</v>
      </c>
      <c r="C1084" s="4" t="s">
        <v>45</v>
      </c>
      <c r="D1084" s="4" t="s">
        <v>16</v>
      </c>
      <c r="E1084" s="4" t="s">
        <v>35</v>
      </c>
      <c r="F1084" s="4" t="s">
        <v>28</v>
      </c>
      <c r="G1084" s="4" t="s">
        <v>19</v>
      </c>
      <c r="H1084" s="4" t="s">
        <v>28</v>
      </c>
      <c r="I1084" s="4">
        <v>28</v>
      </c>
      <c r="J1084" s="5">
        <v>67.099999999999994</v>
      </c>
      <c r="K1084" s="6">
        <v>1.63</v>
      </c>
      <c r="L1084" s="4">
        <v>4</v>
      </c>
      <c r="M1084" s="4">
        <v>108</v>
      </c>
      <c r="N1084" s="4">
        <v>73</v>
      </c>
      <c r="O1084" s="4" t="s">
        <v>26</v>
      </c>
      <c r="P1084" s="7" t="s">
        <v>19</v>
      </c>
      <c r="S1084">
        <v>2320</v>
      </c>
      <c r="T1084" t="str">
        <v>Gaza</v>
      </c>
      <c r="U1084" t="str">
        <v>Masculino</v>
      </c>
      <c r="V1084" t="str">
        <v>Casado(a)</v>
      </c>
      <c r="W1084" t="str">
        <v>Secundaria</v>
      </c>
      <c r="X1084" t="str">
        <v>Nao</v>
      </c>
      <c r="Y1084" t="str">
        <v>Malaria</v>
      </c>
      <c r="Z1084">
        <v>0</v>
      </c>
      <c r="AA1084">
        <v>10.9</v>
      </c>
      <c r="AB1084">
        <v>0.74</v>
      </c>
      <c r="AC1084">
        <v>4</v>
      </c>
      <c r="AD1084">
        <v>105</v>
      </c>
      <c r="AE1084">
        <v>91</v>
      </c>
      <c r="AF1084" t="str">
        <v>Urbana</v>
      </c>
      <c r="AG1084" t="str">
        <v>Sim</v>
      </c>
    </row>
    <row r="1085" spans="2:33" x14ac:dyDescent="0.45">
      <c r="B1085" s="4">
        <v>1084</v>
      </c>
      <c r="C1085" s="4" t="s">
        <v>33</v>
      </c>
      <c r="D1085" s="4" t="s">
        <v>23</v>
      </c>
      <c r="E1085" s="4" t="s">
        <v>35</v>
      </c>
      <c r="F1085" s="4" t="s">
        <v>42</v>
      </c>
      <c r="G1085" s="4" t="s">
        <v>19</v>
      </c>
      <c r="H1085" s="4" t="s">
        <v>25</v>
      </c>
      <c r="I1085" s="4">
        <v>10</v>
      </c>
      <c r="J1085" s="5">
        <v>23.4</v>
      </c>
      <c r="K1085" s="6">
        <v>1.41</v>
      </c>
      <c r="L1085" s="4">
        <v>1</v>
      </c>
      <c r="M1085" s="4">
        <v>98</v>
      </c>
      <c r="N1085" s="4">
        <v>101</v>
      </c>
      <c r="O1085" s="4" t="s">
        <v>21</v>
      </c>
      <c r="P1085" s="7" t="s">
        <v>19</v>
      </c>
      <c r="S1085">
        <v>2322</v>
      </c>
      <c r="T1085" t="str">
        <v>Gaza</v>
      </c>
      <c r="U1085" t="str">
        <v>Masculino</v>
      </c>
      <c r="V1085" t="str">
        <v>Casado(a)</v>
      </c>
      <c r="W1085" t="str">
        <v>Secundaria</v>
      </c>
      <c r="X1085" t="str">
        <v>Nao</v>
      </c>
      <c r="Y1085" t="str">
        <v>Nenhuma</v>
      </c>
      <c r="Z1085">
        <v>0</v>
      </c>
      <c r="AA1085">
        <v>6.2</v>
      </c>
      <c r="AB1085">
        <v>0.8</v>
      </c>
      <c r="AC1085">
        <v>5</v>
      </c>
      <c r="AD1085">
        <v>103</v>
      </c>
      <c r="AE1085">
        <v>84</v>
      </c>
      <c r="AF1085" t="str">
        <v>Rural</v>
      </c>
      <c r="AG1085" t="str">
        <v>Nao</v>
      </c>
    </row>
    <row r="1086" spans="2:33" x14ac:dyDescent="0.45">
      <c r="B1086" s="4">
        <v>1085</v>
      </c>
      <c r="C1086" s="4" t="s">
        <v>41</v>
      </c>
      <c r="D1086" s="4" t="s">
        <v>16</v>
      </c>
      <c r="E1086" s="4" t="s">
        <v>37</v>
      </c>
      <c r="F1086" s="4" t="s">
        <v>24</v>
      </c>
      <c r="G1086" s="4" t="s">
        <v>19</v>
      </c>
      <c r="H1086" s="4" t="s">
        <v>20</v>
      </c>
      <c r="I1086" s="4">
        <v>32</v>
      </c>
      <c r="J1086" s="5">
        <v>75.2</v>
      </c>
      <c r="K1086" s="6">
        <v>1.82</v>
      </c>
      <c r="L1086" s="4">
        <v>3</v>
      </c>
      <c r="M1086" s="4">
        <v>129</v>
      </c>
      <c r="N1086" s="4">
        <v>88</v>
      </c>
      <c r="O1086" s="4" t="s">
        <v>21</v>
      </c>
      <c r="P1086" s="7" t="s">
        <v>30</v>
      </c>
      <c r="S1086">
        <v>2324</v>
      </c>
      <c r="T1086" t="str">
        <v>Gaza</v>
      </c>
      <c r="U1086" t="str">
        <v>Masculino</v>
      </c>
      <c r="V1086" t="str">
        <v>Solteiro(a)</v>
      </c>
      <c r="W1086" t="str">
        <v>Primaria</v>
      </c>
      <c r="X1086" t="str">
        <v>Nao</v>
      </c>
      <c r="Y1086" t="str">
        <v>Tuberculose</v>
      </c>
      <c r="Z1086">
        <v>30</v>
      </c>
      <c r="AA1086">
        <v>78.5</v>
      </c>
      <c r="AB1086">
        <v>1.51</v>
      </c>
      <c r="AC1086">
        <v>0</v>
      </c>
      <c r="AD1086">
        <v>112</v>
      </c>
      <c r="AE1086">
        <v>83</v>
      </c>
      <c r="AF1086" t="str">
        <v>Urbana</v>
      </c>
      <c r="AG1086" t="str">
        <v>Sim</v>
      </c>
    </row>
    <row r="1087" spans="2:33" x14ac:dyDescent="0.45">
      <c r="B1087" s="4">
        <v>1086</v>
      </c>
      <c r="C1087" s="4" t="s">
        <v>27</v>
      </c>
      <c r="D1087" s="4" t="s">
        <v>16</v>
      </c>
      <c r="E1087" s="4" t="s">
        <v>17</v>
      </c>
      <c r="F1087" s="4" t="s">
        <v>28</v>
      </c>
      <c r="G1087" s="4" t="s">
        <v>19</v>
      </c>
      <c r="H1087" s="4" t="s">
        <v>20</v>
      </c>
      <c r="I1087" s="4">
        <v>5</v>
      </c>
      <c r="J1087" s="5">
        <v>33.4</v>
      </c>
      <c r="K1087" s="6">
        <v>1.22</v>
      </c>
      <c r="L1087" s="4">
        <v>5</v>
      </c>
      <c r="M1087" s="4">
        <v>95</v>
      </c>
      <c r="N1087" s="4">
        <v>76</v>
      </c>
      <c r="O1087" s="4" t="s">
        <v>26</v>
      </c>
      <c r="P1087" s="7" t="s">
        <v>19</v>
      </c>
      <c r="S1087">
        <v>2325</v>
      </c>
      <c r="T1087" t="str">
        <v>Tete</v>
      </c>
      <c r="U1087" t="str">
        <v>Masculino</v>
      </c>
      <c r="V1087" t="str">
        <v>Casado(a)</v>
      </c>
      <c r="W1087" t="str">
        <v>Nenhuma</v>
      </c>
      <c r="X1087" t="str">
        <v>Nao</v>
      </c>
      <c r="Y1087" t="str">
        <v>Nenhuma</v>
      </c>
      <c r="Z1087">
        <v>45</v>
      </c>
      <c r="AA1087">
        <v>50.8</v>
      </c>
      <c r="AB1087">
        <v>1.51</v>
      </c>
      <c r="AC1087">
        <v>4</v>
      </c>
      <c r="AD1087">
        <v>127</v>
      </c>
      <c r="AE1087">
        <v>74</v>
      </c>
      <c r="AF1087" t="str">
        <v>Urbana</v>
      </c>
      <c r="AG1087" t="str">
        <v>Sim</v>
      </c>
    </row>
    <row r="1088" spans="2:33" x14ac:dyDescent="0.45">
      <c r="B1088" s="4">
        <v>1087</v>
      </c>
      <c r="C1088" s="4" t="s">
        <v>22</v>
      </c>
      <c r="D1088" s="4" t="s">
        <v>16</v>
      </c>
      <c r="E1088" s="4" t="s">
        <v>37</v>
      </c>
      <c r="F1088" s="4" t="s">
        <v>24</v>
      </c>
      <c r="G1088" s="4" t="s">
        <v>19</v>
      </c>
      <c r="H1088" s="4" t="s">
        <v>46</v>
      </c>
      <c r="I1088" s="4">
        <v>15</v>
      </c>
      <c r="J1088" s="5">
        <v>50.5</v>
      </c>
      <c r="K1088" s="6">
        <v>1.73</v>
      </c>
      <c r="L1088" s="4">
        <v>5</v>
      </c>
      <c r="M1088" s="4">
        <v>112</v>
      </c>
      <c r="N1088" s="4">
        <v>99</v>
      </c>
      <c r="O1088" s="4" t="s">
        <v>21</v>
      </c>
      <c r="P1088" s="7" t="s">
        <v>19</v>
      </c>
      <c r="S1088">
        <v>2326</v>
      </c>
      <c r="T1088" t="str">
        <v>Gaza</v>
      </c>
      <c r="U1088" t="str">
        <v>Masculino</v>
      </c>
      <c r="V1088" t="str">
        <v>Solteiro(a)</v>
      </c>
      <c r="W1088" t="str">
        <v>Primaria</v>
      </c>
      <c r="X1088" t="str">
        <v>Sim</v>
      </c>
      <c r="Y1088" t="str">
        <v>Malaria</v>
      </c>
      <c r="Z1088">
        <v>1</v>
      </c>
      <c r="AA1088">
        <v>12</v>
      </c>
      <c r="AB1088">
        <v>0.87</v>
      </c>
      <c r="AC1088">
        <v>0</v>
      </c>
      <c r="AD1088">
        <v>109</v>
      </c>
      <c r="AE1088">
        <v>75</v>
      </c>
      <c r="AF1088" t="str">
        <v>Urbana</v>
      </c>
      <c r="AG1088" t="str">
        <v>Nao</v>
      </c>
    </row>
    <row r="1089" spans="2:33" x14ac:dyDescent="0.45">
      <c r="B1089" s="4">
        <v>1088</v>
      </c>
      <c r="C1089" s="4" t="s">
        <v>40</v>
      </c>
      <c r="D1089" s="4" t="s">
        <v>16</v>
      </c>
      <c r="E1089" s="4" t="s">
        <v>35</v>
      </c>
      <c r="F1089" s="4" t="s">
        <v>18</v>
      </c>
      <c r="G1089" s="4" t="s">
        <v>19</v>
      </c>
      <c r="H1089" s="4" t="s">
        <v>36</v>
      </c>
      <c r="I1089" s="4">
        <v>13</v>
      </c>
      <c r="J1089" s="5">
        <v>56.1</v>
      </c>
      <c r="K1089" s="6">
        <v>1.57</v>
      </c>
      <c r="L1089" s="4">
        <v>4</v>
      </c>
      <c r="M1089" s="4">
        <v>128</v>
      </c>
      <c r="N1089" s="4">
        <v>98</v>
      </c>
      <c r="O1089" s="4" t="s">
        <v>21</v>
      </c>
      <c r="P1089" s="7" t="s">
        <v>19</v>
      </c>
      <c r="S1089">
        <v>2328</v>
      </c>
      <c r="T1089" t="str">
        <v>Cabo Delgado</v>
      </c>
      <c r="U1089" t="str">
        <v>Masculino</v>
      </c>
      <c r="V1089" t="str">
        <v>Solteiro(a)</v>
      </c>
      <c r="W1089" t="str">
        <v>Secundaria</v>
      </c>
      <c r="X1089" t="str">
        <v>Nao</v>
      </c>
      <c r="Y1089" t="str">
        <v>HIV/SIDA</v>
      </c>
      <c r="Z1089">
        <v>13</v>
      </c>
      <c r="AA1089">
        <v>43.8</v>
      </c>
      <c r="AB1089">
        <v>1.64</v>
      </c>
      <c r="AC1089">
        <v>0</v>
      </c>
      <c r="AD1089">
        <v>111</v>
      </c>
      <c r="AE1089">
        <v>83</v>
      </c>
      <c r="AF1089" t="str">
        <v>Rural</v>
      </c>
      <c r="AG1089" t="str">
        <v>Nao</v>
      </c>
    </row>
    <row r="1090" spans="2:33" x14ac:dyDescent="0.45">
      <c r="B1090" s="4">
        <v>1089</v>
      </c>
      <c r="C1090" s="4" t="s">
        <v>22</v>
      </c>
      <c r="D1090" s="4" t="s">
        <v>16</v>
      </c>
      <c r="E1090" s="4" t="s">
        <v>37</v>
      </c>
      <c r="F1090" s="4" t="s">
        <v>28</v>
      </c>
      <c r="G1090" s="4" t="s">
        <v>19</v>
      </c>
      <c r="H1090" s="4" t="s">
        <v>34</v>
      </c>
      <c r="I1090" s="4">
        <v>89</v>
      </c>
      <c r="J1090" s="5">
        <v>48.9</v>
      </c>
      <c r="K1090" s="6">
        <v>1.73</v>
      </c>
      <c r="L1090" s="4">
        <v>8</v>
      </c>
      <c r="M1090" s="4">
        <v>136</v>
      </c>
      <c r="N1090" s="4">
        <v>78</v>
      </c>
      <c r="O1090" s="4" t="s">
        <v>26</v>
      </c>
      <c r="P1090" s="7" t="s">
        <v>30</v>
      </c>
      <c r="S1090">
        <v>2329</v>
      </c>
      <c r="T1090" t="str">
        <v>Maputo Cidade</v>
      </c>
      <c r="U1090" t="str">
        <v>Masculino</v>
      </c>
      <c r="V1090" t="str">
        <v>Solteiro(a)</v>
      </c>
      <c r="W1090" t="str">
        <v>Primaria</v>
      </c>
      <c r="X1090" t="str">
        <v>Nao</v>
      </c>
      <c r="Y1090" t="str">
        <v>HIV/SIDA</v>
      </c>
      <c r="Z1090">
        <v>10</v>
      </c>
      <c r="AA1090">
        <v>36</v>
      </c>
      <c r="AB1090">
        <v>1.34</v>
      </c>
      <c r="AC1090">
        <v>4</v>
      </c>
      <c r="AD1090">
        <v>109</v>
      </c>
      <c r="AE1090">
        <v>80</v>
      </c>
      <c r="AF1090" t="str">
        <v>Rural</v>
      </c>
      <c r="AG1090" t="str">
        <v>Nao</v>
      </c>
    </row>
    <row r="1091" spans="2:33" x14ac:dyDescent="0.45">
      <c r="B1091" s="4">
        <v>1090</v>
      </c>
      <c r="C1091" s="4" t="s">
        <v>39</v>
      </c>
      <c r="D1091" s="4" t="s">
        <v>16</v>
      </c>
      <c r="E1091" s="4" t="s">
        <v>17</v>
      </c>
      <c r="F1091" s="4" t="s">
        <v>28</v>
      </c>
      <c r="G1091" s="4" t="s">
        <v>19</v>
      </c>
      <c r="H1091" s="4" t="s">
        <v>28</v>
      </c>
      <c r="I1091" s="4">
        <v>67</v>
      </c>
      <c r="J1091" s="5">
        <v>60.5</v>
      </c>
      <c r="K1091" s="6">
        <v>1.68</v>
      </c>
      <c r="L1091" s="4">
        <v>9</v>
      </c>
      <c r="M1091" s="4">
        <v>113</v>
      </c>
      <c r="N1091" s="4">
        <v>88</v>
      </c>
      <c r="O1091" s="4" t="s">
        <v>26</v>
      </c>
      <c r="P1091" s="7" t="s">
        <v>19</v>
      </c>
      <c r="S1091">
        <v>2330</v>
      </c>
      <c r="T1091" t="str">
        <v>Maputo Provincia</v>
      </c>
      <c r="U1091" t="str">
        <v>Masculino</v>
      </c>
      <c r="V1091" t="str">
        <v>Viuvo(a)</v>
      </c>
      <c r="W1091" t="str">
        <v>Primaria</v>
      </c>
      <c r="X1091" t="str">
        <v>Nao</v>
      </c>
      <c r="Y1091" t="str">
        <v>Pneumonia</v>
      </c>
      <c r="Z1091">
        <v>2</v>
      </c>
      <c r="AA1091">
        <v>14.6</v>
      </c>
      <c r="AB1091">
        <v>0.96</v>
      </c>
      <c r="AC1091">
        <v>1</v>
      </c>
      <c r="AD1091">
        <v>94</v>
      </c>
      <c r="AE1091">
        <v>100</v>
      </c>
      <c r="AF1091" t="str">
        <v>Rural</v>
      </c>
      <c r="AG1091" t="str">
        <v>Nao</v>
      </c>
    </row>
    <row r="1092" spans="2:33" x14ac:dyDescent="0.45">
      <c r="B1092" s="4">
        <v>1091</v>
      </c>
      <c r="C1092" s="4" t="s">
        <v>22</v>
      </c>
      <c r="D1092" s="4" t="s">
        <v>16</v>
      </c>
      <c r="E1092" s="4" t="s">
        <v>17</v>
      </c>
      <c r="F1092" s="4" t="s">
        <v>28</v>
      </c>
      <c r="G1092" s="4" t="s">
        <v>19</v>
      </c>
      <c r="H1092" s="4" t="s">
        <v>28</v>
      </c>
      <c r="I1092" s="4">
        <v>66</v>
      </c>
      <c r="J1092" s="5">
        <v>94.2</v>
      </c>
      <c r="K1092" s="6">
        <v>1.64</v>
      </c>
      <c r="L1092" s="4">
        <v>2</v>
      </c>
      <c r="M1092" s="4">
        <v>114</v>
      </c>
      <c r="N1092" s="4">
        <v>90</v>
      </c>
      <c r="O1092" s="4" t="s">
        <v>26</v>
      </c>
      <c r="P1092" s="7" t="s">
        <v>19</v>
      </c>
      <c r="S1092">
        <v>2331</v>
      </c>
      <c r="T1092" t="str">
        <v>Gaza</v>
      </c>
      <c r="U1092" t="str">
        <v>Masculino</v>
      </c>
      <c r="V1092" t="str">
        <v>Casado(a)</v>
      </c>
      <c r="W1092" t="str">
        <v>Secundaria</v>
      </c>
      <c r="X1092" t="str">
        <v>Nao</v>
      </c>
      <c r="Y1092" t="str">
        <v>Malaria</v>
      </c>
      <c r="Z1092">
        <v>7</v>
      </c>
      <c r="AA1092">
        <v>20.8</v>
      </c>
      <c r="AB1092">
        <v>1.21</v>
      </c>
      <c r="AC1092">
        <v>2</v>
      </c>
      <c r="AD1092">
        <v>106</v>
      </c>
      <c r="AE1092">
        <v>96</v>
      </c>
      <c r="AF1092" t="str">
        <v>Urbana</v>
      </c>
      <c r="AG1092" t="str">
        <v>Sim</v>
      </c>
    </row>
    <row r="1093" spans="2:33" x14ac:dyDescent="0.45">
      <c r="B1093" s="4">
        <v>1092</v>
      </c>
      <c r="C1093" s="4" t="s">
        <v>45</v>
      </c>
      <c r="D1093" s="4" t="s">
        <v>23</v>
      </c>
      <c r="E1093" s="4" t="s">
        <v>37</v>
      </c>
      <c r="F1093" s="4" t="s">
        <v>28</v>
      </c>
      <c r="G1093" s="4" t="s">
        <v>19</v>
      </c>
      <c r="H1093" s="4" t="s">
        <v>28</v>
      </c>
      <c r="I1093" s="4">
        <v>50</v>
      </c>
      <c r="J1093" s="5">
        <v>81.099999999999994</v>
      </c>
      <c r="K1093" s="6">
        <v>1.69</v>
      </c>
      <c r="L1093" s="4">
        <v>7</v>
      </c>
      <c r="M1093" s="4">
        <v>122</v>
      </c>
      <c r="N1093" s="4">
        <v>101</v>
      </c>
      <c r="O1093" s="4" t="s">
        <v>26</v>
      </c>
      <c r="P1093" s="7" t="s">
        <v>19</v>
      </c>
      <c r="S1093">
        <v>2334</v>
      </c>
      <c r="T1093" t="str">
        <v>Nampula</v>
      </c>
      <c r="U1093" t="str">
        <v>Masculino</v>
      </c>
      <c r="V1093" t="str">
        <v>Casado(a)</v>
      </c>
      <c r="W1093" t="str">
        <v>Nenhuma</v>
      </c>
      <c r="X1093" t="str">
        <v>Nao</v>
      </c>
      <c r="Y1093" t="str">
        <v>Diarreia</v>
      </c>
      <c r="Z1093">
        <v>2</v>
      </c>
      <c r="AA1093">
        <v>11.6</v>
      </c>
      <c r="AB1093">
        <v>0.83</v>
      </c>
      <c r="AC1093">
        <v>1</v>
      </c>
      <c r="AD1093">
        <v>115</v>
      </c>
      <c r="AE1093">
        <v>75</v>
      </c>
      <c r="AF1093" t="str">
        <v>Rural</v>
      </c>
      <c r="AG1093" t="str">
        <v>Nao</v>
      </c>
    </row>
    <row r="1094" spans="2:33" x14ac:dyDescent="0.45">
      <c r="B1094" s="4">
        <v>1093</v>
      </c>
      <c r="C1094" s="4" t="s">
        <v>45</v>
      </c>
      <c r="D1094" s="4" t="s">
        <v>23</v>
      </c>
      <c r="E1094" s="4" t="s">
        <v>17</v>
      </c>
      <c r="F1094" s="4" t="s">
        <v>28</v>
      </c>
      <c r="G1094" s="4" t="s">
        <v>19</v>
      </c>
      <c r="H1094" s="4" t="s">
        <v>36</v>
      </c>
      <c r="I1094" s="4">
        <v>81</v>
      </c>
      <c r="J1094" s="5">
        <v>65.599999999999994</v>
      </c>
      <c r="K1094" s="6">
        <v>1.54</v>
      </c>
      <c r="L1094" s="4">
        <v>2</v>
      </c>
      <c r="M1094" s="4">
        <v>152</v>
      </c>
      <c r="N1094" s="4">
        <v>79</v>
      </c>
      <c r="O1094" s="4" t="s">
        <v>21</v>
      </c>
      <c r="P1094" s="7" t="s">
        <v>19</v>
      </c>
      <c r="S1094">
        <v>2335</v>
      </c>
      <c r="T1094" t="str">
        <v>Maputo Provincia</v>
      </c>
      <c r="U1094" t="str">
        <v>Masculino</v>
      </c>
      <c r="V1094" t="str">
        <v>Casado(a)</v>
      </c>
      <c r="W1094" t="str">
        <v>Nenhuma</v>
      </c>
      <c r="X1094" t="str">
        <v>Nao</v>
      </c>
      <c r="Y1094" t="str">
        <v>Nenhuma</v>
      </c>
      <c r="Z1094">
        <v>6</v>
      </c>
      <c r="AA1094">
        <v>18</v>
      </c>
      <c r="AB1094">
        <v>1.19</v>
      </c>
      <c r="AC1094">
        <v>4</v>
      </c>
      <c r="AD1094">
        <v>102</v>
      </c>
      <c r="AE1094">
        <v>75</v>
      </c>
      <c r="AF1094" t="str">
        <v>Urbana</v>
      </c>
      <c r="AG1094" t="str">
        <v>Nao</v>
      </c>
    </row>
    <row r="1095" spans="2:33" x14ac:dyDescent="0.45">
      <c r="B1095" s="4">
        <v>1094</v>
      </c>
      <c r="C1095" s="4" t="s">
        <v>27</v>
      </c>
      <c r="D1095" s="4" t="s">
        <v>23</v>
      </c>
      <c r="E1095" s="4" t="s">
        <v>35</v>
      </c>
      <c r="F1095" s="4" t="s">
        <v>18</v>
      </c>
      <c r="G1095" s="4" t="s">
        <v>19</v>
      </c>
      <c r="H1095" s="4" t="s">
        <v>36</v>
      </c>
      <c r="I1095" s="4">
        <v>60</v>
      </c>
      <c r="J1095" s="5">
        <v>91.8</v>
      </c>
      <c r="K1095" s="6">
        <v>1.78</v>
      </c>
      <c r="L1095" s="4">
        <v>2</v>
      </c>
      <c r="M1095" s="4">
        <v>137</v>
      </c>
      <c r="N1095" s="4">
        <v>93</v>
      </c>
      <c r="O1095" s="4" t="s">
        <v>26</v>
      </c>
      <c r="P1095" s="7" t="s">
        <v>19</v>
      </c>
      <c r="S1095">
        <v>2337</v>
      </c>
      <c r="T1095" t="str">
        <v>Sofala</v>
      </c>
      <c r="U1095" t="str">
        <v>Masculino</v>
      </c>
      <c r="V1095" t="str">
        <v>Solteiro(a)</v>
      </c>
      <c r="W1095" t="str">
        <v>Primaria</v>
      </c>
      <c r="X1095" t="str">
        <v>Nao</v>
      </c>
      <c r="Y1095" t="str">
        <v>Pneumonia</v>
      </c>
      <c r="Z1095">
        <v>26</v>
      </c>
      <c r="AA1095">
        <v>91.5</v>
      </c>
      <c r="AB1095">
        <v>1.56</v>
      </c>
      <c r="AC1095">
        <v>10</v>
      </c>
      <c r="AD1095">
        <v>115</v>
      </c>
      <c r="AE1095">
        <v>102</v>
      </c>
      <c r="AF1095" t="str">
        <v>Rural</v>
      </c>
      <c r="AG1095" t="str">
        <v>Nao</v>
      </c>
    </row>
    <row r="1096" spans="2:33" x14ac:dyDescent="0.45">
      <c r="B1096" s="4">
        <v>1095</v>
      </c>
      <c r="C1096" s="4" t="s">
        <v>41</v>
      </c>
      <c r="D1096" s="4" t="s">
        <v>16</v>
      </c>
      <c r="E1096" s="4" t="s">
        <v>17</v>
      </c>
      <c r="F1096" s="4" t="s">
        <v>24</v>
      </c>
      <c r="G1096" s="4" t="s">
        <v>19</v>
      </c>
      <c r="H1096" s="4" t="s">
        <v>38</v>
      </c>
      <c r="I1096" s="4">
        <v>25</v>
      </c>
      <c r="J1096" s="5">
        <v>71.900000000000006</v>
      </c>
      <c r="K1096" s="6">
        <v>1.61</v>
      </c>
      <c r="L1096" s="4">
        <v>3</v>
      </c>
      <c r="M1096" s="4">
        <v>107</v>
      </c>
      <c r="N1096" s="4">
        <v>84</v>
      </c>
      <c r="O1096" s="4" t="s">
        <v>26</v>
      </c>
      <c r="P1096" s="7" t="s">
        <v>30</v>
      </c>
      <c r="S1096">
        <v>2338</v>
      </c>
      <c r="T1096" t="str">
        <v>Inhambane</v>
      </c>
      <c r="U1096" t="str">
        <v>Masculino</v>
      </c>
      <c r="V1096" t="str">
        <v>Casado(a)</v>
      </c>
      <c r="W1096" t="str">
        <v>Primaria</v>
      </c>
      <c r="X1096" t="str">
        <v>Nao</v>
      </c>
      <c r="Y1096" t="str">
        <v>Diabetes</v>
      </c>
      <c r="Z1096">
        <v>18</v>
      </c>
      <c r="AA1096">
        <v>61.4</v>
      </c>
      <c r="AB1096">
        <v>1.54</v>
      </c>
      <c r="AC1096">
        <v>4</v>
      </c>
      <c r="AD1096">
        <v>96</v>
      </c>
      <c r="AE1096">
        <v>132</v>
      </c>
      <c r="AF1096" t="str">
        <v>Rural</v>
      </c>
      <c r="AG1096" t="str">
        <v>Nao</v>
      </c>
    </row>
    <row r="1097" spans="2:33" x14ac:dyDescent="0.45">
      <c r="B1097" s="4">
        <v>1096</v>
      </c>
      <c r="C1097" s="4" t="s">
        <v>29</v>
      </c>
      <c r="D1097" s="4" t="s">
        <v>16</v>
      </c>
      <c r="E1097" s="4" t="s">
        <v>37</v>
      </c>
      <c r="F1097" s="4" t="s">
        <v>28</v>
      </c>
      <c r="G1097" s="4" t="s">
        <v>19</v>
      </c>
      <c r="H1097" s="4" t="s">
        <v>36</v>
      </c>
      <c r="I1097" s="4">
        <v>13</v>
      </c>
      <c r="J1097" s="5">
        <v>57.6</v>
      </c>
      <c r="K1097" s="6">
        <v>1.49</v>
      </c>
      <c r="L1097" s="4">
        <v>2</v>
      </c>
      <c r="M1097" s="4">
        <v>117</v>
      </c>
      <c r="N1097" s="4">
        <v>83</v>
      </c>
      <c r="O1097" s="4" t="s">
        <v>26</v>
      </c>
      <c r="P1097" s="7" t="s">
        <v>19</v>
      </c>
      <c r="S1097">
        <v>2341</v>
      </c>
      <c r="T1097" t="str">
        <v>Gaza</v>
      </c>
      <c r="U1097" t="str">
        <v>Masculino</v>
      </c>
      <c r="V1097" t="str">
        <v>Solteiro(a)</v>
      </c>
      <c r="W1097" t="str">
        <v>Nenhuma</v>
      </c>
      <c r="X1097" t="str">
        <v>Nao</v>
      </c>
      <c r="Y1097" t="str">
        <v>Nenhuma</v>
      </c>
      <c r="Z1097">
        <v>10</v>
      </c>
      <c r="AA1097">
        <v>21.1</v>
      </c>
      <c r="AB1097">
        <v>1.22</v>
      </c>
      <c r="AC1097">
        <v>0</v>
      </c>
      <c r="AD1097">
        <v>94</v>
      </c>
      <c r="AE1097">
        <v>97</v>
      </c>
      <c r="AF1097" t="str">
        <v>Urbana</v>
      </c>
      <c r="AG1097" t="str">
        <v>Nao</v>
      </c>
    </row>
    <row r="1098" spans="2:33" x14ac:dyDescent="0.45">
      <c r="B1098" s="4">
        <v>1097</v>
      </c>
      <c r="C1098" s="4" t="s">
        <v>43</v>
      </c>
      <c r="D1098" s="4" t="s">
        <v>16</v>
      </c>
      <c r="E1098" s="4" t="s">
        <v>35</v>
      </c>
      <c r="F1098" s="4" t="s">
        <v>18</v>
      </c>
      <c r="G1098" s="4" t="s">
        <v>30</v>
      </c>
      <c r="H1098" s="4" t="s">
        <v>28</v>
      </c>
      <c r="I1098" s="4">
        <v>18</v>
      </c>
      <c r="J1098" s="5">
        <v>51.7</v>
      </c>
      <c r="K1098" s="6">
        <v>1.67</v>
      </c>
      <c r="L1098" s="4">
        <v>0</v>
      </c>
      <c r="M1098" s="4">
        <v>111</v>
      </c>
      <c r="N1098" s="4">
        <v>104</v>
      </c>
      <c r="O1098" s="4" t="s">
        <v>26</v>
      </c>
      <c r="P1098" s="7" t="s">
        <v>19</v>
      </c>
      <c r="S1098">
        <v>2342</v>
      </c>
      <c r="T1098" t="str">
        <v>Sofala</v>
      </c>
      <c r="U1098" t="str">
        <v>Masculino</v>
      </c>
      <c r="V1098" t="str">
        <v>Casado(a)</v>
      </c>
      <c r="W1098" t="str">
        <v>Superior</v>
      </c>
      <c r="X1098" t="str">
        <v>Nao</v>
      </c>
      <c r="Y1098" t="str">
        <v>Nenhuma</v>
      </c>
      <c r="Z1098">
        <v>9</v>
      </c>
      <c r="AA1098">
        <v>21.9</v>
      </c>
      <c r="AB1098">
        <v>1.41</v>
      </c>
      <c r="AC1098">
        <v>2</v>
      </c>
      <c r="AD1098">
        <v>106</v>
      </c>
      <c r="AE1098">
        <v>100</v>
      </c>
      <c r="AF1098" t="str">
        <v>Rural</v>
      </c>
      <c r="AG1098" t="str">
        <v>Sim</v>
      </c>
    </row>
    <row r="1099" spans="2:33" x14ac:dyDescent="0.45">
      <c r="B1099" s="4">
        <v>1098</v>
      </c>
      <c r="C1099" s="4" t="s">
        <v>27</v>
      </c>
      <c r="D1099" s="4" t="s">
        <v>23</v>
      </c>
      <c r="E1099" s="4" t="s">
        <v>17</v>
      </c>
      <c r="F1099" s="4" t="s">
        <v>18</v>
      </c>
      <c r="G1099" s="4" t="s">
        <v>19</v>
      </c>
      <c r="H1099" s="4" t="s">
        <v>28</v>
      </c>
      <c r="I1099" s="4">
        <v>15</v>
      </c>
      <c r="J1099" s="5">
        <v>51.4</v>
      </c>
      <c r="K1099" s="6">
        <v>1.46</v>
      </c>
      <c r="L1099" s="4">
        <v>5</v>
      </c>
      <c r="M1099" s="4">
        <v>116</v>
      </c>
      <c r="N1099" s="4">
        <v>84</v>
      </c>
      <c r="O1099" s="4" t="s">
        <v>26</v>
      </c>
      <c r="P1099" s="7" t="s">
        <v>19</v>
      </c>
      <c r="S1099">
        <v>2346</v>
      </c>
      <c r="T1099" t="str">
        <v>Nampula</v>
      </c>
      <c r="U1099" t="str">
        <v>Masculino</v>
      </c>
      <c r="V1099" t="str">
        <v>Solteiro(a)</v>
      </c>
      <c r="W1099" t="str">
        <v>Secundaria</v>
      </c>
      <c r="X1099" t="str">
        <v>Nao</v>
      </c>
      <c r="Y1099" t="str">
        <v>Malaria</v>
      </c>
      <c r="Z1099">
        <v>33</v>
      </c>
      <c r="AA1099">
        <v>65.900000000000006</v>
      </c>
      <c r="AB1099">
        <v>1.73</v>
      </c>
      <c r="AC1099">
        <v>4</v>
      </c>
      <c r="AD1099">
        <v>129</v>
      </c>
      <c r="AE1099">
        <v>97</v>
      </c>
      <c r="AF1099" t="str">
        <v>Rural</v>
      </c>
      <c r="AG1099" t="str">
        <v>Sim</v>
      </c>
    </row>
    <row r="1100" spans="2:33" x14ac:dyDescent="0.45">
      <c r="B1100" s="4">
        <v>1099</v>
      </c>
      <c r="C1100" s="4" t="s">
        <v>45</v>
      </c>
      <c r="D1100" s="4" t="s">
        <v>23</v>
      </c>
      <c r="E1100" s="4" t="s">
        <v>17</v>
      </c>
      <c r="F1100" s="4" t="s">
        <v>42</v>
      </c>
      <c r="G1100" s="4" t="s">
        <v>19</v>
      </c>
      <c r="H1100" s="4" t="s">
        <v>36</v>
      </c>
      <c r="I1100" s="4">
        <v>8</v>
      </c>
      <c r="J1100" s="5">
        <v>36.1</v>
      </c>
      <c r="K1100" s="6">
        <v>1.21</v>
      </c>
      <c r="L1100" s="4">
        <v>3</v>
      </c>
      <c r="M1100" s="4">
        <v>134</v>
      </c>
      <c r="N1100" s="4">
        <v>86</v>
      </c>
      <c r="O1100" s="4" t="s">
        <v>26</v>
      </c>
      <c r="P1100" s="7" t="s">
        <v>19</v>
      </c>
      <c r="S1100">
        <v>2347</v>
      </c>
      <c r="T1100" t="str">
        <v>Tete</v>
      </c>
      <c r="U1100" t="str">
        <v>Masculino</v>
      </c>
      <c r="V1100" t="str">
        <v>Viuvo(a)</v>
      </c>
      <c r="W1100" t="str">
        <v>Secundaria</v>
      </c>
      <c r="X1100" t="str">
        <v>Nao</v>
      </c>
      <c r="Y1100" t="str">
        <v>Malaria</v>
      </c>
      <c r="Z1100">
        <v>39</v>
      </c>
      <c r="AA1100">
        <v>89.2</v>
      </c>
      <c r="AB1100">
        <v>1.66</v>
      </c>
      <c r="AC1100">
        <v>1</v>
      </c>
      <c r="AD1100">
        <v>111</v>
      </c>
      <c r="AE1100">
        <v>89</v>
      </c>
      <c r="AF1100" t="str">
        <v>Rural</v>
      </c>
      <c r="AG1100" t="str">
        <v>Nao</v>
      </c>
    </row>
    <row r="1101" spans="2:33" x14ac:dyDescent="0.45">
      <c r="B1101" s="4">
        <v>1100</v>
      </c>
      <c r="C1101" s="4" t="s">
        <v>29</v>
      </c>
      <c r="D1101" s="4" t="s">
        <v>16</v>
      </c>
      <c r="E1101" s="4" t="s">
        <v>37</v>
      </c>
      <c r="F1101" s="4" t="s">
        <v>18</v>
      </c>
      <c r="G1101" s="4" t="s">
        <v>30</v>
      </c>
      <c r="H1101" s="4" t="s">
        <v>34</v>
      </c>
      <c r="I1101" s="4">
        <v>12</v>
      </c>
      <c r="J1101" s="5">
        <v>38.4</v>
      </c>
      <c r="K1101" s="6">
        <v>1.52</v>
      </c>
      <c r="L1101" s="4">
        <v>1</v>
      </c>
      <c r="M1101" s="4">
        <v>101</v>
      </c>
      <c r="N1101" s="4">
        <v>85</v>
      </c>
      <c r="O1101" s="4" t="s">
        <v>26</v>
      </c>
      <c r="P1101" s="7" t="s">
        <v>30</v>
      </c>
      <c r="S1101">
        <v>2348</v>
      </c>
      <c r="T1101" t="str">
        <v>Tete</v>
      </c>
      <c r="U1101" t="str">
        <v>Masculino</v>
      </c>
      <c r="V1101" t="str">
        <v>Solteiro(a)</v>
      </c>
      <c r="W1101" t="str">
        <v>Secundaria</v>
      </c>
      <c r="X1101" t="str">
        <v>Sim</v>
      </c>
      <c r="Y1101" t="str">
        <v>Pneumonia</v>
      </c>
      <c r="Z1101">
        <v>3</v>
      </c>
      <c r="AA1101">
        <v>7.1</v>
      </c>
      <c r="AB1101">
        <v>0.93</v>
      </c>
      <c r="AC1101">
        <v>0</v>
      </c>
      <c r="AD1101">
        <v>108</v>
      </c>
      <c r="AE1101">
        <v>101</v>
      </c>
      <c r="AF1101" t="str">
        <v>Rural</v>
      </c>
      <c r="AG1101" t="str">
        <v>Nao</v>
      </c>
    </row>
    <row r="1102" spans="2:33" x14ac:dyDescent="0.45">
      <c r="B1102" s="4">
        <v>1101</v>
      </c>
      <c r="C1102" s="4" t="s">
        <v>22</v>
      </c>
      <c r="D1102" s="4" t="s">
        <v>23</v>
      </c>
      <c r="E1102" s="4" t="s">
        <v>35</v>
      </c>
      <c r="F1102" s="4" t="s">
        <v>28</v>
      </c>
      <c r="G1102" s="4" t="s">
        <v>19</v>
      </c>
      <c r="H1102" s="4" t="s">
        <v>28</v>
      </c>
      <c r="I1102" s="4">
        <v>58</v>
      </c>
      <c r="J1102" s="5">
        <v>63.5</v>
      </c>
      <c r="K1102" s="6">
        <v>1.49</v>
      </c>
      <c r="L1102" s="4">
        <v>4</v>
      </c>
      <c r="M1102" s="4">
        <v>138</v>
      </c>
      <c r="N1102" s="4">
        <v>99</v>
      </c>
      <c r="O1102" s="4" t="s">
        <v>26</v>
      </c>
      <c r="P1102" s="7" t="s">
        <v>30</v>
      </c>
      <c r="S1102">
        <v>2349</v>
      </c>
      <c r="T1102" t="str">
        <v>Maputo Cidade</v>
      </c>
      <c r="U1102" t="str">
        <v>Masculino</v>
      </c>
      <c r="V1102" t="str">
        <v>Divorciado(a)</v>
      </c>
      <c r="W1102" t="str">
        <v>Superior</v>
      </c>
      <c r="X1102" t="str">
        <v>Nao</v>
      </c>
      <c r="Y1102" t="str">
        <v>Pneumonia</v>
      </c>
      <c r="Z1102">
        <v>19</v>
      </c>
      <c r="AA1102">
        <v>72.599999999999994</v>
      </c>
      <c r="AB1102">
        <v>1.53</v>
      </c>
      <c r="AC1102">
        <v>3</v>
      </c>
      <c r="AD1102">
        <v>109</v>
      </c>
      <c r="AE1102">
        <v>96</v>
      </c>
      <c r="AF1102" t="str">
        <v>Rural</v>
      </c>
      <c r="AG1102" t="str">
        <v>Nao</v>
      </c>
    </row>
    <row r="1103" spans="2:33" x14ac:dyDescent="0.45">
      <c r="B1103" s="4">
        <v>1102</v>
      </c>
      <c r="C1103" s="4" t="s">
        <v>29</v>
      </c>
      <c r="D1103" s="4" t="s">
        <v>16</v>
      </c>
      <c r="E1103" s="4" t="s">
        <v>35</v>
      </c>
      <c r="F1103" s="4" t="s">
        <v>24</v>
      </c>
      <c r="G1103" s="4" t="s">
        <v>19</v>
      </c>
      <c r="H1103" s="4" t="s">
        <v>28</v>
      </c>
      <c r="I1103" s="4">
        <v>39</v>
      </c>
      <c r="J1103" s="5">
        <v>91.2</v>
      </c>
      <c r="K1103" s="6">
        <v>1.54</v>
      </c>
      <c r="L1103" s="4">
        <v>3</v>
      </c>
      <c r="M1103" s="4">
        <v>120</v>
      </c>
      <c r="N1103" s="4">
        <v>87</v>
      </c>
      <c r="O1103" s="4" t="s">
        <v>26</v>
      </c>
      <c r="P1103" s="7" t="s">
        <v>19</v>
      </c>
      <c r="S1103">
        <v>2350</v>
      </c>
      <c r="T1103" t="str">
        <v>Nampula</v>
      </c>
      <c r="U1103" t="str">
        <v>Masculino</v>
      </c>
      <c r="V1103" t="str">
        <v>Viuvo(a)</v>
      </c>
      <c r="W1103" t="str">
        <v>Primaria</v>
      </c>
      <c r="X1103" t="str">
        <v>Nao</v>
      </c>
      <c r="Y1103" t="str">
        <v>Diarreia</v>
      </c>
      <c r="Z1103">
        <v>12</v>
      </c>
      <c r="AA1103">
        <v>41.8</v>
      </c>
      <c r="AB1103">
        <v>1.69</v>
      </c>
      <c r="AC1103">
        <v>4</v>
      </c>
      <c r="AD1103">
        <v>114</v>
      </c>
      <c r="AE1103">
        <v>83</v>
      </c>
      <c r="AF1103" t="str">
        <v>Urbana</v>
      </c>
      <c r="AG1103" t="str">
        <v>Nao</v>
      </c>
    </row>
    <row r="1104" spans="2:33" x14ac:dyDescent="0.45">
      <c r="B1104" s="4">
        <v>1103</v>
      </c>
      <c r="C1104" s="4" t="s">
        <v>22</v>
      </c>
      <c r="D1104" s="4" t="s">
        <v>23</v>
      </c>
      <c r="E1104" s="4" t="s">
        <v>17</v>
      </c>
      <c r="F1104" s="4" t="s">
        <v>24</v>
      </c>
      <c r="G1104" s="4" t="s">
        <v>30</v>
      </c>
      <c r="H1104" s="4" t="s">
        <v>20</v>
      </c>
      <c r="I1104" s="4">
        <v>37</v>
      </c>
      <c r="J1104" s="5">
        <v>54.4</v>
      </c>
      <c r="K1104" s="6">
        <v>1.52</v>
      </c>
      <c r="L1104" s="4">
        <v>1</v>
      </c>
      <c r="M1104" s="4">
        <v>116</v>
      </c>
      <c r="N1104" s="4">
        <v>73</v>
      </c>
      <c r="O1104" s="4" t="s">
        <v>21</v>
      </c>
      <c r="P1104" s="7" t="s">
        <v>30</v>
      </c>
      <c r="S1104">
        <v>2351</v>
      </c>
      <c r="T1104" t="str">
        <v>Niassa</v>
      </c>
      <c r="U1104" t="str">
        <v>Masculino</v>
      </c>
      <c r="V1104" t="str">
        <v>Casado(a)</v>
      </c>
      <c r="W1104" t="str">
        <v>Nenhuma</v>
      </c>
      <c r="X1104" t="str">
        <v>Nao</v>
      </c>
      <c r="Y1104" t="str">
        <v>Tuberculose</v>
      </c>
      <c r="Z1104">
        <v>2</v>
      </c>
      <c r="AA1104">
        <v>17.3</v>
      </c>
      <c r="AB1104">
        <v>0.95</v>
      </c>
      <c r="AC1104">
        <v>1</v>
      </c>
      <c r="AD1104">
        <v>114</v>
      </c>
      <c r="AE1104">
        <v>102</v>
      </c>
      <c r="AF1104" t="str">
        <v>Rural</v>
      </c>
      <c r="AG1104" t="str">
        <v>Nao</v>
      </c>
    </row>
    <row r="1105" spans="2:33" x14ac:dyDescent="0.45">
      <c r="B1105" s="4">
        <v>1104</v>
      </c>
      <c r="C1105" s="4" t="s">
        <v>33</v>
      </c>
      <c r="D1105" s="4" t="s">
        <v>23</v>
      </c>
      <c r="E1105" s="4" t="s">
        <v>35</v>
      </c>
      <c r="F1105" s="4" t="s">
        <v>18</v>
      </c>
      <c r="G1105" s="4" t="s">
        <v>30</v>
      </c>
      <c r="H1105" s="4" t="s">
        <v>25</v>
      </c>
      <c r="I1105" s="4">
        <v>28</v>
      </c>
      <c r="J1105" s="5">
        <v>57</v>
      </c>
      <c r="K1105" s="6">
        <v>1.89</v>
      </c>
      <c r="L1105" s="4">
        <v>2</v>
      </c>
      <c r="M1105" s="4">
        <v>123</v>
      </c>
      <c r="N1105" s="4">
        <v>96</v>
      </c>
      <c r="O1105" s="4" t="s">
        <v>21</v>
      </c>
      <c r="P1105" s="7" t="s">
        <v>19</v>
      </c>
      <c r="S1105">
        <v>2352</v>
      </c>
      <c r="T1105" t="str">
        <v>Manica</v>
      </c>
      <c r="U1105" t="str">
        <v>Masculino</v>
      </c>
      <c r="V1105" t="str">
        <v>Casado(a)</v>
      </c>
      <c r="W1105" t="str">
        <v>Primaria</v>
      </c>
      <c r="X1105" t="str">
        <v>Nao</v>
      </c>
      <c r="Y1105" t="str">
        <v>Diarreia</v>
      </c>
      <c r="Z1105">
        <v>4</v>
      </c>
      <c r="AA1105">
        <v>14.8</v>
      </c>
      <c r="AB1105">
        <v>0.96</v>
      </c>
      <c r="AC1105">
        <v>0</v>
      </c>
      <c r="AD1105">
        <v>101</v>
      </c>
      <c r="AE1105">
        <v>77</v>
      </c>
      <c r="AF1105" t="str">
        <v>Urbana</v>
      </c>
      <c r="AG1105" t="str">
        <v>Sim</v>
      </c>
    </row>
    <row r="1106" spans="2:33" x14ac:dyDescent="0.45">
      <c r="B1106" s="4">
        <v>1105</v>
      </c>
      <c r="C1106" s="4" t="s">
        <v>29</v>
      </c>
      <c r="D1106" s="4" t="s">
        <v>16</v>
      </c>
      <c r="E1106" s="4" t="s">
        <v>35</v>
      </c>
      <c r="F1106" s="4" t="s">
        <v>18</v>
      </c>
      <c r="G1106" s="4" t="s">
        <v>30</v>
      </c>
      <c r="H1106" s="4" t="s">
        <v>36</v>
      </c>
      <c r="I1106" s="4">
        <v>51</v>
      </c>
      <c r="J1106" s="5">
        <v>55.1</v>
      </c>
      <c r="K1106" s="6">
        <v>1.8</v>
      </c>
      <c r="L1106" s="4">
        <v>1</v>
      </c>
      <c r="M1106" s="4">
        <v>156</v>
      </c>
      <c r="N1106" s="4">
        <v>85</v>
      </c>
      <c r="O1106" s="4" t="s">
        <v>26</v>
      </c>
      <c r="P1106" s="7" t="s">
        <v>30</v>
      </c>
      <c r="S1106">
        <v>2353</v>
      </c>
      <c r="T1106" t="str">
        <v>Zambezia</v>
      </c>
      <c r="U1106" t="str">
        <v>Masculino</v>
      </c>
      <c r="V1106" t="str">
        <v>Solteiro(a)</v>
      </c>
      <c r="W1106" t="str">
        <v>Superior</v>
      </c>
      <c r="X1106" t="str">
        <v>Nao</v>
      </c>
      <c r="Y1106" t="str">
        <v>Malaria</v>
      </c>
      <c r="Z1106">
        <v>2</v>
      </c>
      <c r="AA1106">
        <v>15.8</v>
      </c>
      <c r="AB1106">
        <v>0.68</v>
      </c>
      <c r="AC1106">
        <v>0</v>
      </c>
      <c r="AD1106">
        <v>107</v>
      </c>
      <c r="AE1106">
        <v>90</v>
      </c>
      <c r="AF1106" t="str">
        <v>Rural</v>
      </c>
      <c r="AG1106" t="str">
        <v>Nao</v>
      </c>
    </row>
    <row r="1107" spans="2:33" x14ac:dyDescent="0.45">
      <c r="B1107" s="4">
        <v>1106</v>
      </c>
      <c r="C1107" s="4" t="s">
        <v>41</v>
      </c>
      <c r="D1107" s="4" t="s">
        <v>16</v>
      </c>
      <c r="E1107" s="4" t="s">
        <v>35</v>
      </c>
      <c r="F1107" s="4" t="s">
        <v>18</v>
      </c>
      <c r="G1107" s="4" t="s">
        <v>30</v>
      </c>
      <c r="H1107" s="4" t="s">
        <v>28</v>
      </c>
      <c r="I1107" s="4">
        <v>1</v>
      </c>
      <c r="J1107" s="5">
        <v>18</v>
      </c>
      <c r="K1107" s="6">
        <v>0.77</v>
      </c>
      <c r="L1107" s="4">
        <v>4</v>
      </c>
      <c r="M1107" s="4">
        <v>109</v>
      </c>
      <c r="N1107" s="4">
        <v>98</v>
      </c>
      <c r="O1107" s="4" t="s">
        <v>21</v>
      </c>
      <c r="P1107" s="7" t="s">
        <v>19</v>
      </c>
      <c r="S1107">
        <v>2356</v>
      </c>
      <c r="T1107" t="str">
        <v>Sofala</v>
      </c>
      <c r="U1107" t="str">
        <v>Masculino</v>
      </c>
      <c r="V1107" t="str">
        <v>Casado(a)</v>
      </c>
      <c r="W1107" t="str">
        <v>Secundaria</v>
      </c>
      <c r="X1107" t="str">
        <v>Nao</v>
      </c>
      <c r="Y1107" t="str">
        <v>Nenhuma</v>
      </c>
      <c r="Z1107">
        <v>7</v>
      </c>
      <c r="AA1107">
        <v>20.8</v>
      </c>
      <c r="AB1107">
        <v>1.45</v>
      </c>
      <c r="AC1107">
        <v>2</v>
      </c>
      <c r="AD1107">
        <v>112</v>
      </c>
      <c r="AE1107">
        <v>84</v>
      </c>
      <c r="AF1107" t="str">
        <v>Rural</v>
      </c>
      <c r="AG1107" t="str">
        <v>Nao</v>
      </c>
    </row>
    <row r="1108" spans="2:33" x14ac:dyDescent="0.45">
      <c r="B1108" s="4">
        <v>1107</v>
      </c>
      <c r="C1108" s="4" t="s">
        <v>41</v>
      </c>
      <c r="D1108" s="4" t="s">
        <v>23</v>
      </c>
      <c r="E1108" s="4" t="s">
        <v>35</v>
      </c>
      <c r="F1108" s="4" t="s">
        <v>18</v>
      </c>
      <c r="G1108" s="4" t="s">
        <v>19</v>
      </c>
      <c r="H1108" s="4" t="s">
        <v>25</v>
      </c>
      <c r="I1108" s="4">
        <v>74</v>
      </c>
      <c r="J1108" s="5">
        <v>61.6</v>
      </c>
      <c r="K1108" s="6">
        <v>1.83</v>
      </c>
      <c r="L1108" s="4">
        <v>2</v>
      </c>
      <c r="M1108" s="4">
        <v>123</v>
      </c>
      <c r="N1108" s="4">
        <v>78</v>
      </c>
      <c r="O1108" s="4" t="s">
        <v>21</v>
      </c>
      <c r="P1108" s="7" t="s">
        <v>19</v>
      </c>
      <c r="S1108">
        <v>2357</v>
      </c>
      <c r="T1108" t="str">
        <v>Nampula</v>
      </c>
      <c r="U1108" t="str">
        <v>Masculino</v>
      </c>
      <c r="V1108" t="str">
        <v>Casado(a)</v>
      </c>
      <c r="W1108" t="str">
        <v>Primaria</v>
      </c>
      <c r="X1108" t="str">
        <v>Nao</v>
      </c>
      <c r="Y1108" t="str">
        <v>Hipertensao</v>
      </c>
      <c r="Z1108">
        <v>10</v>
      </c>
      <c r="AA1108">
        <v>20.6</v>
      </c>
      <c r="AB1108">
        <v>1.42</v>
      </c>
      <c r="AC1108">
        <v>1</v>
      </c>
      <c r="AD1108">
        <v>128</v>
      </c>
      <c r="AE1108">
        <v>105</v>
      </c>
      <c r="AF1108" t="str">
        <v>Urbana</v>
      </c>
      <c r="AG1108" t="str">
        <v>Nao</v>
      </c>
    </row>
    <row r="1109" spans="2:33" x14ac:dyDescent="0.45">
      <c r="B1109" s="4">
        <v>1108</v>
      </c>
      <c r="C1109" s="4" t="s">
        <v>22</v>
      </c>
      <c r="D1109" s="4" t="s">
        <v>23</v>
      </c>
      <c r="E1109" s="4" t="s">
        <v>35</v>
      </c>
      <c r="F1109" s="4" t="s">
        <v>42</v>
      </c>
      <c r="G1109" s="4" t="s">
        <v>19</v>
      </c>
      <c r="H1109" s="4" t="s">
        <v>46</v>
      </c>
      <c r="I1109" s="4">
        <v>8</v>
      </c>
      <c r="J1109" s="5">
        <v>25.7</v>
      </c>
      <c r="K1109" s="6">
        <v>1.36</v>
      </c>
      <c r="L1109" s="4">
        <v>10</v>
      </c>
      <c r="M1109" s="4">
        <v>113</v>
      </c>
      <c r="N1109" s="4">
        <v>76</v>
      </c>
      <c r="O1109" s="4" t="s">
        <v>26</v>
      </c>
      <c r="P1109" s="7" t="s">
        <v>19</v>
      </c>
      <c r="S1109">
        <v>2359</v>
      </c>
      <c r="T1109" t="str">
        <v>Manica</v>
      </c>
      <c r="U1109" t="str">
        <v>Masculino</v>
      </c>
      <c r="V1109" t="str">
        <v>Solteiro(a)</v>
      </c>
      <c r="W1109" t="str">
        <v>Primaria</v>
      </c>
      <c r="X1109" t="str">
        <v>Nao</v>
      </c>
      <c r="Y1109" t="str">
        <v>Nenhuma</v>
      </c>
      <c r="Z1109">
        <v>24</v>
      </c>
      <c r="AA1109">
        <v>86.5</v>
      </c>
      <c r="AB1109">
        <v>1.59</v>
      </c>
      <c r="AC1109">
        <v>1</v>
      </c>
      <c r="AD1109">
        <v>104</v>
      </c>
      <c r="AE1109">
        <v>73</v>
      </c>
      <c r="AF1109" t="str">
        <v>Rural</v>
      </c>
      <c r="AG1109" t="str">
        <v>Sim</v>
      </c>
    </row>
    <row r="1110" spans="2:33" x14ac:dyDescent="0.45">
      <c r="B1110" s="4">
        <v>1109</v>
      </c>
      <c r="C1110" s="4" t="s">
        <v>39</v>
      </c>
      <c r="D1110" s="4" t="s">
        <v>16</v>
      </c>
      <c r="E1110" s="4" t="s">
        <v>17</v>
      </c>
      <c r="F1110" s="4" t="s">
        <v>24</v>
      </c>
      <c r="G1110" s="4" t="s">
        <v>19</v>
      </c>
      <c r="H1110" s="4" t="s">
        <v>38</v>
      </c>
      <c r="I1110" s="4">
        <v>46</v>
      </c>
      <c r="J1110" s="5">
        <v>90.2</v>
      </c>
      <c r="K1110" s="6">
        <v>1.68</v>
      </c>
      <c r="L1110" s="4">
        <v>4</v>
      </c>
      <c r="M1110" s="4">
        <v>127</v>
      </c>
      <c r="N1110" s="4">
        <v>76</v>
      </c>
      <c r="O1110" s="4" t="s">
        <v>26</v>
      </c>
      <c r="P1110" s="7" t="s">
        <v>19</v>
      </c>
      <c r="S1110">
        <v>2361</v>
      </c>
      <c r="T1110" t="str">
        <v>Zambezia</v>
      </c>
      <c r="U1110" t="str">
        <v>Masculino</v>
      </c>
      <c r="V1110" t="str">
        <v>Divorciado(a)</v>
      </c>
      <c r="W1110" t="str">
        <v>Primaria</v>
      </c>
      <c r="X1110" t="str">
        <v>Sim</v>
      </c>
      <c r="Y1110" t="str">
        <v>HIV/SIDA</v>
      </c>
      <c r="Z1110">
        <v>10</v>
      </c>
      <c r="AA1110">
        <v>31.5</v>
      </c>
      <c r="AB1110">
        <v>1.38</v>
      </c>
      <c r="AC1110">
        <v>3</v>
      </c>
      <c r="AD1110">
        <v>102</v>
      </c>
      <c r="AE1110">
        <v>82</v>
      </c>
      <c r="AF1110" t="str">
        <v>Urbana</v>
      </c>
      <c r="AG1110" t="str">
        <v>Nao</v>
      </c>
    </row>
    <row r="1111" spans="2:33" x14ac:dyDescent="0.45">
      <c r="B1111" s="4">
        <v>1110</v>
      </c>
      <c r="C1111" s="4" t="s">
        <v>40</v>
      </c>
      <c r="D1111" s="4" t="s">
        <v>16</v>
      </c>
      <c r="E1111" s="4" t="s">
        <v>35</v>
      </c>
      <c r="F1111" s="4" t="s">
        <v>28</v>
      </c>
      <c r="G1111" s="4" t="s">
        <v>19</v>
      </c>
      <c r="H1111" s="4" t="s">
        <v>36</v>
      </c>
      <c r="I1111" s="4">
        <v>10</v>
      </c>
      <c r="J1111" s="5">
        <v>18.600000000000001</v>
      </c>
      <c r="K1111" s="6">
        <v>1.28</v>
      </c>
      <c r="L1111" s="4">
        <v>2</v>
      </c>
      <c r="M1111" s="4">
        <v>127</v>
      </c>
      <c r="N1111" s="4">
        <v>74</v>
      </c>
      <c r="O1111" s="4" t="s">
        <v>21</v>
      </c>
      <c r="P1111" s="7" t="s">
        <v>19</v>
      </c>
      <c r="S1111">
        <v>2362</v>
      </c>
      <c r="T1111" t="str">
        <v>Cabo Delgado</v>
      </c>
      <c r="U1111" t="str">
        <v>Masculino</v>
      </c>
      <c r="V1111" t="str">
        <v>Solteiro(a)</v>
      </c>
      <c r="W1111" t="str">
        <v>Primaria</v>
      </c>
      <c r="X1111" t="str">
        <v>Nao</v>
      </c>
      <c r="Y1111" t="str">
        <v>HIV/SIDA</v>
      </c>
      <c r="Z1111">
        <v>5</v>
      </c>
      <c r="AA1111">
        <v>30.8</v>
      </c>
      <c r="AB1111">
        <v>1.1100000000000001</v>
      </c>
      <c r="AC1111">
        <v>1</v>
      </c>
      <c r="AD1111">
        <v>94</v>
      </c>
      <c r="AE1111">
        <v>89</v>
      </c>
      <c r="AF1111" t="str">
        <v>Rural</v>
      </c>
      <c r="AG1111" t="str">
        <v>Nao</v>
      </c>
    </row>
    <row r="1112" spans="2:33" x14ac:dyDescent="0.45">
      <c r="B1112" s="4">
        <v>1111</v>
      </c>
      <c r="C1112" s="4" t="s">
        <v>45</v>
      </c>
      <c r="D1112" s="4" t="s">
        <v>23</v>
      </c>
      <c r="E1112" s="4" t="s">
        <v>17</v>
      </c>
      <c r="F1112" s="4" t="s">
        <v>18</v>
      </c>
      <c r="G1112" s="4" t="s">
        <v>19</v>
      </c>
      <c r="H1112" s="4" t="s">
        <v>28</v>
      </c>
      <c r="I1112" s="4">
        <v>32</v>
      </c>
      <c r="J1112" s="5">
        <v>80</v>
      </c>
      <c r="K1112" s="6">
        <v>1.65</v>
      </c>
      <c r="L1112" s="4">
        <v>3</v>
      </c>
      <c r="M1112" s="4">
        <v>109</v>
      </c>
      <c r="N1112" s="4">
        <v>94</v>
      </c>
      <c r="O1112" s="4" t="s">
        <v>26</v>
      </c>
      <c r="P1112" s="7" t="s">
        <v>19</v>
      </c>
      <c r="S1112">
        <v>2363</v>
      </c>
      <c r="T1112" t="str">
        <v>Sofala</v>
      </c>
      <c r="U1112" t="str">
        <v>Masculino</v>
      </c>
      <c r="V1112" t="str">
        <v>Casado(a)</v>
      </c>
      <c r="W1112" t="str">
        <v>Secundaria</v>
      </c>
      <c r="X1112" t="str">
        <v>Sim</v>
      </c>
      <c r="Y1112" t="str">
        <v>Malaria</v>
      </c>
      <c r="Z1112">
        <v>0</v>
      </c>
      <c r="AA1112">
        <v>8.8000000000000007</v>
      </c>
      <c r="AB1112">
        <v>0.82</v>
      </c>
      <c r="AC1112">
        <v>1</v>
      </c>
      <c r="AD1112">
        <v>118</v>
      </c>
      <c r="AE1112">
        <v>76</v>
      </c>
      <c r="AF1112" t="str">
        <v>Urbana</v>
      </c>
      <c r="AG1112" t="str">
        <v>Sim</v>
      </c>
    </row>
    <row r="1113" spans="2:33" x14ac:dyDescent="0.45">
      <c r="B1113" s="4">
        <v>1112</v>
      </c>
      <c r="C1113" s="4" t="s">
        <v>43</v>
      </c>
      <c r="D1113" s="4" t="s">
        <v>16</v>
      </c>
      <c r="E1113" s="4" t="s">
        <v>17</v>
      </c>
      <c r="F1113" s="4" t="s">
        <v>18</v>
      </c>
      <c r="G1113" s="4" t="s">
        <v>19</v>
      </c>
      <c r="H1113" s="4" t="s">
        <v>28</v>
      </c>
      <c r="I1113" s="4">
        <v>45</v>
      </c>
      <c r="J1113" s="5">
        <v>89.4</v>
      </c>
      <c r="K1113" s="6">
        <v>1.78</v>
      </c>
      <c r="L1113" s="4">
        <v>1</v>
      </c>
      <c r="M1113" s="4">
        <v>121</v>
      </c>
      <c r="N1113" s="4">
        <v>103</v>
      </c>
      <c r="O1113" s="4" t="s">
        <v>21</v>
      </c>
      <c r="P1113" s="7" t="s">
        <v>19</v>
      </c>
      <c r="S1113">
        <v>2364</v>
      </c>
      <c r="T1113" t="str">
        <v>Zambezia</v>
      </c>
      <c r="U1113" t="str">
        <v>Masculino</v>
      </c>
      <c r="V1113" t="str">
        <v>Solteiro(a)</v>
      </c>
      <c r="W1113" t="str">
        <v>Primaria</v>
      </c>
      <c r="X1113" t="str">
        <v>Nao</v>
      </c>
      <c r="Y1113" t="str">
        <v>Nenhuma</v>
      </c>
      <c r="Z1113">
        <v>2</v>
      </c>
      <c r="AA1113">
        <v>13.9</v>
      </c>
      <c r="AB1113">
        <v>0.88</v>
      </c>
      <c r="AC1113">
        <v>2</v>
      </c>
      <c r="AD1113">
        <v>100</v>
      </c>
      <c r="AE1113">
        <v>91</v>
      </c>
      <c r="AF1113" t="str">
        <v>Urbana</v>
      </c>
      <c r="AG1113" t="str">
        <v>Nao</v>
      </c>
    </row>
    <row r="1114" spans="2:33" x14ac:dyDescent="0.45">
      <c r="B1114" s="4">
        <v>1113</v>
      </c>
      <c r="C1114" s="4" t="s">
        <v>40</v>
      </c>
      <c r="D1114" s="4" t="s">
        <v>23</v>
      </c>
      <c r="E1114" s="4" t="s">
        <v>35</v>
      </c>
      <c r="F1114" s="4" t="s">
        <v>28</v>
      </c>
      <c r="G1114" s="4" t="s">
        <v>19</v>
      </c>
      <c r="H1114" s="4" t="s">
        <v>20</v>
      </c>
      <c r="I1114" s="4">
        <v>2</v>
      </c>
      <c r="J1114" s="5">
        <v>9.4</v>
      </c>
      <c r="K1114" s="6">
        <v>0.66</v>
      </c>
      <c r="L1114" s="4">
        <v>3</v>
      </c>
      <c r="M1114" s="4">
        <v>110</v>
      </c>
      <c r="N1114" s="4">
        <v>79</v>
      </c>
      <c r="O1114" s="4" t="s">
        <v>26</v>
      </c>
      <c r="P1114" s="7" t="s">
        <v>19</v>
      </c>
      <c r="S1114">
        <v>2365</v>
      </c>
      <c r="T1114" t="str">
        <v>Nampula</v>
      </c>
      <c r="U1114" t="str">
        <v>Masculino</v>
      </c>
      <c r="V1114" t="str">
        <v>Solteiro(a)</v>
      </c>
      <c r="W1114" t="str">
        <v>Primaria</v>
      </c>
      <c r="X1114" t="str">
        <v>Nao</v>
      </c>
      <c r="Y1114" t="str">
        <v>Diabetes</v>
      </c>
      <c r="Z1114">
        <v>77</v>
      </c>
      <c r="AA1114">
        <v>45.9</v>
      </c>
      <c r="AB1114">
        <v>1.59</v>
      </c>
      <c r="AC1114">
        <v>1</v>
      </c>
      <c r="AD1114">
        <v>138</v>
      </c>
      <c r="AE1114">
        <v>164</v>
      </c>
      <c r="AF1114" t="str">
        <v>Urbana</v>
      </c>
      <c r="AG1114" t="str">
        <v>Nao</v>
      </c>
    </row>
    <row r="1115" spans="2:33" x14ac:dyDescent="0.45">
      <c r="B1115" s="4">
        <v>1114</v>
      </c>
      <c r="C1115" s="4" t="s">
        <v>41</v>
      </c>
      <c r="D1115" s="4" t="s">
        <v>16</v>
      </c>
      <c r="E1115" s="4" t="s">
        <v>37</v>
      </c>
      <c r="F1115" s="4" t="s">
        <v>28</v>
      </c>
      <c r="G1115" s="4" t="s">
        <v>19</v>
      </c>
      <c r="H1115" s="4" t="s">
        <v>32</v>
      </c>
      <c r="I1115" s="4">
        <v>39</v>
      </c>
      <c r="J1115" s="5">
        <v>88.7</v>
      </c>
      <c r="K1115" s="6">
        <v>1.79</v>
      </c>
      <c r="L1115" s="4">
        <v>0</v>
      </c>
      <c r="M1115" s="4">
        <v>126</v>
      </c>
      <c r="N1115" s="4">
        <v>132</v>
      </c>
      <c r="O1115" s="4" t="s">
        <v>21</v>
      </c>
      <c r="P1115" s="7" t="s">
        <v>19</v>
      </c>
      <c r="S1115">
        <v>2371</v>
      </c>
      <c r="T1115" t="str">
        <v>Manica</v>
      </c>
      <c r="U1115" t="str">
        <v>Masculino</v>
      </c>
      <c r="V1115" t="str">
        <v>Solteiro(a)</v>
      </c>
      <c r="W1115" t="str">
        <v>Primaria</v>
      </c>
      <c r="X1115" t="str">
        <v>Sim</v>
      </c>
      <c r="Y1115" t="str">
        <v>Diarreia</v>
      </c>
      <c r="Z1115">
        <v>7</v>
      </c>
      <c r="AA1115">
        <v>26.5</v>
      </c>
      <c r="AB1115">
        <v>1.22</v>
      </c>
      <c r="AC1115">
        <v>6</v>
      </c>
      <c r="AD1115">
        <v>101</v>
      </c>
      <c r="AE1115">
        <v>70</v>
      </c>
      <c r="AF1115" t="str">
        <v>Rural</v>
      </c>
      <c r="AG1115" t="str">
        <v>Nao</v>
      </c>
    </row>
    <row r="1116" spans="2:33" x14ac:dyDescent="0.45">
      <c r="B1116" s="4">
        <v>1115</v>
      </c>
      <c r="C1116" s="4" t="s">
        <v>27</v>
      </c>
      <c r="D1116" s="4" t="s">
        <v>16</v>
      </c>
      <c r="E1116" s="4" t="s">
        <v>35</v>
      </c>
      <c r="F1116" s="4" t="s">
        <v>42</v>
      </c>
      <c r="G1116" s="4" t="s">
        <v>19</v>
      </c>
      <c r="H1116" s="4" t="s">
        <v>32</v>
      </c>
      <c r="I1116" s="4">
        <v>35</v>
      </c>
      <c r="J1116" s="5">
        <v>63.9</v>
      </c>
      <c r="K1116" s="6">
        <v>1.54</v>
      </c>
      <c r="L1116" s="4">
        <v>3</v>
      </c>
      <c r="M1116" s="4">
        <v>112</v>
      </c>
      <c r="N1116" s="4">
        <v>153</v>
      </c>
      <c r="O1116" s="4" t="s">
        <v>26</v>
      </c>
      <c r="P1116" s="7" t="s">
        <v>19</v>
      </c>
      <c r="S1116">
        <v>2373</v>
      </c>
      <c r="T1116" t="str">
        <v>Sofala</v>
      </c>
      <c r="U1116" t="str">
        <v>Masculino</v>
      </c>
      <c r="V1116" t="str">
        <v>Divorciado(a)</v>
      </c>
      <c r="W1116" t="str">
        <v>Nenhuma</v>
      </c>
      <c r="X1116" t="str">
        <v>Nao</v>
      </c>
      <c r="Y1116" t="str">
        <v>Nenhuma</v>
      </c>
      <c r="Z1116">
        <v>17</v>
      </c>
      <c r="AA1116">
        <v>38.4</v>
      </c>
      <c r="AB1116">
        <v>1.68</v>
      </c>
      <c r="AC1116">
        <v>6</v>
      </c>
      <c r="AD1116">
        <v>106</v>
      </c>
      <c r="AE1116">
        <v>102</v>
      </c>
      <c r="AF1116" t="str">
        <v>Rural</v>
      </c>
      <c r="AG1116" t="str">
        <v>Sim</v>
      </c>
    </row>
    <row r="1117" spans="2:33" x14ac:dyDescent="0.45">
      <c r="B1117" s="4">
        <v>1116</v>
      </c>
      <c r="C1117" s="4" t="s">
        <v>41</v>
      </c>
      <c r="D1117" s="4" t="s">
        <v>16</v>
      </c>
      <c r="E1117" s="4" t="s">
        <v>17</v>
      </c>
      <c r="F1117" s="4" t="s">
        <v>24</v>
      </c>
      <c r="G1117" s="4" t="s">
        <v>19</v>
      </c>
      <c r="H1117" s="4" t="s">
        <v>34</v>
      </c>
      <c r="I1117" s="4">
        <v>4</v>
      </c>
      <c r="J1117" s="5">
        <v>9.1999999999999993</v>
      </c>
      <c r="K1117" s="6">
        <v>0.92</v>
      </c>
      <c r="L1117" s="4">
        <v>1</v>
      </c>
      <c r="M1117" s="4">
        <v>116</v>
      </c>
      <c r="N1117" s="4">
        <v>101</v>
      </c>
      <c r="O1117" s="4" t="s">
        <v>26</v>
      </c>
      <c r="P1117" s="7" t="s">
        <v>19</v>
      </c>
      <c r="S1117">
        <v>2375</v>
      </c>
      <c r="T1117" t="str">
        <v>Zambezia</v>
      </c>
      <c r="U1117" t="str">
        <v>Masculino</v>
      </c>
      <c r="V1117" t="str">
        <v>Solteiro(a)</v>
      </c>
      <c r="W1117" t="str">
        <v>Secundaria</v>
      </c>
      <c r="X1117" t="str">
        <v>Nao</v>
      </c>
      <c r="Y1117" t="str">
        <v>Malaria</v>
      </c>
      <c r="Z1117">
        <v>7</v>
      </c>
      <c r="AA1117">
        <v>18.100000000000001</v>
      </c>
      <c r="AB1117">
        <v>1.07</v>
      </c>
      <c r="AC1117">
        <v>9</v>
      </c>
      <c r="AD1117">
        <v>102</v>
      </c>
      <c r="AE1117">
        <v>92</v>
      </c>
      <c r="AF1117" t="str">
        <v>Urbana</v>
      </c>
      <c r="AG1117" t="str">
        <v>Nao</v>
      </c>
    </row>
    <row r="1118" spans="2:33" x14ac:dyDescent="0.45">
      <c r="B1118" s="4">
        <v>1117</v>
      </c>
      <c r="C1118" s="4" t="s">
        <v>40</v>
      </c>
      <c r="D1118" s="4" t="s">
        <v>23</v>
      </c>
      <c r="E1118" s="4" t="s">
        <v>17</v>
      </c>
      <c r="F1118" s="4" t="s">
        <v>28</v>
      </c>
      <c r="G1118" s="4" t="s">
        <v>19</v>
      </c>
      <c r="H1118" s="4" t="s">
        <v>32</v>
      </c>
      <c r="I1118" s="4">
        <v>22</v>
      </c>
      <c r="J1118" s="5">
        <v>78.400000000000006</v>
      </c>
      <c r="K1118" s="6">
        <v>1.84</v>
      </c>
      <c r="L1118" s="4">
        <v>3</v>
      </c>
      <c r="M1118" s="4">
        <v>103</v>
      </c>
      <c r="N1118" s="4">
        <v>137</v>
      </c>
      <c r="O1118" s="4" t="s">
        <v>21</v>
      </c>
      <c r="P1118" s="7" t="s">
        <v>30</v>
      </c>
      <c r="S1118">
        <v>2377</v>
      </c>
      <c r="T1118" t="str">
        <v>Inhambane</v>
      </c>
      <c r="U1118" t="str">
        <v>Masculino</v>
      </c>
      <c r="V1118" t="str">
        <v>Solteiro(a)</v>
      </c>
      <c r="W1118" t="str">
        <v>Primaria</v>
      </c>
      <c r="X1118" t="str">
        <v>Sim</v>
      </c>
      <c r="Y1118" t="str">
        <v>Malaria</v>
      </c>
      <c r="Z1118">
        <v>31</v>
      </c>
      <c r="AA1118">
        <v>89.8</v>
      </c>
      <c r="AB1118">
        <v>1.83</v>
      </c>
      <c r="AC1118">
        <v>1</v>
      </c>
      <c r="AD1118">
        <v>127</v>
      </c>
      <c r="AE1118">
        <v>90</v>
      </c>
      <c r="AF1118" t="str">
        <v>Urbana</v>
      </c>
      <c r="AG1118" t="str">
        <v>Sim</v>
      </c>
    </row>
    <row r="1119" spans="2:33" x14ac:dyDescent="0.45">
      <c r="B1119" s="4">
        <v>1118</v>
      </c>
      <c r="C1119" s="4" t="s">
        <v>45</v>
      </c>
      <c r="D1119" s="4" t="s">
        <v>16</v>
      </c>
      <c r="E1119" s="4" t="s">
        <v>44</v>
      </c>
      <c r="F1119" s="4" t="s">
        <v>24</v>
      </c>
      <c r="G1119" s="4" t="s">
        <v>19</v>
      </c>
      <c r="H1119" s="4" t="s">
        <v>38</v>
      </c>
      <c r="I1119" s="4">
        <v>31</v>
      </c>
      <c r="J1119" s="5">
        <v>87</v>
      </c>
      <c r="K1119" s="6">
        <v>1.62</v>
      </c>
      <c r="L1119" s="4">
        <v>1</v>
      </c>
      <c r="M1119" s="4">
        <v>112</v>
      </c>
      <c r="N1119" s="4">
        <v>103</v>
      </c>
      <c r="O1119" s="4" t="s">
        <v>21</v>
      </c>
      <c r="P1119" s="7" t="s">
        <v>19</v>
      </c>
      <c r="S1119">
        <v>2378</v>
      </c>
      <c r="T1119" t="str">
        <v>Gaza</v>
      </c>
      <c r="U1119" t="str">
        <v>Masculino</v>
      </c>
      <c r="V1119" t="str">
        <v>Solteiro(a)</v>
      </c>
      <c r="W1119" t="str">
        <v>Primaria</v>
      </c>
      <c r="X1119" t="str">
        <v>Nao</v>
      </c>
      <c r="Y1119" t="str">
        <v>Malaria</v>
      </c>
      <c r="Z1119">
        <v>33</v>
      </c>
      <c r="AA1119">
        <v>61.7</v>
      </c>
      <c r="AB1119">
        <v>1.61</v>
      </c>
      <c r="AC1119">
        <v>3</v>
      </c>
      <c r="AD1119">
        <v>116</v>
      </c>
      <c r="AE1119">
        <v>103</v>
      </c>
      <c r="AF1119" t="str">
        <v>Rural</v>
      </c>
      <c r="AG1119" t="str">
        <v>Nao</v>
      </c>
    </row>
    <row r="1120" spans="2:33" x14ac:dyDescent="0.45">
      <c r="B1120" s="4">
        <v>1119</v>
      </c>
      <c r="C1120" s="4" t="s">
        <v>27</v>
      </c>
      <c r="D1120" s="4" t="s">
        <v>23</v>
      </c>
      <c r="E1120" s="4" t="s">
        <v>17</v>
      </c>
      <c r="F1120" s="4" t="s">
        <v>24</v>
      </c>
      <c r="G1120" s="4" t="s">
        <v>19</v>
      </c>
      <c r="H1120" s="4" t="s">
        <v>28</v>
      </c>
      <c r="I1120" s="4">
        <v>58</v>
      </c>
      <c r="J1120" s="5">
        <v>47.1</v>
      </c>
      <c r="K1120" s="6">
        <v>1.68</v>
      </c>
      <c r="L1120" s="4">
        <v>0</v>
      </c>
      <c r="M1120" s="4">
        <v>109</v>
      </c>
      <c r="N1120" s="4">
        <v>101</v>
      </c>
      <c r="O1120" s="4" t="s">
        <v>26</v>
      </c>
      <c r="P1120" s="7" t="s">
        <v>19</v>
      </c>
      <c r="S1120">
        <v>2379</v>
      </c>
      <c r="T1120" t="str">
        <v>Zambezia</v>
      </c>
      <c r="U1120" t="str">
        <v>Masculino</v>
      </c>
      <c r="V1120" t="str">
        <v>Casado(a)</v>
      </c>
      <c r="W1120" t="str">
        <v>Nenhuma</v>
      </c>
      <c r="X1120" t="str">
        <v>Nao</v>
      </c>
      <c r="Y1120" t="str">
        <v>Tuberculose</v>
      </c>
      <c r="Z1120">
        <v>9</v>
      </c>
      <c r="AA1120">
        <v>30.4</v>
      </c>
      <c r="AB1120">
        <v>1.1499999999999999</v>
      </c>
      <c r="AC1120">
        <v>2</v>
      </c>
      <c r="AD1120">
        <v>114</v>
      </c>
      <c r="AE1120">
        <v>99</v>
      </c>
      <c r="AF1120" t="str">
        <v>Urbana</v>
      </c>
      <c r="AG1120" t="str">
        <v>Nao</v>
      </c>
    </row>
    <row r="1121" spans="2:33" x14ac:dyDescent="0.45">
      <c r="B1121" s="4">
        <v>1120</v>
      </c>
      <c r="C1121" s="4" t="s">
        <v>29</v>
      </c>
      <c r="D1121" s="4" t="s">
        <v>23</v>
      </c>
      <c r="E1121" s="4" t="s">
        <v>17</v>
      </c>
      <c r="F1121" s="4" t="s">
        <v>24</v>
      </c>
      <c r="G1121" s="4" t="s">
        <v>30</v>
      </c>
      <c r="H1121" s="4" t="s">
        <v>32</v>
      </c>
      <c r="I1121" s="4">
        <v>14</v>
      </c>
      <c r="J1121" s="5">
        <v>59.7</v>
      </c>
      <c r="K1121" s="6">
        <v>1.56</v>
      </c>
      <c r="L1121" s="4">
        <v>8</v>
      </c>
      <c r="M1121" s="4">
        <v>118</v>
      </c>
      <c r="N1121" s="4">
        <v>145</v>
      </c>
      <c r="O1121" s="4" t="s">
        <v>21</v>
      </c>
      <c r="P1121" s="7" t="s">
        <v>19</v>
      </c>
      <c r="S1121">
        <v>2380</v>
      </c>
      <c r="T1121" t="str">
        <v>Zambezia</v>
      </c>
      <c r="U1121" t="str">
        <v>Masculino</v>
      </c>
      <c r="V1121" t="str">
        <v>Divorciado(a)</v>
      </c>
      <c r="W1121" t="str">
        <v>Nenhuma</v>
      </c>
      <c r="X1121" t="str">
        <v>Nao</v>
      </c>
      <c r="Y1121" t="str">
        <v>Hipertensao</v>
      </c>
      <c r="Z1121">
        <v>11</v>
      </c>
      <c r="AA1121">
        <v>24.1</v>
      </c>
      <c r="AB1121">
        <v>1.34</v>
      </c>
      <c r="AC1121">
        <v>3</v>
      </c>
      <c r="AD1121">
        <v>132</v>
      </c>
      <c r="AE1121">
        <v>81</v>
      </c>
      <c r="AF1121" t="str">
        <v>Urbana</v>
      </c>
      <c r="AG1121" t="str">
        <v>Nao</v>
      </c>
    </row>
    <row r="1122" spans="2:33" x14ac:dyDescent="0.45">
      <c r="B1122" s="4">
        <v>1121</v>
      </c>
      <c r="C1122" s="4" t="s">
        <v>40</v>
      </c>
      <c r="D1122" s="4" t="s">
        <v>16</v>
      </c>
      <c r="E1122" s="4" t="s">
        <v>35</v>
      </c>
      <c r="F1122" s="4" t="s">
        <v>18</v>
      </c>
      <c r="G1122" s="4" t="s">
        <v>19</v>
      </c>
      <c r="H1122" s="4" t="s">
        <v>20</v>
      </c>
      <c r="I1122" s="4">
        <v>3</v>
      </c>
      <c r="J1122" s="5">
        <v>9.1</v>
      </c>
      <c r="K1122" s="6">
        <v>1.01</v>
      </c>
      <c r="L1122" s="4">
        <v>2</v>
      </c>
      <c r="M1122" s="4">
        <v>94</v>
      </c>
      <c r="N1122" s="4">
        <v>95</v>
      </c>
      <c r="O1122" s="4" t="s">
        <v>26</v>
      </c>
      <c r="P1122" s="7" t="s">
        <v>19</v>
      </c>
      <c r="S1122">
        <v>2381</v>
      </c>
      <c r="T1122" t="str">
        <v>Nampula</v>
      </c>
      <c r="U1122" t="str">
        <v>Masculino</v>
      </c>
      <c r="V1122" t="str">
        <v>Solteiro(a)</v>
      </c>
      <c r="W1122" t="str">
        <v>Primaria</v>
      </c>
      <c r="X1122" t="str">
        <v>Nao</v>
      </c>
      <c r="Y1122" t="str">
        <v>Hipertensao</v>
      </c>
      <c r="Z1122">
        <v>13</v>
      </c>
      <c r="AA1122">
        <v>60.2</v>
      </c>
      <c r="AB1122">
        <v>1.63</v>
      </c>
      <c r="AC1122">
        <v>5</v>
      </c>
      <c r="AD1122">
        <v>131</v>
      </c>
      <c r="AE1122">
        <v>84</v>
      </c>
      <c r="AF1122" t="str">
        <v>Rural</v>
      </c>
      <c r="AG1122" t="str">
        <v>Sim</v>
      </c>
    </row>
    <row r="1123" spans="2:33" x14ac:dyDescent="0.45">
      <c r="B1123" s="4">
        <v>1122</v>
      </c>
      <c r="C1123" s="4" t="s">
        <v>27</v>
      </c>
      <c r="D1123" s="4" t="s">
        <v>23</v>
      </c>
      <c r="E1123" s="4" t="s">
        <v>37</v>
      </c>
      <c r="F1123" s="4" t="s">
        <v>24</v>
      </c>
      <c r="G1123" s="4" t="s">
        <v>19</v>
      </c>
      <c r="H1123" s="4" t="s">
        <v>25</v>
      </c>
      <c r="I1123" s="4">
        <v>10</v>
      </c>
      <c r="J1123" s="5">
        <v>37.4</v>
      </c>
      <c r="K1123" s="6">
        <v>1.28</v>
      </c>
      <c r="L1123" s="4">
        <v>2</v>
      </c>
      <c r="M1123" s="4">
        <v>122</v>
      </c>
      <c r="N1123" s="4">
        <v>104</v>
      </c>
      <c r="O1123" s="4" t="s">
        <v>26</v>
      </c>
      <c r="P1123" s="7" t="s">
        <v>30</v>
      </c>
      <c r="S1123">
        <v>2384</v>
      </c>
      <c r="T1123" t="str">
        <v>Niassa</v>
      </c>
      <c r="U1123" t="str">
        <v>Masculino</v>
      </c>
      <c r="V1123" t="str">
        <v>Solteiro(a)</v>
      </c>
      <c r="W1123" t="str">
        <v>Superior</v>
      </c>
      <c r="X1123" t="str">
        <v>Nao</v>
      </c>
      <c r="Y1123" t="str">
        <v>Hipertensao</v>
      </c>
      <c r="Z1123">
        <v>16</v>
      </c>
      <c r="AA1123">
        <v>49</v>
      </c>
      <c r="AB1123">
        <v>1.59</v>
      </c>
      <c r="AC1123">
        <v>4</v>
      </c>
      <c r="AD1123">
        <v>130</v>
      </c>
      <c r="AE1123">
        <v>94</v>
      </c>
      <c r="AF1123" t="str">
        <v>Rural</v>
      </c>
      <c r="AG1123" t="str">
        <v>Nao</v>
      </c>
    </row>
    <row r="1124" spans="2:33" x14ac:dyDescent="0.45">
      <c r="B1124" s="4">
        <v>1123</v>
      </c>
      <c r="C1124" s="4" t="s">
        <v>29</v>
      </c>
      <c r="D1124" s="4" t="s">
        <v>16</v>
      </c>
      <c r="E1124" s="4" t="s">
        <v>37</v>
      </c>
      <c r="F1124" s="4" t="s">
        <v>24</v>
      </c>
      <c r="G1124" s="4" t="s">
        <v>19</v>
      </c>
      <c r="H1124" s="4" t="s">
        <v>20</v>
      </c>
      <c r="I1124" s="4">
        <v>18</v>
      </c>
      <c r="J1124" s="5">
        <v>46.9</v>
      </c>
      <c r="K1124" s="6">
        <v>1.77</v>
      </c>
      <c r="L1124" s="4">
        <v>1</v>
      </c>
      <c r="M1124" s="4">
        <v>113</v>
      </c>
      <c r="N1124" s="4">
        <v>102</v>
      </c>
      <c r="O1124" s="4" t="s">
        <v>26</v>
      </c>
      <c r="P1124" s="7" t="s">
        <v>19</v>
      </c>
      <c r="S1124">
        <v>2386</v>
      </c>
      <c r="T1124" t="str">
        <v>Inhambane</v>
      </c>
      <c r="U1124" t="str">
        <v>Masculino</v>
      </c>
      <c r="V1124" t="str">
        <v>Solteiro(a)</v>
      </c>
      <c r="W1124" t="str">
        <v>Superior</v>
      </c>
      <c r="X1124" t="str">
        <v>Nao</v>
      </c>
      <c r="Y1124" t="str">
        <v>Diabetes</v>
      </c>
      <c r="Z1124">
        <v>13</v>
      </c>
      <c r="AA1124">
        <v>57.6</v>
      </c>
      <c r="AB1124">
        <v>1.59</v>
      </c>
      <c r="AC1124">
        <v>4</v>
      </c>
      <c r="AD1124">
        <v>105</v>
      </c>
      <c r="AE1124">
        <v>157</v>
      </c>
      <c r="AF1124" t="str">
        <v>Rural</v>
      </c>
      <c r="AG1124" t="str">
        <v>Nao</v>
      </c>
    </row>
    <row r="1125" spans="2:33" x14ac:dyDescent="0.45">
      <c r="B1125" s="4">
        <v>1124</v>
      </c>
      <c r="C1125" s="4" t="s">
        <v>27</v>
      </c>
      <c r="D1125" s="4" t="s">
        <v>23</v>
      </c>
      <c r="E1125" s="4" t="s">
        <v>35</v>
      </c>
      <c r="F1125" s="4" t="s">
        <v>24</v>
      </c>
      <c r="G1125" s="4" t="s">
        <v>19</v>
      </c>
      <c r="H1125" s="4" t="s">
        <v>38</v>
      </c>
      <c r="I1125" s="4">
        <v>6</v>
      </c>
      <c r="J1125" s="5">
        <v>27.9</v>
      </c>
      <c r="K1125" s="6">
        <v>1.21</v>
      </c>
      <c r="L1125" s="4">
        <v>5</v>
      </c>
      <c r="M1125" s="4">
        <v>104</v>
      </c>
      <c r="N1125" s="4">
        <v>84</v>
      </c>
      <c r="O1125" s="4" t="s">
        <v>26</v>
      </c>
      <c r="P1125" s="7" t="s">
        <v>19</v>
      </c>
      <c r="S1125">
        <v>2389</v>
      </c>
      <c r="T1125" t="str">
        <v>Maputo Cidade</v>
      </c>
      <c r="U1125" t="str">
        <v>Masculino</v>
      </c>
      <c r="V1125" t="str">
        <v>Solteiro(a)</v>
      </c>
      <c r="W1125" t="str">
        <v>Primaria</v>
      </c>
      <c r="X1125" t="str">
        <v>Nao</v>
      </c>
      <c r="Y1125" t="str">
        <v>Hipertensao</v>
      </c>
      <c r="Z1125">
        <v>56</v>
      </c>
      <c r="AA1125">
        <v>56.5</v>
      </c>
      <c r="AB1125">
        <v>1.67</v>
      </c>
      <c r="AC1125">
        <v>2</v>
      </c>
      <c r="AD1125">
        <v>127</v>
      </c>
      <c r="AE1125">
        <v>101</v>
      </c>
      <c r="AF1125" t="str">
        <v>Rural</v>
      </c>
      <c r="AG1125" t="str">
        <v>Nao</v>
      </c>
    </row>
    <row r="1126" spans="2:33" x14ac:dyDescent="0.45">
      <c r="B1126" s="4">
        <v>1125</v>
      </c>
      <c r="C1126" s="4" t="s">
        <v>31</v>
      </c>
      <c r="D1126" s="4" t="s">
        <v>23</v>
      </c>
      <c r="E1126" s="4" t="s">
        <v>35</v>
      </c>
      <c r="F1126" s="4" t="s">
        <v>42</v>
      </c>
      <c r="G1126" s="4" t="s">
        <v>30</v>
      </c>
      <c r="H1126" s="4" t="s">
        <v>36</v>
      </c>
      <c r="I1126" s="4">
        <v>55</v>
      </c>
      <c r="J1126" s="5">
        <v>58.3</v>
      </c>
      <c r="K1126" s="6">
        <v>1.76</v>
      </c>
      <c r="L1126" s="4">
        <v>4</v>
      </c>
      <c r="M1126" s="4">
        <v>131</v>
      </c>
      <c r="N1126" s="4">
        <v>91</v>
      </c>
      <c r="O1126" s="4" t="s">
        <v>26</v>
      </c>
      <c r="P1126" s="7" t="s">
        <v>30</v>
      </c>
      <c r="S1126">
        <v>2392</v>
      </c>
      <c r="T1126" t="str">
        <v>Sofala</v>
      </c>
      <c r="U1126" t="str">
        <v>Masculino</v>
      </c>
      <c r="V1126" t="str">
        <v>Solteiro(a)</v>
      </c>
      <c r="W1126" t="str">
        <v>Superior</v>
      </c>
      <c r="X1126" t="str">
        <v>Nao</v>
      </c>
      <c r="Y1126" t="str">
        <v>HIV/SIDA</v>
      </c>
      <c r="Z1126">
        <v>4</v>
      </c>
      <c r="AA1126">
        <v>12.9</v>
      </c>
      <c r="AB1126">
        <v>1.02</v>
      </c>
      <c r="AC1126">
        <v>5</v>
      </c>
      <c r="AD1126">
        <v>101</v>
      </c>
      <c r="AE1126">
        <v>93</v>
      </c>
      <c r="AF1126" t="str">
        <v>Urbana</v>
      </c>
      <c r="AG1126" t="str">
        <v>Nao</v>
      </c>
    </row>
    <row r="1127" spans="2:33" x14ac:dyDescent="0.45">
      <c r="B1127" s="4">
        <v>1126</v>
      </c>
      <c r="C1127" s="4" t="s">
        <v>31</v>
      </c>
      <c r="D1127" s="4" t="s">
        <v>23</v>
      </c>
      <c r="E1127" s="4" t="s">
        <v>44</v>
      </c>
      <c r="F1127" s="4" t="s">
        <v>28</v>
      </c>
      <c r="G1127" s="4" t="s">
        <v>19</v>
      </c>
      <c r="H1127" s="4" t="s">
        <v>28</v>
      </c>
      <c r="I1127" s="4">
        <v>7</v>
      </c>
      <c r="J1127" s="5">
        <v>30</v>
      </c>
      <c r="K1127" s="6">
        <v>1.23</v>
      </c>
      <c r="L1127" s="4">
        <v>4</v>
      </c>
      <c r="M1127" s="4">
        <v>104</v>
      </c>
      <c r="N1127" s="4">
        <v>77</v>
      </c>
      <c r="O1127" s="4" t="s">
        <v>26</v>
      </c>
      <c r="P1127" s="7" t="s">
        <v>30</v>
      </c>
      <c r="S1127">
        <v>2393</v>
      </c>
      <c r="T1127" t="str">
        <v>Manica</v>
      </c>
      <c r="U1127" t="str">
        <v>Masculino</v>
      </c>
      <c r="V1127" t="str">
        <v>Viuvo(a)</v>
      </c>
      <c r="W1127" t="str">
        <v>Nenhuma</v>
      </c>
      <c r="X1127" t="str">
        <v>Nao</v>
      </c>
      <c r="Y1127" t="str">
        <v>Hipertensao</v>
      </c>
      <c r="Z1127">
        <v>36</v>
      </c>
      <c r="AA1127">
        <v>75.8</v>
      </c>
      <c r="AB1127">
        <v>1.86</v>
      </c>
      <c r="AC1127">
        <v>7</v>
      </c>
      <c r="AD1127">
        <v>138</v>
      </c>
      <c r="AE1127">
        <v>84</v>
      </c>
      <c r="AF1127" t="str">
        <v>Rural</v>
      </c>
      <c r="AG1127" t="str">
        <v>Nao</v>
      </c>
    </row>
    <row r="1128" spans="2:33" x14ac:dyDescent="0.45">
      <c r="B1128" s="4">
        <v>1127</v>
      </c>
      <c r="C1128" s="4" t="s">
        <v>41</v>
      </c>
      <c r="D1128" s="4" t="s">
        <v>16</v>
      </c>
      <c r="E1128" s="4" t="s">
        <v>35</v>
      </c>
      <c r="F1128" s="4" t="s">
        <v>24</v>
      </c>
      <c r="G1128" s="4" t="s">
        <v>19</v>
      </c>
      <c r="H1128" s="4" t="s">
        <v>38</v>
      </c>
      <c r="I1128" s="4">
        <v>23</v>
      </c>
      <c r="J1128" s="5">
        <v>69.3</v>
      </c>
      <c r="K1128" s="6">
        <v>1.75</v>
      </c>
      <c r="L1128" s="4">
        <v>1</v>
      </c>
      <c r="M1128" s="4">
        <v>99</v>
      </c>
      <c r="N1128" s="4">
        <v>83</v>
      </c>
      <c r="O1128" s="4" t="s">
        <v>26</v>
      </c>
      <c r="P1128" s="7" t="s">
        <v>19</v>
      </c>
      <c r="S1128">
        <v>2394</v>
      </c>
      <c r="T1128" t="str">
        <v>Maputo Provincia</v>
      </c>
      <c r="U1128" t="str">
        <v>Masculino</v>
      </c>
      <c r="V1128" t="str">
        <v>Solteiro(a)</v>
      </c>
      <c r="W1128" t="str">
        <v>Secundaria</v>
      </c>
      <c r="X1128" t="str">
        <v>Nao</v>
      </c>
      <c r="Y1128" t="str">
        <v>Pneumonia</v>
      </c>
      <c r="Z1128">
        <v>30</v>
      </c>
      <c r="AA1128">
        <v>68.599999999999994</v>
      </c>
      <c r="AB1128">
        <v>1.64</v>
      </c>
      <c r="AC1128">
        <v>2</v>
      </c>
      <c r="AD1128">
        <v>113</v>
      </c>
      <c r="AE1128">
        <v>95</v>
      </c>
      <c r="AF1128" t="str">
        <v>Urbana</v>
      </c>
      <c r="AG1128" t="str">
        <v>Nao</v>
      </c>
    </row>
    <row r="1129" spans="2:33" x14ac:dyDescent="0.45">
      <c r="B1129" s="4">
        <v>1128</v>
      </c>
      <c r="C1129" s="4" t="s">
        <v>41</v>
      </c>
      <c r="D1129" s="4" t="s">
        <v>16</v>
      </c>
      <c r="E1129" s="4" t="s">
        <v>17</v>
      </c>
      <c r="F1129" s="4" t="s">
        <v>24</v>
      </c>
      <c r="G1129" s="4" t="s">
        <v>19</v>
      </c>
      <c r="H1129" s="4" t="s">
        <v>34</v>
      </c>
      <c r="I1129" s="4">
        <v>31</v>
      </c>
      <c r="J1129" s="5">
        <v>50</v>
      </c>
      <c r="K1129" s="6">
        <v>1.79</v>
      </c>
      <c r="L1129" s="4">
        <v>1</v>
      </c>
      <c r="M1129" s="4">
        <v>120</v>
      </c>
      <c r="N1129" s="4">
        <v>88</v>
      </c>
      <c r="O1129" s="4" t="s">
        <v>26</v>
      </c>
      <c r="P1129" s="7" t="s">
        <v>30</v>
      </c>
      <c r="S1129">
        <v>2395</v>
      </c>
      <c r="T1129" t="str">
        <v>Tete</v>
      </c>
      <c r="U1129" t="str">
        <v>Masculino</v>
      </c>
      <c r="V1129" t="str">
        <v>Casado(a)</v>
      </c>
      <c r="W1129" t="str">
        <v>Primaria</v>
      </c>
      <c r="X1129" t="str">
        <v>Sim</v>
      </c>
      <c r="Y1129" t="str">
        <v>Nenhuma</v>
      </c>
      <c r="Z1129">
        <v>29</v>
      </c>
      <c r="AA1129">
        <v>78.599999999999994</v>
      </c>
      <c r="AB1129">
        <v>1.73</v>
      </c>
      <c r="AC1129">
        <v>1</v>
      </c>
      <c r="AD1129">
        <v>108</v>
      </c>
      <c r="AE1129">
        <v>103</v>
      </c>
      <c r="AF1129" t="str">
        <v>Urbana</v>
      </c>
      <c r="AG1129" t="str">
        <v>Sim</v>
      </c>
    </row>
    <row r="1130" spans="2:33" x14ac:dyDescent="0.45">
      <c r="B1130" s="4">
        <v>1129</v>
      </c>
      <c r="C1130" s="4" t="s">
        <v>29</v>
      </c>
      <c r="D1130" s="4" t="s">
        <v>23</v>
      </c>
      <c r="E1130" s="4" t="s">
        <v>17</v>
      </c>
      <c r="F1130" s="4" t="s">
        <v>24</v>
      </c>
      <c r="G1130" s="4" t="s">
        <v>30</v>
      </c>
      <c r="H1130" s="4" t="s">
        <v>25</v>
      </c>
      <c r="I1130" s="4">
        <v>53</v>
      </c>
      <c r="J1130" s="5">
        <v>67.8</v>
      </c>
      <c r="K1130" s="6">
        <v>1.58</v>
      </c>
      <c r="L1130" s="4">
        <v>4</v>
      </c>
      <c r="M1130" s="4">
        <v>111</v>
      </c>
      <c r="N1130" s="4">
        <v>98</v>
      </c>
      <c r="O1130" s="4" t="s">
        <v>26</v>
      </c>
      <c r="P1130" s="7" t="s">
        <v>30</v>
      </c>
      <c r="S1130">
        <v>2396</v>
      </c>
      <c r="T1130" t="str">
        <v>Manica</v>
      </c>
      <c r="U1130" t="str">
        <v>Masculino</v>
      </c>
      <c r="V1130" t="str">
        <v>Casado(a)</v>
      </c>
      <c r="W1130" t="str">
        <v>Primaria</v>
      </c>
      <c r="X1130" t="str">
        <v>Sim</v>
      </c>
      <c r="Y1130" t="str">
        <v>Nenhuma</v>
      </c>
      <c r="Z1130">
        <v>24</v>
      </c>
      <c r="AA1130">
        <v>56.9</v>
      </c>
      <c r="AB1130">
        <v>1.69</v>
      </c>
      <c r="AC1130">
        <v>2</v>
      </c>
      <c r="AD1130">
        <v>110</v>
      </c>
      <c r="AE1130">
        <v>72</v>
      </c>
      <c r="AF1130" t="str">
        <v>Urbana</v>
      </c>
      <c r="AG1130" t="str">
        <v>Sim</v>
      </c>
    </row>
    <row r="1131" spans="2:33" x14ac:dyDescent="0.45">
      <c r="B1131" s="4">
        <v>1130</v>
      </c>
      <c r="C1131" s="4" t="s">
        <v>15</v>
      </c>
      <c r="D1131" s="4" t="s">
        <v>23</v>
      </c>
      <c r="E1131" s="4" t="s">
        <v>17</v>
      </c>
      <c r="F1131" s="4" t="s">
        <v>24</v>
      </c>
      <c r="G1131" s="4" t="s">
        <v>19</v>
      </c>
      <c r="H1131" s="4" t="s">
        <v>20</v>
      </c>
      <c r="I1131" s="4">
        <v>48</v>
      </c>
      <c r="J1131" s="5">
        <v>71.400000000000006</v>
      </c>
      <c r="K1131" s="6">
        <v>1.76</v>
      </c>
      <c r="L1131" s="4">
        <v>7</v>
      </c>
      <c r="M1131" s="4">
        <v>112</v>
      </c>
      <c r="N1131" s="4">
        <v>100</v>
      </c>
      <c r="O1131" s="4" t="s">
        <v>26</v>
      </c>
      <c r="P1131" s="7" t="s">
        <v>30</v>
      </c>
      <c r="S1131">
        <v>2397</v>
      </c>
      <c r="T1131" t="str">
        <v>Nampula</v>
      </c>
      <c r="U1131" t="str">
        <v>Masculino</v>
      </c>
      <c r="V1131" t="str">
        <v>Solteiro(a)</v>
      </c>
      <c r="W1131" t="str">
        <v>Secundaria</v>
      </c>
      <c r="X1131" t="str">
        <v>Nao</v>
      </c>
      <c r="Y1131" t="str">
        <v>Malaria</v>
      </c>
      <c r="Z1131">
        <v>22</v>
      </c>
      <c r="AA1131">
        <v>77.099999999999994</v>
      </c>
      <c r="AB1131">
        <v>1.68</v>
      </c>
      <c r="AC1131">
        <v>9</v>
      </c>
      <c r="AD1131">
        <v>117</v>
      </c>
      <c r="AE1131">
        <v>99</v>
      </c>
      <c r="AF1131" t="str">
        <v>Rural</v>
      </c>
      <c r="AG1131" t="str">
        <v>Sim</v>
      </c>
    </row>
    <row r="1132" spans="2:33" x14ac:dyDescent="0.45">
      <c r="B1132" s="4">
        <v>1131</v>
      </c>
      <c r="C1132" s="4" t="s">
        <v>40</v>
      </c>
      <c r="D1132" s="4" t="s">
        <v>16</v>
      </c>
      <c r="E1132" s="4" t="s">
        <v>37</v>
      </c>
      <c r="F1132" s="4" t="s">
        <v>42</v>
      </c>
      <c r="G1132" s="4" t="s">
        <v>19</v>
      </c>
      <c r="H1132" s="4" t="s">
        <v>25</v>
      </c>
      <c r="I1132" s="4">
        <v>13</v>
      </c>
      <c r="J1132" s="5">
        <v>46.6</v>
      </c>
      <c r="K1132" s="6">
        <v>1.68</v>
      </c>
      <c r="L1132" s="4">
        <v>2</v>
      </c>
      <c r="M1132" s="4">
        <v>115</v>
      </c>
      <c r="N1132" s="4">
        <v>91</v>
      </c>
      <c r="O1132" s="4" t="s">
        <v>21</v>
      </c>
      <c r="P1132" s="7" t="s">
        <v>19</v>
      </c>
      <c r="S1132">
        <v>2400</v>
      </c>
      <c r="T1132" t="str">
        <v>Gaza</v>
      </c>
      <c r="U1132" t="str">
        <v>Masculino</v>
      </c>
      <c r="V1132" t="str">
        <v>Casado(a)</v>
      </c>
      <c r="W1132" t="str">
        <v>Nenhuma</v>
      </c>
      <c r="X1132" t="str">
        <v>Nao</v>
      </c>
      <c r="Y1132" t="str">
        <v>Malaria</v>
      </c>
      <c r="Z1132">
        <v>16</v>
      </c>
      <c r="AA1132">
        <v>43.6</v>
      </c>
      <c r="AB1132">
        <v>1.52</v>
      </c>
      <c r="AC1132">
        <v>8</v>
      </c>
      <c r="AD1132">
        <v>104</v>
      </c>
      <c r="AE1132">
        <v>85</v>
      </c>
      <c r="AF1132" t="str">
        <v>Urbana</v>
      </c>
      <c r="AG1132" t="str">
        <v>Nao</v>
      </c>
    </row>
    <row r="1133" spans="2:33" x14ac:dyDescent="0.45">
      <c r="B1133" s="4">
        <v>1132</v>
      </c>
      <c r="C1133" s="4" t="s">
        <v>40</v>
      </c>
      <c r="D1133" s="4" t="s">
        <v>16</v>
      </c>
      <c r="E1133" s="4" t="s">
        <v>35</v>
      </c>
      <c r="F1133" s="4" t="s">
        <v>28</v>
      </c>
      <c r="G1133" s="4" t="s">
        <v>19</v>
      </c>
      <c r="H1133" s="4" t="s">
        <v>28</v>
      </c>
      <c r="I1133" s="4">
        <v>15</v>
      </c>
      <c r="J1133" s="5">
        <v>48.2</v>
      </c>
      <c r="K1133" s="6">
        <v>1.73</v>
      </c>
      <c r="L1133" s="4">
        <v>3</v>
      </c>
      <c r="M1133" s="4">
        <v>99</v>
      </c>
      <c r="N1133" s="4">
        <v>79</v>
      </c>
      <c r="O1133" s="4" t="s">
        <v>26</v>
      </c>
      <c r="P1133" s="7" t="s">
        <v>19</v>
      </c>
      <c r="S1133">
        <v>2402</v>
      </c>
      <c r="T1133" t="str">
        <v>Zambezia</v>
      </c>
      <c r="U1133" t="str">
        <v>Masculino</v>
      </c>
      <c r="V1133" t="str">
        <v>Casado(a)</v>
      </c>
      <c r="W1133" t="str">
        <v>Secundaria</v>
      </c>
      <c r="X1133" t="str">
        <v>Nao</v>
      </c>
      <c r="Y1133" t="str">
        <v>Pneumonia</v>
      </c>
      <c r="Z1133">
        <v>25</v>
      </c>
      <c r="AA1133">
        <v>77.099999999999994</v>
      </c>
      <c r="AB1133">
        <v>1.86</v>
      </c>
      <c r="AC1133">
        <v>2</v>
      </c>
      <c r="AD1133">
        <v>119</v>
      </c>
      <c r="AE1133">
        <v>100</v>
      </c>
      <c r="AF1133" t="str">
        <v>Rural</v>
      </c>
      <c r="AG1133" t="str">
        <v>Nao</v>
      </c>
    </row>
    <row r="1134" spans="2:33" x14ac:dyDescent="0.45">
      <c r="B1134" s="4">
        <v>1133</v>
      </c>
      <c r="C1134" s="4" t="s">
        <v>31</v>
      </c>
      <c r="D1134" s="4" t="s">
        <v>23</v>
      </c>
      <c r="E1134" s="4" t="s">
        <v>35</v>
      </c>
      <c r="F1134" s="4" t="s">
        <v>18</v>
      </c>
      <c r="G1134" s="4" t="s">
        <v>30</v>
      </c>
      <c r="H1134" s="4" t="s">
        <v>20</v>
      </c>
      <c r="I1134" s="4">
        <v>11</v>
      </c>
      <c r="J1134" s="5">
        <v>27.2</v>
      </c>
      <c r="K1134" s="6">
        <v>1.28</v>
      </c>
      <c r="L1134" s="4">
        <v>1</v>
      </c>
      <c r="M1134" s="4">
        <v>106</v>
      </c>
      <c r="N1134" s="4">
        <v>88</v>
      </c>
      <c r="O1134" s="4" t="s">
        <v>26</v>
      </c>
      <c r="P1134" s="7" t="s">
        <v>19</v>
      </c>
      <c r="S1134">
        <v>2404</v>
      </c>
      <c r="T1134" t="str">
        <v>Nampula</v>
      </c>
      <c r="U1134" t="str">
        <v>Masculino</v>
      </c>
      <c r="V1134" t="str">
        <v>Casado(a)</v>
      </c>
      <c r="W1134" t="str">
        <v>Primaria</v>
      </c>
      <c r="X1134" t="str">
        <v>Nao</v>
      </c>
      <c r="Y1134" t="str">
        <v>Malaria</v>
      </c>
      <c r="Z1134">
        <v>63</v>
      </c>
      <c r="AA1134">
        <v>46.3</v>
      </c>
      <c r="AB1134">
        <v>1.87</v>
      </c>
      <c r="AC1134">
        <v>6</v>
      </c>
      <c r="AD1134">
        <v>118</v>
      </c>
      <c r="AE1134">
        <v>84</v>
      </c>
      <c r="AF1134" t="str">
        <v>Rural</v>
      </c>
      <c r="AG1134" t="str">
        <v>Nao</v>
      </c>
    </row>
    <row r="1135" spans="2:33" x14ac:dyDescent="0.45">
      <c r="B1135" s="4">
        <v>1134</v>
      </c>
      <c r="C1135" s="4" t="s">
        <v>27</v>
      </c>
      <c r="D1135" s="4" t="s">
        <v>23</v>
      </c>
      <c r="E1135" s="4" t="s">
        <v>17</v>
      </c>
      <c r="F1135" s="4" t="s">
        <v>18</v>
      </c>
      <c r="G1135" s="4" t="s">
        <v>19</v>
      </c>
      <c r="H1135" s="4" t="s">
        <v>25</v>
      </c>
      <c r="I1135" s="4">
        <v>27</v>
      </c>
      <c r="J1135" s="5">
        <v>62.2</v>
      </c>
      <c r="K1135" s="6">
        <v>1.72</v>
      </c>
      <c r="L1135" s="4">
        <v>2</v>
      </c>
      <c r="M1135" s="4">
        <v>104</v>
      </c>
      <c r="N1135" s="4">
        <v>101</v>
      </c>
      <c r="O1135" s="4" t="s">
        <v>21</v>
      </c>
      <c r="P1135" s="7" t="s">
        <v>19</v>
      </c>
      <c r="S1135">
        <v>2405</v>
      </c>
      <c r="T1135" t="str">
        <v>Zambezia</v>
      </c>
      <c r="U1135" t="str">
        <v>Masculino</v>
      </c>
      <c r="V1135" t="str">
        <v>Casado(a)</v>
      </c>
      <c r="W1135" t="str">
        <v>Nenhuma</v>
      </c>
      <c r="X1135" t="str">
        <v>Nao</v>
      </c>
      <c r="Y1135" t="str">
        <v>Hipertensao</v>
      </c>
      <c r="Z1135">
        <v>13</v>
      </c>
      <c r="AA1135">
        <v>46</v>
      </c>
      <c r="AB1135">
        <v>1.59</v>
      </c>
      <c r="AC1135">
        <v>3</v>
      </c>
      <c r="AD1135">
        <v>129</v>
      </c>
      <c r="AE1135">
        <v>88</v>
      </c>
      <c r="AF1135" t="str">
        <v>Rural</v>
      </c>
      <c r="AG1135" t="str">
        <v>Nao</v>
      </c>
    </row>
    <row r="1136" spans="2:33" x14ac:dyDescent="0.45">
      <c r="B1136" s="4">
        <v>1135</v>
      </c>
      <c r="C1136" s="4" t="s">
        <v>41</v>
      </c>
      <c r="D1136" s="4" t="s">
        <v>16</v>
      </c>
      <c r="E1136" s="4" t="s">
        <v>35</v>
      </c>
      <c r="F1136" s="4" t="s">
        <v>18</v>
      </c>
      <c r="G1136" s="4" t="s">
        <v>30</v>
      </c>
      <c r="H1136" s="4" t="s">
        <v>32</v>
      </c>
      <c r="I1136" s="4">
        <v>19</v>
      </c>
      <c r="J1136" s="5">
        <v>50.5</v>
      </c>
      <c r="K1136" s="6">
        <v>1.86</v>
      </c>
      <c r="L1136" s="4">
        <v>1</v>
      </c>
      <c r="M1136" s="4">
        <v>117</v>
      </c>
      <c r="N1136" s="4">
        <v>114</v>
      </c>
      <c r="O1136" s="4" t="s">
        <v>21</v>
      </c>
      <c r="P1136" s="7" t="s">
        <v>30</v>
      </c>
      <c r="S1136">
        <v>2407</v>
      </c>
      <c r="T1136" t="str">
        <v>Nampula</v>
      </c>
      <c r="U1136" t="str">
        <v>Masculino</v>
      </c>
      <c r="V1136" t="str">
        <v>Solteiro(a)</v>
      </c>
      <c r="W1136" t="str">
        <v>Secundaria</v>
      </c>
      <c r="X1136" t="str">
        <v>Nao</v>
      </c>
      <c r="Y1136" t="str">
        <v>Malaria</v>
      </c>
      <c r="Z1136">
        <v>42</v>
      </c>
      <c r="AA1136">
        <v>55.2</v>
      </c>
      <c r="AB1136">
        <v>1.49</v>
      </c>
      <c r="AC1136">
        <v>2</v>
      </c>
      <c r="AD1136">
        <v>119</v>
      </c>
      <c r="AE1136">
        <v>74</v>
      </c>
      <c r="AF1136" t="str">
        <v>Urbana</v>
      </c>
      <c r="AG1136" t="str">
        <v>Sim</v>
      </c>
    </row>
    <row r="1137" spans="2:33" x14ac:dyDescent="0.45">
      <c r="B1137" s="4">
        <v>1136</v>
      </c>
      <c r="C1137" s="4" t="s">
        <v>29</v>
      </c>
      <c r="D1137" s="4" t="s">
        <v>23</v>
      </c>
      <c r="E1137" s="4" t="s">
        <v>35</v>
      </c>
      <c r="F1137" s="4" t="s">
        <v>24</v>
      </c>
      <c r="G1137" s="4" t="s">
        <v>19</v>
      </c>
      <c r="H1137" s="4" t="s">
        <v>32</v>
      </c>
      <c r="I1137" s="4">
        <v>58</v>
      </c>
      <c r="J1137" s="5">
        <v>87.7</v>
      </c>
      <c r="K1137" s="6">
        <v>1.66</v>
      </c>
      <c r="L1137" s="4">
        <v>2</v>
      </c>
      <c r="M1137" s="4">
        <v>127</v>
      </c>
      <c r="N1137" s="4">
        <v>152</v>
      </c>
      <c r="O1137" s="4" t="s">
        <v>21</v>
      </c>
      <c r="P1137" s="7" t="s">
        <v>19</v>
      </c>
      <c r="S1137">
        <v>2409</v>
      </c>
      <c r="T1137" t="str">
        <v>Inhambane</v>
      </c>
      <c r="U1137" t="str">
        <v>Masculino</v>
      </c>
      <c r="V1137" t="str">
        <v>Casado(a)</v>
      </c>
      <c r="W1137" t="str">
        <v>Primaria</v>
      </c>
      <c r="X1137" t="str">
        <v>Nao</v>
      </c>
      <c r="Y1137" t="str">
        <v>Malaria</v>
      </c>
      <c r="Z1137">
        <v>7</v>
      </c>
      <c r="AA1137">
        <v>32.299999999999997</v>
      </c>
      <c r="AB1137">
        <v>1.05</v>
      </c>
      <c r="AC1137">
        <v>0</v>
      </c>
      <c r="AD1137">
        <v>101</v>
      </c>
      <c r="AE1137">
        <v>82</v>
      </c>
      <c r="AF1137" t="str">
        <v>Urbana</v>
      </c>
      <c r="AG1137" t="str">
        <v>Nao</v>
      </c>
    </row>
    <row r="1138" spans="2:33" x14ac:dyDescent="0.45">
      <c r="B1138" s="4">
        <v>1137</v>
      </c>
      <c r="C1138" s="4" t="s">
        <v>22</v>
      </c>
      <c r="D1138" s="4" t="s">
        <v>23</v>
      </c>
      <c r="E1138" s="4" t="s">
        <v>44</v>
      </c>
      <c r="F1138" s="4" t="s">
        <v>18</v>
      </c>
      <c r="G1138" s="4" t="s">
        <v>19</v>
      </c>
      <c r="H1138" s="4" t="s">
        <v>25</v>
      </c>
      <c r="I1138" s="4">
        <v>64</v>
      </c>
      <c r="J1138" s="5">
        <v>54.6</v>
      </c>
      <c r="K1138" s="6">
        <v>1.55</v>
      </c>
      <c r="L1138" s="4">
        <v>2</v>
      </c>
      <c r="M1138" s="4">
        <v>112</v>
      </c>
      <c r="N1138" s="4">
        <v>84</v>
      </c>
      <c r="O1138" s="4" t="s">
        <v>21</v>
      </c>
      <c r="P1138" s="7" t="s">
        <v>19</v>
      </c>
      <c r="S1138">
        <v>2411</v>
      </c>
      <c r="T1138" t="str">
        <v>Sofala</v>
      </c>
      <c r="U1138" t="str">
        <v>Masculino</v>
      </c>
      <c r="V1138" t="str">
        <v>Casado(a)</v>
      </c>
      <c r="W1138" t="str">
        <v>Secundaria</v>
      </c>
      <c r="X1138" t="str">
        <v>Nao</v>
      </c>
      <c r="Y1138" t="str">
        <v>Hipertensao</v>
      </c>
      <c r="Z1138">
        <v>61</v>
      </c>
      <c r="AA1138">
        <v>89.7</v>
      </c>
      <c r="AB1138">
        <v>1.72</v>
      </c>
      <c r="AC1138">
        <v>1</v>
      </c>
      <c r="AD1138">
        <v>154</v>
      </c>
      <c r="AE1138">
        <v>101</v>
      </c>
      <c r="AF1138" t="str">
        <v>Rural</v>
      </c>
      <c r="AG1138" t="str">
        <v>Nao</v>
      </c>
    </row>
    <row r="1139" spans="2:33" x14ac:dyDescent="0.45">
      <c r="B1139" s="4">
        <v>1138</v>
      </c>
      <c r="C1139" s="4" t="s">
        <v>15</v>
      </c>
      <c r="D1139" s="4" t="s">
        <v>23</v>
      </c>
      <c r="E1139" s="4" t="s">
        <v>17</v>
      </c>
      <c r="F1139" s="4" t="s">
        <v>28</v>
      </c>
      <c r="G1139" s="4" t="s">
        <v>30</v>
      </c>
      <c r="H1139" s="4" t="s">
        <v>20</v>
      </c>
      <c r="I1139" s="4">
        <v>19</v>
      </c>
      <c r="J1139" s="5">
        <v>90.7</v>
      </c>
      <c r="K1139" s="6">
        <v>1.57</v>
      </c>
      <c r="L1139" s="4">
        <v>2</v>
      </c>
      <c r="M1139" s="4">
        <v>127</v>
      </c>
      <c r="N1139" s="4">
        <v>102</v>
      </c>
      <c r="O1139" s="4" t="s">
        <v>21</v>
      </c>
      <c r="P1139" s="7" t="s">
        <v>30</v>
      </c>
      <c r="S1139">
        <v>2412</v>
      </c>
      <c r="T1139" t="str">
        <v>Nampula</v>
      </c>
      <c r="U1139" t="str">
        <v>Masculino</v>
      </c>
      <c r="V1139" t="str">
        <v>Solteiro(a)</v>
      </c>
      <c r="W1139" t="str">
        <v>Secundaria</v>
      </c>
      <c r="X1139" t="str">
        <v>Sim</v>
      </c>
      <c r="Y1139" t="str">
        <v>Hipertensao</v>
      </c>
      <c r="Z1139">
        <v>83</v>
      </c>
      <c r="AA1139">
        <v>92.3</v>
      </c>
      <c r="AB1139">
        <v>1.81</v>
      </c>
      <c r="AC1139">
        <v>5</v>
      </c>
      <c r="AD1139">
        <v>152</v>
      </c>
      <c r="AE1139">
        <v>83</v>
      </c>
      <c r="AF1139" t="str">
        <v>Rural</v>
      </c>
      <c r="AG1139" t="str">
        <v>Sim</v>
      </c>
    </row>
    <row r="1140" spans="2:33" x14ac:dyDescent="0.45">
      <c r="B1140" s="4">
        <v>1139</v>
      </c>
      <c r="C1140" s="4" t="s">
        <v>33</v>
      </c>
      <c r="D1140" s="4" t="s">
        <v>16</v>
      </c>
      <c r="E1140" s="4" t="s">
        <v>17</v>
      </c>
      <c r="F1140" s="4" t="s">
        <v>28</v>
      </c>
      <c r="G1140" s="4" t="s">
        <v>30</v>
      </c>
      <c r="H1140" s="4" t="s">
        <v>38</v>
      </c>
      <c r="I1140" s="4">
        <v>8</v>
      </c>
      <c r="J1140" s="5">
        <v>35.1</v>
      </c>
      <c r="K1140" s="6">
        <v>1.27</v>
      </c>
      <c r="L1140" s="4">
        <v>4</v>
      </c>
      <c r="M1140" s="4">
        <v>115</v>
      </c>
      <c r="N1140" s="4">
        <v>86</v>
      </c>
      <c r="O1140" s="4" t="s">
        <v>21</v>
      </c>
      <c r="P1140" s="7" t="s">
        <v>19</v>
      </c>
      <c r="S1140">
        <v>2413</v>
      </c>
      <c r="T1140" t="str">
        <v>Tete</v>
      </c>
      <c r="U1140" t="str">
        <v>Masculino</v>
      </c>
      <c r="V1140" t="str">
        <v>Solteiro(a)</v>
      </c>
      <c r="W1140" t="str">
        <v>Primaria</v>
      </c>
      <c r="X1140" t="str">
        <v>Nao</v>
      </c>
      <c r="Y1140" t="str">
        <v>Malaria</v>
      </c>
      <c r="Z1140">
        <v>22</v>
      </c>
      <c r="AA1140">
        <v>80.7</v>
      </c>
      <c r="AB1140">
        <v>1.87</v>
      </c>
      <c r="AC1140">
        <v>3</v>
      </c>
      <c r="AD1140">
        <v>120</v>
      </c>
      <c r="AE1140">
        <v>78</v>
      </c>
      <c r="AF1140" t="str">
        <v>Rural</v>
      </c>
      <c r="AG1140" t="str">
        <v>Nao</v>
      </c>
    </row>
    <row r="1141" spans="2:33" x14ac:dyDescent="0.45">
      <c r="B1141" s="4">
        <v>1140</v>
      </c>
      <c r="C1141" s="4" t="s">
        <v>22</v>
      </c>
      <c r="D1141" s="4" t="s">
        <v>23</v>
      </c>
      <c r="E1141" s="4" t="s">
        <v>37</v>
      </c>
      <c r="F1141" s="4" t="s">
        <v>18</v>
      </c>
      <c r="G1141" s="4" t="s">
        <v>19</v>
      </c>
      <c r="H1141" s="4" t="s">
        <v>36</v>
      </c>
      <c r="I1141" s="4">
        <v>5</v>
      </c>
      <c r="J1141" s="5">
        <v>21.7</v>
      </c>
      <c r="K1141" s="6">
        <v>1.23</v>
      </c>
      <c r="L1141" s="4">
        <v>3</v>
      </c>
      <c r="M1141" s="4">
        <v>121</v>
      </c>
      <c r="N1141" s="4">
        <v>84</v>
      </c>
      <c r="O1141" s="4" t="s">
        <v>26</v>
      </c>
      <c r="P1141" s="7" t="s">
        <v>19</v>
      </c>
      <c r="S1141">
        <v>2414</v>
      </c>
      <c r="T1141" t="str">
        <v>Sofala</v>
      </c>
      <c r="U1141" t="str">
        <v>Masculino</v>
      </c>
      <c r="V1141" t="str">
        <v>Solteiro(a)</v>
      </c>
      <c r="W1141" t="str">
        <v>Secundaria</v>
      </c>
      <c r="X1141" t="str">
        <v>Nao</v>
      </c>
      <c r="Y1141" t="str">
        <v>Nenhuma</v>
      </c>
      <c r="Z1141">
        <v>22</v>
      </c>
      <c r="AA1141">
        <v>94</v>
      </c>
      <c r="AB1141">
        <v>1.64</v>
      </c>
      <c r="AC1141">
        <v>3</v>
      </c>
      <c r="AD1141">
        <v>115</v>
      </c>
      <c r="AE1141">
        <v>95</v>
      </c>
      <c r="AF1141" t="str">
        <v>Rural</v>
      </c>
      <c r="AG1141" t="str">
        <v>Sim</v>
      </c>
    </row>
    <row r="1142" spans="2:33" x14ac:dyDescent="0.45">
      <c r="B1142" s="4">
        <v>1141</v>
      </c>
      <c r="C1142" s="4" t="s">
        <v>27</v>
      </c>
      <c r="D1142" s="4" t="s">
        <v>16</v>
      </c>
      <c r="E1142" s="4" t="s">
        <v>35</v>
      </c>
      <c r="F1142" s="4" t="s">
        <v>24</v>
      </c>
      <c r="G1142" s="4" t="s">
        <v>19</v>
      </c>
      <c r="H1142" s="4" t="s">
        <v>28</v>
      </c>
      <c r="I1142" s="4">
        <v>42</v>
      </c>
      <c r="J1142" s="5">
        <v>80</v>
      </c>
      <c r="K1142" s="6">
        <v>1.66</v>
      </c>
      <c r="L1142" s="4">
        <v>2</v>
      </c>
      <c r="M1142" s="4">
        <v>130</v>
      </c>
      <c r="N1142" s="4">
        <v>91</v>
      </c>
      <c r="O1142" s="4" t="s">
        <v>21</v>
      </c>
      <c r="P1142" s="7" t="s">
        <v>30</v>
      </c>
      <c r="S1142">
        <v>2416</v>
      </c>
      <c r="T1142" t="str">
        <v>Cabo Delgado</v>
      </c>
      <c r="U1142" t="str">
        <v>Masculino</v>
      </c>
      <c r="V1142" t="str">
        <v>Viuvo(a)</v>
      </c>
      <c r="W1142" t="str">
        <v>Primaria</v>
      </c>
      <c r="X1142" t="str">
        <v>Sim</v>
      </c>
      <c r="Y1142" t="str">
        <v>Nenhuma</v>
      </c>
      <c r="Z1142">
        <v>17</v>
      </c>
      <c r="AA1142">
        <v>57.1</v>
      </c>
      <c r="AB1142">
        <v>1.64</v>
      </c>
      <c r="AC1142">
        <v>10</v>
      </c>
      <c r="AD1142">
        <v>118</v>
      </c>
      <c r="AE1142">
        <v>89</v>
      </c>
      <c r="AF1142" t="str">
        <v>Urbana</v>
      </c>
      <c r="AG1142" t="str">
        <v>Nao</v>
      </c>
    </row>
    <row r="1143" spans="2:33" x14ac:dyDescent="0.45">
      <c r="B1143" s="4">
        <v>1142</v>
      </c>
      <c r="C1143" s="4" t="s">
        <v>45</v>
      </c>
      <c r="D1143" s="4" t="s">
        <v>23</v>
      </c>
      <c r="E1143" s="4" t="s">
        <v>35</v>
      </c>
      <c r="F1143" s="4" t="s">
        <v>24</v>
      </c>
      <c r="G1143" s="4" t="s">
        <v>19</v>
      </c>
      <c r="H1143" s="4" t="s">
        <v>36</v>
      </c>
      <c r="I1143" s="4">
        <v>39</v>
      </c>
      <c r="J1143" s="5">
        <v>91.9</v>
      </c>
      <c r="K1143" s="6">
        <v>1.78</v>
      </c>
      <c r="L1143" s="4">
        <v>9</v>
      </c>
      <c r="M1143" s="4">
        <v>143</v>
      </c>
      <c r="N1143" s="4">
        <v>71</v>
      </c>
      <c r="O1143" s="4" t="s">
        <v>21</v>
      </c>
      <c r="P1143" s="7" t="s">
        <v>30</v>
      </c>
      <c r="S1143">
        <v>2418</v>
      </c>
      <c r="T1143" t="str">
        <v>Gaza</v>
      </c>
      <c r="U1143" t="str">
        <v>Masculino</v>
      </c>
      <c r="V1143" t="str">
        <v>Solteiro(a)</v>
      </c>
      <c r="W1143" t="str">
        <v>Secundaria</v>
      </c>
      <c r="X1143" t="str">
        <v>Sim</v>
      </c>
      <c r="Y1143" t="str">
        <v>Malaria</v>
      </c>
      <c r="Z1143">
        <v>41</v>
      </c>
      <c r="AA1143">
        <v>67.7</v>
      </c>
      <c r="AB1143">
        <v>1.54</v>
      </c>
      <c r="AC1143">
        <v>6</v>
      </c>
      <c r="AD1143">
        <v>112</v>
      </c>
      <c r="AE1143">
        <v>87</v>
      </c>
      <c r="AF1143" t="str">
        <v>Rural</v>
      </c>
      <c r="AG1143" t="str">
        <v>Sim</v>
      </c>
    </row>
    <row r="1144" spans="2:33" x14ac:dyDescent="0.45">
      <c r="B1144" s="4">
        <v>1143</v>
      </c>
      <c r="C1144" s="4" t="s">
        <v>22</v>
      </c>
      <c r="D1144" s="4" t="s">
        <v>16</v>
      </c>
      <c r="E1144" s="4" t="s">
        <v>35</v>
      </c>
      <c r="F1144" s="4" t="s">
        <v>24</v>
      </c>
      <c r="G1144" s="4" t="s">
        <v>19</v>
      </c>
      <c r="H1144" s="4" t="s">
        <v>28</v>
      </c>
      <c r="I1144" s="4">
        <v>23</v>
      </c>
      <c r="J1144" s="5">
        <v>65.7</v>
      </c>
      <c r="K1144" s="6">
        <v>1.51</v>
      </c>
      <c r="L1144" s="4">
        <v>5</v>
      </c>
      <c r="M1144" s="4">
        <v>101</v>
      </c>
      <c r="N1144" s="4">
        <v>87</v>
      </c>
      <c r="O1144" s="4" t="s">
        <v>26</v>
      </c>
      <c r="P1144" s="7" t="s">
        <v>19</v>
      </c>
      <c r="S1144">
        <v>2420</v>
      </c>
      <c r="T1144" t="str">
        <v>Niassa</v>
      </c>
      <c r="U1144" t="str">
        <v>Masculino</v>
      </c>
      <c r="V1144" t="str">
        <v>Casado(a)</v>
      </c>
      <c r="W1144" t="str">
        <v>Nenhuma</v>
      </c>
      <c r="X1144" t="str">
        <v>Sim</v>
      </c>
      <c r="Y1144" t="str">
        <v>Nenhuma</v>
      </c>
      <c r="Z1144">
        <v>9</v>
      </c>
      <c r="AA1144">
        <v>27.8</v>
      </c>
      <c r="AB1144">
        <v>1.1399999999999999</v>
      </c>
      <c r="AC1144">
        <v>0</v>
      </c>
      <c r="AD1144">
        <v>116</v>
      </c>
      <c r="AE1144">
        <v>83</v>
      </c>
      <c r="AF1144" t="str">
        <v>Urbana</v>
      </c>
      <c r="AG1144" t="str">
        <v>Nao</v>
      </c>
    </row>
    <row r="1145" spans="2:33" x14ac:dyDescent="0.45">
      <c r="B1145" s="4">
        <v>1144</v>
      </c>
      <c r="C1145" s="4" t="s">
        <v>15</v>
      </c>
      <c r="D1145" s="4" t="s">
        <v>16</v>
      </c>
      <c r="E1145" s="4" t="s">
        <v>37</v>
      </c>
      <c r="F1145" s="4" t="s">
        <v>18</v>
      </c>
      <c r="G1145" s="4" t="s">
        <v>19</v>
      </c>
      <c r="H1145" s="4" t="s">
        <v>32</v>
      </c>
      <c r="I1145" s="4">
        <v>5</v>
      </c>
      <c r="J1145" s="5">
        <v>32.200000000000003</v>
      </c>
      <c r="K1145" s="6">
        <v>1.36</v>
      </c>
      <c r="L1145" s="4">
        <v>6</v>
      </c>
      <c r="M1145" s="4">
        <v>93</v>
      </c>
      <c r="N1145" s="4">
        <v>129</v>
      </c>
      <c r="O1145" s="4" t="s">
        <v>26</v>
      </c>
      <c r="P1145" s="7" t="s">
        <v>19</v>
      </c>
      <c r="S1145">
        <v>2422</v>
      </c>
      <c r="T1145" t="str">
        <v>Maputo Cidade</v>
      </c>
      <c r="U1145" t="str">
        <v>Masculino</v>
      </c>
      <c r="V1145" t="str">
        <v>Solteiro(a)</v>
      </c>
      <c r="W1145" t="str">
        <v>Secundaria</v>
      </c>
      <c r="X1145" t="str">
        <v>Nao</v>
      </c>
      <c r="Y1145" t="str">
        <v>Malaria</v>
      </c>
      <c r="Z1145">
        <v>27</v>
      </c>
      <c r="AA1145">
        <v>46.3</v>
      </c>
      <c r="AB1145">
        <v>1.75</v>
      </c>
      <c r="AC1145">
        <v>6</v>
      </c>
      <c r="AD1145">
        <v>101</v>
      </c>
      <c r="AE1145">
        <v>100</v>
      </c>
      <c r="AF1145" t="str">
        <v>Urbana</v>
      </c>
      <c r="AG1145" t="str">
        <v>Nao</v>
      </c>
    </row>
    <row r="1146" spans="2:33" x14ac:dyDescent="0.45">
      <c r="B1146" s="4">
        <v>1145</v>
      </c>
      <c r="C1146" s="4" t="s">
        <v>15</v>
      </c>
      <c r="D1146" s="4" t="s">
        <v>23</v>
      </c>
      <c r="E1146" s="4" t="s">
        <v>17</v>
      </c>
      <c r="F1146" s="4" t="s">
        <v>24</v>
      </c>
      <c r="G1146" s="4" t="s">
        <v>30</v>
      </c>
      <c r="H1146" s="4" t="s">
        <v>20</v>
      </c>
      <c r="I1146" s="4">
        <v>12</v>
      </c>
      <c r="J1146" s="5">
        <v>43.9</v>
      </c>
      <c r="K1146" s="6">
        <v>1.47</v>
      </c>
      <c r="L1146" s="4">
        <v>10</v>
      </c>
      <c r="M1146" s="4">
        <v>102</v>
      </c>
      <c r="N1146" s="4">
        <v>74</v>
      </c>
      <c r="O1146" s="4" t="s">
        <v>26</v>
      </c>
      <c r="P1146" s="7" t="s">
        <v>30</v>
      </c>
      <c r="S1146">
        <v>2423</v>
      </c>
      <c r="T1146" t="str">
        <v>Cabo Delgado</v>
      </c>
      <c r="U1146" t="str">
        <v>Masculino</v>
      </c>
      <c r="V1146" t="str">
        <v>Casado(a)</v>
      </c>
      <c r="W1146" t="str">
        <v>Nenhuma</v>
      </c>
      <c r="X1146" t="str">
        <v>Nao</v>
      </c>
      <c r="Y1146" t="str">
        <v>Diabetes</v>
      </c>
      <c r="Z1146">
        <v>19</v>
      </c>
      <c r="AA1146">
        <v>89.2</v>
      </c>
      <c r="AB1146">
        <v>1.73</v>
      </c>
      <c r="AC1146">
        <v>5</v>
      </c>
      <c r="AD1146">
        <v>110</v>
      </c>
      <c r="AE1146">
        <v>178</v>
      </c>
      <c r="AF1146" t="str">
        <v>Rural</v>
      </c>
      <c r="AG1146" t="str">
        <v>Nao</v>
      </c>
    </row>
    <row r="1147" spans="2:33" x14ac:dyDescent="0.45">
      <c r="B1147" s="4">
        <v>1146</v>
      </c>
      <c r="C1147" s="4" t="s">
        <v>27</v>
      </c>
      <c r="D1147" s="4" t="s">
        <v>16</v>
      </c>
      <c r="E1147" s="4" t="s">
        <v>35</v>
      </c>
      <c r="F1147" s="4" t="s">
        <v>24</v>
      </c>
      <c r="G1147" s="4" t="s">
        <v>19</v>
      </c>
      <c r="H1147" s="4" t="s">
        <v>20</v>
      </c>
      <c r="I1147" s="4">
        <v>16</v>
      </c>
      <c r="J1147" s="5">
        <v>63.2</v>
      </c>
      <c r="K1147" s="6">
        <v>1.55</v>
      </c>
      <c r="L1147" s="4">
        <v>3</v>
      </c>
      <c r="M1147" s="4">
        <v>100</v>
      </c>
      <c r="N1147" s="4">
        <v>100</v>
      </c>
      <c r="O1147" s="4" t="s">
        <v>26</v>
      </c>
      <c r="P1147" s="7" t="s">
        <v>19</v>
      </c>
      <c r="S1147">
        <v>2424</v>
      </c>
      <c r="T1147" t="str">
        <v>Tete</v>
      </c>
      <c r="U1147" t="str">
        <v>Masculino</v>
      </c>
      <c r="V1147" t="str">
        <v>Casado(a)</v>
      </c>
      <c r="W1147" t="str">
        <v>Primaria</v>
      </c>
      <c r="X1147" t="str">
        <v>Nao</v>
      </c>
      <c r="Y1147" t="str">
        <v>Pneumonia</v>
      </c>
      <c r="Z1147">
        <v>87</v>
      </c>
      <c r="AA1147">
        <v>88.1</v>
      </c>
      <c r="AB1147">
        <v>1.74</v>
      </c>
      <c r="AC1147">
        <v>3</v>
      </c>
      <c r="AD1147">
        <v>131</v>
      </c>
      <c r="AE1147">
        <v>94</v>
      </c>
      <c r="AF1147" t="str">
        <v>Rural</v>
      </c>
      <c r="AG1147" t="str">
        <v>Nao</v>
      </c>
    </row>
    <row r="1148" spans="2:33" x14ac:dyDescent="0.45">
      <c r="B1148" s="4">
        <v>1147</v>
      </c>
      <c r="C1148" s="4" t="s">
        <v>45</v>
      </c>
      <c r="D1148" s="4" t="s">
        <v>23</v>
      </c>
      <c r="E1148" s="4" t="s">
        <v>44</v>
      </c>
      <c r="F1148" s="4" t="s">
        <v>28</v>
      </c>
      <c r="G1148" s="4" t="s">
        <v>30</v>
      </c>
      <c r="H1148" s="4" t="s">
        <v>28</v>
      </c>
      <c r="I1148" s="4">
        <v>44</v>
      </c>
      <c r="J1148" s="5">
        <v>47.8</v>
      </c>
      <c r="K1148" s="6">
        <v>1.84</v>
      </c>
      <c r="L1148" s="4">
        <v>0</v>
      </c>
      <c r="M1148" s="4">
        <v>119</v>
      </c>
      <c r="N1148" s="4">
        <v>89</v>
      </c>
      <c r="O1148" s="4" t="s">
        <v>21</v>
      </c>
      <c r="P1148" s="7" t="s">
        <v>19</v>
      </c>
      <c r="S1148">
        <v>2425</v>
      </c>
      <c r="T1148" t="str">
        <v>Gaza</v>
      </c>
      <c r="U1148" t="str">
        <v>Masculino</v>
      </c>
      <c r="V1148" t="str">
        <v>Solteiro(a)</v>
      </c>
      <c r="W1148" t="str">
        <v>Primaria</v>
      </c>
      <c r="X1148" t="str">
        <v>Nao</v>
      </c>
      <c r="Y1148" t="str">
        <v>Diabetes</v>
      </c>
      <c r="Z1148">
        <v>19</v>
      </c>
      <c r="AA1148">
        <v>52.2</v>
      </c>
      <c r="AB1148">
        <v>1.87</v>
      </c>
      <c r="AC1148">
        <v>1</v>
      </c>
      <c r="AD1148">
        <v>124</v>
      </c>
      <c r="AE1148">
        <v>151</v>
      </c>
      <c r="AF1148" t="str">
        <v>Rural</v>
      </c>
      <c r="AG1148" t="str">
        <v>Sim</v>
      </c>
    </row>
    <row r="1149" spans="2:33" x14ac:dyDescent="0.45">
      <c r="B1149" s="4">
        <v>1148</v>
      </c>
      <c r="C1149" s="4" t="s">
        <v>15</v>
      </c>
      <c r="D1149" s="4" t="s">
        <v>16</v>
      </c>
      <c r="E1149" s="4" t="s">
        <v>17</v>
      </c>
      <c r="F1149" s="4" t="s">
        <v>24</v>
      </c>
      <c r="G1149" s="4" t="s">
        <v>19</v>
      </c>
      <c r="H1149" s="4" t="s">
        <v>20</v>
      </c>
      <c r="I1149" s="4">
        <v>39</v>
      </c>
      <c r="J1149" s="5">
        <v>93.8</v>
      </c>
      <c r="K1149" s="6">
        <v>1.89</v>
      </c>
      <c r="L1149" s="4">
        <v>3</v>
      </c>
      <c r="M1149" s="4">
        <v>121</v>
      </c>
      <c r="N1149" s="4">
        <v>88</v>
      </c>
      <c r="O1149" s="4" t="s">
        <v>26</v>
      </c>
      <c r="P1149" s="7" t="s">
        <v>19</v>
      </c>
      <c r="S1149">
        <v>2426</v>
      </c>
      <c r="T1149" t="str">
        <v>Sofala</v>
      </c>
      <c r="U1149" t="str">
        <v>Masculino</v>
      </c>
      <c r="V1149" t="str">
        <v>Casado(a)</v>
      </c>
      <c r="W1149" t="str">
        <v>Primaria</v>
      </c>
      <c r="X1149" t="str">
        <v>Sim</v>
      </c>
      <c r="Y1149" t="str">
        <v>Pneumonia</v>
      </c>
      <c r="Z1149">
        <v>0</v>
      </c>
      <c r="AA1149">
        <v>14.7</v>
      </c>
      <c r="AB1149">
        <v>0.86</v>
      </c>
      <c r="AC1149">
        <v>6</v>
      </c>
      <c r="AD1149">
        <v>95</v>
      </c>
      <c r="AE1149">
        <v>96</v>
      </c>
      <c r="AF1149" t="str">
        <v>Urbana</v>
      </c>
      <c r="AG1149" t="str">
        <v>Nao</v>
      </c>
    </row>
    <row r="1150" spans="2:33" x14ac:dyDescent="0.45">
      <c r="B1150" s="4">
        <v>1149</v>
      </c>
      <c r="C1150" s="4" t="s">
        <v>22</v>
      </c>
      <c r="D1150" s="4" t="s">
        <v>16</v>
      </c>
      <c r="E1150" s="4" t="s">
        <v>35</v>
      </c>
      <c r="F1150" s="4" t="s">
        <v>24</v>
      </c>
      <c r="G1150" s="4" t="s">
        <v>30</v>
      </c>
      <c r="H1150" s="4" t="s">
        <v>20</v>
      </c>
      <c r="I1150" s="4">
        <v>43</v>
      </c>
      <c r="J1150" s="5">
        <v>61.5</v>
      </c>
      <c r="K1150" s="6">
        <v>1.68</v>
      </c>
      <c r="L1150" s="4">
        <v>1</v>
      </c>
      <c r="M1150" s="4">
        <v>115</v>
      </c>
      <c r="N1150" s="4">
        <v>75</v>
      </c>
      <c r="O1150" s="4" t="s">
        <v>26</v>
      </c>
      <c r="P1150" s="7" t="s">
        <v>19</v>
      </c>
      <c r="S1150">
        <v>2434</v>
      </c>
      <c r="T1150" t="str">
        <v>Maputo Provincia</v>
      </c>
      <c r="U1150" t="str">
        <v>Masculino</v>
      </c>
      <c r="V1150" t="str">
        <v>Viuvo(a)</v>
      </c>
      <c r="W1150" t="str">
        <v>Primaria</v>
      </c>
      <c r="X1150" t="str">
        <v>Nao</v>
      </c>
      <c r="Y1150" t="str">
        <v>Pneumonia</v>
      </c>
      <c r="Z1150">
        <v>13</v>
      </c>
      <c r="AA1150">
        <v>59.6</v>
      </c>
      <c r="AB1150">
        <v>1.54</v>
      </c>
      <c r="AC1150">
        <v>0</v>
      </c>
      <c r="AD1150">
        <v>114</v>
      </c>
      <c r="AE1150">
        <v>89</v>
      </c>
      <c r="AF1150" t="str">
        <v>Urbana</v>
      </c>
      <c r="AG1150" t="str">
        <v>Nao</v>
      </c>
    </row>
    <row r="1151" spans="2:33" x14ac:dyDescent="0.45">
      <c r="B1151" s="4">
        <v>1150</v>
      </c>
      <c r="C1151" s="4" t="s">
        <v>45</v>
      </c>
      <c r="D1151" s="4" t="s">
        <v>16</v>
      </c>
      <c r="E1151" s="4" t="s">
        <v>35</v>
      </c>
      <c r="F1151" s="4" t="s">
        <v>18</v>
      </c>
      <c r="G1151" s="4" t="s">
        <v>19</v>
      </c>
      <c r="H1151" s="4" t="s">
        <v>36</v>
      </c>
      <c r="I1151" s="4">
        <v>65</v>
      </c>
      <c r="J1151" s="5">
        <v>63.5</v>
      </c>
      <c r="K1151" s="6">
        <v>1.64</v>
      </c>
      <c r="L1151" s="4">
        <v>3</v>
      </c>
      <c r="M1151" s="4">
        <v>143</v>
      </c>
      <c r="N1151" s="4">
        <v>82</v>
      </c>
      <c r="O1151" s="4" t="s">
        <v>21</v>
      </c>
      <c r="P1151" s="7" t="s">
        <v>30</v>
      </c>
      <c r="S1151">
        <v>2437</v>
      </c>
      <c r="T1151" t="str">
        <v>Maputo Provincia</v>
      </c>
      <c r="U1151" t="str">
        <v>Masculino</v>
      </c>
      <c r="V1151" t="str">
        <v>Solteiro(a)</v>
      </c>
      <c r="W1151" t="str">
        <v>Nenhuma</v>
      </c>
      <c r="X1151" t="str">
        <v>Nao</v>
      </c>
      <c r="Y1151" t="str">
        <v>HIV/SIDA</v>
      </c>
      <c r="Z1151">
        <v>49</v>
      </c>
      <c r="AA1151">
        <v>92</v>
      </c>
      <c r="AB1151">
        <v>1.64</v>
      </c>
      <c r="AC1151">
        <v>9</v>
      </c>
      <c r="AD1151">
        <v>124</v>
      </c>
      <c r="AE1151">
        <v>84</v>
      </c>
      <c r="AF1151" t="str">
        <v>Rural</v>
      </c>
      <c r="AG1151" t="str">
        <v>Nao</v>
      </c>
    </row>
    <row r="1152" spans="2:33" x14ac:dyDescent="0.45">
      <c r="B1152" s="4">
        <v>1151</v>
      </c>
      <c r="C1152" s="4" t="s">
        <v>41</v>
      </c>
      <c r="D1152" s="4" t="s">
        <v>16</v>
      </c>
      <c r="E1152" s="4" t="s">
        <v>44</v>
      </c>
      <c r="F1152" s="4" t="s">
        <v>18</v>
      </c>
      <c r="G1152" s="4" t="s">
        <v>19</v>
      </c>
      <c r="H1152" s="4" t="s">
        <v>46</v>
      </c>
      <c r="I1152" s="4">
        <v>14</v>
      </c>
      <c r="J1152" s="5">
        <v>49.9</v>
      </c>
      <c r="K1152" s="6">
        <v>1.55</v>
      </c>
      <c r="L1152" s="4">
        <v>6</v>
      </c>
      <c r="M1152" s="4">
        <v>103</v>
      </c>
      <c r="N1152" s="4">
        <v>90</v>
      </c>
      <c r="O1152" s="4" t="s">
        <v>21</v>
      </c>
      <c r="P1152" s="7" t="s">
        <v>19</v>
      </c>
      <c r="S1152">
        <v>2439</v>
      </c>
      <c r="T1152" t="str">
        <v>Nampula</v>
      </c>
      <c r="U1152" t="str">
        <v>Masculino</v>
      </c>
      <c r="V1152" t="str">
        <v>Solteiro(a)</v>
      </c>
      <c r="W1152" t="str">
        <v>Secundaria</v>
      </c>
      <c r="X1152" t="str">
        <v>Nao</v>
      </c>
      <c r="Y1152" t="str">
        <v>Diarreia</v>
      </c>
      <c r="Z1152">
        <v>38</v>
      </c>
      <c r="AA1152">
        <v>65.5</v>
      </c>
      <c r="AB1152">
        <v>1.56</v>
      </c>
      <c r="AC1152">
        <v>1</v>
      </c>
      <c r="AD1152">
        <v>106</v>
      </c>
      <c r="AE1152">
        <v>76</v>
      </c>
      <c r="AF1152" t="str">
        <v>Urbana</v>
      </c>
      <c r="AG1152" t="str">
        <v>Nao</v>
      </c>
    </row>
    <row r="1153" spans="2:33" x14ac:dyDescent="0.45">
      <c r="B1153" s="4">
        <v>1152</v>
      </c>
      <c r="C1153" s="4" t="s">
        <v>31</v>
      </c>
      <c r="D1153" s="4" t="s">
        <v>16</v>
      </c>
      <c r="E1153" s="4" t="s">
        <v>17</v>
      </c>
      <c r="F1153" s="4" t="s">
        <v>42</v>
      </c>
      <c r="G1153" s="4" t="s">
        <v>19</v>
      </c>
      <c r="H1153" s="4" t="s">
        <v>38</v>
      </c>
      <c r="I1153" s="4">
        <v>29</v>
      </c>
      <c r="J1153" s="5">
        <v>56.2</v>
      </c>
      <c r="K1153" s="6">
        <v>1.65</v>
      </c>
      <c r="L1153" s="4">
        <v>4</v>
      </c>
      <c r="M1153" s="4">
        <v>104</v>
      </c>
      <c r="N1153" s="4">
        <v>91</v>
      </c>
      <c r="O1153" s="4" t="s">
        <v>21</v>
      </c>
      <c r="P1153" s="7" t="s">
        <v>30</v>
      </c>
      <c r="S1153">
        <v>2442</v>
      </c>
      <c r="T1153" t="str">
        <v>Maputo Provincia</v>
      </c>
      <c r="U1153" t="str">
        <v>Masculino</v>
      </c>
      <c r="V1153" t="str">
        <v>Casado(a)</v>
      </c>
      <c r="W1153" t="str">
        <v>Nenhuma</v>
      </c>
      <c r="X1153" t="str">
        <v>Nao</v>
      </c>
      <c r="Y1153" t="str">
        <v>Malaria</v>
      </c>
      <c r="Z1153">
        <v>4</v>
      </c>
      <c r="AA1153">
        <v>17.2</v>
      </c>
      <c r="AB1153">
        <v>0.83</v>
      </c>
      <c r="AC1153">
        <v>2</v>
      </c>
      <c r="AD1153">
        <v>112</v>
      </c>
      <c r="AE1153">
        <v>96</v>
      </c>
      <c r="AF1153" t="str">
        <v>Rural</v>
      </c>
      <c r="AG1153" t="str">
        <v>Nao</v>
      </c>
    </row>
    <row r="1154" spans="2:33" x14ac:dyDescent="0.45">
      <c r="B1154" s="4">
        <v>1153</v>
      </c>
      <c r="C1154" s="4" t="s">
        <v>39</v>
      </c>
      <c r="D1154" s="4" t="s">
        <v>16</v>
      </c>
      <c r="E1154" s="4" t="s">
        <v>35</v>
      </c>
      <c r="F1154" s="4" t="s">
        <v>28</v>
      </c>
      <c r="G1154" s="4" t="s">
        <v>19</v>
      </c>
      <c r="H1154" s="4" t="s">
        <v>20</v>
      </c>
      <c r="I1154" s="4">
        <v>11</v>
      </c>
      <c r="J1154" s="5">
        <v>34.700000000000003</v>
      </c>
      <c r="K1154" s="6">
        <v>1.1599999999999999</v>
      </c>
      <c r="L1154" s="4">
        <v>7</v>
      </c>
      <c r="M1154" s="4">
        <v>94</v>
      </c>
      <c r="N1154" s="4">
        <v>98</v>
      </c>
      <c r="O1154" s="4" t="s">
        <v>26</v>
      </c>
      <c r="P1154" s="7" t="s">
        <v>19</v>
      </c>
      <c r="S1154">
        <v>2443</v>
      </c>
      <c r="T1154" t="str">
        <v>Inhambane</v>
      </c>
      <c r="U1154" t="str">
        <v>Masculino</v>
      </c>
      <c r="V1154" t="str">
        <v>Viuvo(a)</v>
      </c>
      <c r="W1154" t="str">
        <v>Primaria</v>
      </c>
      <c r="X1154" t="str">
        <v>Nao</v>
      </c>
      <c r="Y1154" t="str">
        <v>Diarreia</v>
      </c>
      <c r="Z1154">
        <v>33</v>
      </c>
      <c r="AA1154">
        <v>88.5</v>
      </c>
      <c r="AB1154">
        <v>1.65</v>
      </c>
      <c r="AC1154">
        <v>1</v>
      </c>
      <c r="AD1154">
        <v>112</v>
      </c>
      <c r="AE1154">
        <v>72</v>
      </c>
      <c r="AF1154" t="str">
        <v>Rural</v>
      </c>
      <c r="AG1154" t="str">
        <v>Sim</v>
      </c>
    </row>
    <row r="1155" spans="2:33" x14ac:dyDescent="0.45">
      <c r="B1155" s="4">
        <v>1154</v>
      </c>
      <c r="C1155" s="4" t="s">
        <v>15</v>
      </c>
      <c r="D1155" s="4" t="s">
        <v>23</v>
      </c>
      <c r="E1155" s="4" t="s">
        <v>35</v>
      </c>
      <c r="F1155" s="4" t="s">
        <v>24</v>
      </c>
      <c r="G1155" s="4" t="s">
        <v>19</v>
      </c>
      <c r="H1155" s="4" t="s">
        <v>32</v>
      </c>
      <c r="I1155" s="4">
        <v>51</v>
      </c>
      <c r="J1155" s="5">
        <v>91.6</v>
      </c>
      <c r="K1155" s="6">
        <v>1.59</v>
      </c>
      <c r="L1155" s="4">
        <v>0</v>
      </c>
      <c r="M1155" s="4">
        <v>121</v>
      </c>
      <c r="N1155" s="4">
        <v>143</v>
      </c>
      <c r="O1155" s="4" t="s">
        <v>26</v>
      </c>
      <c r="P1155" s="7" t="s">
        <v>19</v>
      </c>
      <c r="S1155">
        <v>2444</v>
      </c>
      <c r="T1155" t="str">
        <v>Zambezia</v>
      </c>
      <c r="U1155" t="str">
        <v>Masculino</v>
      </c>
      <c r="V1155" t="str">
        <v>Casado(a)</v>
      </c>
      <c r="W1155" t="str">
        <v>Primaria</v>
      </c>
      <c r="X1155" t="str">
        <v>Nao</v>
      </c>
      <c r="Y1155" t="str">
        <v>Diabetes</v>
      </c>
      <c r="Z1155">
        <v>11</v>
      </c>
      <c r="AA1155">
        <v>29.5</v>
      </c>
      <c r="AB1155">
        <v>1.1200000000000001</v>
      </c>
      <c r="AC1155">
        <v>6</v>
      </c>
      <c r="AD1155">
        <v>94</v>
      </c>
      <c r="AE1155">
        <v>120</v>
      </c>
      <c r="AF1155" t="str">
        <v>Rural</v>
      </c>
      <c r="AG1155" t="str">
        <v>Nao</v>
      </c>
    </row>
    <row r="1156" spans="2:33" x14ac:dyDescent="0.45">
      <c r="B1156" s="4">
        <v>1155</v>
      </c>
      <c r="C1156" s="4" t="s">
        <v>22</v>
      </c>
      <c r="D1156" s="4" t="s">
        <v>23</v>
      </c>
      <c r="E1156" s="4" t="s">
        <v>17</v>
      </c>
      <c r="F1156" s="4" t="s">
        <v>28</v>
      </c>
      <c r="G1156" s="4" t="s">
        <v>19</v>
      </c>
      <c r="H1156" s="4" t="s">
        <v>20</v>
      </c>
      <c r="I1156" s="4">
        <v>8</v>
      </c>
      <c r="J1156" s="5">
        <v>30.9</v>
      </c>
      <c r="K1156" s="6">
        <v>1.22</v>
      </c>
      <c r="L1156" s="4">
        <v>1</v>
      </c>
      <c r="M1156" s="4">
        <v>109</v>
      </c>
      <c r="N1156" s="4">
        <v>81</v>
      </c>
      <c r="O1156" s="4" t="s">
        <v>26</v>
      </c>
      <c r="P1156" s="7" t="s">
        <v>30</v>
      </c>
      <c r="S1156">
        <v>2446</v>
      </c>
      <c r="T1156" t="str">
        <v>Sofala</v>
      </c>
      <c r="U1156" t="str">
        <v>Masculino</v>
      </c>
      <c r="V1156" t="str">
        <v>Solteiro(a)</v>
      </c>
      <c r="W1156" t="str">
        <v>Primaria</v>
      </c>
      <c r="X1156" t="str">
        <v>Nao</v>
      </c>
      <c r="Y1156" t="str">
        <v>HIV/SIDA</v>
      </c>
      <c r="Z1156">
        <v>42</v>
      </c>
      <c r="AA1156">
        <v>71.599999999999994</v>
      </c>
      <c r="AB1156">
        <v>1.9</v>
      </c>
      <c r="AC1156">
        <v>2</v>
      </c>
      <c r="AD1156">
        <v>105</v>
      </c>
      <c r="AE1156">
        <v>97</v>
      </c>
      <c r="AF1156" t="str">
        <v>Rural</v>
      </c>
      <c r="AG1156" t="str">
        <v>Nao</v>
      </c>
    </row>
    <row r="1157" spans="2:33" x14ac:dyDescent="0.45">
      <c r="B1157" s="4">
        <v>1156</v>
      </c>
      <c r="C1157" s="4" t="s">
        <v>27</v>
      </c>
      <c r="D1157" s="4" t="s">
        <v>16</v>
      </c>
      <c r="E1157" s="4" t="s">
        <v>35</v>
      </c>
      <c r="F1157" s="4" t="s">
        <v>18</v>
      </c>
      <c r="G1157" s="4" t="s">
        <v>19</v>
      </c>
      <c r="H1157" s="4" t="s">
        <v>20</v>
      </c>
      <c r="I1157" s="4">
        <v>11</v>
      </c>
      <c r="J1157" s="5">
        <v>33.4</v>
      </c>
      <c r="K1157" s="6">
        <v>1.21</v>
      </c>
      <c r="L1157" s="4">
        <v>4</v>
      </c>
      <c r="M1157" s="4">
        <v>110</v>
      </c>
      <c r="N1157" s="4">
        <v>79</v>
      </c>
      <c r="O1157" s="4" t="s">
        <v>21</v>
      </c>
      <c r="P1157" s="7" t="s">
        <v>19</v>
      </c>
      <c r="S1157">
        <v>2447</v>
      </c>
      <c r="T1157" t="str">
        <v>Inhambane</v>
      </c>
      <c r="U1157" t="str">
        <v>Masculino</v>
      </c>
      <c r="V1157" t="str">
        <v>Casado(a)</v>
      </c>
      <c r="W1157" t="str">
        <v>Secundaria</v>
      </c>
      <c r="X1157" t="str">
        <v>Sim</v>
      </c>
      <c r="Y1157" t="str">
        <v>Nenhuma</v>
      </c>
      <c r="Z1157">
        <v>16</v>
      </c>
      <c r="AA1157">
        <v>64.099999999999994</v>
      </c>
      <c r="AB1157">
        <v>1.66</v>
      </c>
      <c r="AC1157">
        <v>3</v>
      </c>
      <c r="AD1157">
        <v>119</v>
      </c>
      <c r="AE1157">
        <v>104</v>
      </c>
      <c r="AF1157" t="str">
        <v>Urbana</v>
      </c>
      <c r="AG1157" t="str">
        <v>Nao</v>
      </c>
    </row>
    <row r="1158" spans="2:33" x14ac:dyDescent="0.45">
      <c r="B1158" s="4">
        <v>1157</v>
      </c>
      <c r="C1158" s="4" t="s">
        <v>43</v>
      </c>
      <c r="D1158" s="4" t="s">
        <v>16</v>
      </c>
      <c r="E1158" s="4" t="s">
        <v>17</v>
      </c>
      <c r="F1158" s="4" t="s">
        <v>28</v>
      </c>
      <c r="G1158" s="4" t="s">
        <v>30</v>
      </c>
      <c r="H1158" s="4" t="s">
        <v>28</v>
      </c>
      <c r="I1158" s="4">
        <v>32</v>
      </c>
      <c r="J1158" s="5">
        <v>91.4</v>
      </c>
      <c r="K1158" s="6">
        <v>1.78</v>
      </c>
      <c r="L1158" s="4">
        <v>6</v>
      </c>
      <c r="M1158" s="4">
        <v>121</v>
      </c>
      <c r="N1158" s="4">
        <v>82</v>
      </c>
      <c r="O1158" s="4" t="s">
        <v>26</v>
      </c>
      <c r="P1158" s="7" t="s">
        <v>30</v>
      </c>
      <c r="S1158">
        <v>2448</v>
      </c>
      <c r="T1158" t="str">
        <v>Sofala</v>
      </c>
      <c r="U1158" t="str">
        <v>Masculino</v>
      </c>
      <c r="V1158" t="str">
        <v>Casado(a)</v>
      </c>
      <c r="W1158" t="str">
        <v>Secundaria</v>
      </c>
      <c r="X1158" t="str">
        <v>Nao</v>
      </c>
      <c r="Y1158" t="str">
        <v>Diabetes</v>
      </c>
      <c r="Z1158">
        <v>16</v>
      </c>
      <c r="AA1158">
        <v>57.2</v>
      </c>
      <c r="AB1158">
        <v>1.65</v>
      </c>
      <c r="AC1158">
        <v>9</v>
      </c>
      <c r="AD1158">
        <v>113</v>
      </c>
      <c r="AE1158">
        <v>125</v>
      </c>
      <c r="AF1158" t="str">
        <v>Rural</v>
      </c>
      <c r="AG1158" t="str">
        <v>Nao</v>
      </c>
    </row>
    <row r="1159" spans="2:33" x14ac:dyDescent="0.45">
      <c r="B1159" s="4">
        <v>1158</v>
      </c>
      <c r="C1159" s="4" t="s">
        <v>22</v>
      </c>
      <c r="D1159" s="4" t="s">
        <v>16</v>
      </c>
      <c r="E1159" s="4" t="s">
        <v>17</v>
      </c>
      <c r="F1159" s="4" t="s">
        <v>28</v>
      </c>
      <c r="G1159" s="4" t="s">
        <v>19</v>
      </c>
      <c r="H1159" s="4" t="s">
        <v>36</v>
      </c>
      <c r="I1159" s="4">
        <v>34</v>
      </c>
      <c r="J1159" s="5">
        <v>48.2</v>
      </c>
      <c r="K1159" s="6">
        <v>1.86</v>
      </c>
      <c r="L1159" s="4">
        <v>0</v>
      </c>
      <c r="M1159" s="4">
        <v>128</v>
      </c>
      <c r="N1159" s="4">
        <v>94</v>
      </c>
      <c r="O1159" s="4" t="s">
        <v>21</v>
      </c>
      <c r="P1159" s="7" t="s">
        <v>30</v>
      </c>
      <c r="S1159">
        <v>2449</v>
      </c>
      <c r="T1159" t="str">
        <v>Inhambane</v>
      </c>
      <c r="U1159" t="str">
        <v>Masculino</v>
      </c>
      <c r="V1159" t="str">
        <v>Solteiro(a)</v>
      </c>
      <c r="W1159" t="str">
        <v>Primaria</v>
      </c>
      <c r="X1159" t="str">
        <v>Nao</v>
      </c>
      <c r="Y1159" t="str">
        <v>Hipertensao</v>
      </c>
      <c r="Z1159">
        <v>18</v>
      </c>
      <c r="AA1159">
        <v>47.5</v>
      </c>
      <c r="AB1159">
        <v>1.75</v>
      </c>
      <c r="AC1159">
        <v>2</v>
      </c>
      <c r="AD1159">
        <v>133</v>
      </c>
      <c r="AE1159">
        <v>94</v>
      </c>
      <c r="AF1159" t="str">
        <v>Urbana</v>
      </c>
      <c r="AG1159" t="str">
        <v>Nao</v>
      </c>
    </row>
    <row r="1160" spans="2:33" x14ac:dyDescent="0.45">
      <c r="B1160" s="4">
        <v>1159</v>
      </c>
      <c r="C1160" s="4" t="s">
        <v>27</v>
      </c>
      <c r="D1160" s="4" t="s">
        <v>16</v>
      </c>
      <c r="E1160" s="4" t="s">
        <v>44</v>
      </c>
      <c r="F1160" s="4" t="s">
        <v>24</v>
      </c>
      <c r="G1160" s="4" t="s">
        <v>19</v>
      </c>
      <c r="H1160" s="4" t="s">
        <v>28</v>
      </c>
      <c r="I1160" s="4">
        <v>11</v>
      </c>
      <c r="J1160" s="5">
        <v>30.2</v>
      </c>
      <c r="K1160" s="6">
        <v>1.26</v>
      </c>
      <c r="L1160" s="4">
        <v>5</v>
      </c>
      <c r="M1160" s="4">
        <v>102</v>
      </c>
      <c r="N1160" s="4">
        <v>88</v>
      </c>
      <c r="O1160" s="4" t="s">
        <v>26</v>
      </c>
      <c r="P1160" s="7" t="s">
        <v>19</v>
      </c>
      <c r="S1160">
        <v>2456</v>
      </c>
      <c r="T1160" t="str">
        <v>Niassa</v>
      </c>
      <c r="U1160" t="str">
        <v>Masculino</v>
      </c>
      <c r="V1160" t="str">
        <v>Viuvo(a)</v>
      </c>
      <c r="W1160" t="str">
        <v>Primaria</v>
      </c>
      <c r="X1160" t="str">
        <v>Nao</v>
      </c>
      <c r="Y1160" t="str">
        <v>Nenhuma</v>
      </c>
      <c r="Z1160">
        <v>14</v>
      </c>
      <c r="AA1160">
        <v>61.3</v>
      </c>
      <c r="AB1160">
        <v>1.55</v>
      </c>
      <c r="AC1160">
        <v>7</v>
      </c>
      <c r="AD1160">
        <v>110</v>
      </c>
      <c r="AE1160">
        <v>73</v>
      </c>
      <c r="AF1160" t="str">
        <v>Urbana</v>
      </c>
      <c r="AG1160" t="str">
        <v>Nao</v>
      </c>
    </row>
    <row r="1161" spans="2:33" x14ac:dyDescent="0.45">
      <c r="B1161" s="4">
        <v>1160</v>
      </c>
      <c r="C1161" s="4" t="s">
        <v>33</v>
      </c>
      <c r="D1161" s="4" t="s">
        <v>16</v>
      </c>
      <c r="E1161" s="4" t="s">
        <v>44</v>
      </c>
      <c r="F1161" s="4" t="s">
        <v>18</v>
      </c>
      <c r="G1161" s="4" t="s">
        <v>19</v>
      </c>
      <c r="H1161" s="4" t="s">
        <v>28</v>
      </c>
      <c r="I1161" s="4">
        <v>12</v>
      </c>
      <c r="J1161" s="5">
        <v>60.7</v>
      </c>
      <c r="K1161" s="6">
        <v>1.73</v>
      </c>
      <c r="L1161" s="4">
        <v>3</v>
      </c>
      <c r="M1161" s="4">
        <v>106</v>
      </c>
      <c r="N1161" s="4">
        <v>92</v>
      </c>
      <c r="O1161" s="4" t="s">
        <v>26</v>
      </c>
      <c r="P1161" s="7" t="s">
        <v>19</v>
      </c>
      <c r="S1161">
        <v>2457</v>
      </c>
      <c r="T1161" t="str">
        <v>Zambezia</v>
      </c>
      <c r="U1161" t="str">
        <v>Masculino</v>
      </c>
      <c r="V1161" t="str">
        <v>Divorciado(a)</v>
      </c>
      <c r="W1161" t="str">
        <v>Primaria</v>
      </c>
      <c r="X1161" t="str">
        <v>Nao</v>
      </c>
      <c r="Y1161" t="str">
        <v>Nenhuma</v>
      </c>
      <c r="Z1161">
        <v>10</v>
      </c>
      <c r="AA1161">
        <v>33.799999999999997</v>
      </c>
      <c r="AB1161">
        <v>1.4</v>
      </c>
      <c r="AC1161">
        <v>4</v>
      </c>
      <c r="AD1161">
        <v>114</v>
      </c>
      <c r="AE1161">
        <v>74</v>
      </c>
      <c r="AF1161" t="str">
        <v>Rural</v>
      </c>
      <c r="AG1161" t="str">
        <v>Nao</v>
      </c>
    </row>
    <row r="1162" spans="2:33" x14ac:dyDescent="0.45">
      <c r="B1162" s="4">
        <v>1161</v>
      </c>
      <c r="C1162" s="4" t="s">
        <v>27</v>
      </c>
      <c r="D1162" s="4" t="s">
        <v>16</v>
      </c>
      <c r="E1162" s="4" t="s">
        <v>17</v>
      </c>
      <c r="F1162" s="4" t="s">
        <v>18</v>
      </c>
      <c r="G1162" s="4" t="s">
        <v>19</v>
      </c>
      <c r="H1162" s="4" t="s">
        <v>25</v>
      </c>
      <c r="I1162" s="4">
        <v>18</v>
      </c>
      <c r="J1162" s="5">
        <v>83.8</v>
      </c>
      <c r="K1162" s="6">
        <v>1.48</v>
      </c>
      <c r="L1162" s="4">
        <v>2</v>
      </c>
      <c r="M1162" s="4">
        <v>107</v>
      </c>
      <c r="N1162" s="4">
        <v>84</v>
      </c>
      <c r="O1162" s="4" t="s">
        <v>21</v>
      </c>
      <c r="P1162" s="7" t="s">
        <v>30</v>
      </c>
      <c r="S1162">
        <v>2461</v>
      </c>
      <c r="T1162" t="str">
        <v>Cabo Delgado</v>
      </c>
      <c r="U1162" t="str">
        <v>Masculino</v>
      </c>
      <c r="V1162" t="str">
        <v>Solteiro(a)</v>
      </c>
      <c r="W1162" t="str">
        <v>Secundaria</v>
      </c>
      <c r="X1162" t="str">
        <v>Nao</v>
      </c>
      <c r="Y1162" t="str">
        <v>Diarreia</v>
      </c>
      <c r="Z1162">
        <v>29</v>
      </c>
      <c r="AA1162">
        <v>48.7</v>
      </c>
      <c r="AB1162">
        <v>1.51</v>
      </c>
      <c r="AC1162">
        <v>6</v>
      </c>
      <c r="AD1162">
        <v>127</v>
      </c>
      <c r="AE1162">
        <v>82</v>
      </c>
      <c r="AF1162" t="str">
        <v>Rural</v>
      </c>
      <c r="AG1162" t="str">
        <v>Sim</v>
      </c>
    </row>
    <row r="1163" spans="2:33" x14ac:dyDescent="0.45">
      <c r="B1163" s="4">
        <v>1162</v>
      </c>
      <c r="C1163" s="4" t="s">
        <v>45</v>
      </c>
      <c r="D1163" s="4" t="s">
        <v>16</v>
      </c>
      <c r="E1163" s="4" t="s">
        <v>37</v>
      </c>
      <c r="F1163" s="4" t="s">
        <v>18</v>
      </c>
      <c r="G1163" s="4" t="s">
        <v>19</v>
      </c>
      <c r="H1163" s="4" t="s">
        <v>20</v>
      </c>
      <c r="I1163" s="4">
        <v>60</v>
      </c>
      <c r="J1163" s="5">
        <v>78.2</v>
      </c>
      <c r="K1163" s="6">
        <v>1.75</v>
      </c>
      <c r="L1163" s="4">
        <v>1</v>
      </c>
      <c r="M1163" s="4">
        <v>113</v>
      </c>
      <c r="N1163" s="4">
        <v>72</v>
      </c>
      <c r="O1163" s="4" t="s">
        <v>21</v>
      </c>
      <c r="P1163" s="7" t="s">
        <v>19</v>
      </c>
      <c r="S1163">
        <v>2463</v>
      </c>
      <c r="T1163" t="str">
        <v>Cabo Delgado</v>
      </c>
      <c r="U1163" t="str">
        <v>Masculino</v>
      </c>
      <c r="V1163" t="str">
        <v>Casado(a)</v>
      </c>
      <c r="W1163" t="str">
        <v>Secundaria</v>
      </c>
      <c r="X1163" t="str">
        <v>Nao</v>
      </c>
      <c r="Y1163" t="str">
        <v>Nenhuma</v>
      </c>
      <c r="Z1163">
        <v>31</v>
      </c>
      <c r="AA1163">
        <v>74.3</v>
      </c>
      <c r="AB1163">
        <v>1.66</v>
      </c>
      <c r="AC1163">
        <v>1</v>
      </c>
      <c r="AD1163">
        <v>106</v>
      </c>
      <c r="AE1163">
        <v>86</v>
      </c>
      <c r="AF1163" t="str">
        <v>Rural</v>
      </c>
      <c r="AG1163" t="str">
        <v>Nao</v>
      </c>
    </row>
    <row r="1164" spans="2:33" x14ac:dyDescent="0.45">
      <c r="B1164" s="4">
        <v>1163</v>
      </c>
      <c r="C1164" s="4" t="s">
        <v>39</v>
      </c>
      <c r="D1164" s="4" t="s">
        <v>16</v>
      </c>
      <c r="E1164" s="4" t="s">
        <v>35</v>
      </c>
      <c r="F1164" s="4" t="s">
        <v>18</v>
      </c>
      <c r="G1164" s="4" t="s">
        <v>19</v>
      </c>
      <c r="H1164" s="4" t="s">
        <v>36</v>
      </c>
      <c r="I1164" s="4">
        <v>27</v>
      </c>
      <c r="J1164" s="5">
        <v>90.7</v>
      </c>
      <c r="K1164" s="6">
        <v>1.75</v>
      </c>
      <c r="L1164" s="4">
        <v>2</v>
      </c>
      <c r="M1164" s="4">
        <v>125</v>
      </c>
      <c r="N1164" s="4">
        <v>93</v>
      </c>
      <c r="O1164" s="4" t="s">
        <v>26</v>
      </c>
      <c r="P1164" s="7" t="s">
        <v>19</v>
      </c>
      <c r="S1164">
        <v>2468</v>
      </c>
      <c r="T1164" t="str">
        <v>Maputo Cidade</v>
      </c>
      <c r="U1164" t="str">
        <v>Masculino</v>
      </c>
      <c r="V1164" t="str">
        <v>Solteiro(a)</v>
      </c>
      <c r="W1164" t="str">
        <v>Secundaria</v>
      </c>
      <c r="X1164" t="str">
        <v>Nao</v>
      </c>
      <c r="Y1164" t="str">
        <v>Diabetes</v>
      </c>
      <c r="Z1164">
        <v>28</v>
      </c>
      <c r="AA1164">
        <v>58.1</v>
      </c>
      <c r="AB1164">
        <v>1.49</v>
      </c>
      <c r="AC1164">
        <v>6</v>
      </c>
      <c r="AD1164">
        <v>113</v>
      </c>
      <c r="AE1164">
        <v>172</v>
      </c>
      <c r="AF1164" t="str">
        <v>Rural</v>
      </c>
      <c r="AG1164" t="str">
        <v>Sim</v>
      </c>
    </row>
    <row r="1165" spans="2:33" x14ac:dyDescent="0.45">
      <c r="B1165" s="4">
        <v>1164</v>
      </c>
      <c r="C1165" s="4" t="s">
        <v>31</v>
      </c>
      <c r="D1165" s="4" t="s">
        <v>16</v>
      </c>
      <c r="E1165" s="4" t="s">
        <v>17</v>
      </c>
      <c r="F1165" s="4" t="s">
        <v>24</v>
      </c>
      <c r="G1165" s="4" t="s">
        <v>19</v>
      </c>
      <c r="H1165" s="4" t="s">
        <v>34</v>
      </c>
      <c r="I1165" s="4">
        <v>47</v>
      </c>
      <c r="J1165" s="5">
        <v>94.3</v>
      </c>
      <c r="K1165" s="6">
        <v>1.78</v>
      </c>
      <c r="L1165" s="4">
        <v>2</v>
      </c>
      <c r="M1165" s="4">
        <v>121</v>
      </c>
      <c r="N1165" s="4">
        <v>78</v>
      </c>
      <c r="O1165" s="4" t="s">
        <v>26</v>
      </c>
      <c r="P1165" s="7" t="s">
        <v>19</v>
      </c>
      <c r="S1165">
        <v>2470</v>
      </c>
      <c r="T1165" t="str">
        <v>Manica</v>
      </c>
      <c r="U1165" t="str">
        <v>Masculino</v>
      </c>
      <c r="V1165" t="str">
        <v>Casado(a)</v>
      </c>
      <c r="W1165" t="str">
        <v>Secundaria</v>
      </c>
      <c r="X1165" t="str">
        <v>Sim</v>
      </c>
      <c r="Y1165" t="str">
        <v>Tuberculose</v>
      </c>
      <c r="Z1165">
        <v>22</v>
      </c>
      <c r="AA1165">
        <v>74.7</v>
      </c>
      <c r="AB1165">
        <v>1.63</v>
      </c>
      <c r="AC1165">
        <v>5</v>
      </c>
      <c r="AD1165">
        <v>112</v>
      </c>
      <c r="AE1165">
        <v>103</v>
      </c>
      <c r="AF1165" t="str">
        <v>Rural</v>
      </c>
      <c r="AG1165" t="str">
        <v>Nao</v>
      </c>
    </row>
    <row r="1166" spans="2:33" x14ac:dyDescent="0.45">
      <c r="B1166" s="4">
        <v>1165</v>
      </c>
      <c r="C1166" s="4" t="s">
        <v>22</v>
      </c>
      <c r="D1166" s="4" t="s">
        <v>16</v>
      </c>
      <c r="E1166" s="4" t="s">
        <v>17</v>
      </c>
      <c r="F1166" s="4" t="s">
        <v>24</v>
      </c>
      <c r="G1166" s="4" t="s">
        <v>19</v>
      </c>
      <c r="H1166" s="4" t="s">
        <v>32</v>
      </c>
      <c r="I1166" s="4">
        <v>3</v>
      </c>
      <c r="J1166" s="5">
        <v>12.8</v>
      </c>
      <c r="K1166" s="6">
        <v>0.77</v>
      </c>
      <c r="L1166" s="4">
        <v>5</v>
      </c>
      <c r="M1166" s="4">
        <v>110</v>
      </c>
      <c r="N1166" s="4">
        <v>144</v>
      </c>
      <c r="O1166" s="4" t="s">
        <v>21</v>
      </c>
      <c r="P1166" s="7" t="s">
        <v>19</v>
      </c>
      <c r="S1166">
        <v>2471</v>
      </c>
      <c r="T1166" t="str">
        <v>Sofala</v>
      </c>
      <c r="U1166" t="str">
        <v>Masculino</v>
      </c>
      <c r="V1166" t="str">
        <v>Casado(a)</v>
      </c>
      <c r="W1166" t="str">
        <v>Superior</v>
      </c>
      <c r="X1166" t="str">
        <v>Nao</v>
      </c>
      <c r="Y1166" t="str">
        <v>Hipertensao</v>
      </c>
      <c r="Z1166">
        <v>5</v>
      </c>
      <c r="AA1166">
        <v>30.4</v>
      </c>
      <c r="AB1166">
        <v>1.41</v>
      </c>
      <c r="AC1166">
        <v>9</v>
      </c>
      <c r="AD1166">
        <v>122</v>
      </c>
      <c r="AE1166">
        <v>90</v>
      </c>
      <c r="AF1166" t="str">
        <v>Rural</v>
      </c>
      <c r="AG1166" t="str">
        <v>Nao</v>
      </c>
    </row>
    <row r="1167" spans="2:33" x14ac:dyDescent="0.45">
      <c r="B1167" s="4">
        <v>1166</v>
      </c>
      <c r="C1167" s="4" t="s">
        <v>43</v>
      </c>
      <c r="D1167" s="4" t="s">
        <v>16</v>
      </c>
      <c r="E1167" s="4" t="s">
        <v>35</v>
      </c>
      <c r="F1167" s="4" t="s">
        <v>24</v>
      </c>
      <c r="G1167" s="4" t="s">
        <v>19</v>
      </c>
      <c r="H1167" s="4" t="s">
        <v>20</v>
      </c>
      <c r="I1167" s="4">
        <v>34</v>
      </c>
      <c r="J1167" s="5">
        <v>57.3</v>
      </c>
      <c r="K1167" s="6">
        <v>1.76</v>
      </c>
      <c r="L1167" s="4">
        <v>1</v>
      </c>
      <c r="M1167" s="4">
        <v>105</v>
      </c>
      <c r="N1167" s="4">
        <v>72</v>
      </c>
      <c r="O1167" s="4" t="s">
        <v>26</v>
      </c>
      <c r="P1167" s="7" t="s">
        <v>30</v>
      </c>
      <c r="S1167">
        <v>2472</v>
      </c>
      <c r="T1167" t="str">
        <v>Sofala</v>
      </c>
      <c r="U1167" t="str">
        <v>Masculino</v>
      </c>
      <c r="V1167" t="str">
        <v>Solteiro(a)</v>
      </c>
      <c r="W1167" t="str">
        <v>Primaria</v>
      </c>
      <c r="X1167" t="str">
        <v>Nao</v>
      </c>
      <c r="Y1167" t="str">
        <v>Nenhuma</v>
      </c>
      <c r="Z1167">
        <v>8</v>
      </c>
      <c r="AA1167">
        <v>33.799999999999997</v>
      </c>
      <c r="AB1167">
        <v>1.21</v>
      </c>
      <c r="AC1167">
        <v>2</v>
      </c>
      <c r="AD1167">
        <v>117</v>
      </c>
      <c r="AE1167">
        <v>99</v>
      </c>
      <c r="AF1167" t="str">
        <v>Rural</v>
      </c>
      <c r="AG1167" t="str">
        <v>Nao</v>
      </c>
    </row>
    <row r="1168" spans="2:33" x14ac:dyDescent="0.45">
      <c r="B1168" s="4">
        <v>1167</v>
      </c>
      <c r="C1168" s="4" t="s">
        <v>41</v>
      </c>
      <c r="D1168" s="4" t="s">
        <v>23</v>
      </c>
      <c r="E1168" s="4" t="s">
        <v>17</v>
      </c>
      <c r="F1168" s="4" t="s">
        <v>24</v>
      </c>
      <c r="G1168" s="4" t="s">
        <v>19</v>
      </c>
      <c r="H1168" s="4" t="s">
        <v>32</v>
      </c>
      <c r="I1168" s="4">
        <v>5</v>
      </c>
      <c r="J1168" s="5">
        <v>32.799999999999997</v>
      </c>
      <c r="K1168" s="6">
        <v>1.43</v>
      </c>
      <c r="L1168" s="4">
        <v>5</v>
      </c>
      <c r="M1168" s="4">
        <v>100</v>
      </c>
      <c r="N1168" s="4">
        <v>150</v>
      </c>
      <c r="O1168" s="4" t="s">
        <v>26</v>
      </c>
      <c r="P1168" s="7" t="s">
        <v>30</v>
      </c>
      <c r="S1168">
        <v>2475</v>
      </c>
      <c r="T1168" t="str">
        <v>Nampula</v>
      </c>
      <c r="U1168" t="str">
        <v>Masculino</v>
      </c>
      <c r="V1168" t="str">
        <v>Casado(a)</v>
      </c>
      <c r="W1168" t="str">
        <v>Nenhuma</v>
      </c>
      <c r="X1168" t="str">
        <v>Sim</v>
      </c>
      <c r="Y1168" t="str">
        <v>Nenhuma</v>
      </c>
      <c r="Z1168">
        <v>51</v>
      </c>
      <c r="AA1168">
        <v>81.099999999999994</v>
      </c>
      <c r="AB1168">
        <v>1.73</v>
      </c>
      <c r="AC1168">
        <v>3</v>
      </c>
      <c r="AD1168">
        <v>113</v>
      </c>
      <c r="AE1168">
        <v>103</v>
      </c>
      <c r="AF1168" t="str">
        <v>Urbana</v>
      </c>
      <c r="AG1168" t="str">
        <v>Nao</v>
      </c>
    </row>
    <row r="1169" spans="2:33" x14ac:dyDescent="0.45">
      <c r="B1169" s="4">
        <v>1168</v>
      </c>
      <c r="C1169" s="4" t="s">
        <v>45</v>
      </c>
      <c r="D1169" s="4" t="s">
        <v>23</v>
      </c>
      <c r="E1169" s="4" t="s">
        <v>17</v>
      </c>
      <c r="F1169" s="4" t="s">
        <v>28</v>
      </c>
      <c r="G1169" s="4" t="s">
        <v>30</v>
      </c>
      <c r="H1169" s="4" t="s">
        <v>28</v>
      </c>
      <c r="I1169" s="4">
        <v>7</v>
      </c>
      <c r="J1169" s="5">
        <v>20</v>
      </c>
      <c r="K1169" s="6">
        <v>1.06</v>
      </c>
      <c r="L1169" s="4">
        <v>2</v>
      </c>
      <c r="M1169" s="4">
        <v>97</v>
      </c>
      <c r="N1169" s="4">
        <v>86</v>
      </c>
      <c r="O1169" s="4" t="s">
        <v>21</v>
      </c>
      <c r="P1169" s="7" t="s">
        <v>19</v>
      </c>
      <c r="S1169">
        <v>2477</v>
      </c>
      <c r="T1169" t="str">
        <v>Gaza</v>
      </c>
      <c r="U1169" t="str">
        <v>Masculino</v>
      </c>
      <c r="V1169" t="str">
        <v>Casado(a)</v>
      </c>
      <c r="W1169" t="str">
        <v>Nenhuma</v>
      </c>
      <c r="X1169" t="str">
        <v>Nao</v>
      </c>
      <c r="Y1169" t="str">
        <v>Pneumonia</v>
      </c>
      <c r="Z1169">
        <v>12</v>
      </c>
      <c r="AA1169">
        <v>51.4</v>
      </c>
      <c r="AB1169">
        <v>1.65</v>
      </c>
      <c r="AC1169">
        <v>2</v>
      </c>
      <c r="AD1169">
        <v>105</v>
      </c>
      <c r="AE1169">
        <v>82</v>
      </c>
      <c r="AF1169" t="str">
        <v>Urbana</v>
      </c>
      <c r="AG1169" t="str">
        <v>Sim</v>
      </c>
    </row>
    <row r="1170" spans="2:33" x14ac:dyDescent="0.45">
      <c r="B1170" s="4">
        <v>1169</v>
      </c>
      <c r="C1170" s="4" t="s">
        <v>45</v>
      </c>
      <c r="D1170" s="4" t="s">
        <v>16</v>
      </c>
      <c r="E1170" s="4" t="s">
        <v>17</v>
      </c>
      <c r="F1170" s="4" t="s">
        <v>42</v>
      </c>
      <c r="G1170" s="4" t="s">
        <v>19</v>
      </c>
      <c r="H1170" s="4" t="s">
        <v>34</v>
      </c>
      <c r="I1170" s="4">
        <v>18</v>
      </c>
      <c r="J1170" s="5">
        <v>66.099999999999994</v>
      </c>
      <c r="K1170" s="6">
        <v>1.54</v>
      </c>
      <c r="L1170" s="4">
        <v>7</v>
      </c>
      <c r="M1170" s="4">
        <v>103</v>
      </c>
      <c r="N1170" s="4">
        <v>103</v>
      </c>
      <c r="O1170" s="4" t="s">
        <v>26</v>
      </c>
      <c r="P1170" s="7" t="s">
        <v>30</v>
      </c>
      <c r="S1170">
        <v>2478</v>
      </c>
      <c r="T1170" t="str">
        <v>Tete</v>
      </c>
      <c r="U1170" t="str">
        <v>Masculino</v>
      </c>
      <c r="V1170" t="str">
        <v>Solteiro(a)</v>
      </c>
      <c r="W1170" t="str">
        <v>Primaria</v>
      </c>
      <c r="X1170" t="str">
        <v>Nao</v>
      </c>
      <c r="Y1170" t="str">
        <v>Malaria</v>
      </c>
      <c r="Z1170">
        <v>6</v>
      </c>
      <c r="AA1170">
        <v>22.6</v>
      </c>
      <c r="AB1170">
        <v>1.37</v>
      </c>
      <c r="AC1170">
        <v>3</v>
      </c>
      <c r="AD1170">
        <v>105</v>
      </c>
      <c r="AE1170">
        <v>74</v>
      </c>
      <c r="AF1170" t="str">
        <v>Rural</v>
      </c>
      <c r="AG1170" t="str">
        <v>Sim</v>
      </c>
    </row>
    <row r="1171" spans="2:33" x14ac:dyDescent="0.45">
      <c r="B1171" s="4">
        <v>1170</v>
      </c>
      <c r="C1171" s="4" t="s">
        <v>29</v>
      </c>
      <c r="D1171" s="4" t="s">
        <v>16</v>
      </c>
      <c r="E1171" s="4" t="s">
        <v>17</v>
      </c>
      <c r="F1171" s="4" t="s">
        <v>24</v>
      </c>
      <c r="G1171" s="4" t="s">
        <v>19</v>
      </c>
      <c r="H1171" s="4" t="s">
        <v>38</v>
      </c>
      <c r="I1171" s="4">
        <v>39</v>
      </c>
      <c r="J1171" s="5">
        <v>61.2</v>
      </c>
      <c r="K1171" s="6">
        <v>1.65</v>
      </c>
      <c r="L1171" s="4">
        <v>2</v>
      </c>
      <c r="M1171" s="4">
        <v>118</v>
      </c>
      <c r="N1171" s="4">
        <v>76</v>
      </c>
      <c r="O1171" s="4" t="s">
        <v>26</v>
      </c>
      <c r="P1171" s="7" t="s">
        <v>19</v>
      </c>
      <c r="S1171">
        <v>2479</v>
      </c>
      <c r="T1171" t="str">
        <v>Gaza</v>
      </c>
      <c r="U1171" t="str">
        <v>Masculino</v>
      </c>
      <c r="V1171" t="str">
        <v>Solteiro(a)</v>
      </c>
      <c r="W1171" t="str">
        <v>Primaria</v>
      </c>
      <c r="X1171" t="str">
        <v>Sim</v>
      </c>
      <c r="Y1171" t="str">
        <v>Diarreia</v>
      </c>
      <c r="Z1171">
        <v>28</v>
      </c>
      <c r="AA1171">
        <v>61.7</v>
      </c>
      <c r="AB1171">
        <v>1.64</v>
      </c>
      <c r="AC1171">
        <v>4</v>
      </c>
      <c r="AD1171">
        <v>116</v>
      </c>
      <c r="AE1171">
        <v>72</v>
      </c>
      <c r="AF1171" t="str">
        <v>Urbana</v>
      </c>
      <c r="AG1171" t="str">
        <v>Nao</v>
      </c>
    </row>
    <row r="1172" spans="2:33" x14ac:dyDescent="0.45">
      <c r="B1172" s="4">
        <v>1171</v>
      </c>
      <c r="C1172" s="4" t="s">
        <v>29</v>
      </c>
      <c r="D1172" s="4" t="s">
        <v>16</v>
      </c>
      <c r="E1172" s="4" t="s">
        <v>17</v>
      </c>
      <c r="F1172" s="4" t="s">
        <v>18</v>
      </c>
      <c r="G1172" s="4" t="s">
        <v>19</v>
      </c>
      <c r="H1172" s="4" t="s">
        <v>20</v>
      </c>
      <c r="I1172" s="4">
        <v>8</v>
      </c>
      <c r="J1172" s="5">
        <v>31.6</v>
      </c>
      <c r="K1172" s="6">
        <v>1.22</v>
      </c>
      <c r="L1172" s="4">
        <v>1</v>
      </c>
      <c r="M1172" s="4">
        <v>93</v>
      </c>
      <c r="N1172" s="4">
        <v>96</v>
      </c>
      <c r="O1172" s="4" t="s">
        <v>26</v>
      </c>
      <c r="P1172" s="7" t="s">
        <v>19</v>
      </c>
      <c r="S1172">
        <v>2482</v>
      </c>
      <c r="T1172" t="str">
        <v>Gaza</v>
      </c>
      <c r="U1172" t="str">
        <v>Masculino</v>
      </c>
      <c r="V1172" t="str">
        <v>Solteiro(a)</v>
      </c>
      <c r="W1172" t="str">
        <v>Primaria</v>
      </c>
      <c r="X1172" t="str">
        <v>Nao</v>
      </c>
      <c r="Y1172" t="str">
        <v>Malaria</v>
      </c>
      <c r="Z1172">
        <v>21</v>
      </c>
      <c r="AA1172">
        <v>64.900000000000006</v>
      </c>
      <c r="AB1172">
        <v>1.69</v>
      </c>
      <c r="AC1172">
        <v>4</v>
      </c>
      <c r="AD1172">
        <v>111</v>
      </c>
      <c r="AE1172">
        <v>80</v>
      </c>
      <c r="AF1172" t="str">
        <v>Urbana</v>
      </c>
      <c r="AG1172" t="str">
        <v>Nao</v>
      </c>
    </row>
    <row r="1173" spans="2:33" x14ac:dyDescent="0.45">
      <c r="B1173" s="4">
        <v>1172</v>
      </c>
      <c r="C1173" s="4" t="s">
        <v>31</v>
      </c>
      <c r="D1173" s="4" t="s">
        <v>16</v>
      </c>
      <c r="E1173" s="4" t="s">
        <v>44</v>
      </c>
      <c r="F1173" s="4" t="s">
        <v>18</v>
      </c>
      <c r="G1173" s="4" t="s">
        <v>19</v>
      </c>
      <c r="H1173" s="4" t="s">
        <v>25</v>
      </c>
      <c r="I1173" s="4">
        <v>50</v>
      </c>
      <c r="J1173" s="5">
        <v>90.5</v>
      </c>
      <c r="K1173" s="6">
        <v>1.71</v>
      </c>
      <c r="L1173" s="4">
        <v>1</v>
      </c>
      <c r="M1173" s="4">
        <v>114</v>
      </c>
      <c r="N1173" s="4">
        <v>81</v>
      </c>
      <c r="O1173" s="4" t="s">
        <v>26</v>
      </c>
      <c r="P1173" s="7" t="s">
        <v>30</v>
      </c>
      <c r="S1173">
        <v>2487</v>
      </c>
      <c r="T1173" t="str">
        <v>Sofala</v>
      </c>
      <c r="U1173" t="str">
        <v>Masculino</v>
      </c>
      <c r="V1173" t="str">
        <v>Solteiro(a)</v>
      </c>
      <c r="W1173" t="str">
        <v>Secundaria</v>
      </c>
      <c r="X1173" t="str">
        <v>Nao</v>
      </c>
      <c r="Y1173" t="str">
        <v>Diabetes</v>
      </c>
      <c r="Z1173">
        <v>60</v>
      </c>
      <c r="AA1173">
        <v>52.6</v>
      </c>
      <c r="AB1173">
        <v>1.71</v>
      </c>
      <c r="AC1173">
        <v>3</v>
      </c>
      <c r="AD1173">
        <v>121</v>
      </c>
      <c r="AE1173">
        <v>184</v>
      </c>
      <c r="AF1173" t="str">
        <v>Rural</v>
      </c>
      <c r="AG1173" t="str">
        <v>Sim</v>
      </c>
    </row>
    <row r="1174" spans="2:33" x14ac:dyDescent="0.45">
      <c r="B1174" s="4">
        <v>1173</v>
      </c>
      <c r="C1174" s="4" t="s">
        <v>22</v>
      </c>
      <c r="D1174" s="4" t="s">
        <v>23</v>
      </c>
      <c r="E1174" s="4" t="s">
        <v>44</v>
      </c>
      <c r="F1174" s="4" t="s">
        <v>18</v>
      </c>
      <c r="G1174" s="4" t="s">
        <v>19</v>
      </c>
      <c r="H1174" s="4" t="s">
        <v>20</v>
      </c>
      <c r="I1174" s="4">
        <v>2</v>
      </c>
      <c r="J1174" s="5">
        <v>16.2</v>
      </c>
      <c r="K1174" s="6">
        <v>0.88</v>
      </c>
      <c r="L1174" s="4">
        <v>3</v>
      </c>
      <c r="M1174" s="4">
        <v>111</v>
      </c>
      <c r="N1174" s="4">
        <v>101</v>
      </c>
      <c r="O1174" s="4" t="s">
        <v>26</v>
      </c>
      <c r="P1174" s="7" t="s">
        <v>19</v>
      </c>
      <c r="S1174">
        <v>2489</v>
      </c>
      <c r="T1174" t="str">
        <v>Nampula</v>
      </c>
      <c r="U1174" t="str">
        <v>Masculino</v>
      </c>
      <c r="V1174" t="str">
        <v>Divorciado(a)</v>
      </c>
      <c r="W1174" t="str">
        <v>Secundaria</v>
      </c>
      <c r="X1174" t="str">
        <v>Sim</v>
      </c>
      <c r="Y1174" t="str">
        <v>Malaria</v>
      </c>
      <c r="Z1174">
        <v>48</v>
      </c>
      <c r="AA1174">
        <v>45.2</v>
      </c>
      <c r="AB1174">
        <v>1.59</v>
      </c>
      <c r="AC1174">
        <v>0</v>
      </c>
      <c r="AD1174">
        <v>120</v>
      </c>
      <c r="AE1174">
        <v>96</v>
      </c>
      <c r="AF1174" t="str">
        <v>Urbana</v>
      </c>
      <c r="AG1174" t="str">
        <v>Nao</v>
      </c>
    </row>
    <row r="1175" spans="2:33" x14ac:dyDescent="0.45">
      <c r="B1175" s="4">
        <v>1174</v>
      </c>
      <c r="C1175" s="4" t="s">
        <v>27</v>
      </c>
      <c r="D1175" s="4" t="s">
        <v>23</v>
      </c>
      <c r="E1175" s="4" t="s">
        <v>35</v>
      </c>
      <c r="F1175" s="4" t="s">
        <v>28</v>
      </c>
      <c r="G1175" s="4" t="s">
        <v>19</v>
      </c>
      <c r="H1175" s="4" t="s">
        <v>36</v>
      </c>
      <c r="I1175" s="4">
        <v>51</v>
      </c>
      <c r="J1175" s="5">
        <v>67.8</v>
      </c>
      <c r="K1175" s="6">
        <v>1.74</v>
      </c>
      <c r="L1175" s="4">
        <v>3</v>
      </c>
      <c r="M1175" s="4">
        <v>141</v>
      </c>
      <c r="N1175" s="4">
        <v>83</v>
      </c>
      <c r="O1175" s="4" t="s">
        <v>26</v>
      </c>
      <c r="P1175" s="7" t="s">
        <v>19</v>
      </c>
      <c r="S1175">
        <v>2490</v>
      </c>
      <c r="T1175" t="str">
        <v>Nampula</v>
      </c>
      <c r="U1175" t="str">
        <v>Masculino</v>
      </c>
      <c r="V1175" t="str">
        <v>Casado(a)</v>
      </c>
      <c r="W1175" t="str">
        <v>Primaria</v>
      </c>
      <c r="X1175" t="str">
        <v>Sim</v>
      </c>
      <c r="Y1175" t="str">
        <v>Malaria</v>
      </c>
      <c r="Z1175">
        <v>42</v>
      </c>
      <c r="AA1175">
        <v>88.5</v>
      </c>
      <c r="AB1175">
        <v>1.49</v>
      </c>
      <c r="AC1175">
        <v>2</v>
      </c>
      <c r="AD1175">
        <v>113</v>
      </c>
      <c r="AE1175">
        <v>81</v>
      </c>
      <c r="AF1175" t="str">
        <v>Urbana</v>
      </c>
      <c r="AG1175" t="str">
        <v>Sim</v>
      </c>
    </row>
    <row r="1176" spans="2:33" x14ac:dyDescent="0.45">
      <c r="B1176" s="4">
        <v>1175</v>
      </c>
      <c r="C1176" s="4" t="s">
        <v>27</v>
      </c>
      <c r="D1176" s="4" t="s">
        <v>16</v>
      </c>
      <c r="E1176" s="4" t="s">
        <v>17</v>
      </c>
      <c r="F1176" s="4" t="s">
        <v>24</v>
      </c>
      <c r="G1176" s="4" t="s">
        <v>19</v>
      </c>
      <c r="H1176" s="4" t="s">
        <v>28</v>
      </c>
      <c r="I1176" s="4">
        <v>54</v>
      </c>
      <c r="J1176" s="5">
        <v>94.8</v>
      </c>
      <c r="K1176" s="6">
        <v>1.77</v>
      </c>
      <c r="L1176" s="4">
        <v>3</v>
      </c>
      <c r="M1176" s="4">
        <v>107</v>
      </c>
      <c r="N1176" s="4">
        <v>95</v>
      </c>
      <c r="O1176" s="4" t="s">
        <v>21</v>
      </c>
      <c r="P1176" s="7" t="s">
        <v>19</v>
      </c>
      <c r="S1176">
        <v>2492</v>
      </c>
      <c r="T1176" t="str">
        <v>Maputo Cidade</v>
      </c>
      <c r="U1176" t="str">
        <v>Masculino</v>
      </c>
      <c r="V1176" t="str">
        <v>Divorciado(a)</v>
      </c>
      <c r="W1176" t="str">
        <v>Nenhuma</v>
      </c>
      <c r="X1176" t="str">
        <v>Sim</v>
      </c>
      <c r="Y1176" t="str">
        <v>HIV/SIDA</v>
      </c>
      <c r="Z1176">
        <v>4</v>
      </c>
      <c r="AA1176">
        <v>18</v>
      </c>
      <c r="AB1176">
        <v>0.68</v>
      </c>
      <c r="AC1176">
        <v>7</v>
      </c>
      <c r="AD1176">
        <v>107</v>
      </c>
      <c r="AE1176">
        <v>100</v>
      </c>
      <c r="AF1176" t="str">
        <v>Rural</v>
      </c>
      <c r="AG1176" t="str">
        <v>Nao</v>
      </c>
    </row>
    <row r="1177" spans="2:33" x14ac:dyDescent="0.45">
      <c r="B1177" s="4">
        <v>1176</v>
      </c>
      <c r="C1177" s="4" t="s">
        <v>27</v>
      </c>
      <c r="D1177" s="4" t="s">
        <v>23</v>
      </c>
      <c r="E1177" s="4" t="s">
        <v>35</v>
      </c>
      <c r="F1177" s="4" t="s">
        <v>24</v>
      </c>
      <c r="G1177" s="4" t="s">
        <v>19</v>
      </c>
      <c r="H1177" s="4" t="s">
        <v>32</v>
      </c>
      <c r="I1177" s="4">
        <v>51</v>
      </c>
      <c r="J1177" s="5">
        <v>86.5</v>
      </c>
      <c r="K1177" s="6">
        <v>1.87</v>
      </c>
      <c r="L1177" s="4">
        <v>2</v>
      </c>
      <c r="M1177" s="4">
        <v>123</v>
      </c>
      <c r="N1177" s="4">
        <v>123</v>
      </c>
      <c r="O1177" s="4" t="s">
        <v>21</v>
      </c>
      <c r="P1177" s="7" t="s">
        <v>19</v>
      </c>
      <c r="S1177">
        <v>2493</v>
      </c>
      <c r="T1177" t="str">
        <v>Zambezia</v>
      </c>
      <c r="U1177" t="str">
        <v>Masculino</v>
      </c>
      <c r="V1177" t="str">
        <v>Solteiro(a)</v>
      </c>
      <c r="W1177" t="str">
        <v>Primaria</v>
      </c>
      <c r="X1177" t="str">
        <v>Nao</v>
      </c>
      <c r="Y1177" t="str">
        <v>Hipertensao</v>
      </c>
      <c r="Z1177">
        <v>32</v>
      </c>
      <c r="AA1177">
        <v>46.5</v>
      </c>
      <c r="AB1177">
        <v>1.84</v>
      </c>
      <c r="AC1177">
        <v>10</v>
      </c>
      <c r="AD1177">
        <v>135</v>
      </c>
      <c r="AE1177">
        <v>71</v>
      </c>
      <c r="AF1177" t="str">
        <v>Urbana</v>
      </c>
      <c r="AG1177" t="str">
        <v>Sim</v>
      </c>
    </row>
    <row r="1178" spans="2:33" x14ac:dyDescent="0.45">
      <c r="B1178" s="4">
        <v>1177</v>
      </c>
      <c r="C1178" s="4" t="s">
        <v>27</v>
      </c>
      <c r="D1178" s="4" t="s">
        <v>16</v>
      </c>
      <c r="E1178" s="4" t="s">
        <v>35</v>
      </c>
      <c r="F1178" s="4" t="s">
        <v>24</v>
      </c>
      <c r="G1178" s="4" t="s">
        <v>19</v>
      </c>
      <c r="H1178" s="4" t="s">
        <v>28</v>
      </c>
      <c r="I1178" s="4">
        <v>5</v>
      </c>
      <c r="J1178" s="5">
        <v>30.6</v>
      </c>
      <c r="K1178" s="6">
        <v>1.41</v>
      </c>
      <c r="L1178" s="4">
        <v>6</v>
      </c>
      <c r="M1178" s="4">
        <v>110</v>
      </c>
      <c r="N1178" s="4">
        <v>92</v>
      </c>
      <c r="O1178" s="4" t="s">
        <v>26</v>
      </c>
      <c r="P1178" s="7" t="s">
        <v>19</v>
      </c>
      <c r="S1178">
        <v>2494</v>
      </c>
      <c r="T1178" t="str">
        <v>Tete</v>
      </c>
      <c r="U1178" t="str">
        <v>Masculino</v>
      </c>
      <c r="V1178" t="str">
        <v>Solteiro(a)</v>
      </c>
      <c r="W1178" t="str">
        <v>Primaria</v>
      </c>
      <c r="X1178" t="str">
        <v>Nao</v>
      </c>
      <c r="Y1178" t="str">
        <v>HIV/SIDA</v>
      </c>
      <c r="Z1178">
        <v>21</v>
      </c>
      <c r="AA1178">
        <v>65.3</v>
      </c>
      <c r="AB1178">
        <v>1.65</v>
      </c>
      <c r="AC1178">
        <v>3</v>
      </c>
      <c r="AD1178">
        <v>99</v>
      </c>
      <c r="AE1178">
        <v>101</v>
      </c>
      <c r="AF1178" t="str">
        <v>Urbana</v>
      </c>
      <c r="AG1178" t="str">
        <v>Nao</v>
      </c>
    </row>
    <row r="1179" spans="2:33" x14ac:dyDescent="0.45">
      <c r="B1179" s="4">
        <v>1178</v>
      </c>
      <c r="C1179" s="4" t="s">
        <v>27</v>
      </c>
      <c r="D1179" s="4" t="s">
        <v>16</v>
      </c>
      <c r="E1179" s="4" t="s">
        <v>17</v>
      </c>
      <c r="F1179" s="4" t="s">
        <v>24</v>
      </c>
      <c r="G1179" s="4" t="s">
        <v>30</v>
      </c>
      <c r="H1179" s="4" t="s">
        <v>28</v>
      </c>
      <c r="I1179" s="4">
        <v>45</v>
      </c>
      <c r="J1179" s="5">
        <v>48.8</v>
      </c>
      <c r="K1179" s="6">
        <v>1.5</v>
      </c>
      <c r="L1179" s="4">
        <v>8</v>
      </c>
      <c r="M1179" s="4">
        <v>105</v>
      </c>
      <c r="N1179" s="4">
        <v>92</v>
      </c>
      <c r="O1179" s="4" t="s">
        <v>26</v>
      </c>
      <c r="P1179" s="7" t="s">
        <v>19</v>
      </c>
      <c r="S1179">
        <v>2498</v>
      </c>
      <c r="T1179" t="str">
        <v>Sofala</v>
      </c>
      <c r="U1179" t="str">
        <v>Masculino</v>
      </c>
      <c r="V1179" t="str">
        <v>Casado(a)</v>
      </c>
      <c r="W1179" t="str">
        <v>Nenhuma</v>
      </c>
      <c r="X1179" t="str">
        <v>Nao</v>
      </c>
      <c r="Y1179" t="str">
        <v>Nenhuma</v>
      </c>
      <c r="Z1179">
        <v>19</v>
      </c>
      <c r="AA1179">
        <v>94.6</v>
      </c>
      <c r="AB1179">
        <v>1.55</v>
      </c>
      <c r="AC1179">
        <v>4</v>
      </c>
      <c r="AD1179">
        <v>103</v>
      </c>
      <c r="AE1179">
        <v>84</v>
      </c>
      <c r="AF1179" t="str">
        <v>Rural</v>
      </c>
      <c r="AG1179" t="str">
        <v>Nao</v>
      </c>
    </row>
    <row r="1180" spans="2:33" x14ac:dyDescent="0.45">
      <c r="B1180" s="4">
        <v>1179</v>
      </c>
      <c r="C1180" s="4" t="s">
        <v>27</v>
      </c>
      <c r="D1180" s="4" t="s">
        <v>16</v>
      </c>
      <c r="E1180" s="4" t="s">
        <v>35</v>
      </c>
      <c r="F1180" s="4" t="s">
        <v>18</v>
      </c>
      <c r="G1180" s="4" t="s">
        <v>30</v>
      </c>
      <c r="H1180" s="4" t="s">
        <v>36</v>
      </c>
      <c r="I1180" s="4">
        <v>51</v>
      </c>
      <c r="J1180" s="5">
        <v>64</v>
      </c>
      <c r="K1180" s="6">
        <v>1.62</v>
      </c>
      <c r="L1180" s="4">
        <v>3</v>
      </c>
      <c r="M1180" s="4">
        <v>151</v>
      </c>
      <c r="N1180" s="4">
        <v>101</v>
      </c>
      <c r="O1180" s="4" t="s">
        <v>21</v>
      </c>
      <c r="P1180" s="7" t="s">
        <v>19</v>
      </c>
      <c r="S1180">
        <v>2500</v>
      </c>
      <c r="T1180" t="str">
        <v>Manica</v>
      </c>
      <c r="U1180" t="str">
        <v>Masculino</v>
      </c>
      <c r="V1180" t="str">
        <v>Solteiro(a)</v>
      </c>
      <c r="W1180" t="str">
        <v>Secundaria</v>
      </c>
      <c r="X1180" t="str">
        <v>Nao</v>
      </c>
      <c r="Y1180" t="str">
        <v>Nenhuma</v>
      </c>
      <c r="Z1180">
        <v>22</v>
      </c>
      <c r="AA1180">
        <v>47.8</v>
      </c>
      <c r="AB1180">
        <v>1.78</v>
      </c>
      <c r="AC1180">
        <v>0</v>
      </c>
      <c r="AD1180">
        <v>98</v>
      </c>
      <c r="AE1180">
        <v>100</v>
      </c>
      <c r="AF1180" t="str">
        <v>Rural</v>
      </c>
      <c r="AG1180" t="str">
        <v>Nao</v>
      </c>
    </row>
    <row r="1181" spans="2:33" x14ac:dyDescent="0.45">
      <c r="B1181" s="4">
        <v>1180</v>
      </c>
      <c r="C1181" s="4" t="s">
        <v>22</v>
      </c>
      <c r="D1181" s="4" t="s">
        <v>23</v>
      </c>
      <c r="E1181" s="4" t="s">
        <v>35</v>
      </c>
      <c r="F1181" s="4" t="s">
        <v>42</v>
      </c>
      <c r="G1181" s="4" t="s">
        <v>19</v>
      </c>
      <c r="H1181" s="4" t="s">
        <v>34</v>
      </c>
      <c r="I1181" s="4">
        <v>4</v>
      </c>
      <c r="J1181" s="5">
        <v>11.2</v>
      </c>
      <c r="K1181" s="6">
        <v>0.83</v>
      </c>
      <c r="L1181" s="4">
        <v>2</v>
      </c>
      <c r="M1181" s="4">
        <v>99</v>
      </c>
      <c r="N1181" s="4">
        <v>102</v>
      </c>
      <c r="O1181" s="4" t="s">
        <v>26</v>
      </c>
      <c r="P1181" s="7" t="s">
        <v>19</v>
      </c>
    </row>
    <row r="1182" spans="2:33" x14ac:dyDescent="0.45">
      <c r="B1182" s="4">
        <v>1181</v>
      </c>
      <c r="C1182" s="4" t="s">
        <v>22</v>
      </c>
      <c r="D1182" s="4" t="s">
        <v>23</v>
      </c>
      <c r="E1182" s="4" t="s">
        <v>17</v>
      </c>
      <c r="F1182" s="4" t="s">
        <v>18</v>
      </c>
      <c r="G1182" s="4" t="s">
        <v>30</v>
      </c>
      <c r="H1182" s="4" t="s">
        <v>28</v>
      </c>
      <c r="I1182" s="4">
        <v>14</v>
      </c>
      <c r="J1182" s="5">
        <v>63.8</v>
      </c>
      <c r="K1182" s="6">
        <v>1.59</v>
      </c>
      <c r="L1182" s="4">
        <v>2</v>
      </c>
      <c r="M1182" s="4">
        <v>115</v>
      </c>
      <c r="N1182" s="4">
        <v>104</v>
      </c>
      <c r="O1182" s="4" t="s">
        <v>26</v>
      </c>
      <c r="P1182" s="7" t="s">
        <v>30</v>
      </c>
    </row>
    <row r="1183" spans="2:33" x14ac:dyDescent="0.45">
      <c r="B1183" s="4">
        <v>1182</v>
      </c>
      <c r="C1183" s="4" t="s">
        <v>41</v>
      </c>
      <c r="D1183" s="4" t="s">
        <v>16</v>
      </c>
      <c r="E1183" s="4" t="s">
        <v>35</v>
      </c>
      <c r="F1183" s="4" t="s">
        <v>28</v>
      </c>
      <c r="G1183" s="4" t="s">
        <v>19</v>
      </c>
      <c r="H1183" s="4" t="s">
        <v>32</v>
      </c>
      <c r="I1183" s="4">
        <v>68</v>
      </c>
      <c r="J1183" s="5">
        <v>49.8</v>
      </c>
      <c r="K1183" s="6">
        <v>1.69</v>
      </c>
      <c r="L1183" s="4">
        <v>4</v>
      </c>
      <c r="M1183" s="4">
        <v>123</v>
      </c>
      <c r="N1183" s="4">
        <v>166</v>
      </c>
      <c r="O1183" s="4" t="s">
        <v>21</v>
      </c>
      <c r="P1183" s="7" t="s">
        <v>30</v>
      </c>
    </row>
    <row r="1184" spans="2:33" x14ac:dyDescent="0.45">
      <c r="B1184" s="4">
        <v>1183</v>
      </c>
      <c r="C1184" s="4" t="s">
        <v>41</v>
      </c>
      <c r="D1184" s="4" t="s">
        <v>23</v>
      </c>
      <c r="E1184" s="4" t="s">
        <v>35</v>
      </c>
      <c r="F1184" s="4" t="s">
        <v>28</v>
      </c>
      <c r="G1184" s="4" t="s">
        <v>19</v>
      </c>
      <c r="H1184" s="4" t="s">
        <v>20</v>
      </c>
      <c r="I1184" s="4">
        <v>49</v>
      </c>
      <c r="J1184" s="5">
        <v>84.5</v>
      </c>
      <c r="K1184" s="6">
        <v>1.55</v>
      </c>
      <c r="L1184" s="4">
        <v>0</v>
      </c>
      <c r="M1184" s="4">
        <v>131</v>
      </c>
      <c r="N1184" s="4">
        <v>103</v>
      </c>
      <c r="O1184" s="4" t="s">
        <v>26</v>
      </c>
      <c r="P1184" s="7" t="s">
        <v>30</v>
      </c>
    </row>
    <row r="1185" spans="2:16" x14ac:dyDescent="0.45">
      <c r="B1185" s="4">
        <v>1184</v>
      </c>
      <c r="C1185" s="4" t="s">
        <v>40</v>
      </c>
      <c r="D1185" s="4" t="s">
        <v>16</v>
      </c>
      <c r="E1185" s="4" t="s">
        <v>17</v>
      </c>
      <c r="F1185" s="4" t="s">
        <v>18</v>
      </c>
      <c r="G1185" s="4" t="s">
        <v>19</v>
      </c>
      <c r="H1185" s="4" t="s">
        <v>34</v>
      </c>
      <c r="I1185" s="4">
        <v>58</v>
      </c>
      <c r="J1185" s="5">
        <v>87</v>
      </c>
      <c r="K1185" s="6">
        <v>1.63</v>
      </c>
      <c r="L1185" s="4">
        <v>4</v>
      </c>
      <c r="M1185" s="4">
        <v>116</v>
      </c>
      <c r="N1185" s="4">
        <v>79</v>
      </c>
      <c r="O1185" s="4" t="s">
        <v>26</v>
      </c>
      <c r="P1185" s="7" t="s">
        <v>19</v>
      </c>
    </row>
    <row r="1186" spans="2:16" x14ac:dyDescent="0.45">
      <c r="B1186" s="4">
        <v>1185</v>
      </c>
      <c r="C1186" s="4" t="s">
        <v>41</v>
      </c>
      <c r="D1186" s="4" t="s">
        <v>23</v>
      </c>
      <c r="E1186" s="4" t="s">
        <v>35</v>
      </c>
      <c r="F1186" s="4" t="s">
        <v>18</v>
      </c>
      <c r="G1186" s="4" t="s">
        <v>19</v>
      </c>
      <c r="H1186" s="4" t="s">
        <v>34</v>
      </c>
      <c r="I1186" s="4">
        <v>41</v>
      </c>
      <c r="J1186" s="5">
        <v>71</v>
      </c>
      <c r="K1186" s="6">
        <v>1.75</v>
      </c>
      <c r="L1186" s="4">
        <v>3</v>
      </c>
      <c r="M1186" s="4">
        <v>126</v>
      </c>
      <c r="N1186" s="4">
        <v>86</v>
      </c>
      <c r="O1186" s="4" t="s">
        <v>21</v>
      </c>
      <c r="P1186" s="7" t="s">
        <v>19</v>
      </c>
    </row>
    <row r="1187" spans="2:16" x14ac:dyDescent="0.45">
      <c r="B1187" s="4">
        <v>1186</v>
      </c>
      <c r="C1187" s="4" t="s">
        <v>43</v>
      </c>
      <c r="D1187" s="4" t="s">
        <v>16</v>
      </c>
      <c r="E1187" s="4" t="s">
        <v>44</v>
      </c>
      <c r="F1187" s="4" t="s">
        <v>28</v>
      </c>
      <c r="G1187" s="4" t="s">
        <v>30</v>
      </c>
      <c r="H1187" s="4" t="s">
        <v>38</v>
      </c>
      <c r="I1187" s="4">
        <v>13</v>
      </c>
      <c r="J1187" s="5">
        <v>45.1</v>
      </c>
      <c r="K1187" s="6">
        <v>1.49</v>
      </c>
      <c r="L1187" s="4">
        <v>2</v>
      </c>
      <c r="M1187" s="4">
        <v>109</v>
      </c>
      <c r="N1187" s="4">
        <v>85</v>
      </c>
      <c r="O1187" s="4" t="s">
        <v>26</v>
      </c>
      <c r="P1187" s="7" t="s">
        <v>19</v>
      </c>
    </row>
    <row r="1188" spans="2:16" x14ac:dyDescent="0.45">
      <c r="B1188" s="4">
        <v>1187</v>
      </c>
      <c r="C1188" s="4" t="s">
        <v>15</v>
      </c>
      <c r="D1188" s="4" t="s">
        <v>23</v>
      </c>
      <c r="E1188" s="4" t="s">
        <v>17</v>
      </c>
      <c r="F1188" s="4" t="s">
        <v>18</v>
      </c>
      <c r="G1188" s="4" t="s">
        <v>19</v>
      </c>
      <c r="H1188" s="4" t="s">
        <v>38</v>
      </c>
      <c r="I1188" s="4">
        <v>53</v>
      </c>
      <c r="J1188" s="5">
        <v>62.2</v>
      </c>
      <c r="K1188" s="6">
        <v>1.68</v>
      </c>
      <c r="L1188" s="4">
        <v>5</v>
      </c>
      <c r="M1188" s="4">
        <v>106</v>
      </c>
      <c r="N1188" s="4">
        <v>105</v>
      </c>
      <c r="O1188" s="4" t="s">
        <v>21</v>
      </c>
      <c r="P1188" s="7" t="s">
        <v>19</v>
      </c>
    </row>
    <row r="1189" spans="2:16" x14ac:dyDescent="0.45">
      <c r="B1189" s="4">
        <v>1188</v>
      </c>
      <c r="C1189" s="4" t="s">
        <v>27</v>
      </c>
      <c r="D1189" s="4" t="s">
        <v>16</v>
      </c>
      <c r="E1189" s="4" t="s">
        <v>35</v>
      </c>
      <c r="F1189" s="4" t="s">
        <v>24</v>
      </c>
      <c r="G1189" s="4" t="s">
        <v>19</v>
      </c>
      <c r="H1189" s="4" t="s">
        <v>34</v>
      </c>
      <c r="I1189" s="4">
        <v>55</v>
      </c>
      <c r="J1189" s="5">
        <v>93.1</v>
      </c>
      <c r="K1189" s="6">
        <v>1.59</v>
      </c>
      <c r="L1189" s="4">
        <v>4</v>
      </c>
      <c r="M1189" s="4">
        <v>117</v>
      </c>
      <c r="N1189" s="4">
        <v>102</v>
      </c>
      <c r="O1189" s="4" t="s">
        <v>26</v>
      </c>
      <c r="P1189" s="7" t="s">
        <v>19</v>
      </c>
    </row>
    <row r="1190" spans="2:16" x14ac:dyDescent="0.45">
      <c r="B1190" s="4">
        <v>1189</v>
      </c>
      <c r="C1190" s="4" t="s">
        <v>27</v>
      </c>
      <c r="D1190" s="4" t="s">
        <v>16</v>
      </c>
      <c r="E1190" s="4" t="s">
        <v>17</v>
      </c>
      <c r="F1190" s="4" t="s">
        <v>24</v>
      </c>
      <c r="G1190" s="4" t="s">
        <v>19</v>
      </c>
      <c r="H1190" s="4" t="s">
        <v>28</v>
      </c>
      <c r="I1190" s="4">
        <v>13</v>
      </c>
      <c r="J1190" s="5">
        <v>40.9</v>
      </c>
      <c r="K1190" s="6">
        <v>1.61</v>
      </c>
      <c r="L1190" s="4">
        <v>2</v>
      </c>
      <c r="M1190" s="4">
        <v>96</v>
      </c>
      <c r="N1190" s="4">
        <v>87</v>
      </c>
      <c r="O1190" s="4" t="s">
        <v>21</v>
      </c>
      <c r="P1190" s="7" t="s">
        <v>19</v>
      </c>
    </row>
    <row r="1191" spans="2:16" x14ac:dyDescent="0.45">
      <c r="B1191" s="4">
        <v>1190</v>
      </c>
      <c r="C1191" s="4" t="s">
        <v>40</v>
      </c>
      <c r="D1191" s="4" t="s">
        <v>23</v>
      </c>
      <c r="E1191" s="4" t="s">
        <v>44</v>
      </c>
      <c r="F1191" s="4" t="s">
        <v>18</v>
      </c>
      <c r="G1191" s="4" t="s">
        <v>30</v>
      </c>
      <c r="H1191" s="4" t="s">
        <v>34</v>
      </c>
      <c r="I1191" s="4">
        <v>0</v>
      </c>
      <c r="J1191" s="5">
        <v>8.5</v>
      </c>
      <c r="K1191" s="6">
        <v>0.8</v>
      </c>
      <c r="L1191" s="4">
        <v>6</v>
      </c>
      <c r="M1191" s="4">
        <v>102</v>
      </c>
      <c r="N1191" s="4">
        <v>70</v>
      </c>
      <c r="O1191" s="4" t="s">
        <v>21</v>
      </c>
      <c r="P1191" s="7" t="s">
        <v>19</v>
      </c>
    </row>
    <row r="1192" spans="2:16" x14ac:dyDescent="0.45">
      <c r="B1192" s="4">
        <v>1191</v>
      </c>
      <c r="C1192" s="4" t="s">
        <v>39</v>
      </c>
      <c r="D1192" s="4" t="s">
        <v>16</v>
      </c>
      <c r="E1192" s="4" t="s">
        <v>17</v>
      </c>
      <c r="F1192" s="4" t="s">
        <v>24</v>
      </c>
      <c r="G1192" s="4" t="s">
        <v>19</v>
      </c>
      <c r="H1192" s="4" t="s">
        <v>32</v>
      </c>
      <c r="I1192" s="4">
        <v>3</v>
      </c>
      <c r="J1192" s="5">
        <v>16.399999999999999</v>
      </c>
      <c r="K1192" s="6">
        <v>1.01</v>
      </c>
      <c r="L1192" s="4">
        <v>5</v>
      </c>
      <c r="M1192" s="4">
        <v>98</v>
      </c>
      <c r="N1192" s="4">
        <v>149</v>
      </c>
      <c r="O1192" s="4" t="s">
        <v>26</v>
      </c>
      <c r="P1192" s="7" t="s">
        <v>19</v>
      </c>
    </row>
    <row r="1193" spans="2:16" x14ac:dyDescent="0.45">
      <c r="B1193" s="4">
        <v>1192</v>
      </c>
      <c r="C1193" s="4" t="s">
        <v>40</v>
      </c>
      <c r="D1193" s="4" t="s">
        <v>23</v>
      </c>
      <c r="E1193" s="4" t="s">
        <v>44</v>
      </c>
      <c r="F1193" s="4" t="s">
        <v>18</v>
      </c>
      <c r="G1193" s="4" t="s">
        <v>19</v>
      </c>
      <c r="H1193" s="4" t="s">
        <v>34</v>
      </c>
      <c r="I1193" s="4">
        <v>16</v>
      </c>
      <c r="J1193" s="5">
        <v>44</v>
      </c>
      <c r="K1193" s="6">
        <v>1.64</v>
      </c>
      <c r="L1193" s="4">
        <v>2</v>
      </c>
      <c r="M1193" s="4">
        <v>107</v>
      </c>
      <c r="N1193" s="4">
        <v>101</v>
      </c>
      <c r="O1193" s="4" t="s">
        <v>26</v>
      </c>
      <c r="P1193" s="7" t="s">
        <v>19</v>
      </c>
    </row>
    <row r="1194" spans="2:16" x14ac:dyDescent="0.45">
      <c r="B1194" s="4">
        <v>1193</v>
      </c>
      <c r="C1194" s="4" t="s">
        <v>39</v>
      </c>
      <c r="D1194" s="4" t="s">
        <v>16</v>
      </c>
      <c r="E1194" s="4" t="s">
        <v>35</v>
      </c>
      <c r="F1194" s="4" t="s">
        <v>24</v>
      </c>
      <c r="G1194" s="4" t="s">
        <v>19</v>
      </c>
      <c r="H1194" s="4" t="s">
        <v>32</v>
      </c>
      <c r="I1194" s="4">
        <v>12</v>
      </c>
      <c r="J1194" s="5">
        <v>48.3</v>
      </c>
      <c r="K1194" s="6">
        <v>1.5</v>
      </c>
      <c r="L1194" s="4">
        <v>4</v>
      </c>
      <c r="M1194" s="4">
        <v>117</v>
      </c>
      <c r="N1194" s="4">
        <v>169</v>
      </c>
      <c r="O1194" s="4" t="s">
        <v>26</v>
      </c>
      <c r="P1194" s="7" t="s">
        <v>19</v>
      </c>
    </row>
    <row r="1195" spans="2:16" x14ac:dyDescent="0.45">
      <c r="B1195" s="4">
        <v>1194</v>
      </c>
      <c r="C1195" s="4" t="s">
        <v>40</v>
      </c>
      <c r="D1195" s="4" t="s">
        <v>23</v>
      </c>
      <c r="E1195" s="4" t="s">
        <v>35</v>
      </c>
      <c r="F1195" s="4" t="s">
        <v>24</v>
      </c>
      <c r="G1195" s="4" t="s">
        <v>19</v>
      </c>
      <c r="H1195" s="4" t="s">
        <v>25</v>
      </c>
      <c r="I1195" s="4">
        <v>2</v>
      </c>
      <c r="J1195" s="5">
        <v>11.6</v>
      </c>
      <c r="K1195" s="6">
        <v>0.62</v>
      </c>
      <c r="L1195" s="4">
        <v>5</v>
      </c>
      <c r="M1195" s="4">
        <v>109</v>
      </c>
      <c r="N1195" s="4">
        <v>102</v>
      </c>
      <c r="O1195" s="4" t="s">
        <v>21</v>
      </c>
      <c r="P1195" s="7" t="s">
        <v>19</v>
      </c>
    </row>
    <row r="1196" spans="2:16" x14ac:dyDescent="0.45">
      <c r="B1196" s="4">
        <v>1195</v>
      </c>
      <c r="C1196" s="4" t="s">
        <v>27</v>
      </c>
      <c r="D1196" s="4" t="s">
        <v>23</v>
      </c>
      <c r="E1196" s="4" t="s">
        <v>17</v>
      </c>
      <c r="F1196" s="4" t="s">
        <v>24</v>
      </c>
      <c r="G1196" s="4" t="s">
        <v>19</v>
      </c>
      <c r="H1196" s="4" t="s">
        <v>20</v>
      </c>
      <c r="I1196" s="4">
        <v>19</v>
      </c>
      <c r="J1196" s="5">
        <v>53</v>
      </c>
      <c r="K1196" s="6">
        <v>1.89</v>
      </c>
      <c r="L1196" s="4">
        <v>0</v>
      </c>
      <c r="M1196" s="4">
        <v>101</v>
      </c>
      <c r="N1196" s="4">
        <v>105</v>
      </c>
      <c r="O1196" s="4" t="s">
        <v>26</v>
      </c>
      <c r="P1196" s="7" t="s">
        <v>19</v>
      </c>
    </row>
    <row r="1197" spans="2:16" x14ac:dyDescent="0.45">
      <c r="B1197" s="4">
        <v>1196</v>
      </c>
      <c r="C1197" s="4" t="s">
        <v>45</v>
      </c>
      <c r="D1197" s="4" t="s">
        <v>16</v>
      </c>
      <c r="E1197" s="4" t="s">
        <v>37</v>
      </c>
      <c r="F1197" s="4" t="s">
        <v>24</v>
      </c>
      <c r="G1197" s="4" t="s">
        <v>19</v>
      </c>
      <c r="H1197" s="4" t="s">
        <v>36</v>
      </c>
      <c r="I1197" s="4">
        <v>53</v>
      </c>
      <c r="J1197" s="5">
        <v>67.599999999999994</v>
      </c>
      <c r="K1197" s="6">
        <v>1.66</v>
      </c>
      <c r="L1197" s="4">
        <v>1</v>
      </c>
      <c r="M1197" s="4">
        <v>142</v>
      </c>
      <c r="N1197" s="4">
        <v>103</v>
      </c>
      <c r="O1197" s="4" t="s">
        <v>26</v>
      </c>
      <c r="P1197" s="7" t="s">
        <v>19</v>
      </c>
    </row>
    <row r="1198" spans="2:16" x14ac:dyDescent="0.45">
      <c r="B1198" s="4">
        <v>1197</v>
      </c>
      <c r="C1198" s="4" t="s">
        <v>43</v>
      </c>
      <c r="D1198" s="4" t="s">
        <v>23</v>
      </c>
      <c r="E1198" s="4" t="s">
        <v>17</v>
      </c>
      <c r="F1198" s="4" t="s">
        <v>18</v>
      </c>
      <c r="G1198" s="4" t="s">
        <v>19</v>
      </c>
      <c r="H1198" s="4" t="s">
        <v>20</v>
      </c>
      <c r="I1198" s="4">
        <v>20</v>
      </c>
      <c r="J1198" s="5">
        <v>47.6</v>
      </c>
      <c r="K1198" s="6">
        <v>1.63</v>
      </c>
      <c r="L1198" s="4">
        <v>1</v>
      </c>
      <c r="M1198" s="4">
        <v>96</v>
      </c>
      <c r="N1198" s="4">
        <v>98</v>
      </c>
      <c r="O1198" s="4" t="s">
        <v>21</v>
      </c>
      <c r="P1198" s="7" t="s">
        <v>19</v>
      </c>
    </row>
    <row r="1199" spans="2:16" x14ac:dyDescent="0.45">
      <c r="B1199" s="4">
        <v>1198</v>
      </c>
      <c r="C1199" s="4" t="s">
        <v>29</v>
      </c>
      <c r="D1199" s="4" t="s">
        <v>23</v>
      </c>
      <c r="E1199" s="4" t="s">
        <v>35</v>
      </c>
      <c r="F1199" s="4" t="s">
        <v>24</v>
      </c>
      <c r="G1199" s="4" t="s">
        <v>19</v>
      </c>
      <c r="H1199" s="4" t="s">
        <v>34</v>
      </c>
      <c r="I1199" s="4">
        <v>17</v>
      </c>
      <c r="J1199" s="5">
        <v>55.7</v>
      </c>
      <c r="K1199" s="6">
        <v>1.53</v>
      </c>
      <c r="L1199" s="4">
        <v>4</v>
      </c>
      <c r="M1199" s="4">
        <v>100</v>
      </c>
      <c r="N1199" s="4">
        <v>82</v>
      </c>
      <c r="O1199" s="4" t="s">
        <v>26</v>
      </c>
      <c r="P1199" s="7" t="s">
        <v>19</v>
      </c>
    </row>
    <row r="1200" spans="2:16" x14ac:dyDescent="0.45">
      <c r="B1200" s="4">
        <v>1199</v>
      </c>
      <c r="C1200" s="4" t="s">
        <v>15</v>
      </c>
      <c r="D1200" s="4" t="s">
        <v>16</v>
      </c>
      <c r="E1200" s="4" t="s">
        <v>17</v>
      </c>
      <c r="F1200" s="4" t="s">
        <v>18</v>
      </c>
      <c r="G1200" s="4" t="s">
        <v>30</v>
      </c>
      <c r="H1200" s="4" t="s">
        <v>28</v>
      </c>
      <c r="I1200" s="4">
        <v>31</v>
      </c>
      <c r="J1200" s="5">
        <v>49.7</v>
      </c>
      <c r="K1200" s="6">
        <v>1.73</v>
      </c>
      <c r="L1200" s="4">
        <v>0</v>
      </c>
      <c r="M1200" s="4">
        <v>123</v>
      </c>
      <c r="N1200" s="4">
        <v>101</v>
      </c>
      <c r="O1200" s="4" t="s">
        <v>26</v>
      </c>
      <c r="P1200" s="7" t="s">
        <v>19</v>
      </c>
    </row>
    <row r="1201" spans="2:16" x14ac:dyDescent="0.45">
      <c r="B1201" s="4">
        <v>1200</v>
      </c>
      <c r="C1201" s="4" t="s">
        <v>27</v>
      </c>
      <c r="D1201" s="4" t="s">
        <v>23</v>
      </c>
      <c r="E1201" s="4" t="s">
        <v>17</v>
      </c>
      <c r="F1201" s="4" t="s">
        <v>24</v>
      </c>
      <c r="G1201" s="4" t="s">
        <v>19</v>
      </c>
      <c r="H1201" s="4" t="s">
        <v>36</v>
      </c>
      <c r="I1201" s="4">
        <v>8</v>
      </c>
      <c r="J1201" s="5">
        <v>36.5</v>
      </c>
      <c r="K1201" s="6">
        <v>1.22</v>
      </c>
      <c r="L1201" s="4">
        <v>5</v>
      </c>
      <c r="M1201" s="4">
        <v>124</v>
      </c>
      <c r="N1201" s="4">
        <v>102</v>
      </c>
      <c r="O1201" s="4" t="s">
        <v>21</v>
      </c>
      <c r="P1201" s="7" t="s">
        <v>19</v>
      </c>
    </row>
    <row r="1202" spans="2:16" x14ac:dyDescent="0.45">
      <c r="B1202" s="4">
        <v>1201</v>
      </c>
      <c r="C1202" s="4" t="s">
        <v>45</v>
      </c>
      <c r="D1202" s="4" t="s">
        <v>16</v>
      </c>
      <c r="E1202" s="4" t="s">
        <v>17</v>
      </c>
      <c r="F1202" s="4" t="s">
        <v>18</v>
      </c>
      <c r="G1202" s="4" t="s">
        <v>19</v>
      </c>
      <c r="H1202" s="4" t="s">
        <v>28</v>
      </c>
      <c r="I1202" s="4">
        <v>23</v>
      </c>
      <c r="J1202" s="5">
        <v>90.3</v>
      </c>
      <c r="K1202" s="6">
        <v>1.65</v>
      </c>
      <c r="L1202" s="4">
        <v>1</v>
      </c>
      <c r="M1202" s="4">
        <v>109</v>
      </c>
      <c r="N1202" s="4">
        <v>81</v>
      </c>
      <c r="O1202" s="4" t="s">
        <v>26</v>
      </c>
      <c r="P1202" s="7" t="s">
        <v>19</v>
      </c>
    </row>
    <row r="1203" spans="2:16" x14ac:dyDescent="0.45">
      <c r="B1203" s="4">
        <v>1202</v>
      </c>
      <c r="C1203" s="4" t="s">
        <v>31</v>
      </c>
      <c r="D1203" s="4" t="s">
        <v>16</v>
      </c>
      <c r="E1203" s="4" t="s">
        <v>17</v>
      </c>
      <c r="F1203" s="4" t="s">
        <v>18</v>
      </c>
      <c r="G1203" s="4" t="s">
        <v>19</v>
      </c>
      <c r="H1203" s="4" t="s">
        <v>38</v>
      </c>
      <c r="I1203" s="4">
        <v>7</v>
      </c>
      <c r="J1203" s="5">
        <v>37.9</v>
      </c>
      <c r="K1203" s="6">
        <v>1.35</v>
      </c>
      <c r="L1203" s="4">
        <v>7</v>
      </c>
      <c r="M1203" s="4">
        <v>110</v>
      </c>
      <c r="N1203" s="4">
        <v>76</v>
      </c>
      <c r="O1203" s="4" t="s">
        <v>26</v>
      </c>
      <c r="P1203" s="7" t="s">
        <v>19</v>
      </c>
    </row>
    <row r="1204" spans="2:16" x14ac:dyDescent="0.45">
      <c r="B1204" s="4">
        <v>1203</v>
      </c>
      <c r="C1204" s="4" t="s">
        <v>43</v>
      </c>
      <c r="D1204" s="4" t="s">
        <v>23</v>
      </c>
      <c r="E1204" s="4" t="s">
        <v>35</v>
      </c>
      <c r="F1204" s="4" t="s">
        <v>24</v>
      </c>
      <c r="G1204" s="4" t="s">
        <v>19</v>
      </c>
      <c r="H1204" s="4" t="s">
        <v>28</v>
      </c>
      <c r="I1204" s="4">
        <v>20</v>
      </c>
      <c r="J1204" s="5">
        <v>46.6</v>
      </c>
      <c r="K1204" s="6">
        <v>1.7</v>
      </c>
      <c r="L1204" s="4">
        <v>1</v>
      </c>
      <c r="M1204" s="4">
        <v>124</v>
      </c>
      <c r="N1204" s="4">
        <v>73</v>
      </c>
      <c r="O1204" s="4" t="s">
        <v>21</v>
      </c>
      <c r="P1204" s="7" t="s">
        <v>30</v>
      </c>
    </row>
    <row r="1205" spans="2:16" x14ac:dyDescent="0.45">
      <c r="B1205" s="4">
        <v>1204</v>
      </c>
      <c r="C1205" s="4" t="s">
        <v>41</v>
      </c>
      <c r="D1205" s="4" t="s">
        <v>23</v>
      </c>
      <c r="E1205" s="4" t="s">
        <v>35</v>
      </c>
      <c r="F1205" s="4" t="s">
        <v>24</v>
      </c>
      <c r="G1205" s="4" t="s">
        <v>19</v>
      </c>
      <c r="H1205" s="4" t="s">
        <v>28</v>
      </c>
      <c r="I1205" s="4">
        <v>32</v>
      </c>
      <c r="J1205" s="5">
        <v>55.2</v>
      </c>
      <c r="K1205" s="6">
        <v>1.78</v>
      </c>
      <c r="L1205" s="4">
        <v>1</v>
      </c>
      <c r="M1205" s="4">
        <v>123</v>
      </c>
      <c r="N1205" s="4">
        <v>76</v>
      </c>
      <c r="O1205" s="4" t="s">
        <v>26</v>
      </c>
      <c r="P1205" s="7" t="s">
        <v>19</v>
      </c>
    </row>
    <row r="1206" spans="2:16" x14ac:dyDescent="0.45">
      <c r="B1206" s="4">
        <v>1205</v>
      </c>
      <c r="C1206" s="4" t="s">
        <v>22</v>
      </c>
      <c r="D1206" s="4" t="s">
        <v>16</v>
      </c>
      <c r="E1206" s="4" t="s">
        <v>35</v>
      </c>
      <c r="F1206" s="4" t="s">
        <v>28</v>
      </c>
      <c r="G1206" s="4" t="s">
        <v>19</v>
      </c>
      <c r="H1206" s="4" t="s">
        <v>25</v>
      </c>
      <c r="I1206" s="4">
        <v>18</v>
      </c>
      <c r="J1206" s="5">
        <v>81.2</v>
      </c>
      <c r="K1206" s="6">
        <v>1.59</v>
      </c>
      <c r="L1206" s="4">
        <v>3</v>
      </c>
      <c r="M1206" s="4">
        <v>121</v>
      </c>
      <c r="N1206" s="4">
        <v>89</v>
      </c>
      <c r="O1206" s="4" t="s">
        <v>26</v>
      </c>
      <c r="P1206" s="7" t="s">
        <v>30</v>
      </c>
    </row>
    <row r="1207" spans="2:16" x14ac:dyDescent="0.45">
      <c r="B1207" s="4">
        <v>1206</v>
      </c>
      <c r="C1207" s="4" t="s">
        <v>41</v>
      </c>
      <c r="D1207" s="4" t="s">
        <v>23</v>
      </c>
      <c r="E1207" s="4" t="s">
        <v>35</v>
      </c>
      <c r="F1207" s="4" t="s">
        <v>18</v>
      </c>
      <c r="G1207" s="4" t="s">
        <v>30</v>
      </c>
      <c r="H1207" s="4" t="s">
        <v>38</v>
      </c>
      <c r="I1207" s="4">
        <v>19</v>
      </c>
      <c r="J1207" s="5">
        <v>63.7</v>
      </c>
      <c r="K1207" s="6">
        <v>1.67</v>
      </c>
      <c r="L1207" s="4">
        <v>3</v>
      </c>
      <c r="M1207" s="4">
        <v>114</v>
      </c>
      <c r="N1207" s="4">
        <v>71</v>
      </c>
      <c r="O1207" s="4" t="s">
        <v>26</v>
      </c>
      <c r="P1207" s="7" t="s">
        <v>19</v>
      </c>
    </row>
    <row r="1208" spans="2:16" x14ac:dyDescent="0.45">
      <c r="B1208" s="4">
        <v>1207</v>
      </c>
      <c r="C1208" s="4" t="s">
        <v>45</v>
      </c>
      <c r="D1208" s="4" t="s">
        <v>23</v>
      </c>
      <c r="E1208" s="4" t="s">
        <v>35</v>
      </c>
      <c r="F1208" s="4" t="s">
        <v>18</v>
      </c>
      <c r="G1208" s="4" t="s">
        <v>19</v>
      </c>
      <c r="H1208" s="4" t="s">
        <v>20</v>
      </c>
      <c r="I1208" s="4">
        <v>73</v>
      </c>
      <c r="J1208" s="5">
        <v>53.1</v>
      </c>
      <c r="K1208" s="6">
        <v>1.5</v>
      </c>
      <c r="L1208" s="4">
        <v>1</v>
      </c>
      <c r="M1208" s="4">
        <v>126</v>
      </c>
      <c r="N1208" s="4">
        <v>77</v>
      </c>
      <c r="O1208" s="4" t="s">
        <v>26</v>
      </c>
      <c r="P1208" s="7" t="s">
        <v>30</v>
      </c>
    </row>
    <row r="1209" spans="2:16" x14ac:dyDescent="0.45">
      <c r="B1209" s="4">
        <v>1208</v>
      </c>
      <c r="C1209" s="4" t="s">
        <v>22</v>
      </c>
      <c r="D1209" s="4" t="s">
        <v>23</v>
      </c>
      <c r="E1209" s="4" t="s">
        <v>44</v>
      </c>
      <c r="F1209" s="4" t="s">
        <v>24</v>
      </c>
      <c r="G1209" s="4" t="s">
        <v>19</v>
      </c>
      <c r="H1209" s="4" t="s">
        <v>36</v>
      </c>
      <c r="I1209" s="4">
        <v>30</v>
      </c>
      <c r="J1209" s="5">
        <v>65.7</v>
      </c>
      <c r="K1209" s="6">
        <v>1.63</v>
      </c>
      <c r="L1209" s="4">
        <v>2</v>
      </c>
      <c r="M1209" s="4">
        <v>128</v>
      </c>
      <c r="N1209" s="4">
        <v>91</v>
      </c>
      <c r="O1209" s="4" t="s">
        <v>26</v>
      </c>
      <c r="P1209" s="7" t="s">
        <v>30</v>
      </c>
    </row>
    <row r="1210" spans="2:16" x14ac:dyDescent="0.45">
      <c r="B1210" s="4">
        <v>1209</v>
      </c>
      <c r="C1210" s="4" t="s">
        <v>40</v>
      </c>
      <c r="D1210" s="4" t="s">
        <v>23</v>
      </c>
      <c r="E1210" s="4" t="s">
        <v>17</v>
      </c>
      <c r="F1210" s="4" t="s">
        <v>24</v>
      </c>
      <c r="G1210" s="4" t="s">
        <v>19</v>
      </c>
      <c r="H1210" s="4" t="s">
        <v>32</v>
      </c>
      <c r="I1210" s="4">
        <v>2</v>
      </c>
      <c r="J1210" s="5">
        <v>17.8</v>
      </c>
      <c r="K1210" s="6">
        <v>0.78</v>
      </c>
      <c r="L1210" s="4">
        <v>4</v>
      </c>
      <c r="M1210" s="4">
        <v>93</v>
      </c>
      <c r="N1210" s="4">
        <v>165</v>
      </c>
      <c r="O1210" s="4" t="s">
        <v>26</v>
      </c>
      <c r="P1210" s="7" t="s">
        <v>19</v>
      </c>
    </row>
    <row r="1211" spans="2:16" x14ac:dyDescent="0.45">
      <c r="B1211" s="4">
        <v>1210</v>
      </c>
      <c r="C1211" s="4" t="s">
        <v>15</v>
      </c>
      <c r="D1211" s="4" t="s">
        <v>16</v>
      </c>
      <c r="E1211" s="4" t="s">
        <v>17</v>
      </c>
      <c r="F1211" s="4" t="s">
        <v>18</v>
      </c>
      <c r="G1211" s="4" t="s">
        <v>19</v>
      </c>
      <c r="H1211" s="4" t="s">
        <v>20</v>
      </c>
      <c r="I1211" s="4">
        <v>9</v>
      </c>
      <c r="J1211" s="5">
        <v>27.6</v>
      </c>
      <c r="K1211" s="6">
        <v>1.08</v>
      </c>
      <c r="L1211" s="4">
        <v>9</v>
      </c>
      <c r="M1211" s="4">
        <v>93</v>
      </c>
      <c r="N1211" s="4">
        <v>100</v>
      </c>
      <c r="O1211" s="4" t="s">
        <v>26</v>
      </c>
      <c r="P1211" s="7" t="s">
        <v>19</v>
      </c>
    </row>
    <row r="1212" spans="2:16" x14ac:dyDescent="0.45">
      <c r="B1212" s="4">
        <v>1211</v>
      </c>
      <c r="C1212" s="4" t="s">
        <v>31</v>
      </c>
      <c r="D1212" s="4" t="s">
        <v>23</v>
      </c>
      <c r="E1212" s="4" t="s">
        <v>35</v>
      </c>
      <c r="F1212" s="4" t="s">
        <v>24</v>
      </c>
      <c r="G1212" s="4" t="s">
        <v>30</v>
      </c>
      <c r="H1212" s="4" t="s">
        <v>28</v>
      </c>
      <c r="I1212" s="4">
        <v>7</v>
      </c>
      <c r="J1212" s="5">
        <v>37.700000000000003</v>
      </c>
      <c r="K1212" s="6">
        <v>1.08</v>
      </c>
      <c r="L1212" s="4">
        <v>5</v>
      </c>
      <c r="M1212" s="4">
        <v>101</v>
      </c>
      <c r="N1212" s="4">
        <v>86</v>
      </c>
      <c r="O1212" s="4" t="s">
        <v>21</v>
      </c>
      <c r="P1212" s="7" t="s">
        <v>19</v>
      </c>
    </row>
    <row r="1213" spans="2:16" x14ac:dyDescent="0.45">
      <c r="B1213" s="4">
        <v>1212</v>
      </c>
      <c r="C1213" s="4" t="s">
        <v>33</v>
      </c>
      <c r="D1213" s="4" t="s">
        <v>23</v>
      </c>
      <c r="E1213" s="4" t="s">
        <v>35</v>
      </c>
      <c r="F1213" s="4" t="s">
        <v>24</v>
      </c>
      <c r="G1213" s="4" t="s">
        <v>19</v>
      </c>
      <c r="H1213" s="4" t="s">
        <v>46</v>
      </c>
      <c r="I1213" s="4">
        <v>29</v>
      </c>
      <c r="J1213" s="5">
        <v>76.2</v>
      </c>
      <c r="K1213" s="6">
        <v>1.55</v>
      </c>
      <c r="L1213" s="4">
        <v>2</v>
      </c>
      <c r="M1213" s="4">
        <v>117</v>
      </c>
      <c r="N1213" s="4">
        <v>92</v>
      </c>
      <c r="O1213" s="4" t="s">
        <v>21</v>
      </c>
      <c r="P1213" s="7" t="s">
        <v>19</v>
      </c>
    </row>
    <row r="1214" spans="2:16" x14ac:dyDescent="0.45">
      <c r="B1214" s="4">
        <v>1213</v>
      </c>
      <c r="C1214" s="4" t="s">
        <v>22</v>
      </c>
      <c r="D1214" s="4" t="s">
        <v>23</v>
      </c>
      <c r="E1214" s="4" t="s">
        <v>35</v>
      </c>
      <c r="F1214" s="4" t="s">
        <v>18</v>
      </c>
      <c r="G1214" s="4" t="s">
        <v>19</v>
      </c>
      <c r="H1214" s="4" t="s">
        <v>28</v>
      </c>
      <c r="I1214" s="4">
        <v>53</v>
      </c>
      <c r="J1214" s="5">
        <v>57.1</v>
      </c>
      <c r="K1214" s="6">
        <v>1.65</v>
      </c>
      <c r="L1214" s="4">
        <v>5</v>
      </c>
      <c r="M1214" s="4">
        <v>134</v>
      </c>
      <c r="N1214" s="4">
        <v>102</v>
      </c>
      <c r="O1214" s="4" t="s">
        <v>21</v>
      </c>
      <c r="P1214" s="7" t="s">
        <v>30</v>
      </c>
    </row>
    <row r="1215" spans="2:16" x14ac:dyDescent="0.45">
      <c r="B1215" s="4">
        <v>1214</v>
      </c>
      <c r="C1215" s="4" t="s">
        <v>40</v>
      </c>
      <c r="D1215" s="4" t="s">
        <v>23</v>
      </c>
      <c r="E1215" s="4" t="s">
        <v>35</v>
      </c>
      <c r="F1215" s="4" t="s">
        <v>28</v>
      </c>
      <c r="G1215" s="4" t="s">
        <v>19</v>
      </c>
      <c r="H1215" s="4" t="s">
        <v>28</v>
      </c>
      <c r="I1215" s="4">
        <v>8</v>
      </c>
      <c r="J1215" s="5">
        <v>34.700000000000003</v>
      </c>
      <c r="K1215" s="6">
        <v>1.39</v>
      </c>
      <c r="L1215" s="4">
        <v>8</v>
      </c>
      <c r="M1215" s="4">
        <v>97</v>
      </c>
      <c r="N1215" s="4">
        <v>99</v>
      </c>
      <c r="O1215" s="4" t="s">
        <v>26</v>
      </c>
      <c r="P1215" s="7" t="s">
        <v>19</v>
      </c>
    </row>
    <row r="1216" spans="2:16" x14ac:dyDescent="0.45">
      <c r="B1216" s="4">
        <v>1215</v>
      </c>
      <c r="C1216" s="4" t="s">
        <v>43</v>
      </c>
      <c r="D1216" s="4" t="s">
        <v>23</v>
      </c>
      <c r="E1216" s="4" t="s">
        <v>44</v>
      </c>
      <c r="F1216" s="4" t="s">
        <v>28</v>
      </c>
      <c r="G1216" s="4" t="s">
        <v>30</v>
      </c>
      <c r="H1216" s="4" t="s">
        <v>46</v>
      </c>
      <c r="I1216" s="4">
        <v>0</v>
      </c>
      <c r="J1216" s="5">
        <v>17.2</v>
      </c>
      <c r="K1216" s="6">
        <v>0.78</v>
      </c>
      <c r="L1216" s="4">
        <v>1</v>
      </c>
      <c r="M1216" s="4">
        <v>108</v>
      </c>
      <c r="N1216" s="4">
        <v>87</v>
      </c>
      <c r="O1216" s="4" t="s">
        <v>26</v>
      </c>
      <c r="P1216" s="7" t="s">
        <v>30</v>
      </c>
    </row>
    <row r="1217" spans="2:16" x14ac:dyDescent="0.45">
      <c r="B1217" s="4">
        <v>1216</v>
      </c>
      <c r="C1217" s="4" t="s">
        <v>27</v>
      </c>
      <c r="D1217" s="4" t="s">
        <v>23</v>
      </c>
      <c r="E1217" s="4" t="s">
        <v>17</v>
      </c>
      <c r="F1217" s="4" t="s">
        <v>18</v>
      </c>
      <c r="G1217" s="4" t="s">
        <v>19</v>
      </c>
      <c r="H1217" s="4" t="s">
        <v>28</v>
      </c>
      <c r="I1217" s="4">
        <v>13</v>
      </c>
      <c r="J1217" s="5">
        <v>62.4</v>
      </c>
      <c r="K1217" s="6">
        <v>1.49</v>
      </c>
      <c r="L1217" s="4">
        <v>1</v>
      </c>
      <c r="M1217" s="4">
        <v>108</v>
      </c>
      <c r="N1217" s="4">
        <v>86</v>
      </c>
      <c r="O1217" s="4" t="s">
        <v>21</v>
      </c>
      <c r="P1217" s="7" t="s">
        <v>19</v>
      </c>
    </row>
    <row r="1218" spans="2:16" x14ac:dyDescent="0.45">
      <c r="B1218" s="4">
        <v>1217</v>
      </c>
      <c r="C1218" s="4" t="s">
        <v>33</v>
      </c>
      <c r="D1218" s="4" t="s">
        <v>16</v>
      </c>
      <c r="E1218" s="4" t="s">
        <v>35</v>
      </c>
      <c r="F1218" s="4" t="s">
        <v>24</v>
      </c>
      <c r="G1218" s="4" t="s">
        <v>19</v>
      </c>
      <c r="H1218" s="4" t="s">
        <v>32</v>
      </c>
      <c r="I1218" s="4">
        <v>40</v>
      </c>
      <c r="J1218" s="5">
        <v>51.4</v>
      </c>
      <c r="K1218" s="6">
        <v>1.88</v>
      </c>
      <c r="L1218" s="4">
        <v>4</v>
      </c>
      <c r="M1218" s="4">
        <v>117</v>
      </c>
      <c r="N1218" s="4">
        <v>165</v>
      </c>
      <c r="O1218" s="4" t="s">
        <v>21</v>
      </c>
      <c r="P1218" s="7" t="s">
        <v>19</v>
      </c>
    </row>
    <row r="1219" spans="2:16" x14ac:dyDescent="0.45">
      <c r="B1219" s="4">
        <v>1218</v>
      </c>
      <c r="C1219" s="4" t="s">
        <v>33</v>
      </c>
      <c r="D1219" s="4" t="s">
        <v>23</v>
      </c>
      <c r="E1219" s="4" t="s">
        <v>17</v>
      </c>
      <c r="F1219" s="4" t="s">
        <v>18</v>
      </c>
      <c r="G1219" s="4" t="s">
        <v>19</v>
      </c>
      <c r="H1219" s="4" t="s">
        <v>36</v>
      </c>
      <c r="I1219" s="4">
        <v>3</v>
      </c>
      <c r="J1219" s="5">
        <v>16.600000000000001</v>
      </c>
      <c r="K1219" s="6">
        <v>0.84</v>
      </c>
      <c r="L1219" s="4">
        <v>0</v>
      </c>
      <c r="M1219" s="4">
        <v>133</v>
      </c>
      <c r="N1219" s="4">
        <v>82</v>
      </c>
      <c r="O1219" s="4" t="s">
        <v>26</v>
      </c>
      <c r="P1219" s="7" t="s">
        <v>19</v>
      </c>
    </row>
    <row r="1220" spans="2:16" x14ac:dyDescent="0.45">
      <c r="B1220" s="4">
        <v>1219</v>
      </c>
      <c r="C1220" s="4" t="s">
        <v>43</v>
      </c>
      <c r="D1220" s="4" t="s">
        <v>23</v>
      </c>
      <c r="E1220" s="4" t="s">
        <v>17</v>
      </c>
      <c r="F1220" s="4" t="s">
        <v>28</v>
      </c>
      <c r="G1220" s="4" t="s">
        <v>19</v>
      </c>
      <c r="H1220" s="4" t="s">
        <v>38</v>
      </c>
      <c r="I1220" s="4">
        <v>5</v>
      </c>
      <c r="J1220" s="5">
        <v>35.200000000000003</v>
      </c>
      <c r="K1220" s="6">
        <v>1.23</v>
      </c>
      <c r="L1220" s="4">
        <v>5</v>
      </c>
      <c r="M1220" s="4">
        <v>93</v>
      </c>
      <c r="N1220" s="4">
        <v>83</v>
      </c>
      <c r="O1220" s="4" t="s">
        <v>26</v>
      </c>
      <c r="P1220" s="7" t="s">
        <v>19</v>
      </c>
    </row>
    <row r="1221" spans="2:16" x14ac:dyDescent="0.45">
      <c r="B1221" s="4">
        <v>1220</v>
      </c>
      <c r="C1221" s="4" t="s">
        <v>45</v>
      </c>
      <c r="D1221" s="4" t="s">
        <v>16</v>
      </c>
      <c r="E1221" s="4" t="s">
        <v>17</v>
      </c>
      <c r="F1221" s="4" t="s">
        <v>18</v>
      </c>
      <c r="G1221" s="4" t="s">
        <v>30</v>
      </c>
      <c r="H1221" s="4" t="s">
        <v>36</v>
      </c>
      <c r="I1221" s="4">
        <v>77</v>
      </c>
      <c r="J1221" s="5">
        <v>52.2</v>
      </c>
      <c r="K1221" s="6">
        <v>1.77</v>
      </c>
      <c r="L1221" s="4">
        <v>3</v>
      </c>
      <c r="M1221" s="4">
        <v>142</v>
      </c>
      <c r="N1221" s="4">
        <v>91</v>
      </c>
      <c r="O1221" s="4" t="s">
        <v>21</v>
      </c>
      <c r="P1221" s="7" t="s">
        <v>19</v>
      </c>
    </row>
    <row r="1222" spans="2:16" x14ac:dyDescent="0.45">
      <c r="B1222" s="4">
        <v>1221</v>
      </c>
      <c r="C1222" s="4" t="s">
        <v>33</v>
      </c>
      <c r="D1222" s="4" t="s">
        <v>16</v>
      </c>
      <c r="E1222" s="4" t="s">
        <v>37</v>
      </c>
      <c r="F1222" s="4" t="s">
        <v>28</v>
      </c>
      <c r="G1222" s="4" t="s">
        <v>19</v>
      </c>
      <c r="H1222" s="4" t="s">
        <v>38</v>
      </c>
      <c r="I1222" s="4">
        <v>26</v>
      </c>
      <c r="J1222" s="5">
        <v>69.099999999999994</v>
      </c>
      <c r="K1222" s="6">
        <v>1.51</v>
      </c>
      <c r="L1222" s="4">
        <v>7</v>
      </c>
      <c r="M1222" s="4">
        <v>118</v>
      </c>
      <c r="N1222" s="4">
        <v>74</v>
      </c>
      <c r="O1222" s="4" t="s">
        <v>26</v>
      </c>
      <c r="P1222" s="7" t="s">
        <v>19</v>
      </c>
    </row>
    <row r="1223" spans="2:16" x14ac:dyDescent="0.45">
      <c r="B1223" s="4">
        <v>1222</v>
      </c>
      <c r="C1223" s="4" t="s">
        <v>40</v>
      </c>
      <c r="D1223" s="4" t="s">
        <v>23</v>
      </c>
      <c r="E1223" s="4" t="s">
        <v>35</v>
      </c>
      <c r="F1223" s="4" t="s">
        <v>24</v>
      </c>
      <c r="G1223" s="4" t="s">
        <v>19</v>
      </c>
      <c r="H1223" s="4" t="s">
        <v>25</v>
      </c>
      <c r="I1223" s="4">
        <v>12</v>
      </c>
      <c r="J1223" s="5">
        <v>64.400000000000006</v>
      </c>
      <c r="K1223" s="6">
        <v>1.69</v>
      </c>
      <c r="L1223" s="4">
        <v>8</v>
      </c>
      <c r="M1223" s="4">
        <v>107</v>
      </c>
      <c r="N1223" s="4">
        <v>78</v>
      </c>
      <c r="O1223" s="4" t="s">
        <v>26</v>
      </c>
      <c r="P1223" s="7" t="s">
        <v>19</v>
      </c>
    </row>
    <row r="1224" spans="2:16" x14ac:dyDescent="0.45">
      <c r="B1224" s="4">
        <v>1223</v>
      </c>
      <c r="C1224" s="4" t="s">
        <v>45</v>
      </c>
      <c r="D1224" s="4" t="s">
        <v>23</v>
      </c>
      <c r="E1224" s="4" t="s">
        <v>35</v>
      </c>
      <c r="F1224" s="4" t="s">
        <v>24</v>
      </c>
      <c r="G1224" s="4" t="s">
        <v>19</v>
      </c>
      <c r="H1224" s="4" t="s">
        <v>46</v>
      </c>
      <c r="I1224" s="4">
        <v>7</v>
      </c>
      <c r="J1224" s="5">
        <v>30.8</v>
      </c>
      <c r="K1224" s="6">
        <v>1.1399999999999999</v>
      </c>
      <c r="L1224" s="4">
        <v>1</v>
      </c>
      <c r="M1224" s="4">
        <v>93</v>
      </c>
      <c r="N1224" s="4">
        <v>99</v>
      </c>
      <c r="O1224" s="4" t="s">
        <v>26</v>
      </c>
      <c r="P1224" s="7" t="s">
        <v>19</v>
      </c>
    </row>
    <row r="1225" spans="2:16" x14ac:dyDescent="0.45">
      <c r="B1225" s="4">
        <v>1224</v>
      </c>
      <c r="C1225" s="4" t="s">
        <v>27</v>
      </c>
      <c r="D1225" s="4" t="s">
        <v>16</v>
      </c>
      <c r="E1225" s="4" t="s">
        <v>35</v>
      </c>
      <c r="F1225" s="4" t="s">
        <v>28</v>
      </c>
      <c r="G1225" s="4" t="s">
        <v>19</v>
      </c>
      <c r="H1225" s="4" t="s">
        <v>28</v>
      </c>
      <c r="I1225" s="4">
        <v>16</v>
      </c>
      <c r="J1225" s="5">
        <v>43.8</v>
      </c>
      <c r="K1225" s="6">
        <v>1.66</v>
      </c>
      <c r="L1225" s="4">
        <v>4</v>
      </c>
      <c r="M1225" s="4">
        <v>101</v>
      </c>
      <c r="N1225" s="4">
        <v>87</v>
      </c>
      <c r="O1225" s="4" t="s">
        <v>26</v>
      </c>
      <c r="P1225" s="7" t="s">
        <v>19</v>
      </c>
    </row>
    <row r="1226" spans="2:16" x14ac:dyDescent="0.45">
      <c r="B1226" s="4">
        <v>1225</v>
      </c>
      <c r="C1226" s="4" t="s">
        <v>29</v>
      </c>
      <c r="D1226" s="4" t="s">
        <v>23</v>
      </c>
      <c r="E1226" s="4" t="s">
        <v>37</v>
      </c>
      <c r="F1226" s="4" t="s">
        <v>28</v>
      </c>
      <c r="G1226" s="4" t="s">
        <v>19</v>
      </c>
      <c r="H1226" s="4" t="s">
        <v>20</v>
      </c>
      <c r="I1226" s="4">
        <v>19</v>
      </c>
      <c r="J1226" s="5">
        <v>66.599999999999994</v>
      </c>
      <c r="K1226" s="6">
        <v>1.78</v>
      </c>
      <c r="L1226" s="4">
        <v>3</v>
      </c>
      <c r="M1226" s="4">
        <v>116</v>
      </c>
      <c r="N1226" s="4">
        <v>100</v>
      </c>
      <c r="O1226" s="4" t="s">
        <v>26</v>
      </c>
      <c r="P1226" s="7" t="s">
        <v>30</v>
      </c>
    </row>
    <row r="1227" spans="2:16" x14ac:dyDescent="0.45">
      <c r="B1227" s="4">
        <v>1226</v>
      </c>
      <c r="C1227" s="4" t="s">
        <v>22</v>
      </c>
      <c r="D1227" s="4" t="s">
        <v>16</v>
      </c>
      <c r="E1227" s="4" t="s">
        <v>17</v>
      </c>
      <c r="F1227" s="4" t="s">
        <v>18</v>
      </c>
      <c r="G1227" s="4" t="s">
        <v>19</v>
      </c>
      <c r="H1227" s="4" t="s">
        <v>32</v>
      </c>
      <c r="I1227" s="4">
        <v>1</v>
      </c>
      <c r="J1227" s="5">
        <v>8.1999999999999993</v>
      </c>
      <c r="K1227" s="6">
        <v>0.69</v>
      </c>
      <c r="L1227" s="4">
        <v>1</v>
      </c>
      <c r="M1227" s="4">
        <v>95</v>
      </c>
      <c r="N1227" s="4">
        <v>156</v>
      </c>
      <c r="O1227" s="4" t="s">
        <v>26</v>
      </c>
      <c r="P1227" s="7" t="s">
        <v>19</v>
      </c>
    </row>
    <row r="1228" spans="2:16" x14ac:dyDescent="0.45">
      <c r="B1228" s="4">
        <v>1227</v>
      </c>
      <c r="C1228" s="4" t="s">
        <v>15</v>
      </c>
      <c r="D1228" s="4" t="s">
        <v>23</v>
      </c>
      <c r="E1228" s="4" t="s">
        <v>17</v>
      </c>
      <c r="F1228" s="4" t="s">
        <v>24</v>
      </c>
      <c r="G1228" s="4" t="s">
        <v>19</v>
      </c>
      <c r="H1228" s="4" t="s">
        <v>32</v>
      </c>
      <c r="I1228" s="4">
        <v>44</v>
      </c>
      <c r="J1228" s="5">
        <v>58.1</v>
      </c>
      <c r="K1228" s="6">
        <v>1.7</v>
      </c>
      <c r="L1228" s="4">
        <v>0</v>
      </c>
      <c r="M1228" s="4">
        <v>107</v>
      </c>
      <c r="N1228" s="4">
        <v>179</v>
      </c>
      <c r="O1228" s="4" t="s">
        <v>26</v>
      </c>
      <c r="P1228" s="7" t="s">
        <v>19</v>
      </c>
    </row>
    <row r="1229" spans="2:16" x14ac:dyDescent="0.45">
      <c r="B1229" s="4">
        <v>1228</v>
      </c>
      <c r="C1229" s="4" t="s">
        <v>22</v>
      </c>
      <c r="D1229" s="4" t="s">
        <v>16</v>
      </c>
      <c r="E1229" s="4" t="s">
        <v>37</v>
      </c>
      <c r="F1229" s="4" t="s">
        <v>24</v>
      </c>
      <c r="G1229" s="4" t="s">
        <v>19</v>
      </c>
      <c r="H1229" s="4" t="s">
        <v>38</v>
      </c>
      <c r="I1229" s="4">
        <v>13</v>
      </c>
      <c r="J1229" s="5">
        <v>43.7</v>
      </c>
      <c r="K1229" s="6">
        <v>1.73</v>
      </c>
      <c r="L1229" s="4">
        <v>7</v>
      </c>
      <c r="M1229" s="4">
        <v>108</v>
      </c>
      <c r="N1229" s="4">
        <v>102</v>
      </c>
      <c r="O1229" s="4" t="s">
        <v>26</v>
      </c>
      <c r="P1229" s="7" t="s">
        <v>19</v>
      </c>
    </row>
    <row r="1230" spans="2:16" x14ac:dyDescent="0.45">
      <c r="B1230" s="4">
        <v>1229</v>
      </c>
      <c r="C1230" s="4" t="s">
        <v>39</v>
      </c>
      <c r="D1230" s="4" t="s">
        <v>16</v>
      </c>
      <c r="E1230" s="4" t="s">
        <v>17</v>
      </c>
      <c r="F1230" s="4" t="s">
        <v>24</v>
      </c>
      <c r="G1230" s="4" t="s">
        <v>19</v>
      </c>
      <c r="H1230" s="4" t="s">
        <v>25</v>
      </c>
      <c r="I1230" s="4">
        <v>41</v>
      </c>
      <c r="J1230" s="5">
        <v>46.3</v>
      </c>
      <c r="K1230" s="6">
        <v>1.75</v>
      </c>
      <c r="L1230" s="4">
        <v>1</v>
      </c>
      <c r="M1230" s="4">
        <v>109</v>
      </c>
      <c r="N1230" s="4">
        <v>93</v>
      </c>
      <c r="O1230" s="4" t="s">
        <v>26</v>
      </c>
      <c r="P1230" s="7" t="s">
        <v>19</v>
      </c>
    </row>
    <row r="1231" spans="2:16" x14ac:dyDescent="0.45">
      <c r="B1231" s="4">
        <v>1230</v>
      </c>
      <c r="C1231" s="4" t="s">
        <v>39</v>
      </c>
      <c r="D1231" s="4" t="s">
        <v>16</v>
      </c>
      <c r="E1231" s="4" t="s">
        <v>35</v>
      </c>
      <c r="F1231" s="4" t="s">
        <v>28</v>
      </c>
      <c r="G1231" s="4" t="s">
        <v>19</v>
      </c>
      <c r="H1231" s="4" t="s">
        <v>28</v>
      </c>
      <c r="I1231" s="4">
        <v>24</v>
      </c>
      <c r="J1231" s="5">
        <v>93</v>
      </c>
      <c r="K1231" s="6">
        <v>1.74</v>
      </c>
      <c r="L1231" s="4">
        <v>8</v>
      </c>
      <c r="M1231" s="4">
        <v>102</v>
      </c>
      <c r="N1231" s="4">
        <v>101</v>
      </c>
      <c r="O1231" s="4" t="s">
        <v>26</v>
      </c>
      <c r="P1231" s="7" t="s">
        <v>19</v>
      </c>
    </row>
    <row r="1232" spans="2:16" x14ac:dyDescent="0.45">
      <c r="B1232" s="4">
        <v>1231</v>
      </c>
      <c r="C1232" s="4" t="s">
        <v>45</v>
      </c>
      <c r="D1232" s="4" t="s">
        <v>16</v>
      </c>
      <c r="E1232" s="4" t="s">
        <v>37</v>
      </c>
      <c r="F1232" s="4" t="s">
        <v>18</v>
      </c>
      <c r="G1232" s="4" t="s">
        <v>30</v>
      </c>
      <c r="H1232" s="4" t="s">
        <v>28</v>
      </c>
      <c r="I1232" s="4">
        <v>11</v>
      </c>
      <c r="J1232" s="5">
        <v>20.6</v>
      </c>
      <c r="K1232" s="6">
        <v>1.1299999999999999</v>
      </c>
      <c r="L1232" s="4">
        <v>1</v>
      </c>
      <c r="M1232" s="4">
        <v>106</v>
      </c>
      <c r="N1232" s="4">
        <v>103</v>
      </c>
      <c r="O1232" s="4" t="s">
        <v>21</v>
      </c>
      <c r="P1232" s="7" t="s">
        <v>19</v>
      </c>
    </row>
    <row r="1233" spans="2:16" x14ac:dyDescent="0.45">
      <c r="B1233" s="4">
        <v>1232</v>
      </c>
      <c r="C1233" s="4" t="s">
        <v>27</v>
      </c>
      <c r="D1233" s="4" t="s">
        <v>16</v>
      </c>
      <c r="E1233" s="4" t="s">
        <v>17</v>
      </c>
      <c r="F1233" s="4" t="s">
        <v>24</v>
      </c>
      <c r="G1233" s="4" t="s">
        <v>19</v>
      </c>
      <c r="H1233" s="4" t="s">
        <v>34</v>
      </c>
      <c r="I1233" s="4">
        <v>9</v>
      </c>
      <c r="J1233" s="5">
        <v>22.5</v>
      </c>
      <c r="K1233" s="6">
        <v>1.19</v>
      </c>
      <c r="L1233" s="4">
        <v>1</v>
      </c>
      <c r="M1233" s="4">
        <v>111</v>
      </c>
      <c r="N1233" s="4">
        <v>91</v>
      </c>
      <c r="O1233" s="4" t="s">
        <v>26</v>
      </c>
      <c r="P1233" s="7" t="s">
        <v>19</v>
      </c>
    </row>
    <row r="1234" spans="2:16" x14ac:dyDescent="0.45">
      <c r="B1234" s="4">
        <v>1233</v>
      </c>
      <c r="C1234" s="4" t="s">
        <v>27</v>
      </c>
      <c r="D1234" s="4" t="s">
        <v>16</v>
      </c>
      <c r="E1234" s="4" t="s">
        <v>17</v>
      </c>
      <c r="F1234" s="4" t="s">
        <v>24</v>
      </c>
      <c r="G1234" s="4" t="s">
        <v>19</v>
      </c>
      <c r="H1234" s="4" t="s">
        <v>28</v>
      </c>
      <c r="I1234" s="4">
        <v>47</v>
      </c>
      <c r="J1234" s="5">
        <v>79.599999999999994</v>
      </c>
      <c r="K1234" s="6">
        <v>1.84</v>
      </c>
      <c r="L1234" s="4">
        <v>7</v>
      </c>
      <c r="M1234" s="4">
        <v>122</v>
      </c>
      <c r="N1234" s="4">
        <v>94</v>
      </c>
      <c r="O1234" s="4" t="s">
        <v>26</v>
      </c>
      <c r="P1234" s="7" t="s">
        <v>19</v>
      </c>
    </row>
    <row r="1235" spans="2:16" x14ac:dyDescent="0.45">
      <c r="B1235" s="4">
        <v>1234</v>
      </c>
      <c r="C1235" s="4" t="s">
        <v>43</v>
      </c>
      <c r="D1235" s="4" t="s">
        <v>16</v>
      </c>
      <c r="E1235" s="4" t="s">
        <v>35</v>
      </c>
      <c r="F1235" s="4" t="s">
        <v>18</v>
      </c>
      <c r="G1235" s="4" t="s">
        <v>19</v>
      </c>
      <c r="H1235" s="4" t="s">
        <v>28</v>
      </c>
      <c r="I1235" s="4">
        <v>19</v>
      </c>
      <c r="J1235" s="5">
        <v>52.2</v>
      </c>
      <c r="K1235" s="6">
        <v>1.82</v>
      </c>
      <c r="L1235" s="4">
        <v>1</v>
      </c>
      <c r="M1235" s="4">
        <v>117</v>
      </c>
      <c r="N1235" s="4">
        <v>83</v>
      </c>
      <c r="O1235" s="4" t="s">
        <v>26</v>
      </c>
      <c r="P1235" s="7" t="s">
        <v>19</v>
      </c>
    </row>
    <row r="1236" spans="2:16" x14ac:dyDescent="0.45">
      <c r="B1236" s="4">
        <v>1235</v>
      </c>
      <c r="C1236" s="4" t="s">
        <v>27</v>
      </c>
      <c r="D1236" s="4" t="s">
        <v>16</v>
      </c>
      <c r="E1236" s="4" t="s">
        <v>35</v>
      </c>
      <c r="F1236" s="4" t="s">
        <v>28</v>
      </c>
      <c r="G1236" s="4" t="s">
        <v>19</v>
      </c>
      <c r="H1236" s="4" t="s">
        <v>28</v>
      </c>
      <c r="I1236" s="4">
        <v>44</v>
      </c>
      <c r="J1236" s="5">
        <v>76.900000000000006</v>
      </c>
      <c r="K1236" s="6">
        <v>1.65</v>
      </c>
      <c r="L1236" s="4">
        <v>2</v>
      </c>
      <c r="M1236" s="4">
        <v>121</v>
      </c>
      <c r="N1236" s="4">
        <v>93</v>
      </c>
      <c r="O1236" s="4" t="s">
        <v>26</v>
      </c>
      <c r="P1236" s="7" t="s">
        <v>19</v>
      </c>
    </row>
    <row r="1237" spans="2:16" x14ac:dyDescent="0.45">
      <c r="B1237" s="4">
        <v>1236</v>
      </c>
      <c r="C1237" s="4" t="s">
        <v>45</v>
      </c>
      <c r="D1237" s="4" t="s">
        <v>23</v>
      </c>
      <c r="E1237" s="4" t="s">
        <v>37</v>
      </c>
      <c r="F1237" s="4" t="s">
        <v>18</v>
      </c>
      <c r="G1237" s="4" t="s">
        <v>19</v>
      </c>
      <c r="H1237" s="4" t="s">
        <v>28</v>
      </c>
      <c r="I1237" s="4">
        <v>5</v>
      </c>
      <c r="J1237" s="5">
        <v>27.6</v>
      </c>
      <c r="K1237" s="6">
        <v>1.26</v>
      </c>
      <c r="L1237" s="4">
        <v>2</v>
      </c>
      <c r="M1237" s="4">
        <v>106</v>
      </c>
      <c r="N1237" s="4">
        <v>90</v>
      </c>
      <c r="O1237" s="4" t="s">
        <v>26</v>
      </c>
      <c r="P1237" s="7" t="s">
        <v>19</v>
      </c>
    </row>
    <row r="1238" spans="2:16" x14ac:dyDescent="0.45">
      <c r="B1238" s="4">
        <v>1237</v>
      </c>
      <c r="C1238" s="4" t="s">
        <v>27</v>
      </c>
      <c r="D1238" s="4" t="s">
        <v>23</v>
      </c>
      <c r="E1238" s="4" t="s">
        <v>17</v>
      </c>
      <c r="F1238" s="4" t="s">
        <v>28</v>
      </c>
      <c r="G1238" s="4" t="s">
        <v>19</v>
      </c>
      <c r="H1238" s="4" t="s">
        <v>25</v>
      </c>
      <c r="I1238" s="4">
        <v>11</v>
      </c>
      <c r="J1238" s="5">
        <v>21.5</v>
      </c>
      <c r="K1238" s="6">
        <v>1.1399999999999999</v>
      </c>
      <c r="L1238" s="4">
        <v>10</v>
      </c>
      <c r="M1238" s="4">
        <v>118</v>
      </c>
      <c r="N1238" s="4">
        <v>105</v>
      </c>
      <c r="O1238" s="4" t="s">
        <v>26</v>
      </c>
      <c r="P1238" s="7" t="s">
        <v>19</v>
      </c>
    </row>
    <row r="1239" spans="2:16" x14ac:dyDescent="0.45">
      <c r="B1239" s="4">
        <v>1238</v>
      </c>
      <c r="C1239" s="4" t="s">
        <v>27</v>
      </c>
      <c r="D1239" s="4" t="s">
        <v>16</v>
      </c>
      <c r="E1239" s="4" t="s">
        <v>35</v>
      </c>
      <c r="F1239" s="4" t="s">
        <v>18</v>
      </c>
      <c r="G1239" s="4" t="s">
        <v>30</v>
      </c>
      <c r="H1239" s="4" t="s">
        <v>46</v>
      </c>
      <c r="I1239" s="4">
        <v>10</v>
      </c>
      <c r="J1239" s="5">
        <v>34.1</v>
      </c>
      <c r="K1239" s="6">
        <v>1.1299999999999999</v>
      </c>
      <c r="L1239" s="4">
        <v>3</v>
      </c>
      <c r="M1239" s="4">
        <v>116</v>
      </c>
      <c r="N1239" s="4">
        <v>103</v>
      </c>
      <c r="O1239" s="4" t="s">
        <v>26</v>
      </c>
      <c r="P1239" s="7" t="s">
        <v>19</v>
      </c>
    </row>
    <row r="1240" spans="2:16" x14ac:dyDescent="0.45">
      <c r="B1240" s="4">
        <v>1239</v>
      </c>
      <c r="C1240" s="4" t="s">
        <v>27</v>
      </c>
      <c r="D1240" s="4" t="s">
        <v>16</v>
      </c>
      <c r="E1240" s="4" t="s">
        <v>35</v>
      </c>
      <c r="F1240" s="4" t="s">
        <v>24</v>
      </c>
      <c r="G1240" s="4" t="s">
        <v>30</v>
      </c>
      <c r="H1240" s="4" t="s">
        <v>28</v>
      </c>
      <c r="I1240" s="4">
        <v>48</v>
      </c>
      <c r="J1240" s="5">
        <v>63.5</v>
      </c>
      <c r="K1240" s="6">
        <v>1.58</v>
      </c>
      <c r="L1240" s="4">
        <v>2</v>
      </c>
      <c r="M1240" s="4">
        <v>118</v>
      </c>
      <c r="N1240" s="4">
        <v>72</v>
      </c>
      <c r="O1240" s="4" t="s">
        <v>26</v>
      </c>
      <c r="P1240" s="7" t="s">
        <v>30</v>
      </c>
    </row>
    <row r="1241" spans="2:16" x14ac:dyDescent="0.45">
      <c r="B1241" s="4">
        <v>1240</v>
      </c>
      <c r="C1241" s="4" t="s">
        <v>27</v>
      </c>
      <c r="D1241" s="4" t="s">
        <v>23</v>
      </c>
      <c r="E1241" s="4" t="s">
        <v>17</v>
      </c>
      <c r="F1241" s="4" t="s">
        <v>24</v>
      </c>
      <c r="G1241" s="4" t="s">
        <v>19</v>
      </c>
      <c r="H1241" s="4" t="s">
        <v>20</v>
      </c>
      <c r="I1241" s="4">
        <v>12</v>
      </c>
      <c r="J1241" s="5">
        <v>51.7</v>
      </c>
      <c r="K1241" s="6">
        <v>1.67</v>
      </c>
      <c r="L1241" s="4">
        <v>8</v>
      </c>
      <c r="M1241" s="4">
        <v>110</v>
      </c>
      <c r="N1241" s="4">
        <v>77</v>
      </c>
      <c r="O1241" s="4" t="s">
        <v>26</v>
      </c>
      <c r="P1241" s="7" t="s">
        <v>19</v>
      </c>
    </row>
    <row r="1242" spans="2:16" x14ac:dyDescent="0.45">
      <c r="B1242" s="4">
        <v>1241</v>
      </c>
      <c r="C1242" s="4" t="s">
        <v>22</v>
      </c>
      <c r="D1242" s="4" t="s">
        <v>16</v>
      </c>
      <c r="E1242" s="4" t="s">
        <v>17</v>
      </c>
      <c r="F1242" s="4" t="s">
        <v>18</v>
      </c>
      <c r="G1242" s="4" t="s">
        <v>19</v>
      </c>
      <c r="H1242" s="4" t="s">
        <v>28</v>
      </c>
      <c r="I1242" s="4">
        <v>5</v>
      </c>
      <c r="J1242" s="5">
        <v>21.9</v>
      </c>
      <c r="K1242" s="6">
        <v>1.21</v>
      </c>
      <c r="L1242" s="4">
        <v>4</v>
      </c>
      <c r="M1242" s="4">
        <v>104</v>
      </c>
      <c r="N1242" s="4">
        <v>74</v>
      </c>
      <c r="O1242" s="4" t="s">
        <v>26</v>
      </c>
      <c r="P1242" s="7" t="s">
        <v>19</v>
      </c>
    </row>
    <row r="1243" spans="2:16" x14ac:dyDescent="0.45">
      <c r="B1243" s="4">
        <v>1242</v>
      </c>
      <c r="C1243" s="4" t="s">
        <v>39</v>
      </c>
      <c r="D1243" s="4" t="s">
        <v>23</v>
      </c>
      <c r="E1243" s="4" t="s">
        <v>17</v>
      </c>
      <c r="F1243" s="4" t="s">
        <v>24</v>
      </c>
      <c r="G1243" s="4" t="s">
        <v>19</v>
      </c>
      <c r="H1243" s="4" t="s">
        <v>36</v>
      </c>
      <c r="I1243" s="4">
        <v>17</v>
      </c>
      <c r="J1243" s="5">
        <v>62.9</v>
      </c>
      <c r="K1243" s="6">
        <v>1.56</v>
      </c>
      <c r="L1243" s="4">
        <v>6</v>
      </c>
      <c r="M1243" s="4">
        <v>137</v>
      </c>
      <c r="N1243" s="4">
        <v>89</v>
      </c>
      <c r="O1243" s="4" t="s">
        <v>21</v>
      </c>
      <c r="P1243" s="7" t="s">
        <v>19</v>
      </c>
    </row>
    <row r="1244" spans="2:16" x14ac:dyDescent="0.45">
      <c r="B1244" s="4">
        <v>1243</v>
      </c>
      <c r="C1244" s="4" t="s">
        <v>41</v>
      </c>
      <c r="D1244" s="4" t="s">
        <v>23</v>
      </c>
      <c r="E1244" s="4" t="s">
        <v>35</v>
      </c>
      <c r="F1244" s="4" t="s">
        <v>24</v>
      </c>
      <c r="G1244" s="4" t="s">
        <v>19</v>
      </c>
      <c r="H1244" s="4" t="s">
        <v>20</v>
      </c>
      <c r="I1244" s="4">
        <v>19</v>
      </c>
      <c r="J1244" s="5">
        <v>93</v>
      </c>
      <c r="K1244" s="6">
        <v>1.78</v>
      </c>
      <c r="L1244" s="4">
        <v>0</v>
      </c>
      <c r="M1244" s="4">
        <v>99</v>
      </c>
      <c r="N1244" s="4">
        <v>83</v>
      </c>
      <c r="O1244" s="4" t="s">
        <v>21</v>
      </c>
      <c r="P1244" s="7" t="s">
        <v>19</v>
      </c>
    </row>
    <row r="1245" spans="2:16" x14ac:dyDescent="0.45">
      <c r="B1245" s="4">
        <v>1244</v>
      </c>
      <c r="C1245" s="4" t="s">
        <v>45</v>
      </c>
      <c r="D1245" s="4" t="s">
        <v>16</v>
      </c>
      <c r="E1245" s="4" t="s">
        <v>35</v>
      </c>
      <c r="F1245" s="4" t="s">
        <v>28</v>
      </c>
      <c r="G1245" s="4" t="s">
        <v>19</v>
      </c>
      <c r="H1245" s="4" t="s">
        <v>32</v>
      </c>
      <c r="I1245" s="4">
        <v>81</v>
      </c>
      <c r="J1245" s="5">
        <v>49.3</v>
      </c>
      <c r="K1245" s="6">
        <v>1.82</v>
      </c>
      <c r="L1245" s="4">
        <v>1</v>
      </c>
      <c r="M1245" s="4">
        <v>115</v>
      </c>
      <c r="N1245" s="4">
        <v>142</v>
      </c>
      <c r="O1245" s="4" t="s">
        <v>21</v>
      </c>
      <c r="P1245" s="7" t="s">
        <v>19</v>
      </c>
    </row>
    <row r="1246" spans="2:16" x14ac:dyDescent="0.45">
      <c r="B1246" s="4">
        <v>1245</v>
      </c>
      <c r="C1246" s="4" t="s">
        <v>31</v>
      </c>
      <c r="D1246" s="4" t="s">
        <v>16</v>
      </c>
      <c r="E1246" s="4" t="s">
        <v>17</v>
      </c>
      <c r="F1246" s="4" t="s">
        <v>18</v>
      </c>
      <c r="G1246" s="4" t="s">
        <v>19</v>
      </c>
      <c r="H1246" s="4" t="s">
        <v>38</v>
      </c>
      <c r="I1246" s="4">
        <v>1</v>
      </c>
      <c r="J1246" s="5">
        <v>6.8</v>
      </c>
      <c r="K1246" s="6">
        <v>0.96</v>
      </c>
      <c r="L1246" s="4">
        <v>2</v>
      </c>
      <c r="M1246" s="4">
        <v>111</v>
      </c>
      <c r="N1246" s="4">
        <v>103</v>
      </c>
      <c r="O1246" s="4" t="s">
        <v>21</v>
      </c>
      <c r="P1246" s="7" t="s">
        <v>19</v>
      </c>
    </row>
    <row r="1247" spans="2:16" x14ac:dyDescent="0.45">
      <c r="B1247" s="4">
        <v>1246</v>
      </c>
      <c r="C1247" s="4" t="s">
        <v>15</v>
      </c>
      <c r="D1247" s="4" t="s">
        <v>23</v>
      </c>
      <c r="E1247" s="4" t="s">
        <v>17</v>
      </c>
      <c r="F1247" s="4" t="s">
        <v>18</v>
      </c>
      <c r="G1247" s="4" t="s">
        <v>30</v>
      </c>
      <c r="H1247" s="4" t="s">
        <v>38</v>
      </c>
      <c r="I1247" s="4">
        <v>8</v>
      </c>
      <c r="J1247" s="5">
        <v>19.7</v>
      </c>
      <c r="K1247" s="6">
        <v>1.1200000000000001</v>
      </c>
      <c r="L1247" s="4">
        <v>3</v>
      </c>
      <c r="M1247" s="4">
        <v>111</v>
      </c>
      <c r="N1247" s="4">
        <v>82</v>
      </c>
      <c r="O1247" s="4" t="s">
        <v>21</v>
      </c>
      <c r="P1247" s="7" t="s">
        <v>19</v>
      </c>
    </row>
    <row r="1248" spans="2:16" x14ac:dyDescent="0.45">
      <c r="B1248" s="4">
        <v>1247</v>
      </c>
      <c r="C1248" s="4" t="s">
        <v>40</v>
      </c>
      <c r="D1248" s="4" t="s">
        <v>23</v>
      </c>
      <c r="E1248" s="4" t="s">
        <v>17</v>
      </c>
      <c r="F1248" s="4" t="s">
        <v>18</v>
      </c>
      <c r="G1248" s="4" t="s">
        <v>30</v>
      </c>
      <c r="H1248" s="4" t="s">
        <v>20</v>
      </c>
      <c r="I1248" s="4">
        <v>51</v>
      </c>
      <c r="J1248" s="5">
        <v>69.3</v>
      </c>
      <c r="K1248" s="6">
        <v>1.55</v>
      </c>
      <c r="L1248" s="4">
        <v>1</v>
      </c>
      <c r="M1248" s="4">
        <v>120</v>
      </c>
      <c r="N1248" s="4">
        <v>92</v>
      </c>
      <c r="O1248" s="4" t="s">
        <v>26</v>
      </c>
      <c r="P1248" s="7" t="s">
        <v>19</v>
      </c>
    </row>
    <row r="1249" spans="2:16" x14ac:dyDescent="0.45">
      <c r="B1249" s="4">
        <v>1248</v>
      </c>
      <c r="C1249" s="4" t="s">
        <v>41</v>
      </c>
      <c r="D1249" s="4" t="s">
        <v>23</v>
      </c>
      <c r="E1249" s="4" t="s">
        <v>44</v>
      </c>
      <c r="F1249" s="4" t="s">
        <v>24</v>
      </c>
      <c r="G1249" s="4" t="s">
        <v>19</v>
      </c>
      <c r="H1249" s="4" t="s">
        <v>25</v>
      </c>
      <c r="I1249" s="4">
        <v>19</v>
      </c>
      <c r="J1249" s="5">
        <v>91.3</v>
      </c>
      <c r="K1249" s="6">
        <v>1.51</v>
      </c>
      <c r="L1249" s="4">
        <v>1</v>
      </c>
      <c r="M1249" s="4">
        <v>118</v>
      </c>
      <c r="N1249" s="4">
        <v>81</v>
      </c>
      <c r="O1249" s="4" t="s">
        <v>26</v>
      </c>
      <c r="P1249" s="7" t="s">
        <v>19</v>
      </c>
    </row>
    <row r="1250" spans="2:16" x14ac:dyDescent="0.45">
      <c r="B1250" s="4">
        <v>1249</v>
      </c>
      <c r="C1250" s="4" t="s">
        <v>29</v>
      </c>
      <c r="D1250" s="4" t="s">
        <v>16</v>
      </c>
      <c r="E1250" s="4" t="s">
        <v>44</v>
      </c>
      <c r="F1250" s="4" t="s">
        <v>42</v>
      </c>
      <c r="G1250" s="4" t="s">
        <v>30</v>
      </c>
      <c r="H1250" s="4" t="s">
        <v>25</v>
      </c>
      <c r="I1250" s="4">
        <v>5</v>
      </c>
      <c r="J1250" s="5">
        <v>34.6</v>
      </c>
      <c r="K1250" s="6">
        <v>1.23</v>
      </c>
      <c r="L1250" s="4">
        <v>6</v>
      </c>
      <c r="M1250" s="4">
        <v>115</v>
      </c>
      <c r="N1250" s="4">
        <v>76</v>
      </c>
      <c r="O1250" s="4" t="s">
        <v>21</v>
      </c>
      <c r="P1250" s="7" t="s">
        <v>19</v>
      </c>
    </row>
    <row r="1251" spans="2:16" x14ac:dyDescent="0.45">
      <c r="B1251" s="4">
        <v>1250</v>
      </c>
      <c r="C1251" s="4" t="s">
        <v>33</v>
      </c>
      <c r="D1251" s="4" t="s">
        <v>16</v>
      </c>
      <c r="E1251" s="4" t="s">
        <v>44</v>
      </c>
      <c r="F1251" s="4" t="s">
        <v>24</v>
      </c>
      <c r="G1251" s="4" t="s">
        <v>19</v>
      </c>
      <c r="H1251" s="4" t="s">
        <v>36</v>
      </c>
      <c r="I1251" s="4">
        <v>24</v>
      </c>
      <c r="J1251" s="5">
        <v>66.3</v>
      </c>
      <c r="K1251" s="6">
        <v>1.54</v>
      </c>
      <c r="L1251" s="4">
        <v>4</v>
      </c>
      <c r="M1251" s="4">
        <v>127</v>
      </c>
      <c r="N1251" s="4">
        <v>97</v>
      </c>
      <c r="O1251" s="4" t="s">
        <v>21</v>
      </c>
      <c r="P1251" s="7" t="s">
        <v>19</v>
      </c>
    </row>
    <row r="1252" spans="2:16" x14ac:dyDescent="0.45">
      <c r="B1252" s="4">
        <v>1251</v>
      </c>
      <c r="C1252" s="4" t="s">
        <v>27</v>
      </c>
      <c r="D1252" s="4" t="s">
        <v>16</v>
      </c>
      <c r="E1252" s="4" t="s">
        <v>37</v>
      </c>
      <c r="F1252" s="4" t="s">
        <v>24</v>
      </c>
      <c r="G1252" s="4" t="s">
        <v>30</v>
      </c>
      <c r="H1252" s="4" t="s">
        <v>20</v>
      </c>
      <c r="I1252" s="4">
        <v>24</v>
      </c>
      <c r="J1252" s="5">
        <v>58.9</v>
      </c>
      <c r="K1252" s="6">
        <v>1.86</v>
      </c>
      <c r="L1252" s="4">
        <v>6</v>
      </c>
      <c r="M1252" s="4">
        <v>98</v>
      </c>
      <c r="N1252" s="4">
        <v>83</v>
      </c>
      <c r="O1252" s="4" t="s">
        <v>26</v>
      </c>
      <c r="P1252" s="7" t="s">
        <v>19</v>
      </c>
    </row>
    <row r="1253" spans="2:16" x14ac:dyDescent="0.45">
      <c r="B1253" s="4">
        <v>1252</v>
      </c>
      <c r="C1253" s="4" t="s">
        <v>22</v>
      </c>
      <c r="D1253" s="4" t="s">
        <v>16</v>
      </c>
      <c r="E1253" s="4" t="s">
        <v>35</v>
      </c>
      <c r="F1253" s="4" t="s">
        <v>42</v>
      </c>
      <c r="G1253" s="4" t="s">
        <v>30</v>
      </c>
      <c r="H1253" s="4" t="s">
        <v>20</v>
      </c>
      <c r="I1253" s="4">
        <v>42</v>
      </c>
      <c r="J1253" s="5">
        <v>67.2</v>
      </c>
      <c r="K1253" s="6">
        <v>1.75</v>
      </c>
      <c r="L1253" s="4">
        <v>2</v>
      </c>
      <c r="M1253" s="4">
        <v>136</v>
      </c>
      <c r="N1253" s="4">
        <v>79</v>
      </c>
      <c r="O1253" s="4" t="s">
        <v>21</v>
      </c>
      <c r="P1253" s="7" t="s">
        <v>30</v>
      </c>
    </row>
    <row r="1254" spans="2:16" x14ac:dyDescent="0.45">
      <c r="B1254" s="4">
        <v>1253</v>
      </c>
      <c r="C1254" s="4" t="s">
        <v>33</v>
      </c>
      <c r="D1254" s="4" t="s">
        <v>16</v>
      </c>
      <c r="E1254" s="4" t="s">
        <v>35</v>
      </c>
      <c r="F1254" s="4" t="s">
        <v>24</v>
      </c>
      <c r="G1254" s="4" t="s">
        <v>19</v>
      </c>
      <c r="H1254" s="4" t="s">
        <v>28</v>
      </c>
      <c r="I1254" s="4">
        <v>50</v>
      </c>
      <c r="J1254" s="5">
        <v>49.8</v>
      </c>
      <c r="K1254" s="6">
        <v>1.67</v>
      </c>
      <c r="L1254" s="4">
        <v>2</v>
      </c>
      <c r="M1254" s="4">
        <v>110</v>
      </c>
      <c r="N1254" s="4">
        <v>94</v>
      </c>
      <c r="O1254" s="4" t="s">
        <v>26</v>
      </c>
      <c r="P1254" s="7" t="s">
        <v>19</v>
      </c>
    </row>
    <row r="1255" spans="2:16" x14ac:dyDescent="0.45">
      <c r="B1255" s="4">
        <v>1254</v>
      </c>
      <c r="C1255" s="4" t="s">
        <v>31</v>
      </c>
      <c r="D1255" s="4" t="s">
        <v>23</v>
      </c>
      <c r="E1255" s="4" t="s">
        <v>35</v>
      </c>
      <c r="F1255" s="4" t="s">
        <v>18</v>
      </c>
      <c r="G1255" s="4" t="s">
        <v>19</v>
      </c>
      <c r="H1255" s="4" t="s">
        <v>28</v>
      </c>
      <c r="I1255" s="4">
        <v>7</v>
      </c>
      <c r="J1255" s="5">
        <v>31.9</v>
      </c>
      <c r="K1255" s="6">
        <v>1.05</v>
      </c>
      <c r="L1255" s="4">
        <v>4</v>
      </c>
      <c r="M1255" s="4">
        <v>102</v>
      </c>
      <c r="N1255" s="4">
        <v>88</v>
      </c>
      <c r="O1255" s="4" t="s">
        <v>26</v>
      </c>
      <c r="P1255" s="7" t="s">
        <v>19</v>
      </c>
    </row>
    <row r="1256" spans="2:16" x14ac:dyDescent="0.45">
      <c r="B1256" s="4">
        <v>1255</v>
      </c>
      <c r="C1256" s="4" t="s">
        <v>15</v>
      </c>
      <c r="D1256" s="4" t="s">
        <v>16</v>
      </c>
      <c r="E1256" s="4" t="s">
        <v>44</v>
      </c>
      <c r="F1256" s="4" t="s">
        <v>42</v>
      </c>
      <c r="G1256" s="4" t="s">
        <v>19</v>
      </c>
      <c r="H1256" s="4" t="s">
        <v>36</v>
      </c>
      <c r="I1256" s="4">
        <v>64</v>
      </c>
      <c r="J1256" s="5">
        <v>58.3</v>
      </c>
      <c r="K1256" s="6">
        <v>1.73</v>
      </c>
      <c r="L1256" s="4">
        <v>3</v>
      </c>
      <c r="M1256" s="4">
        <v>136</v>
      </c>
      <c r="N1256" s="4">
        <v>91</v>
      </c>
      <c r="O1256" s="4" t="s">
        <v>21</v>
      </c>
      <c r="P1256" s="7" t="s">
        <v>19</v>
      </c>
    </row>
    <row r="1257" spans="2:16" x14ac:dyDescent="0.45">
      <c r="B1257" s="4">
        <v>1256</v>
      </c>
      <c r="C1257" s="4" t="s">
        <v>41</v>
      </c>
      <c r="D1257" s="4" t="s">
        <v>16</v>
      </c>
      <c r="E1257" s="4" t="s">
        <v>17</v>
      </c>
      <c r="F1257" s="4" t="s">
        <v>18</v>
      </c>
      <c r="G1257" s="4" t="s">
        <v>30</v>
      </c>
      <c r="H1257" s="4" t="s">
        <v>46</v>
      </c>
      <c r="I1257" s="4">
        <v>68</v>
      </c>
      <c r="J1257" s="5">
        <v>55.4</v>
      </c>
      <c r="K1257" s="6">
        <v>1.64</v>
      </c>
      <c r="L1257" s="4">
        <v>6</v>
      </c>
      <c r="M1257" s="4">
        <v>132</v>
      </c>
      <c r="N1257" s="4">
        <v>70</v>
      </c>
      <c r="O1257" s="4" t="s">
        <v>26</v>
      </c>
      <c r="P1257" s="7" t="s">
        <v>19</v>
      </c>
    </row>
    <row r="1258" spans="2:16" x14ac:dyDescent="0.45">
      <c r="B1258" s="4">
        <v>1257</v>
      </c>
      <c r="C1258" s="4" t="s">
        <v>41</v>
      </c>
      <c r="D1258" s="4" t="s">
        <v>16</v>
      </c>
      <c r="E1258" s="4" t="s">
        <v>17</v>
      </c>
      <c r="F1258" s="4" t="s">
        <v>24</v>
      </c>
      <c r="G1258" s="4" t="s">
        <v>19</v>
      </c>
      <c r="H1258" s="4" t="s">
        <v>28</v>
      </c>
      <c r="I1258" s="4">
        <v>65</v>
      </c>
      <c r="J1258" s="5">
        <v>50.6</v>
      </c>
      <c r="K1258" s="6">
        <v>1.88</v>
      </c>
      <c r="L1258" s="4">
        <v>4</v>
      </c>
      <c r="M1258" s="4">
        <v>125</v>
      </c>
      <c r="N1258" s="4">
        <v>85</v>
      </c>
      <c r="O1258" s="4" t="s">
        <v>26</v>
      </c>
      <c r="P1258" s="7" t="s">
        <v>19</v>
      </c>
    </row>
    <row r="1259" spans="2:16" x14ac:dyDescent="0.45">
      <c r="B1259" s="4">
        <v>1258</v>
      </c>
      <c r="C1259" s="4" t="s">
        <v>29</v>
      </c>
      <c r="D1259" s="4" t="s">
        <v>16</v>
      </c>
      <c r="E1259" s="4" t="s">
        <v>44</v>
      </c>
      <c r="F1259" s="4" t="s">
        <v>24</v>
      </c>
      <c r="G1259" s="4" t="s">
        <v>19</v>
      </c>
      <c r="H1259" s="4" t="s">
        <v>20</v>
      </c>
      <c r="I1259" s="4">
        <v>11</v>
      </c>
      <c r="J1259" s="5">
        <v>21.9</v>
      </c>
      <c r="K1259" s="6">
        <v>1.06</v>
      </c>
      <c r="L1259" s="4">
        <v>3</v>
      </c>
      <c r="M1259" s="4">
        <v>104</v>
      </c>
      <c r="N1259" s="4">
        <v>100</v>
      </c>
      <c r="O1259" s="4" t="s">
        <v>21</v>
      </c>
      <c r="P1259" s="7" t="s">
        <v>19</v>
      </c>
    </row>
    <row r="1260" spans="2:16" x14ac:dyDescent="0.45">
      <c r="B1260" s="4">
        <v>1259</v>
      </c>
      <c r="C1260" s="4" t="s">
        <v>31</v>
      </c>
      <c r="D1260" s="4" t="s">
        <v>23</v>
      </c>
      <c r="E1260" s="4" t="s">
        <v>17</v>
      </c>
      <c r="F1260" s="4" t="s">
        <v>28</v>
      </c>
      <c r="G1260" s="4" t="s">
        <v>19</v>
      </c>
      <c r="H1260" s="4" t="s">
        <v>34</v>
      </c>
      <c r="I1260" s="4">
        <v>20</v>
      </c>
      <c r="J1260" s="5">
        <v>58.6</v>
      </c>
      <c r="K1260" s="6">
        <v>1.82</v>
      </c>
      <c r="L1260" s="4">
        <v>0</v>
      </c>
      <c r="M1260" s="4">
        <v>104</v>
      </c>
      <c r="N1260" s="4">
        <v>91</v>
      </c>
      <c r="O1260" s="4" t="s">
        <v>21</v>
      </c>
      <c r="P1260" s="7" t="s">
        <v>19</v>
      </c>
    </row>
    <row r="1261" spans="2:16" x14ac:dyDescent="0.45">
      <c r="B1261" s="4">
        <v>1260</v>
      </c>
      <c r="C1261" s="4" t="s">
        <v>27</v>
      </c>
      <c r="D1261" s="4" t="s">
        <v>23</v>
      </c>
      <c r="E1261" s="4" t="s">
        <v>17</v>
      </c>
      <c r="F1261" s="4" t="s">
        <v>24</v>
      </c>
      <c r="G1261" s="4" t="s">
        <v>30</v>
      </c>
      <c r="H1261" s="4" t="s">
        <v>34</v>
      </c>
      <c r="I1261" s="4">
        <v>62</v>
      </c>
      <c r="J1261" s="5">
        <v>46.5</v>
      </c>
      <c r="K1261" s="6">
        <v>1.66</v>
      </c>
      <c r="L1261" s="4">
        <v>4</v>
      </c>
      <c r="M1261" s="4">
        <v>122</v>
      </c>
      <c r="N1261" s="4">
        <v>100</v>
      </c>
      <c r="O1261" s="4" t="s">
        <v>21</v>
      </c>
      <c r="P1261" s="7" t="s">
        <v>30</v>
      </c>
    </row>
    <row r="1262" spans="2:16" x14ac:dyDescent="0.45">
      <c r="B1262" s="4">
        <v>1261</v>
      </c>
      <c r="C1262" s="4" t="s">
        <v>15</v>
      </c>
      <c r="D1262" s="4" t="s">
        <v>16</v>
      </c>
      <c r="E1262" s="4" t="s">
        <v>17</v>
      </c>
      <c r="F1262" s="4" t="s">
        <v>24</v>
      </c>
      <c r="G1262" s="4" t="s">
        <v>19</v>
      </c>
      <c r="H1262" s="4" t="s">
        <v>32</v>
      </c>
      <c r="I1262" s="4">
        <v>56</v>
      </c>
      <c r="J1262" s="5">
        <v>86.8</v>
      </c>
      <c r="K1262" s="6">
        <v>1.58</v>
      </c>
      <c r="L1262" s="4">
        <v>3</v>
      </c>
      <c r="M1262" s="4">
        <v>122</v>
      </c>
      <c r="N1262" s="4">
        <v>154</v>
      </c>
      <c r="O1262" s="4" t="s">
        <v>26</v>
      </c>
      <c r="P1262" s="7" t="s">
        <v>19</v>
      </c>
    </row>
    <row r="1263" spans="2:16" x14ac:dyDescent="0.45">
      <c r="B1263" s="4">
        <v>1262</v>
      </c>
      <c r="C1263" s="4" t="s">
        <v>27</v>
      </c>
      <c r="D1263" s="4" t="s">
        <v>16</v>
      </c>
      <c r="E1263" s="4" t="s">
        <v>35</v>
      </c>
      <c r="F1263" s="4" t="s">
        <v>18</v>
      </c>
      <c r="G1263" s="4" t="s">
        <v>19</v>
      </c>
      <c r="H1263" s="4" t="s">
        <v>20</v>
      </c>
      <c r="I1263" s="4">
        <v>16</v>
      </c>
      <c r="J1263" s="5">
        <v>41.4</v>
      </c>
      <c r="K1263" s="6">
        <v>1.52</v>
      </c>
      <c r="L1263" s="4">
        <v>1</v>
      </c>
      <c r="M1263" s="4">
        <v>103</v>
      </c>
      <c r="N1263" s="4">
        <v>85</v>
      </c>
      <c r="O1263" s="4" t="s">
        <v>26</v>
      </c>
      <c r="P1263" s="7" t="s">
        <v>19</v>
      </c>
    </row>
    <row r="1264" spans="2:16" x14ac:dyDescent="0.45">
      <c r="B1264" s="4">
        <v>1263</v>
      </c>
      <c r="C1264" s="4" t="s">
        <v>39</v>
      </c>
      <c r="D1264" s="4" t="s">
        <v>16</v>
      </c>
      <c r="E1264" s="4" t="s">
        <v>17</v>
      </c>
      <c r="F1264" s="4" t="s">
        <v>24</v>
      </c>
      <c r="G1264" s="4" t="s">
        <v>30</v>
      </c>
      <c r="H1264" s="4" t="s">
        <v>20</v>
      </c>
      <c r="I1264" s="4">
        <v>44</v>
      </c>
      <c r="J1264" s="5">
        <v>76.900000000000006</v>
      </c>
      <c r="K1264" s="6">
        <v>1.73</v>
      </c>
      <c r="L1264" s="4">
        <v>2</v>
      </c>
      <c r="M1264" s="4">
        <v>109</v>
      </c>
      <c r="N1264" s="4">
        <v>90</v>
      </c>
      <c r="O1264" s="4" t="s">
        <v>21</v>
      </c>
      <c r="P1264" s="7" t="s">
        <v>19</v>
      </c>
    </row>
    <row r="1265" spans="2:16" x14ac:dyDescent="0.45">
      <c r="B1265" s="4">
        <v>1264</v>
      </c>
      <c r="C1265" s="4" t="s">
        <v>27</v>
      </c>
      <c r="D1265" s="4" t="s">
        <v>23</v>
      </c>
      <c r="E1265" s="4" t="s">
        <v>35</v>
      </c>
      <c r="F1265" s="4" t="s">
        <v>24</v>
      </c>
      <c r="G1265" s="4" t="s">
        <v>19</v>
      </c>
      <c r="H1265" s="4" t="s">
        <v>20</v>
      </c>
      <c r="I1265" s="4">
        <v>12</v>
      </c>
      <c r="J1265" s="5">
        <v>46.2</v>
      </c>
      <c r="K1265" s="6">
        <v>1.64</v>
      </c>
      <c r="L1265" s="4">
        <v>0</v>
      </c>
      <c r="M1265" s="4">
        <v>97</v>
      </c>
      <c r="N1265" s="4">
        <v>87</v>
      </c>
      <c r="O1265" s="4" t="s">
        <v>21</v>
      </c>
      <c r="P1265" s="7" t="s">
        <v>19</v>
      </c>
    </row>
    <row r="1266" spans="2:16" x14ac:dyDescent="0.45">
      <c r="B1266" s="4">
        <v>1265</v>
      </c>
      <c r="C1266" s="4" t="s">
        <v>27</v>
      </c>
      <c r="D1266" s="4" t="s">
        <v>16</v>
      </c>
      <c r="E1266" s="4" t="s">
        <v>35</v>
      </c>
      <c r="F1266" s="4" t="s">
        <v>18</v>
      </c>
      <c r="G1266" s="4" t="s">
        <v>19</v>
      </c>
      <c r="H1266" s="4" t="s">
        <v>20</v>
      </c>
      <c r="I1266" s="4">
        <v>25</v>
      </c>
      <c r="J1266" s="5">
        <v>51.9</v>
      </c>
      <c r="K1266" s="6">
        <v>1.69</v>
      </c>
      <c r="L1266" s="4">
        <v>0</v>
      </c>
      <c r="M1266" s="4">
        <v>122</v>
      </c>
      <c r="N1266" s="4">
        <v>94</v>
      </c>
      <c r="O1266" s="4" t="s">
        <v>26</v>
      </c>
      <c r="P1266" s="7" t="s">
        <v>19</v>
      </c>
    </row>
    <row r="1267" spans="2:16" x14ac:dyDescent="0.45">
      <c r="B1267" s="4">
        <v>1266</v>
      </c>
      <c r="C1267" s="4" t="s">
        <v>45</v>
      </c>
      <c r="D1267" s="4" t="s">
        <v>16</v>
      </c>
      <c r="E1267" s="4" t="s">
        <v>17</v>
      </c>
      <c r="F1267" s="4" t="s">
        <v>18</v>
      </c>
      <c r="G1267" s="4" t="s">
        <v>19</v>
      </c>
      <c r="H1267" s="4" t="s">
        <v>20</v>
      </c>
      <c r="I1267" s="4">
        <v>31</v>
      </c>
      <c r="J1267" s="5">
        <v>64.599999999999994</v>
      </c>
      <c r="K1267" s="6">
        <v>1.78</v>
      </c>
      <c r="L1267" s="4">
        <v>0</v>
      </c>
      <c r="M1267" s="4">
        <v>124</v>
      </c>
      <c r="N1267" s="4">
        <v>96</v>
      </c>
      <c r="O1267" s="4" t="s">
        <v>26</v>
      </c>
      <c r="P1267" s="7" t="s">
        <v>30</v>
      </c>
    </row>
    <row r="1268" spans="2:16" x14ac:dyDescent="0.45">
      <c r="B1268" s="4">
        <v>1267</v>
      </c>
      <c r="C1268" s="4" t="s">
        <v>40</v>
      </c>
      <c r="D1268" s="4" t="s">
        <v>16</v>
      </c>
      <c r="E1268" s="4" t="s">
        <v>35</v>
      </c>
      <c r="F1268" s="4" t="s">
        <v>18</v>
      </c>
      <c r="G1268" s="4" t="s">
        <v>19</v>
      </c>
      <c r="H1268" s="4" t="s">
        <v>28</v>
      </c>
      <c r="I1268" s="4">
        <v>51</v>
      </c>
      <c r="J1268" s="5">
        <v>61.7</v>
      </c>
      <c r="K1268" s="6">
        <v>1.49</v>
      </c>
      <c r="L1268" s="4">
        <v>1</v>
      </c>
      <c r="M1268" s="4">
        <v>125</v>
      </c>
      <c r="N1268" s="4">
        <v>101</v>
      </c>
      <c r="O1268" s="4" t="s">
        <v>26</v>
      </c>
      <c r="P1268" s="7" t="s">
        <v>19</v>
      </c>
    </row>
    <row r="1269" spans="2:16" x14ac:dyDescent="0.45">
      <c r="B1269" s="4">
        <v>1268</v>
      </c>
      <c r="C1269" s="4" t="s">
        <v>27</v>
      </c>
      <c r="D1269" s="4" t="s">
        <v>16</v>
      </c>
      <c r="E1269" s="4" t="s">
        <v>17</v>
      </c>
      <c r="F1269" s="4" t="s">
        <v>24</v>
      </c>
      <c r="G1269" s="4" t="s">
        <v>19</v>
      </c>
      <c r="H1269" s="4" t="s">
        <v>38</v>
      </c>
      <c r="I1269" s="4">
        <v>7</v>
      </c>
      <c r="J1269" s="5">
        <v>31.7</v>
      </c>
      <c r="K1269" s="6">
        <v>1.06</v>
      </c>
      <c r="L1269" s="4">
        <v>2</v>
      </c>
      <c r="M1269" s="4">
        <v>109</v>
      </c>
      <c r="N1269" s="4">
        <v>82</v>
      </c>
      <c r="O1269" s="4" t="s">
        <v>21</v>
      </c>
      <c r="P1269" s="7" t="s">
        <v>19</v>
      </c>
    </row>
    <row r="1270" spans="2:16" x14ac:dyDescent="0.45">
      <c r="B1270" s="4">
        <v>1269</v>
      </c>
      <c r="C1270" s="4" t="s">
        <v>40</v>
      </c>
      <c r="D1270" s="4" t="s">
        <v>23</v>
      </c>
      <c r="E1270" s="4" t="s">
        <v>17</v>
      </c>
      <c r="F1270" s="4" t="s">
        <v>24</v>
      </c>
      <c r="G1270" s="4" t="s">
        <v>19</v>
      </c>
      <c r="H1270" s="4" t="s">
        <v>20</v>
      </c>
      <c r="I1270" s="4">
        <v>23</v>
      </c>
      <c r="J1270" s="5">
        <v>76.2</v>
      </c>
      <c r="K1270" s="6">
        <v>1.63</v>
      </c>
      <c r="L1270" s="4">
        <v>8</v>
      </c>
      <c r="M1270" s="4">
        <v>109</v>
      </c>
      <c r="N1270" s="4">
        <v>99</v>
      </c>
      <c r="O1270" s="4" t="s">
        <v>26</v>
      </c>
      <c r="P1270" s="7" t="s">
        <v>19</v>
      </c>
    </row>
    <row r="1271" spans="2:16" x14ac:dyDescent="0.45">
      <c r="B1271" s="4">
        <v>1270</v>
      </c>
      <c r="C1271" s="4" t="s">
        <v>45</v>
      </c>
      <c r="D1271" s="4" t="s">
        <v>23</v>
      </c>
      <c r="E1271" s="4" t="s">
        <v>17</v>
      </c>
      <c r="F1271" s="4" t="s">
        <v>28</v>
      </c>
      <c r="G1271" s="4" t="s">
        <v>19</v>
      </c>
      <c r="H1271" s="4" t="s">
        <v>46</v>
      </c>
      <c r="I1271" s="4">
        <v>26</v>
      </c>
      <c r="J1271" s="5">
        <v>95</v>
      </c>
      <c r="K1271" s="6">
        <v>1.5</v>
      </c>
      <c r="L1271" s="4">
        <v>2</v>
      </c>
      <c r="M1271" s="4">
        <v>101</v>
      </c>
      <c r="N1271" s="4">
        <v>82</v>
      </c>
      <c r="O1271" s="4" t="s">
        <v>26</v>
      </c>
      <c r="P1271" s="7" t="s">
        <v>19</v>
      </c>
    </row>
    <row r="1272" spans="2:16" x14ac:dyDescent="0.45">
      <c r="B1272" s="4">
        <v>1271</v>
      </c>
      <c r="C1272" s="4" t="s">
        <v>27</v>
      </c>
      <c r="D1272" s="4" t="s">
        <v>23</v>
      </c>
      <c r="E1272" s="4" t="s">
        <v>17</v>
      </c>
      <c r="F1272" s="4" t="s">
        <v>24</v>
      </c>
      <c r="G1272" s="4" t="s">
        <v>30</v>
      </c>
      <c r="H1272" s="4" t="s">
        <v>36</v>
      </c>
      <c r="I1272" s="4">
        <v>18</v>
      </c>
      <c r="J1272" s="5">
        <v>59.1</v>
      </c>
      <c r="K1272" s="6">
        <v>1.89</v>
      </c>
      <c r="L1272" s="4">
        <v>10</v>
      </c>
      <c r="M1272" s="4">
        <v>129</v>
      </c>
      <c r="N1272" s="4">
        <v>104</v>
      </c>
      <c r="O1272" s="4" t="s">
        <v>21</v>
      </c>
      <c r="P1272" s="7" t="s">
        <v>19</v>
      </c>
    </row>
    <row r="1273" spans="2:16" x14ac:dyDescent="0.45">
      <c r="B1273" s="4">
        <v>1272</v>
      </c>
      <c r="C1273" s="4" t="s">
        <v>43</v>
      </c>
      <c r="D1273" s="4" t="s">
        <v>23</v>
      </c>
      <c r="E1273" s="4" t="s">
        <v>17</v>
      </c>
      <c r="F1273" s="4" t="s">
        <v>24</v>
      </c>
      <c r="G1273" s="4" t="s">
        <v>19</v>
      </c>
      <c r="H1273" s="4" t="s">
        <v>20</v>
      </c>
      <c r="I1273" s="4">
        <v>47</v>
      </c>
      <c r="J1273" s="5">
        <v>90.2</v>
      </c>
      <c r="K1273" s="6">
        <v>1.67</v>
      </c>
      <c r="L1273" s="4">
        <v>2</v>
      </c>
      <c r="M1273" s="4">
        <v>123</v>
      </c>
      <c r="N1273" s="4">
        <v>74</v>
      </c>
      <c r="O1273" s="4" t="s">
        <v>21</v>
      </c>
      <c r="P1273" s="7" t="s">
        <v>19</v>
      </c>
    </row>
    <row r="1274" spans="2:16" x14ac:dyDescent="0.45">
      <c r="B1274" s="4">
        <v>1273</v>
      </c>
      <c r="C1274" s="4" t="s">
        <v>39</v>
      </c>
      <c r="D1274" s="4" t="s">
        <v>16</v>
      </c>
      <c r="E1274" s="4" t="s">
        <v>37</v>
      </c>
      <c r="F1274" s="4" t="s">
        <v>24</v>
      </c>
      <c r="G1274" s="4" t="s">
        <v>30</v>
      </c>
      <c r="H1274" s="4" t="s">
        <v>36</v>
      </c>
      <c r="I1274" s="4">
        <v>26</v>
      </c>
      <c r="J1274" s="5">
        <v>70.5</v>
      </c>
      <c r="K1274" s="6">
        <v>1.7</v>
      </c>
      <c r="L1274" s="4">
        <v>0</v>
      </c>
      <c r="M1274" s="4">
        <v>132</v>
      </c>
      <c r="N1274" s="4">
        <v>78</v>
      </c>
      <c r="O1274" s="4" t="s">
        <v>21</v>
      </c>
      <c r="P1274" s="7" t="s">
        <v>30</v>
      </c>
    </row>
    <row r="1275" spans="2:16" x14ac:dyDescent="0.45">
      <c r="B1275" s="4">
        <v>1274</v>
      </c>
      <c r="C1275" s="4" t="s">
        <v>31</v>
      </c>
      <c r="D1275" s="4" t="s">
        <v>16</v>
      </c>
      <c r="E1275" s="4" t="s">
        <v>35</v>
      </c>
      <c r="F1275" s="4" t="s">
        <v>24</v>
      </c>
      <c r="G1275" s="4" t="s">
        <v>19</v>
      </c>
      <c r="H1275" s="4" t="s">
        <v>36</v>
      </c>
      <c r="I1275" s="4">
        <v>48</v>
      </c>
      <c r="J1275" s="5">
        <v>92.8</v>
      </c>
      <c r="K1275" s="6">
        <v>1.6</v>
      </c>
      <c r="L1275" s="4">
        <v>2</v>
      </c>
      <c r="M1275" s="4">
        <v>152</v>
      </c>
      <c r="N1275" s="4">
        <v>74</v>
      </c>
      <c r="O1275" s="4" t="s">
        <v>26</v>
      </c>
      <c r="P1275" s="7" t="s">
        <v>19</v>
      </c>
    </row>
    <row r="1276" spans="2:16" x14ac:dyDescent="0.45">
      <c r="B1276" s="4">
        <v>1275</v>
      </c>
      <c r="C1276" s="4" t="s">
        <v>40</v>
      </c>
      <c r="D1276" s="4" t="s">
        <v>16</v>
      </c>
      <c r="E1276" s="4" t="s">
        <v>17</v>
      </c>
      <c r="F1276" s="4" t="s">
        <v>18</v>
      </c>
      <c r="G1276" s="4" t="s">
        <v>19</v>
      </c>
      <c r="H1276" s="4" t="s">
        <v>28</v>
      </c>
      <c r="I1276" s="4">
        <v>10</v>
      </c>
      <c r="J1276" s="5">
        <v>25.8</v>
      </c>
      <c r="K1276" s="6">
        <v>1.37</v>
      </c>
      <c r="L1276" s="4">
        <v>3</v>
      </c>
      <c r="M1276" s="4">
        <v>107</v>
      </c>
      <c r="N1276" s="4">
        <v>72</v>
      </c>
      <c r="O1276" s="4" t="s">
        <v>21</v>
      </c>
      <c r="P1276" s="7" t="s">
        <v>19</v>
      </c>
    </row>
    <row r="1277" spans="2:16" x14ac:dyDescent="0.45">
      <c r="B1277" s="4">
        <v>1276</v>
      </c>
      <c r="C1277" s="4" t="s">
        <v>45</v>
      </c>
      <c r="D1277" s="4" t="s">
        <v>16</v>
      </c>
      <c r="E1277" s="4" t="s">
        <v>17</v>
      </c>
      <c r="F1277" s="4" t="s">
        <v>18</v>
      </c>
      <c r="G1277" s="4" t="s">
        <v>19</v>
      </c>
      <c r="H1277" s="4" t="s">
        <v>38</v>
      </c>
      <c r="I1277" s="4">
        <v>21</v>
      </c>
      <c r="J1277" s="5">
        <v>61.4</v>
      </c>
      <c r="K1277" s="6">
        <v>1.74</v>
      </c>
      <c r="L1277" s="4">
        <v>4</v>
      </c>
      <c r="M1277" s="4">
        <v>113</v>
      </c>
      <c r="N1277" s="4">
        <v>93</v>
      </c>
      <c r="O1277" s="4" t="s">
        <v>26</v>
      </c>
      <c r="P1277" s="7" t="s">
        <v>19</v>
      </c>
    </row>
    <row r="1278" spans="2:16" x14ac:dyDescent="0.45">
      <c r="B1278" s="4">
        <v>1277</v>
      </c>
      <c r="C1278" s="4" t="s">
        <v>31</v>
      </c>
      <c r="D1278" s="4" t="s">
        <v>23</v>
      </c>
      <c r="E1278" s="4" t="s">
        <v>17</v>
      </c>
      <c r="F1278" s="4" t="s">
        <v>18</v>
      </c>
      <c r="G1278" s="4" t="s">
        <v>19</v>
      </c>
      <c r="H1278" s="4" t="s">
        <v>32</v>
      </c>
      <c r="I1278" s="4">
        <v>53</v>
      </c>
      <c r="J1278" s="5">
        <v>88.4</v>
      </c>
      <c r="K1278" s="6">
        <v>1.52</v>
      </c>
      <c r="L1278" s="4">
        <v>3</v>
      </c>
      <c r="M1278" s="4">
        <v>118</v>
      </c>
      <c r="N1278" s="4">
        <v>127</v>
      </c>
      <c r="O1278" s="4" t="s">
        <v>26</v>
      </c>
      <c r="P1278" s="7" t="s">
        <v>19</v>
      </c>
    </row>
    <row r="1279" spans="2:16" x14ac:dyDescent="0.45">
      <c r="B1279" s="4">
        <v>1278</v>
      </c>
      <c r="C1279" s="4" t="s">
        <v>40</v>
      </c>
      <c r="D1279" s="4" t="s">
        <v>23</v>
      </c>
      <c r="E1279" s="4" t="s">
        <v>37</v>
      </c>
      <c r="F1279" s="4" t="s">
        <v>24</v>
      </c>
      <c r="G1279" s="4" t="s">
        <v>19</v>
      </c>
      <c r="H1279" s="4" t="s">
        <v>34</v>
      </c>
      <c r="I1279" s="4">
        <v>40</v>
      </c>
      <c r="J1279" s="5">
        <v>66.5</v>
      </c>
      <c r="K1279" s="6">
        <v>1.78</v>
      </c>
      <c r="L1279" s="4">
        <v>2</v>
      </c>
      <c r="M1279" s="4">
        <v>133</v>
      </c>
      <c r="N1279" s="4">
        <v>72</v>
      </c>
      <c r="O1279" s="4" t="s">
        <v>26</v>
      </c>
      <c r="P1279" s="7" t="s">
        <v>30</v>
      </c>
    </row>
    <row r="1280" spans="2:16" x14ac:dyDescent="0.45">
      <c r="B1280" s="4">
        <v>1279</v>
      </c>
      <c r="C1280" s="4" t="s">
        <v>31</v>
      </c>
      <c r="D1280" s="4" t="s">
        <v>23</v>
      </c>
      <c r="E1280" s="4" t="s">
        <v>35</v>
      </c>
      <c r="F1280" s="4" t="s">
        <v>18</v>
      </c>
      <c r="G1280" s="4" t="s">
        <v>19</v>
      </c>
      <c r="H1280" s="4" t="s">
        <v>36</v>
      </c>
      <c r="I1280" s="4">
        <v>37</v>
      </c>
      <c r="J1280" s="5">
        <v>85</v>
      </c>
      <c r="K1280" s="6">
        <v>1.58</v>
      </c>
      <c r="L1280" s="4">
        <v>1</v>
      </c>
      <c r="M1280" s="4">
        <v>124</v>
      </c>
      <c r="N1280" s="4">
        <v>95</v>
      </c>
      <c r="O1280" s="4" t="s">
        <v>21</v>
      </c>
      <c r="P1280" s="7" t="s">
        <v>30</v>
      </c>
    </row>
    <row r="1281" spans="2:16" x14ac:dyDescent="0.45">
      <c r="B1281" s="4">
        <v>1280</v>
      </c>
      <c r="C1281" s="4" t="s">
        <v>22</v>
      </c>
      <c r="D1281" s="4" t="s">
        <v>23</v>
      </c>
      <c r="E1281" s="4" t="s">
        <v>17</v>
      </c>
      <c r="F1281" s="4" t="s">
        <v>24</v>
      </c>
      <c r="G1281" s="4" t="s">
        <v>19</v>
      </c>
      <c r="H1281" s="4" t="s">
        <v>28</v>
      </c>
      <c r="I1281" s="4">
        <v>17</v>
      </c>
      <c r="J1281" s="5">
        <v>42.2</v>
      </c>
      <c r="K1281" s="6">
        <v>1.62</v>
      </c>
      <c r="L1281" s="4">
        <v>3</v>
      </c>
      <c r="M1281" s="4">
        <v>112</v>
      </c>
      <c r="N1281" s="4">
        <v>81</v>
      </c>
      <c r="O1281" s="4" t="s">
        <v>26</v>
      </c>
      <c r="P1281" s="7" t="s">
        <v>19</v>
      </c>
    </row>
    <row r="1282" spans="2:16" x14ac:dyDescent="0.45">
      <c r="B1282" s="4">
        <v>1281</v>
      </c>
      <c r="C1282" s="4" t="s">
        <v>33</v>
      </c>
      <c r="D1282" s="4" t="s">
        <v>23</v>
      </c>
      <c r="E1282" s="4" t="s">
        <v>35</v>
      </c>
      <c r="F1282" s="4" t="s">
        <v>18</v>
      </c>
      <c r="G1282" s="4" t="s">
        <v>19</v>
      </c>
      <c r="H1282" s="4" t="s">
        <v>20</v>
      </c>
      <c r="I1282" s="4">
        <v>8</v>
      </c>
      <c r="J1282" s="5">
        <v>20.5</v>
      </c>
      <c r="K1282" s="6">
        <v>1.1000000000000001</v>
      </c>
      <c r="L1282" s="4">
        <v>1</v>
      </c>
      <c r="M1282" s="4">
        <v>120</v>
      </c>
      <c r="N1282" s="4">
        <v>82</v>
      </c>
      <c r="O1282" s="4" t="s">
        <v>21</v>
      </c>
      <c r="P1282" s="7" t="s">
        <v>30</v>
      </c>
    </row>
    <row r="1283" spans="2:16" x14ac:dyDescent="0.45">
      <c r="B1283" s="4">
        <v>1282</v>
      </c>
      <c r="C1283" s="4" t="s">
        <v>27</v>
      </c>
      <c r="D1283" s="4" t="s">
        <v>23</v>
      </c>
      <c r="E1283" s="4" t="s">
        <v>17</v>
      </c>
      <c r="F1283" s="4" t="s">
        <v>24</v>
      </c>
      <c r="G1283" s="4" t="s">
        <v>19</v>
      </c>
      <c r="H1283" s="4" t="s">
        <v>34</v>
      </c>
      <c r="I1283" s="4">
        <v>46</v>
      </c>
      <c r="J1283" s="5">
        <v>54</v>
      </c>
      <c r="K1283" s="6">
        <v>1.69</v>
      </c>
      <c r="L1283" s="4">
        <v>4</v>
      </c>
      <c r="M1283" s="4">
        <v>119</v>
      </c>
      <c r="N1283" s="4">
        <v>73</v>
      </c>
      <c r="O1283" s="4" t="s">
        <v>26</v>
      </c>
      <c r="P1283" s="7" t="s">
        <v>30</v>
      </c>
    </row>
    <row r="1284" spans="2:16" x14ac:dyDescent="0.45">
      <c r="B1284" s="4">
        <v>1283</v>
      </c>
      <c r="C1284" s="4" t="s">
        <v>22</v>
      </c>
      <c r="D1284" s="4" t="s">
        <v>23</v>
      </c>
      <c r="E1284" s="4" t="s">
        <v>35</v>
      </c>
      <c r="F1284" s="4" t="s">
        <v>28</v>
      </c>
      <c r="G1284" s="4" t="s">
        <v>30</v>
      </c>
      <c r="H1284" s="4" t="s">
        <v>20</v>
      </c>
      <c r="I1284" s="4">
        <v>33</v>
      </c>
      <c r="J1284" s="5">
        <v>68.900000000000006</v>
      </c>
      <c r="K1284" s="6">
        <v>1.57</v>
      </c>
      <c r="L1284" s="4">
        <v>1</v>
      </c>
      <c r="M1284" s="4">
        <v>108</v>
      </c>
      <c r="N1284" s="4">
        <v>105</v>
      </c>
      <c r="O1284" s="4" t="s">
        <v>21</v>
      </c>
      <c r="P1284" s="7" t="s">
        <v>19</v>
      </c>
    </row>
    <row r="1285" spans="2:16" x14ac:dyDescent="0.45">
      <c r="B1285" s="4">
        <v>1284</v>
      </c>
      <c r="C1285" s="4" t="s">
        <v>27</v>
      </c>
      <c r="D1285" s="4" t="s">
        <v>23</v>
      </c>
      <c r="E1285" s="4" t="s">
        <v>17</v>
      </c>
      <c r="F1285" s="4" t="s">
        <v>24</v>
      </c>
      <c r="G1285" s="4" t="s">
        <v>30</v>
      </c>
      <c r="H1285" s="4" t="s">
        <v>20</v>
      </c>
      <c r="I1285" s="4">
        <v>7</v>
      </c>
      <c r="J1285" s="5">
        <v>25.3</v>
      </c>
      <c r="K1285" s="6">
        <v>1.1299999999999999</v>
      </c>
      <c r="L1285" s="4">
        <v>2</v>
      </c>
      <c r="M1285" s="4">
        <v>109</v>
      </c>
      <c r="N1285" s="4">
        <v>92</v>
      </c>
      <c r="O1285" s="4" t="s">
        <v>21</v>
      </c>
      <c r="P1285" s="7" t="s">
        <v>19</v>
      </c>
    </row>
    <row r="1286" spans="2:16" x14ac:dyDescent="0.45">
      <c r="B1286" s="4">
        <v>1285</v>
      </c>
      <c r="C1286" s="4" t="s">
        <v>45</v>
      </c>
      <c r="D1286" s="4" t="s">
        <v>16</v>
      </c>
      <c r="E1286" s="4" t="s">
        <v>35</v>
      </c>
      <c r="F1286" s="4" t="s">
        <v>18</v>
      </c>
      <c r="G1286" s="4" t="s">
        <v>30</v>
      </c>
      <c r="H1286" s="4" t="s">
        <v>34</v>
      </c>
      <c r="I1286" s="4">
        <v>18</v>
      </c>
      <c r="J1286" s="5">
        <v>72</v>
      </c>
      <c r="K1286" s="6">
        <v>1.82</v>
      </c>
      <c r="L1286" s="4">
        <v>1</v>
      </c>
      <c r="M1286" s="4">
        <v>118</v>
      </c>
      <c r="N1286" s="4">
        <v>97</v>
      </c>
      <c r="O1286" s="4" t="s">
        <v>26</v>
      </c>
      <c r="P1286" s="7" t="s">
        <v>19</v>
      </c>
    </row>
    <row r="1287" spans="2:16" x14ac:dyDescent="0.45">
      <c r="B1287" s="4">
        <v>1286</v>
      </c>
      <c r="C1287" s="4" t="s">
        <v>43</v>
      </c>
      <c r="D1287" s="4" t="s">
        <v>16</v>
      </c>
      <c r="E1287" s="4" t="s">
        <v>17</v>
      </c>
      <c r="F1287" s="4" t="s">
        <v>42</v>
      </c>
      <c r="G1287" s="4" t="s">
        <v>30</v>
      </c>
      <c r="H1287" s="4" t="s">
        <v>36</v>
      </c>
      <c r="I1287" s="4">
        <v>22</v>
      </c>
      <c r="J1287" s="5">
        <v>47.4</v>
      </c>
      <c r="K1287" s="6">
        <v>1.66</v>
      </c>
      <c r="L1287" s="4">
        <v>9</v>
      </c>
      <c r="M1287" s="4">
        <v>130</v>
      </c>
      <c r="N1287" s="4">
        <v>95</v>
      </c>
      <c r="O1287" s="4" t="s">
        <v>21</v>
      </c>
      <c r="P1287" s="7" t="s">
        <v>19</v>
      </c>
    </row>
    <row r="1288" spans="2:16" x14ac:dyDescent="0.45">
      <c r="B1288" s="4">
        <v>1287</v>
      </c>
      <c r="C1288" s="4" t="s">
        <v>33</v>
      </c>
      <c r="D1288" s="4" t="s">
        <v>16</v>
      </c>
      <c r="E1288" s="4" t="s">
        <v>17</v>
      </c>
      <c r="F1288" s="4" t="s">
        <v>42</v>
      </c>
      <c r="G1288" s="4" t="s">
        <v>19</v>
      </c>
      <c r="H1288" s="4" t="s">
        <v>25</v>
      </c>
      <c r="I1288" s="4">
        <v>0</v>
      </c>
      <c r="J1288" s="5">
        <v>15</v>
      </c>
      <c r="K1288" s="6">
        <v>0.91</v>
      </c>
      <c r="L1288" s="4">
        <v>3</v>
      </c>
      <c r="M1288" s="4">
        <v>113</v>
      </c>
      <c r="N1288" s="4">
        <v>100</v>
      </c>
      <c r="O1288" s="4" t="s">
        <v>26</v>
      </c>
      <c r="P1288" s="7" t="s">
        <v>19</v>
      </c>
    </row>
    <row r="1289" spans="2:16" x14ac:dyDescent="0.45">
      <c r="B1289" s="4">
        <v>1288</v>
      </c>
      <c r="C1289" s="4" t="s">
        <v>45</v>
      </c>
      <c r="D1289" s="4" t="s">
        <v>23</v>
      </c>
      <c r="E1289" s="4" t="s">
        <v>35</v>
      </c>
      <c r="F1289" s="4" t="s">
        <v>24</v>
      </c>
      <c r="G1289" s="4" t="s">
        <v>19</v>
      </c>
      <c r="H1289" s="4" t="s">
        <v>38</v>
      </c>
      <c r="I1289" s="4">
        <v>1</v>
      </c>
      <c r="J1289" s="5">
        <v>8</v>
      </c>
      <c r="K1289" s="6">
        <v>0.7</v>
      </c>
      <c r="L1289" s="4">
        <v>3</v>
      </c>
      <c r="M1289" s="4">
        <v>117</v>
      </c>
      <c r="N1289" s="4">
        <v>76</v>
      </c>
      <c r="O1289" s="4" t="s">
        <v>26</v>
      </c>
      <c r="P1289" s="7" t="s">
        <v>30</v>
      </c>
    </row>
    <row r="1290" spans="2:16" x14ac:dyDescent="0.45">
      <c r="B1290" s="4">
        <v>1289</v>
      </c>
      <c r="C1290" s="4" t="s">
        <v>43</v>
      </c>
      <c r="D1290" s="4" t="s">
        <v>16</v>
      </c>
      <c r="E1290" s="4" t="s">
        <v>35</v>
      </c>
      <c r="F1290" s="4" t="s">
        <v>24</v>
      </c>
      <c r="G1290" s="4" t="s">
        <v>19</v>
      </c>
      <c r="H1290" s="4" t="s">
        <v>34</v>
      </c>
      <c r="I1290" s="4">
        <v>10</v>
      </c>
      <c r="J1290" s="5">
        <v>18.7</v>
      </c>
      <c r="K1290" s="6">
        <v>1.26</v>
      </c>
      <c r="L1290" s="4">
        <v>4</v>
      </c>
      <c r="M1290" s="4">
        <v>100</v>
      </c>
      <c r="N1290" s="4">
        <v>72</v>
      </c>
      <c r="O1290" s="4" t="s">
        <v>26</v>
      </c>
      <c r="P1290" s="7" t="s">
        <v>19</v>
      </c>
    </row>
    <row r="1291" spans="2:16" x14ac:dyDescent="0.45">
      <c r="B1291" s="4">
        <v>1290</v>
      </c>
      <c r="C1291" s="4" t="s">
        <v>39</v>
      </c>
      <c r="D1291" s="4" t="s">
        <v>23</v>
      </c>
      <c r="E1291" s="4" t="s">
        <v>35</v>
      </c>
      <c r="F1291" s="4" t="s">
        <v>18</v>
      </c>
      <c r="G1291" s="4" t="s">
        <v>19</v>
      </c>
      <c r="H1291" s="4" t="s">
        <v>20</v>
      </c>
      <c r="I1291" s="4">
        <v>2</v>
      </c>
      <c r="J1291" s="5">
        <v>14.8</v>
      </c>
      <c r="K1291" s="6">
        <v>0.93</v>
      </c>
      <c r="L1291" s="4">
        <v>3</v>
      </c>
      <c r="M1291" s="4">
        <v>102</v>
      </c>
      <c r="N1291" s="4">
        <v>87</v>
      </c>
      <c r="O1291" s="4" t="s">
        <v>26</v>
      </c>
      <c r="P1291" s="7" t="s">
        <v>19</v>
      </c>
    </row>
    <row r="1292" spans="2:16" x14ac:dyDescent="0.45">
      <c r="B1292" s="4">
        <v>1291</v>
      </c>
      <c r="C1292" s="4" t="s">
        <v>22</v>
      </c>
      <c r="D1292" s="4" t="s">
        <v>16</v>
      </c>
      <c r="E1292" s="4" t="s">
        <v>44</v>
      </c>
      <c r="F1292" s="4" t="s">
        <v>28</v>
      </c>
      <c r="G1292" s="4" t="s">
        <v>30</v>
      </c>
      <c r="H1292" s="4" t="s">
        <v>46</v>
      </c>
      <c r="I1292" s="4">
        <v>17</v>
      </c>
      <c r="J1292" s="5">
        <v>41.4</v>
      </c>
      <c r="K1292" s="6">
        <v>1.69</v>
      </c>
      <c r="L1292" s="4">
        <v>2</v>
      </c>
      <c r="M1292" s="4">
        <v>117</v>
      </c>
      <c r="N1292" s="4">
        <v>97</v>
      </c>
      <c r="O1292" s="4" t="s">
        <v>26</v>
      </c>
      <c r="P1292" s="7" t="s">
        <v>19</v>
      </c>
    </row>
    <row r="1293" spans="2:16" x14ac:dyDescent="0.45">
      <c r="B1293" s="4">
        <v>1292</v>
      </c>
      <c r="C1293" s="4" t="s">
        <v>15</v>
      </c>
      <c r="D1293" s="4" t="s">
        <v>23</v>
      </c>
      <c r="E1293" s="4" t="s">
        <v>17</v>
      </c>
      <c r="F1293" s="4" t="s">
        <v>18</v>
      </c>
      <c r="G1293" s="4" t="s">
        <v>30</v>
      </c>
      <c r="H1293" s="4" t="s">
        <v>34</v>
      </c>
      <c r="I1293" s="4">
        <v>33</v>
      </c>
      <c r="J1293" s="5">
        <v>57.7</v>
      </c>
      <c r="K1293" s="6">
        <v>1.78</v>
      </c>
      <c r="L1293" s="4">
        <v>3</v>
      </c>
      <c r="M1293" s="4">
        <v>106</v>
      </c>
      <c r="N1293" s="4">
        <v>77</v>
      </c>
      <c r="O1293" s="4" t="s">
        <v>21</v>
      </c>
      <c r="P1293" s="7" t="s">
        <v>19</v>
      </c>
    </row>
    <row r="1294" spans="2:16" x14ac:dyDescent="0.45">
      <c r="B1294" s="4">
        <v>1293</v>
      </c>
      <c r="C1294" s="4" t="s">
        <v>41</v>
      </c>
      <c r="D1294" s="4" t="s">
        <v>23</v>
      </c>
      <c r="E1294" s="4" t="s">
        <v>35</v>
      </c>
      <c r="F1294" s="4" t="s">
        <v>28</v>
      </c>
      <c r="G1294" s="4" t="s">
        <v>30</v>
      </c>
      <c r="H1294" s="4" t="s">
        <v>34</v>
      </c>
      <c r="I1294" s="4">
        <v>19</v>
      </c>
      <c r="J1294" s="5">
        <v>72.5</v>
      </c>
      <c r="K1294" s="6">
        <v>1.72</v>
      </c>
      <c r="L1294" s="4">
        <v>0</v>
      </c>
      <c r="M1294" s="4">
        <v>124</v>
      </c>
      <c r="N1294" s="4">
        <v>81</v>
      </c>
      <c r="O1294" s="4" t="s">
        <v>26</v>
      </c>
      <c r="P1294" s="7" t="s">
        <v>30</v>
      </c>
    </row>
    <row r="1295" spans="2:16" x14ac:dyDescent="0.45">
      <c r="B1295" s="4">
        <v>1294</v>
      </c>
      <c r="C1295" s="4" t="s">
        <v>15</v>
      </c>
      <c r="D1295" s="4" t="s">
        <v>16</v>
      </c>
      <c r="E1295" s="4" t="s">
        <v>44</v>
      </c>
      <c r="F1295" s="4" t="s">
        <v>24</v>
      </c>
      <c r="G1295" s="4" t="s">
        <v>19</v>
      </c>
      <c r="H1295" s="4" t="s">
        <v>32</v>
      </c>
      <c r="I1295" s="4">
        <v>34</v>
      </c>
      <c r="J1295" s="5">
        <v>94.3</v>
      </c>
      <c r="K1295" s="6">
        <v>1.7</v>
      </c>
      <c r="L1295" s="4">
        <v>9</v>
      </c>
      <c r="M1295" s="4">
        <v>104</v>
      </c>
      <c r="N1295" s="4">
        <v>178</v>
      </c>
      <c r="O1295" s="4" t="s">
        <v>21</v>
      </c>
      <c r="P1295" s="7" t="s">
        <v>19</v>
      </c>
    </row>
    <row r="1296" spans="2:16" x14ac:dyDescent="0.45">
      <c r="B1296" s="4">
        <v>1295</v>
      </c>
      <c r="C1296" s="4" t="s">
        <v>27</v>
      </c>
      <c r="D1296" s="4" t="s">
        <v>16</v>
      </c>
      <c r="E1296" s="4" t="s">
        <v>17</v>
      </c>
      <c r="F1296" s="4" t="s">
        <v>24</v>
      </c>
      <c r="G1296" s="4" t="s">
        <v>19</v>
      </c>
      <c r="H1296" s="4" t="s">
        <v>28</v>
      </c>
      <c r="I1296" s="4">
        <v>9</v>
      </c>
      <c r="J1296" s="5">
        <v>28.7</v>
      </c>
      <c r="K1296" s="6">
        <v>1.1399999999999999</v>
      </c>
      <c r="L1296" s="4">
        <v>1</v>
      </c>
      <c r="M1296" s="4">
        <v>111</v>
      </c>
      <c r="N1296" s="4">
        <v>73</v>
      </c>
      <c r="O1296" s="4" t="s">
        <v>26</v>
      </c>
      <c r="P1296" s="7" t="s">
        <v>19</v>
      </c>
    </row>
    <row r="1297" spans="2:16" x14ac:dyDescent="0.45">
      <c r="B1297" s="4">
        <v>1296</v>
      </c>
      <c r="C1297" s="4" t="s">
        <v>31</v>
      </c>
      <c r="D1297" s="4" t="s">
        <v>23</v>
      </c>
      <c r="E1297" s="4" t="s">
        <v>37</v>
      </c>
      <c r="F1297" s="4" t="s">
        <v>18</v>
      </c>
      <c r="G1297" s="4" t="s">
        <v>19</v>
      </c>
      <c r="H1297" s="4" t="s">
        <v>38</v>
      </c>
      <c r="I1297" s="4">
        <v>21</v>
      </c>
      <c r="J1297" s="5">
        <v>67</v>
      </c>
      <c r="K1297" s="6">
        <v>1.54</v>
      </c>
      <c r="L1297" s="4">
        <v>4</v>
      </c>
      <c r="M1297" s="4">
        <v>118</v>
      </c>
      <c r="N1297" s="4">
        <v>74</v>
      </c>
      <c r="O1297" s="4" t="s">
        <v>26</v>
      </c>
      <c r="P1297" s="7" t="s">
        <v>19</v>
      </c>
    </row>
    <row r="1298" spans="2:16" x14ac:dyDescent="0.45">
      <c r="B1298" s="4">
        <v>1297</v>
      </c>
      <c r="C1298" s="4" t="s">
        <v>39</v>
      </c>
      <c r="D1298" s="4" t="s">
        <v>23</v>
      </c>
      <c r="E1298" s="4" t="s">
        <v>35</v>
      </c>
      <c r="F1298" s="4" t="s">
        <v>24</v>
      </c>
      <c r="G1298" s="4" t="s">
        <v>19</v>
      </c>
      <c r="H1298" s="4" t="s">
        <v>20</v>
      </c>
      <c r="I1298" s="4">
        <v>6</v>
      </c>
      <c r="J1298" s="5">
        <v>36.5</v>
      </c>
      <c r="K1298" s="6">
        <v>1.38</v>
      </c>
      <c r="L1298" s="4">
        <v>1</v>
      </c>
      <c r="M1298" s="4">
        <v>99</v>
      </c>
      <c r="N1298" s="4">
        <v>104</v>
      </c>
      <c r="O1298" s="4" t="s">
        <v>21</v>
      </c>
      <c r="P1298" s="7" t="s">
        <v>19</v>
      </c>
    </row>
    <row r="1299" spans="2:16" x14ac:dyDescent="0.45">
      <c r="B1299" s="4">
        <v>1298</v>
      </c>
      <c r="C1299" s="4" t="s">
        <v>27</v>
      </c>
      <c r="D1299" s="4" t="s">
        <v>23</v>
      </c>
      <c r="E1299" s="4" t="s">
        <v>35</v>
      </c>
      <c r="F1299" s="4" t="s">
        <v>24</v>
      </c>
      <c r="G1299" s="4" t="s">
        <v>19</v>
      </c>
      <c r="H1299" s="4" t="s">
        <v>38</v>
      </c>
      <c r="I1299" s="4">
        <v>22</v>
      </c>
      <c r="J1299" s="5">
        <v>57.8</v>
      </c>
      <c r="K1299" s="6">
        <v>1.71</v>
      </c>
      <c r="L1299" s="4">
        <v>1</v>
      </c>
      <c r="M1299" s="4">
        <v>114</v>
      </c>
      <c r="N1299" s="4">
        <v>78</v>
      </c>
      <c r="O1299" s="4" t="s">
        <v>26</v>
      </c>
      <c r="P1299" s="7" t="s">
        <v>30</v>
      </c>
    </row>
    <row r="1300" spans="2:16" x14ac:dyDescent="0.45">
      <c r="B1300" s="4">
        <v>1299</v>
      </c>
      <c r="C1300" s="4" t="s">
        <v>27</v>
      </c>
      <c r="D1300" s="4" t="s">
        <v>16</v>
      </c>
      <c r="E1300" s="4" t="s">
        <v>17</v>
      </c>
      <c r="F1300" s="4" t="s">
        <v>24</v>
      </c>
      <c r="G1300" s="4" t="s">
        <v>30</v>
      </c>
      <c r="H1300" s="4" t="s">
        <v>20</v>
      </c>
      <c r="I1300" s="4">
        <v>8</v>
      </c>
      <c r="J1300" s="5">
        <v>24.9</v>
      </c>
      <c r="K1300" s="6">
        <v>1.44</v>
      </c>
      <c r="L1300" s="4">
        <v>3</v>
      </c>
      <c r="M1300" s="4">
        <v>94</v>
      </c>
      <c r="N1300" s="4">
        <v>100</v>
      </c>
      <c r="O1300" s="4" t="s">
        <v>26</v>
      </c>
      <c r="P1300" s="7" t="s">
        <v>19</v>
      </c>
    </row>
    <row r="1301" spans="2:16" x14ac:dyDescent="0.45">
      <c r="B1301" s="4">
        <v>1300</v>
      </c>
      <c r="C1301" s="4" t="s">
        <v>40</v>
      </c>
      <c r="D1301" s="4" t="s">
        <v>16</v>
      </c>
      <c r="E1301" s="4" t="s">
        <v>44</v>
      </c>
      <c r="F1301" s="4" t="s">
        <v>18</v>
      </c>
      <c r="G1301" s="4" t="s">
        <v>30</v>
      </c>
      <c r="H1301" s="4" t="s">
        <v>20</v>
      </c>
      <c r="I1301" s="4">
        <v>31</v>
      </c>
      <c r="J1301" s="5">
        <v>58.4</v>
      </c>
      <c r="K1301" s="6">
        <v>1.79</v>
      </c>
      <c r="L1301" s="4">
        <v>1</v>
      </c>
      <c r="M1301" s="4">
        <v>111</v>
      </c>
      <c r="N1301" s="4">
        <v>86</v>
      </c>
      <c r="O1301" s="4" t="s">
        <v>26</v>
      </c>
      <c r="P1301" s="7" t="s">
        <v>19</v>
      </c>
    </row>
    <row r="1302" spans="2:16" x14ac:dyDescent="0.45">
      <c r="B1302" s="4">
        <v>1301</v>
      </c>
      <c r="C1302" s="4" t="s">
        <v>45</v>
      </c>
      <c r="D1302" s="4" t="s">
        <v>23</v>
      </c>
      <c r="E1302" s="4" t="s">
        <v>35</v>
      </c>
      <c r="F1302" s="4" t="s">
        <v>24</v>
      </c>
      <c r="G1302" s="4" t="s">
        <v>30</v>
      </c>
      <c r="H1302" s="4" t="s">
        <v>25</v>
      </c>
      <c r="I1302" s="4">
        <v>19</v>
      </c>
      <c r="J1302" s="5">
        <v>48.5</v>
      </c>
      <c r="K1302" s="6">
        <v>1.54</v>
      </c>
      <c r="L1302" s="4">
        <v>1</v>
      </c>
      <c r="M1302" s="4">
        <v>113</v>
      </c>
      <c r="N1302" s="4">
        <v>85</v>
      </c>
      <c r="O1302" s="4" t="s">
        <v>21</v>
      </c>
      <c r="P1302" s="7" t="s">
        <v>19</v>
      </c>
    </row>
    <row r="1303" spans="2:16" x14ac:dyDescent="0.45">
      <c r="B1303" s="4">
        <v>1302</v>
      </c>
      <c r="C1303" s="4" t="s">
        <v>41</v>
      </c>
      <c r="D1303" s="4" t="s">
        <v>23</v>
      </c>
      <c r="E1303" s="4" t="s">
        <v>17</v>
      </c>
      <c r="F1303" s="4" t="s">
        <v>24</v>
      </c>
      <c r="G1303" s="4" t="s">
        <v>19</v>
      </c>
      <c r="H1303" s="4" t="s">
        <v>36</v>
      </c>
      <c r="I1303" s="4">
        <v>46</v>
      </c>
      <c r="J1303" s="5">
        <v>67.400000000000006</v>
      </c>
      <c r="K1303" s="6">
        <v>1.84</v>
      </c>
      <c r="L1303" s="4">
        <v>7</v>
      </c>
      <c r="M1303" s="4">
        <v>126</v>
      </c>
      <c r="N1303" s="4">
        <v>101</v>
      </c>
      <c r="O1303" s="4" t="s">
        <v>26</v>
      </c>
      <c r="P1303" s="7" t="s">
        <v>19</v>
      </c>
    </row>
    <row r="1304" spans="2:16" x14ac:dyDescent="0.45">
      <c r="B1304" s="4">
        <v>1303</v>
      </c>
      <c r="C1304" s="4" t="s">
        <v>29</v>
      </c>
      <c r="D1304" s="4" t="s">
        <v>16</v>
      </c>
      <c r="E1304" s="4" t="s">
        <v>35</v>
      </c>
      <c r="F1304" s="4" t="s">
        <v>42</v>
      </c>
      <c r="G1304" s="4" t="s">
        <v>19</v>
      </c>
      <c r="H1304" s="4" t="s">
        <v>28</v>
      </c>
      <c r="I1304" s="4">
        <v>71</v>
      </c>
      <c r="J1304" s="5">
        <v>58</v>
      </c>
      <c r="K1304" s="6">
        <v>1.65</v>
      </c>
      <c r="L1304" s="4">
        <v>1</v>
      </c>
      <c r="M1304" s="4">
        <v>112</v>
      </c>
      <c r="N1304" s="4">
        <v>105</v>
      </c>
      <c r="O1304" s="4" t="s">
        <v>26</v>
      </c>
      <c r="P1304" s="7" t="s">
        <v>19</v>
      </c>
    </row>
    <row r="1305" spans="2:16" x14ac:dyDescent="0.45">
      <c r="B1305" s="4">
        <v>1304</v>
      </c>
      <c r="C1305" s="4" t="s">
        <v>45</v>
      </c>
      <c r="D1305" s="4" t="s">
        <v>23</v>
      </c>
      <c r="E1305" s="4" t="s">
        <v>35</v>
      </c>
      <c r="F1305" s="4" t="s">
        <v>28</v>
      </c>
      <c r="G1305" s="4" t="s">
        <v>30</v>
      </c>
      <c r="H1305" s="4" t="s">
        <v>20</v>
      </c>
      <c r="I1305" s="4">
        <v>34</v>
      </c>
      <c r="J1305" s="5">
        <v>66.3</v>
      </c>
      <c r="K1305" s="6">
        <v>1.56</v>
      </c>
      <c r="L1305" s="4">
        <v>6</v>
      </c>
      <c r="M1305" s="4">
        <v>108</v>
      </c>
      <c r="N1305" s="4">
        <v>103</v>
      </c>
      <c r="O1305" s="4" t="s">
        <v>21</v>
      </c>
      <c r="P1305" s="7" t="s">
        <v>19</v>
      </c>
    </row>
    <row r="1306" spans="2:16" x14ac:dyDescent="0.45">
      <c r="B1306" s="4">
        <v>1305</v>
      </c>
      <c r="C1306" s="4" t="s">
        <v>43</v>
      </c>
      <c r="D1306" s="4" t="s">
        <v>16</v>
      </c>
      <c r="E1306" s="4" t="s">
        <v>17</v>
      </c>
      <c r="F1306" s="4" t="s">
        <v>18</v>
      </c>
      <c r="G1306" s="4" t="s">
        <v>19</v>
      </c>
      <c r="H1306" s="4" t="s">
        <v>20</v>
      </c>
      <c r="I1306" s="4">
        <v>78</v>
      </c>
      <c r="J1306" s="5">
        <v>82.9</v>
      </c>
      <c r="K1306" s="6">
        <v>1.9</v>
      </c>
      <c r="L1306" s="4">
        <v>1</v>
      </c>
      <c r="M1306" s="4">
        <v>120</v>
      </c>
      <c r="N1306" s="4">
        <v>90</v>
      </c>
      <c r="O1306" s="4" t="s">
        <v>26</v>
      </c>
      <c r="P1306" s="7" t="s">
        <v>19</v>
      </c>
    </row>
    <row r="1307" spans="2:16" x14ac:dyDescent="0.45">
      <c r="B1307" s="4">
        <v>1306</v>
      </c>
      <c r="C1307" s="4" t="s">
        <v>22</v>
      </c>
      <c r="D1307" s="4" t="s">
        <v>16</v>
      </c>
      <c r="E1307" s="4" t="s">
        <v>17</v>
      </c>
      <c r="F1307" s="4" t="s">
        <v>24</v>
      </c>
      <c r="G1307" s="4" t="s">
        <v>19</v>
      </c>
      <c r="H1307" s="4" t="s">
        <v>36</v>
      </c>
      <c r="I1307" s="4">
        <v>45</v>
      </c>
      <c r="J1307" s="5">
        <v>61.5</v>
      </c>
      <c r="K1307" s="6">
        <v>1.82</v>
      </c>
      <c r="L1307" s="4">
        <v>2</v>
      </c>
      <c r="M1307" s="4">
        <v>137</v>
      </c>
      <c r="N1307" s="4">
        <v>92</v>
      </c>
      <c r="O1307" s="4" t="s">
        <v>21</v>
      </c>
      <c r="P1307" s="7" t="s">
        <v>30</v>
      </c>
    </row>
    <row r="1308" spans="2:16" x14ac:dyDescent="0.45">
      <c r="B1308" s="4">
        <v>1307</v>
      </c>
      <c r="C1308" s="4" t="s">
        <v>31</v>
      </c>
      <c r="D1308" s="4" t="s">
        <v>16</v>
      </c>
      <c r="E1308" s="4" t="s">
        <v>35</v>
      </c>
      <c r="F1308" s="4" t="s">
        <v>24</v>
      </c>
      <c r="G1308" s="4" t="s">
        <v>19</v>
      </c>
      <c r="H1308" s="4" t="s">
        <v>28</v>
      </c>
      <c r="I1308" s="4">
        <v>9</v>
      </c>
      <c r="J1308" s="5">
        <v>20.6</v>
      </c>
      <c r="K1308" s="6">
        <v>1.33</v>
      </c>
      <c r="L1308" s="4">
        <v>1</v>
      </c>
      <c r="M1308" s="4">
        <v>117</v>
      </c>
      <c r="N1308" s="4">
        <v>102</v>
      </c>
      <c r="O1308" s="4" t="s">
        <v>26</v>
      </c>
      <c r="P1308" s="7" t="s">
        <v>19</v>
      </c>
    </row>
    <row r="1309" spans="2:16" x14ac:dyDescent="0.45">
      <c r="B1309" s="4">
        <v>1308</v>
      </c>
      <c r="C1309" s="4" t="s">
        <v>27</v>
      </c>
      <c r="D1309" s="4" t="s">
        <v>23</v>
      </c>
      <c r="E1309" s="4" t="s">
        <v>35</v>
      </c>
      <c r="F1309" s="4" t="s">
        <v>24</v>
      </c>
      <c r="G1309" s="4" t="s">
        <v>19</v>
      </c>
      <c r="H1309" s="4" t="s">
        <v>25</v>
      </c>
      <c r="I1309" s="4">
        <v>16</v>
      </c>
      <c r="J1309" s="5">
        <v>61.6</v>
      </c>
      <c r="K1309" s="6">
        <v>1.61</v>
      </c>
      <c r="L1309" s="4">
        <v>3</v>
      </c>
      <c r="M1309" s="4">
        <v>104</v>
      </c>
      <c r="N1309" s="4">
        <v>103</v>
      </c>
      <c r="O1309" s="4" t="s">
        <v>21</v>
      </c>
      <c r="P1309" s="7" t="s">
        <v>19</v>
      </c>
    </row>
    <row r="1310" spans="2:16" x14ac:dyDescent="0.45">
      <c r="B1310" s="4">
        <v>1309</v>
      </c>
      <c r="C1310" s="4" t="s">
        <v>15</v>
      </c>
      <c r="D1310" s="4" t="s">
        <v>16</v>
      </c>
      <c r="E1310" s="4" t="s">
        <v>17</v>
      </c>
      <c r="F1310" s="4" t="s">
        <v>24</v>
      </c>
      <c r="G1310" s="4" t="s">
        <v>19</v>
      </c>
      <c r="H1310" s="4" t="s">
        <v>32</v>
      </c>
      <c r="I1310" s="4">
        <v>16</v>
      </c>
      <c r="J1310" s="5">
        <v>57</v>
      </c>
      <c r="K1310" s="6">
        <v>1.53</v>
      </c>
      <c r="L1310" s="4">
        <v>5</v>
      </c>
      <c r="M1310" s="4">
        <v>118</v>
      </c>
      <c r="N1310" s="4">
        <v>160</v>
      </c>
      <c r="O1310" s="4" t="s">
        <v>21</v>
      </c>
      <c r="P1310" s="7" t="s">
        <v>19</v>
      </c>
    </row>
    <row r="1311" spans="2:16" x14ac:dyDescent="0.45">
      <c r="B1311" s="4">
        <v>1310</v>
      </c>
      <c r="C1311" s="4" t="s">
        <v>39</v>
      </c>
      <c r="D1311" s="4" t="s">
        <v>23</v>
      </c>
      <c r="E1311" s="4" t="s">
        <v>17</v>
      </c>
      <c r="F1311" s="4" t="s">
        <v>24</v>
      </c>
      <c r="G1311" s="4" t="s">
        <v>19</v>
      </c>
      <c r="H1311" s="4" t="s">
        <v>36</v>
      </c>
      <c r="I1311" s="4">
        <v>22</v>
      </c>
      <c r="J1311" s="5">
        <v>48.2</v>
      </c>
      <c r="K1311" s="6">
        <v>1.72</v>
      </c>
      <c r="L1311" s="4">
        <v>5</v>
      </c>
      <c r="M1311" s="4">
        <v>127</v>
      </c>
      <c r="N1311" s="4">
        <v>75</v>
      </c>
      <c r="O1311" s="4" t="s">
        <v>26</v>
      </c>
      <c r="P1311" s="7" t="s">
        <v>30</v>
      </c>
    </row>
    <row r="1312" spans="2:16" x14ac:dyDescent="0.45">
      <c r="B1312" s="4">
        <v>1311</v>
      </c>
      <c r="C1312" s="4" t="s">
        <v>29</v>
      </c>
      <c r="D1312" s="4" t="s">
        <v>16</v>
      </c>
      <c r="E1312" s="4" t="s">
        <v>17</v>
      </c>
      <c r="F1312" s="4" t="s">
        <v>28</v>
      </c>
      <c r="G1312" s="4" t="s">
        <v>30</v>
      </c>
      <c r="H1312" s="4" t="s">
        <v>28</v>
      </c>
      <c r="I1312" s="4">
        <v>56</v>
      </c>
      <c r="J1312" s="5">
        <v>69.8</v>
      </c>
      <c r="K1312" s="6">
        <v>1.88</v>
      </c>
      <c r="L1312" s="4">
        <v>1</v>
      </c>
      <c r="M1312" s="4">
        <v>109</v>
      </c>
      <c r="N1312" s="4">
        <v>96</v>
      </c>
      <c r="O1312" s="4" t="s">
        <v>21</v>
      </c>
      <c r="P1312" s="7" t="s">
        <v>19</v>
      </c>
    </row>
    <row r="1313" spans="2:16" x14ac:dyDescent="0.45">
      <c r="B1313" s="4">
        <v>1312</v>
      </c>
      <c r="C1313" s="4" t="s">
        <v>22</v>
      </c>
      <c r="D1313" s="4" t="s">
        <v>23</v>
      </c>
      <c r="E1313" s="4" t="s">
        <v>17</v>
      </c>
      <c r="F1313" s="4" t="s">
        <v>24</v>
      </c>
      <c r="G1313" s="4" t="s">
        <v>19</v>
      </c>
      <c r="H1313" s="4" t="s">
        <v>28</v>
      </c>
      <c r="I1313" s="4">
        <v>47</v>
      </c>
      <c r="J1313" s="5">
        <v>51.8</v>
      </c>
      <c r="K1313" s="6">
        <v>1.81</v>
      </c>
      <c r="L1313" s="4">
        <v>1</v>
      </c>
      <c r="M1313" s="4">
        <v>125</v>
      </c>
      <c r="N1313" s="4">
        <v>81</v>
      </c>
      <c r="O1313" s="4" t="s">
        <v>21</v>
      </c>
      <c r="P1313" s="7" t="s">
        <v>30</v>
      </c>
    </row>
    <row r="1314" spans="2:16" x14ac:dyDescent="0.45">
      <c r="B1314" s="4">
        <v>1313</v>
      </c>
      <c r="C1314" s="4" t="s">
        <v>41</v>
      </c>
      <c r="D1314" s="4" t="s">
        <v>23</v>
      </c>
      <c r="E1314" s="4" t="s">
        <v>44</v>
      </c>
      <c r="F1314" s="4" t="s">
        <v>18</v>
      </c>
      <c r="G1314" s="4" t="s">
        <v>19</v>
      </c>
      <c r="H1314" s="4" t="s">
        <v>20</v>
      </c>
      <c r="I1314" s="4">
        <v>58</v>
      </c>
      <c r="J1314" s="5">
        <v>62.7</v>
      </c>
      <c r="K1314" s="6">
        <v>1.78</v>
      </c>
      <c r="L1314" s="4">
        <v>1</v>
      </c>
      <c r="M1314" s="4">
        <v>115</v>
      </c>
      <c r="N1314" s="4">
        <v>88</v>
      </c>
      <c r="O1314" s="4" t="s">
        <v>26</v>
      </c>
      <c r="P1314" s="7" t="s">
        <v>19</v>
      </c>
    </row>
    <row r="1315" spans="2:16" x14ac:dyDescent="0.45">
      <c r="B1315" s="4">
        <v>1314</v>
      </c>
      <c r="C1315" s="4" t="s">
        <v>29</v>
      </c>
      <c r="D1315" s="4" t="s">
        <v>16</v>
      </c>
      <c r="E1315" s="4" t="s">
        <v>35</v>
      </c>
      <c r="F1315" s="4" t="s">
        <v>42</v>
      </c>
      <c r="G1315" s="4" t="s">
        <v>19</v>
      </c>
      <c r="H1315" s="4" t="s">
        <v>20</v>
      </c>
      <c r="I1315" s="4">
        <v>19</v>
      </c>
      <c r="J1315" s="5">
        <v>77.099999999999994</v>
      </c>
      <c r="K1315" s="6">
        <v>1.67</v>
      </c>
      <c r="L1315" s="4">
        <v>2</v>
      </c>
      <c r="M1315" s="4">
        <v>115</v>
      </c>
      <c r="N1315" s="4">
        <v>72</v>
      </c>
      <c r="O1315" s="4" t="s">
        <v>21</v>
      </c>
      <c r="P1315" s="7" t="s">
        <v>19</v>
      </c>
    </row>
    <row r="1316" spans="2:16" x14ac:dyDescent="0.45">
      <c r="B1316" s="4">
        <v>1315</v>
      </c>
      <c r="C1316" s="4" t="s">
        <v>29</v>
      </c>
      <c r="D1316" s="4" t="s">
        <v>16</v>
      </c>
      <c r="E1316" s="4" t="s">
        <v>35</v>
      </c>
      <c r="F1316" s="4" t="s">
        <v>18</v>
      </c>
      <c r="G1316" s="4" t="s">
        <v>19</v>
      </c>
      <c r="H1316" s="4" t="s">
        <v>20</v>
      </c>
      <c r="I1316" s="4">
        <v>28</v>
      </c>
      <c r="J1316" s="5">
        <v>63.4</v>
      </c>
      <c r="K1316" s="6">
        <v>1.48</v>
      </c>
      <c r="L1316" s="4">
        <v>4</v>
      </c>
      <c r="M1316" s="4">
        <v>107</v>
      </c>
      <c r="N1316" s="4">
        <v>95</v>
      </c>
      <c r="O1316" s="4" t="s">
        <v>21</v>
      </c>
      <c r="P1316" s="7" t="s">
        <v>19</v>
      </c>
    </row>
    <row r="1317" spans="2:16" x14ac:dyDescent="0.45">
      <c r="B1317" s="4">
        <v>1316</v>
      </c>
      <c r="C1317" s="4" t="s">
        <v>39</v>
      </c>
      <c r="D1317" s="4" t="s">
        <v>23</v>
      </c>
      <c r="E1317" s="4" t="s">
        <v>17</v>
      </c>
      <c r="F1317" s="4" t="s">
        <v>18</v>
      </c>
      <c r="G1317" s="4" t="s">
        <v>30</v>
      </c>
      <c r="H1317" s="4" t="s">
        <v>28</v>
      </c>
      <c r="I1317" s="4">
        <v>45</v>
      </c>
      <c r="J1317" s="5">
        <v>63.7</v>
      </c>
      <c r="K1317" s="6">
        <v>1.61</v>
      </c>
      <c r="L1317" s="4">
        <v>0</v>
      </c>
      <c r="M1317" s="4">
        <v>125</v>
      </c>
      <c r="N1317" s="4">
        <v>97</v>
      </c>
      <c r="O1317" s="4" t="s">
        <v>21</v>
      </c>
      <c r="P1317" s="7" t="s">
        <v>30</v>
      </c>
    </row>
    <row r="1318" spans="2:16" x14ac:dyDescent="0.45">
      <c r="B1318" s="4">
        <v>1317</v>
      </c>
      <c r="C1318" s="4" t="s">
        <v>41</v>
      </c>
      <c r="D1318" s="4" t="s">
        <v>16</v>
      </c>
      <c r="E1318" s="4" t="s">
        <v>35</v>
      </c>
      <c r="F1318" s="4" t="s">
        <v>18</v>
      </c>
      <c r="G1318" s="4" t="s">
        <v>19</v>
      </c>
      <c r="H1318" s="4" t="s">
        <v>25</v>
      </c>
      <c r="I1318" s="4">
        <v>39</v>
      </c>
      <c r="J1318" s="5">
        <v>87.7</v>
      </c>
      <c r="K1318" s="6">
        <v>1.63</v>
      </c>
      <c r="L1318" s="4">
        <v>2</v>
      </c>
      <c r="M1318" s="4">
        <v>110</v>
      </c>
      <c r="N1318" s="4">
        <v>81</v>
      </c>
      <c r="O1318" s="4" t="s">
        <v>26</v>
      </c>
      <c r="P1318" s="7" t="s">
        <v>30</v>
      </c>
    </row>
    <row r="1319" spans="2:16" x14ac:dyDescent="0.45">
      <c r="B1319" s="4">
        <v>1318</v>
      </c>
      <c r="C1319" s="4" t="s">
        <v>33</v>
      </c>
      <c r="D1319" s="4" t="s">
        <v>23</v>
      </c>
      <c r="E1319" s="4" t="s">
        <v>35</v>
      </c>
      <c r="F1319" s="4" t="s">
        <v>24</v>
      </c>
      <c r="G1319" s="4" t="s">
        <v>19</v>
      </c>
      <c r="H1319" s="4" t="s">
        <v>25</v>
      </c>
      <c r="I1319" s="4">
        <v>39</v>
      </c>
      <c r="J1319" s="5">
        <v>57.9</v>
      </c>
      <c r="K1319" s="6">
        <v>1.66</v>
      </c>
      <c r="L1319" s="4">
        <v>2</v>
      </c>
      <c r="M1319" s="4">
        <v>109</v>
      </c>
      <c r="N1319" s="4">
        <v>91</v>
      </c>
      <c r="O1319" s="4" t="s">
        <v>26</v>
      </c>
      <c r="P1319" s="7" t="s">
        <v>19</v>
      </c>
    </row>
    <row r="1320" spans="2:16" x14ac:dyDescent="0.45">
      <c r="B1320" s="4">
        <v>1319</v>
      </c>
      <c r="C1320" s="4" t="s">
        <v>41</v>
      </c>
      <c r="D1320" s="4" t="s">
        <v>23</v>
      </c>
      <c r="E1320" s="4" t="s">
        <v>35</v>
      </c>
      <c r="F1320" s="4" t="s">
        <v>24</v>
      </c>
      <c r="G1320" s="4" t="s">
        <v>30</v>
      </c>
      <c r="H1320" s="4" t="s">
        <v>36</v>
      </c>
      <c r="I1320" s="4">
        <v>14</v>
      </c>
      <c r="J1320" s="5">
        <v>54.2</v>
      </c>
      <c r="K1320" s="6">
        <v>1.66</v>
      </c>
      <c r="L1320" s="4">
        <v>3</v>
      </c>
      <c r="M1320" s="4">
        <v>128</v>
      </c>
      <c r="N1320" s="4">
        <v>83</v>
      </c>
      <c r="O1320" s="4" t="s">
        <v>26</v>
      </c>
      <c r="P1320" s="7" t="s">
        <v>30</v>
      </c>
    </row>
    <row r="1321" spans="2:16" x14ac:dyDescent="0.45">
      <c r="B1321" s="4">
        <v>1320</v>
      </c>
      <c r="C1321" s="4" t="s">
        <v>27</v>
      </c>
      <c r="D1321" s="4" t="s">
        <v>23</v>
      </c>
      <c r="E1321" s="4" t="s">
        <v>17</v>
      </c>
      <c r="F1321" s="4" t="s">
        <v>24</v>
      </c>
      <c r="G1321" s="4" t="s">
        <v>19</v>
      </c>
      <c r="H1321" s="4" t="s">
        <v>32</v>
      </c>
      <c r="I1321" s="4">
        <v>17</v>
      </c>
      <c r="J1321" s="5">
        <v>58.3</v>
      </c>
      <c r="K1321" s="6">
        <v>1.5</v>
      </c>
      <c r="L1321" s="4">
        <v>5</v>
      </c>
      <c r="M1321" s="4">
        <v>111</v>
      </c>
      <c r="N1321" s="4">
        <v>145</v>
      </c>
      <c r="O1321" s="4" t="s">
        <v>26</v>
      </c>
      <c r="P1321" s="7" t="s">
        <v>19</v>
      </c>
    </row>
    <row r="1322" spans="2:16" x14ac:dyDescent="0.45">
      <c r="B1322" s="4">
        <v>1321</v>
      </c>
      <c r="C1322" s="4" t="s">
        <v>22</v>
      </c>
      <c r="D1322" s="4" t="s">
        <v>23</v>
      </c>
      <c r="E1322" s="4" t="s">
        <v>44</v>
      </c>
      <c r="F1322" s="4" t="s">
        <v>18</v>
      </c>
      <c r="G1322" s="4" t="s">
        <v>19</v>
      </c>
      <c r="H1322" s="4" t="s">
        <v>28</v>
      </c>
      <c r="I1322" s="4">
        <v>10</v>
      </c>
      <c r="J1322" s="5">
        <v>21.6</v>
      </c>
      <c r="K1322" s="6">
        <v>1.29</v>
      </c>
      <c r="L1322" s="4">
        <v>1</v>
      </c>
      <c r="M1322" s="4">
        <v>106</v>
      </c>
      <c r="N1322" s="4">
        <v>99</v>
      </c>
      <c r="O1322" s="4" t="s">
        <v>26</v>
      </c>
      <c r="P1322" s="7" t="s">
        <v>19</v>
      </c>
    </row>
    <row r="1323" spans="2:16" x14ac:dyDescent="0.45">
      <c r="B1323" s="4">
        <v>1322</v>
      </c>
      <c r="C1323" s="4" t="s">
        <v>39</v>
      </c>
      <c r="D1323" s="4" t="s">
        <v>23</v>
      </c>
      <c r="E1323" s="4" t="s">
        <v>35</v>
      </c>
      <c r="F1323" s="4" t="s">
        <v>24</v>
      </c>
      <c r="G1323" s="4" t="s">
        <v>19</v>
      </c>
      <c r="H1323" s="4" t="s">
        <v>20</v>
      </c>
      <c r="I1323" s="4">
        <v>22</v>
      </c>
      <c r="J1323" s="5">
        <v>48.4</v>
      </c>
      <c r="K1323" s="6">
        <v>1.62</v>
      </c>
      <c r="L1323" s="4">
        <v>0</v>
      </c>
      <c r="M1323" s="4">
        <v>113</v>
      </c>
      <c r="N1323" s="4">
        <v>80</v>
      </c>
      <c r="O1323" s="4" t="s">
        <v>21</v>
      </c>
      <c r="P1323" s="7" t="s">
        <v>19</v>
      </c>
    </row>
    <row r="1324" spans="2:16" x14ac:dyDescent="0.45">
      <c r="B1324" s="4">
        <v>1323</v>
      </c>
      <c r="C1324" s="4" t="s">
        <v>41</v>
      </c>
      <c r="D1324" s="4" t="s">
        <v>23</v>
      </c>
      <c r="E1324" s="4" t="s">
        <v>35</v>
      </c>
      <c r="F1324" s="4" t="s">
        <v>18</v>
      </c>
      <c r="G1324" s="4" t="s">
        <v>19</v>
      </c>
      <c r="H1324" s="4" t="s">
        <v>46</v>
      </c>
      <c r="I1324" s="4">
        <v>36</v>
      </c>
      <c r="J1324" s="5">
        <v>88.8</v>
      </c>
      <c r="K1324" s="6">
        <v>1.79</v>
      </c>
      <c r="L1324" s="4">
        <v>6</v>
      </c>
      <c r="M1324" s="4">
        <v>102</v>
      </c>
      <c r="N1324" s="4">
        <v>79</v>
      </c>
      <c r="O1324" s="4" t="s">
        <v>26</v>
      </c>
      <c r="P1324" s="7" t="s">
        <v>19</v>
      </c>
    </row>
    <row r="1325" spans="2:16" x14ac:dyDescent="0.45">
      <c r="B1325" s="4">
        <v>1324</v>
      </c>
      <c r="C1325" s="4" t="s">
        <v>27</v>
      </c>
      <c r="D1325" s="4" t="s">
        <v>23</v>
      </c>
      <c r="E1325" s="4" t="s">
        <v>35</v>
      </c>
      <c r="F1325" s="4" t="s">
        <v>24</v>
      </c>
      <c r="G1325" s="4" t="s">
        <v>19</v>
      </c>
      <c r="H1325" s="4" t="s">
        <v>20</v>
      </c>
      <c r="I1325" s="4">
        <v>15</v>
      </c>
      <c r="J1325" s="5">
        <v>57.2</v>
      </c>
      <c r="K1325" s="6">
        <v>1.48</v>
      </c>
      <c r="L1325" s="4">
        <v>5</v>
      </c>
      <c r="M1325" s="4">
        <v>103</v>
      </c>
      <c r="N1325" s="4">
        <v>82</v>
      </c>
      <c r="O1325" s="4" t="s">
        <v>26</v>
      </c>
      <c r="P1325" s="7" t="s">
        <v>19</v>
      </c>
    </row>
    <row r="1326" spans="2:16" x14ac:dyDescent="0.45">
      <c r="B1326" s="4">
        <v>1325</v>
      </c>
      <c r="C1326" s="4" t="s">
        <v>43</v>
      </c>
      <c r="D1326" s="4" t="s">
        <v>23</v>
      </c>
      <c r="E1326" s="4" t="s">
        <v>17</v>
      </c>
      <c r="F1326" s="4" t="s">
        <v>24</v>
      </c>
      <c r="G1326" s="4" t="s">
        <v>30</v>
      </c>
      <c r="H1326" s="4" t="s">
        <v>32</v>
      </c>
      <c r="I1326" s="4">
        <v>83</v>
      </c>
      <c r="J1326" s="5">
        <v>56.7</v>
      </c>
      <c r="K1326" s="6">
        <v>1.62</v>
      </c>
      <c r="L1326" s="4">
        <v>0</v>
      </c>
      <c r="M1326" s="4">
        <v>124</v>
      </c>
      <c r="N1326" s="4">
        <v>168</v>
      </c>
      <c r="O1326" s="4" t="s">
        <v>21</v>
      </c>
      <c r="P1326" s="7" t="s">
        <v>19</v>
      </c>
    </row>
    <row r="1327" spans="2:16" x14ac:dyDescent="0.45">
      <c r="B1327" s="4">
        <v>1326</v>
      </c>
      <c r="C1327" s="4" t="s">
        <v>27</v>
      </c>
      <c r="D1327" s="4" t="s">
        <v>16</v>
      </c>
      <c r="E1327" s="4" t="s">
        <v>35</v>
      </c>
      <c r="F1327" s="4" t="s">
        <v>28</v>
      </c>
      <c r="G1327" s="4" t="s">
        <v>19</v>
      </c>
      <c r="H1327" s="4" t="s">
        <v>28</v>
      </c>
      <c r="I1327" s="4">
        <v>8</v>
      </c>
      <c r="J1327" s="5">
        <v>24.2</v>
      </c>
      <c r="K1327" s="6">
        <v>1.45</v>
      </c>
      <c r="L1327" s="4">
        <v>1</v>
      </c>
      <c r="M1327" s="4">
        <v>113</v>
      </c>
      <c r="N1327" s="4">
        <v>101</v>
      </c>
      <c r="O1327" s="4" t="s">
        <v>21</v>
      </c>
      <c r="P1327" s="7" t="s">
        <v>19</v>
      </c>
    </row>
    <row r="1328" spans="2:16" x14ac:dyDescent="0.45">
      <c r="B1328" s="4">
        <v>1327</v>
      </c>
      <c r="C1328" s="4" t="s">
        <v>45</v>
      </c>
      <c r="D1328" s="4" t="s">
        <v>23</v>
      </c>
      <c r="E1328" s="4" t="s">
        <v>35</v>
      </c>
      <c r="F1328" s="4" t="s">
        <v>28</v>
      </c>
      <c r="G1328" s="4" t="s">
        <v>19</v>
      </c>
      <c r="H1328" s="4" t="s">
        <v>28</v>
      </c>
      <c r="I1328" s="4">
        <v>52</v>
      </c>
      <c r="J1328" s="5">
        <v>63.3</v>
      </c>
      <c r="K1328" s="6">
        <v>1.66</v>
      </c>
      <c r="L1328" s="4">
        <v>0</v>
      </c>
      <c r="M1328" s="4">
        <v>126</v>
      </c>
      <c r="N1328" s="4">
        <v>84</v>
      </c>
      <c r="O1328" s="4" t="s">
        <v>26</v>
      </c>
      <c r="P1328" s="7" t="s">
        <v>19</v>
      </c>
    </row>
    <row r="1329" spans="2:16" x14ac:dyDescent="0.45">
      <c r="B1329" s="4">
        <v>1328</v>
      </c>
      <c r="C1329" s="4" t="s">
        <v>45</v>
      </c>
      <c r="D1329" s="4" t="s">
        <v>23</v>
      </c>
      <c r="E1329" s="4" t="s">
        <v>35</v>
      </c>
      <c r="F1329" s="4" t="s">
        <v>18</v>
      </c>
      <c r="G1329" s="4" t="s">
        <v>19</v>
      </c>
      <c r="H1329" s="4" t="s">
        <v>20</v>
      </c>
      <c r="I1329" s="4">
        <v>40</v>
      </c>
      <c r="J1329" s="5">
        <v>64.900000000000006</v>
      </c>
      <c r="K1329" s="6">
        <v>1.58</v>
      </c>
      <c r="L1329" s="4">
        <v>4</v>
      </c>
      <c r="M1329" s="4">
        <v>127</v>
      </c>
      <c r="N1329" s="4">
        <v>102</v>
      </c>
      <c r="O1329" s="4" t="s">
        <v>21</v>
      </c>
      <c r="P1329" s="7" t="s">
        <v>30</v>
      </c>
    </row>
    <row r="1330" spans="2:16" x14ac:dyDescent="0.45">
      <c r="B1330" s="4">
        <v>1329</v>
      </c>
      <c r="C1330" s="4" t="s">
        <v>29</v>
      </c>
      <c r="D1330" s="4" t="s">
        <v>23</v>
      </c>
      <c r="E1330" s="4" t="s">
        <v>17</v>
      </c>
      <c r="F1330" s="4" t="s">
        <v>24</v>
      </c>
      <c r="G1330" s="4" t="s">
        <v>19</v>
      </c>
      <c r="H1330" s="4" t="s">
        <v>20</v>
      </c>
      <c r="I1330" s="4">
        <v>40</v>
      </c>
      <c r="J1330" s="5">
        <v>45.1</v>
      </c>
      <c r="K1330" s="6">
        <v>1.86</v>
      </c>
      <c r="L1330" s="4">
        <v>3</v>
      </c>
      <c r="M1330" s="4">
        <v>121</v>
      </c>
      <c r="N1330" s="4">
        <v>88</v>
      </c>
      <c r="O1330" s="4" t="s">
        <v>26</v>
      </c>
      <c r="P1330" s="7" t="s">
        <v>19</v>
      </c>
    </row>
    <row r="1331" spans="2:16" x14ac:dyDescent="0.45">
      <c r="B1331" s="4">
        <v>1330</v>
      </c>
      <c r="C1331" s="4" t="s">
        <v>27</v>
      </c>
      <c r="D1331" s="4" t="s">
        <v>23</v>
      </c>
      <c r="E1331" s="4" t="s">
        <v>35</v>
      </c>
      <c r="F1331" s="4" t="s">
        <v>28</v>
      </c>
      <c r="G1331" s="4" t="s">
        <v>19</v>
      </c>
      <c r="H1331" s="4" t="s">
        <v>32</v>
      </c>
      <c r="I1331" s="4">
        <v>51</v>
      </c>
      <c r="J1331" s="5">
        <v>72.599999999999994</v>
      </c>
      <c r="K1331" s="6">
        <v>1.54</v>
      </c>
      <c r="L1331" s="4">
        <v>2</v>
      </c>
      <c r="M1331" s="4">
        <v>126</v>
      </c>
      <c r="N1331" s="4">
        <v>149</v>
      </c>
      <c r="O1331" s="4" t="s">
        <v>21</v>
      </c>
      <c r="P1331" s="7" t="s">
        <v>30</v>
      </c>
    </row>
    <row r="1332" spans="2:16" x14ac:dyDescent="0.45">
      <c r="B1332" s="4">
        <v>1331</v>
      </c>
      <c r="C1332" s="4" t="s">
        <v>43</v>
      </c>
      <c r="D1332" s="4" t="s">
        <v>16</v>
      </c>
      <c r="E1332" s="4" t="s">
        <v>35</v>
      </c>
      <c r="F1332" s="4" t="s">
        <v>42</v>
      </c>
      <c r="G1332" s="4" t="s">
        <v>19</v>
      </c>
      <c r="H1332" s="4" t="s">
        <v>28</v>
      </c>
      <c r="I1332" s="4">
        <v>13</v>
      </c>
      <c r="J1332" s="5">
        <v>42.5</v>
      </c>
      <c r="K1332" s="6">
        <v>1.65</v>
      </c>
      <c r="L1332" s="4">
        <v>2</v>
      </c>
      <c r="M1332" s="4">
        <v>97</v>
      </c>
      <c r="N1332" s="4">
        <v>74</v>
      </c>
      <c r="O1332" s="4" t="s">
        <v>26</v>
      </c>
      <c r="P1332" s="7" t="s">
        <v>19</v>
      </c>
    </row>
    <row r="1333" spans="2:16" x14ac:dyDescent="0.45">
      <c r="B1333" s="4">
        <v>1332</v>
      </c>
      <c r="C1333" s="4" t="s">
        <v>31</v>
      </c>
      <c r="D1333" s="4" t="s">
        <v>16</v>
      </c>
      <c r="E1333" s="4" t="s">
        <v>44</v>
      </c>
      <c r="F1333" s="4" t="s">
        <v>18</v>
      </c>
      <c r="G1333" s="4" t="s">
        <v>19</v>
      </c>
      <c r="H1333" s="4" t="s">
        <v>20</v>
      </c>
      <c r="I1333" s="4">
        <v>15</v>
      </c>
      <c r="J1333" s="5">
        <v>44.7</v>
      </c>
      <c r="K1333" s="6">
        <v>1.66</v>
      </c>
      <c r="L1333" s="4">
        <v>1</v>
      </c>
      <c r="M1333" s="4">
        <v>96</v>
      </c>
      <c r="N1333" s="4">
        <v>101</v>
      </c>
      <c r="O1333" s="4" t="s">
        <v>26</v>
      </c>
      <c r="P1333" s="7" t="s">
        <v>19</v>
      </c>
    </row>
    <row r="1334" spans="2:16" x14ac:dyDescent="0.45">
      <c r="B1334" s="4">
        <v>1333</v>
      </c>
      <c r="C1334" s="4" t="s">
        <v>15</v>
      </c>
      <c r="D1334" s="4" t="s">
        <v>16</v>
      </c>
      <c r="E1334" s="4" t="s">
        <v>17</v>
      </c>
      <c r="F1334" s="4" t="s">
        <v>28</v>
      </c>
      <c r="G1334" s="4" t="s">
        <v>19</v>
      </c>
      <c r="H1334" s="4" t="s">
        <v>20</v>
      </c>
      <c r="I1334" s="4">
        <v>31</v>
      </c>
      <c r="J1334" s="5">
        <v>67.099999999999994</v>
      </c>
      <c r="K1334" s="6">
        <v>1.68</v>
      </c>
      <c r="L1334" s="4">
        <v>4</v>
      </c>
      <c r="M1334" s="4">
        <v>109</v>
      </c>
      <c r="N1334" s="4">
        <v>71</v>
      </c>
      <c r="O1334" s="4" t="s">
        <v>21</v>
      </c>
      <c r="P1334" s="7" t="s">
        <v>19</v>
      </c>
    </row>
    <row r="1335" spans="2:16" x14ac:dyDescent="0.45">
      <c r="B1335" s="4">
        <v>1334</v>
      </c>
      <c r="C1335" s="4" t="s">
        <v>22</v>
      </c>
      <c r="D1335" s="4" t="s">
        <v>23</v>
      </c>
      <c r="E1335" s="4" t="s">
        <v>17</v>
      </c>
      <c r="F1335" s="4" t="s">
        <v>24</v>
      </c>
      <c r="G1335" s="4" t="s">
        <v>19</v>
      </c>
      <c r="H1335" s="4" t="s">
        <v>20</v>
      </c>
      <c r="I1335" s="4">
        <v>13</v>
      </c>
      <c r="J1335" s="5">
        <v>63.1</v>
      </c>
      <c r="K1335" s="6">
        <v>1.67</v>
      </c>
      <c r="L1335" s="4">
        <v>2</v>
      </c>
      <c r="M1335" s="4">
        <v>101</v>
      </c>
      <c r="N1335" s="4">
        <v>75</v>
      </c>
      <c r="O1335" s="4" t="s">
        <v>21</v>
      </c>
      <c r="P1335" s="7" t="s">
        <v>19</v>
      </c>
    </row>
    <row r="1336" spans="2:16" x14ac:dyDescent="0.45">
      <c r="B1336" s="4">
        <v>1335</v>
      </c>
      <c r="C1336" s="4" t="s">
        <v>22</v>
      </c>
      <c r="D1336" s="4" t="s">
        <v>23</v>
      </c>
      <c r="E1336" s="4" t="s">
        <v>35</v>
      </c>
      <c r="F1336" s="4" t="s">
        <v>18</v>
      </c>
      <c r="G1336" s="4" t="s">
        <v>30</v>
      </c>
      <c r="H1336" s="4" t="s">
        <v>20</v>
      </c>
      <c r="I1336" s="4">
        <v>2</v>
      </c>
      <c r="J1336" s="5">
        <v>15.3</v>
      </c>
      <c r="K1336" s="6">
        <v>0.7</v>
      </c>
      <c r="L1336" s="4">
        <v>3</v>
      </c>
      <c r="M1336" s="4">
        <v>115</v>
      </c>
      <c r="N1336" s="4">
        <v>90</v>
      </c>
      <c r="O1336" s="4" t="s">
        <v>21</v>
      </c>
      <c r="P1336" s="7" t="s">
        <v>19</v>
      </c>
    </row>
    <row r="1337" spans="2:16" x14ac:dyDescent="0.45">
      <c r="B1337" s="4">
        <v>1336</v>
      </c>
      <c r="C1337" s="4" t="s">
        <v>15</v>
      </c>
      <c r="D1337" s="4" t="s">
        <v>23</v>
      </c>
      <c r="E1337" s="4" t="s">
        <v>17</v>
      </c>
      <c r="F1337" s="4" t="s">
        <v>24</v>
      </c>
      <c r="G1337" s="4" t="s">
        <v>30</v>
      </c>
      <c r="H1337" s="4" t="s">
        <v>25</v>
      </c>
      <c r="I1337" s="4">
        <v>39</v>
      </c>
      <c r="J1337" s="5">
        <v>81.3</v>
      </c>
      <c r="K1337" s="6">
        <v>1.86</v>
      </c>
      <c r="L1337" s="4">
        <v>6</v>
      </c>
      <c r="M1337" s="4">
        <v>116</v>
      </c>
      <c r="N1337" s="4">
        <v>103</v>
      </c>
      <c r="O1337" s="4" t="s">
        <v>21</v>
      </c>
      <c r="P1337" s="7" t="s">
        <v>30</v>
      </c>
    </row>
    <row r="1338" spans="2:16" x14ac:dyDescent="0.45">
      <c r="B1338" s="4">
        <v>1337</v>
      </c>
      <c r="C1338" s="4" t="s">
        <v>45</v>
      </c>
      <c r="D1338" s="4" t="s">
        <v>16</v>
      </c>
      <c r="E1338" s="4" t="s">
        <v>17</v>
      </c>
      <c r="F1338" s="4" t="s">
        <v>28</v>
      </c>
      <c r="G1338" s="4" t="s">
        <v>19</v>
      </c>
      <c r="H1338" s="4" t="s">
        <v>36</v>
      </c>
      <c r="I1338" s="4">
        <v>63</v>
      </c>
      <c r="J1338" s="5">
        <v>82.6</v>
      </c>
      <c r="K1338" s="6">
        <v>1.5</v>
      </c>
      <c r="L1338" s="4">
        <v>2</v>
      </c>
      <c r="M1338" s="4">
        <v>145</v>
      </c>
      <c r="N1338" s="4">
        <v>102</v>
      </c>
      <c r="O1338" s="4" t="s">
        <v>26</v>
      </c>
      <c r="P1338" s="7" t="s">
        <v>19</v>
      </c>
    </row>
    <row r="1339" spans="2:16" x14ac:dyDescent="0.45">
      <c r="B1339" s="4">
        <v>1338</v>
      </c>
      <c r="C1339" s="4" t="s">
        <v>27</v>
      </c>
      <c r="D1339" s="4" t="s">
        <v>23</v>
      </c>
      <c r="E1339" s="4" t="s">
        <v>35</v>
      </c>
      <c r="F1339" s="4" t="s">
        <v>18</v>
      </c>
      <c r="G1339" s="4" t="s">
        <v>19</v>
      </c>
      <c r="H1339" s="4" t="s">
        <v>32</v>
      </c>
      <c r="I1339" s="4">
        <v>32</v>
      </c>
      <c r="J1339" s="5">
        <v>50.6</v>
      </c>
      <c r="K1339" s="6">
        <v>1.5</v>
      </c>
      <c r="L1339" s="4">
        <v>9</v>
      </c>
      <c r="M1339" s="4">
        <v>126</v>
      </c>
      <c r="N1339" s="4">
        <v>170</v>
      </c>
      <c r="O1339" s="4" t="s">
        <v>26</v>
      </c>
      <c r="P1339" s="7" t="s">
        <v>30</v>
      </c>
    </row>
    <row r="1340" spans="2:16" x14ac:dyDescent="0.45">
      <c r="B1340" s="4">
        <v>1339</v>
      </c>
      <c r="C1340" s="4" t="s">
        <v>27</v>
      </c>
      <c r="D1340" s="4" t="s">
        <v>23</v>
      </c>
      <c r="E1340" s="4" t="s">
        <v>37</v>
      </c>
      <c r="F1340" s="4" t="s">
        <v>28</v>
      </c>
      <c r="G1340" s="4" t="s">
        <v>19</v>
      </c>
      <c r="H1340" s="4" t="s">
        <v>20</v>
      </c>
      <c r="I1340" s="4">
        <v>27</v>
      </c>
      <c r="J1340" s="5">
        <v>64.400000000000006</v>
      </c>
      <c r="K1340" s="6">
        <v>1.67</v>
      </c>
      <c r="L1340" s="4">
        <v>2</v>
      </c>
      <c r="M1340" s="4">
        <v>121</v>
      </c>
      <c r="N1340" s="4">
        <v>85</v>
      </c>
      <c r="O1340" s="4" t="s">
        <v>26</v>
      </c>
      <c r="P1340" s="7" t="s">
        <v>19</v>
      </c>
    </row>
    <row r="1341" spans="2:16" x14ac:dyDescent="0.45">
      <c r="B1341" s="4">
        <v>1340</v>
      </c>
      <c r="C1341" s="4" t="s">
        <v>29</v>
      </c>
      <c r="D1341" s="4" t="s">
        <v>23</v>
      </c>
      <c r="E1341" s="4" t="s">
        <v>44</v>
      </c>
      <c r="F1341" s="4" t="s">
        <v>24</v>
      </c>
      <c r="G1341" s="4" t="s">
        <v>19</v>
      </c>
      <c r="H1341" s="4" t="s">
        <v>25</v>
      </c>
      <c r="I1341" s="4">
        <v>16</v>
      </c>
      <c r="J1341" s="5">
        <v>62.9</v>
      </c>
      <c r="K1341" s="6">
        <v>1.72</v>
      </c>
      <c r="L1341" s="4">
        <v>1</v>
      </c>
      <c r="M1341" s="4">
        <v>97</v>
      </c>
      <c r="N1341" s="4">
        <v>101</v>
      </c>
      <c r="O1341" s="4" t="s">
        <v>26</v>
      </c>
      <c r="P1341" s="7" t="s">
        <v>19</v>
      </c>
    </row>
    <row r="1342" spans="2:16" x14ac:dyDescent="0.45">
      <c r="B1342" s="4">
        <v>1341</v>
      </c>
      <c r="C1342" s="4" t="s">
        <v>39</v>
      </c>
      <c r="D1342" s="4" t="s">
        <v>23</v>
      </c>
      <c r="E1342" s="4" t="s">
        <v>17</v>
      </c>
      <c r="F1342" s="4" t="s">
        <v>24</v>
      </c>
      <c r="G1342" s="4" t="s">
        <v>30</v>
      </c>
      <c r="H1342" s="4" t="s">
        <v>20</v>
      </c>
      <c r="I1342" s="4">
        <v>20</v>
      </c>
      <c r="J1342" s="5">
        <v>88.6</v>
      </c>
      <c r="K1342" s="6">
        <v>1.52</v>
      </c>
      <c r="L1342" s="4">
        <v>1</v>
      </c>
      <c r="M1342" s="4">
        <v>120</v>
      </c>
      <c r="N1342" s="4">
        <v>81</v>
      </c>
      <c r="O1342" s="4" t="s">
        <v>21</v>
      </c>
      <c r="P1342" s="7" t="s">
        <v>30</v>
      </c>
    </row>
    <row r="1343" spans="2:16" x14ac:dyDescent="0.45">
      <c r="B1343" s="4">
        <v>1342</v>
      </c>
      <c r="C1343" s="4" t="s">
        <v>27</v>
      </c>
      <c r="D1343" s="4" t="s">
        <v>23</v>
      </c>
      <c r="E1343" s="4" t="s">
        <v>17</v>
      </c>
      <c r="F1343" s="4" t="s">
        <v>24</v>
      </c>
      <c r="G1343" s="4" t="s">
        <v>19</v>
      </c>
      <c r="H1343" s="4" t="s">
        <v>34</v>
      </c>
      <c r="I1343" s="4">
        <v>5</v>
      </c>
      <c r="J1343" s="5">
        <v>33.200000000000003</v>
      </c>
      <c r="K1343" s="6">
        <v>1.4</v>
      </c>
      <c r="L1343" s="4">
        <v>4</v>
      </c>
      <c r="M1343" s="4">
        <v>111</v>
      </c>
      <c r="N1343" s="4">
        <v>91</v>
      </c>
      <c r="O1343" s="4" t="s">
        <v>21</v>
      </c>
      <c r="P1343" s="7" t="s">
        <v>19</v>
      </c>
    </row>
    <row r="1344" spans="2:16" x14ac:dyDescent="0.45">
      <c r="B1344" s="4">
        <v>1343</v>
      </c>
      <c r="C1344" s="4" t="s">
        <v>45</v>
      </c>
      <c r="D1344" s="4" t="s">
        <v>16</v>
      </c>
      <c r="E1344" s="4" t="s">
        <v>17</v>
      </c>
      <c r="F1344" s="4" t="s">
        <v>24</v>
      </c>
      <c r="G1344" s="4" t="s">
        <v>19</v>
      </c>
      <c r="H1344" s="4" t="s">
        <v>36</v>
      </c>
      <c r="I1344" s="4">
        <v>14</v>
      </c>
      <c r="J1344" s="5">
        <v>38.4</v>
      </c>
      <c r="K1344" s="6">
        <v>1.47</v>
      </c>
      <c r="L1344" s="4">
        <v>6</v>
      </c>
      <c r="M1344" s="4">
        <v>123</v>
      </c>
      <c r="N1344" s="4">
        <v>92</v>
      </c>
      <c r="O1344" s="4" t="s">
        <v>26</v>
      </c>
      <c r="P1344" s="7" t="s">
        <v>19</v>
      </c>
    </row>
    <row r="1345" spans="2:16" x14ac:dyDescent="0.45">
      <c r="B1345" s="4">
        <v>1344</v>
      </c>
      <c r="C1345" s="4" t="s">
        <v>33</v>
      </c>
      <c r="D1345" s="4" t="s">
        <v>16</v>
      </c>
      <c r="E1345" s="4" t="s">
        <v>17</v>
      </c>
      <c r="F1345" s="4" t="s">
        <v>28</v>
      </c>
      <c r="G1345" s="4" t="s">
        <v>19</v>
      </c>
      <c r="H1345" s="4" t="s">
        <v>46</v>
      </c>
      <c r="I1345" s="4">
        <v>54</v>
      </c>
      <c r="J1345" s="5">
        <v>76.400000000000006</v>
      </c>
      <c r="K1345" s="6">
        <v>1.76</v>
      </c>
      <c r="L1345" s="4">
        <v>4</v>
      </c>
      <c r="M1345" s="4">
        <v>113</v>
      </c>
      <c r="N1345" s="4">
        <v>80</v>
      </c>
      <c r="O1345" s="4" t="s">
        <v>26</v>
      </c>
      <c r="P1345" s="7" t="s">
        <v>30</v>
      </c>
    </row>
    <row r="1346" spans="2:16" x14ac:dyDescent="0.45">
      <c r="B1346" s="4">
        <v>1345</v>
      </c>
      <c r="C1346" s="4" t="s">
        <v>33</v>
      </c>
      <c r="D1346" s="4" t="s">
        <v>23</v>
      </c>
      <c r="E1346" s="4" t="s">
        <v>35</v>
      </c>
      <c r="F1346" s="4" t="s">
        <v>28</v>
      </c>
      <c r="G1346" s="4" t="s">
        <v>19</v>
      </c>
      <c r="H1346" s="4" t="s">
        <v>20</v>
      </c>
      <c r="I1346" s="4">
        <v>42</v>
      </c>
      <c r="J1346" s="5">
        <v>47.1</v>
      </c>
      <c r="K1346" s="6">
        <v>1.87</v>
      </c>
      <c r="L1346" s="4">
        <v>0</v>
      </c>
      <c r="M1346" s="4">
        <v>116</v>
      </c>
      <c r="N1346" s="4">
        <v>87</v>
      </c>
      <c r="O1346" s="4" t="s">
        <v>26</v>
      </c>
      <c r="P1346" s="7" t="s">
        <v>30</v>
      </c>
    </row>
    <row r="1347" spans="2:16" x14ac:dyDescent="0.45">
      <c r="B1347" s="4">
        <v>1346</v>
      </c>
      <c r="C1347" s="4" t="s">
        <v>29</v>
      </c>
      <c r="D1347" s="4" t="s">
        <v>16</v>
      </c>
      <c r="E1347" s="4" t="s">
        <v>35</v>
      </c>
      <c r="F1347" s="4" t="s">
        <v>18</v>
      </c>
      <c r="G1347" s="4" t="s">
        <v>19</v>
      </c>
      <c r="H1347" s="4" t="s">
        <v>28</v>
      </c>
      <c r="I1347" s="4">
        <v>36</v>
      </c>
      <c r="J1347" s="5">
        <v>68.2</v>
      </c>
      <c r="K1347" s="6">
        <v>1.8</v>
      </c>
      <c r="L1347" s="4">
        <v>3</v>
      </c>
      <c r="M1347" s="4">
        <v>113</v>
      </c>
      <c r="N1347" s="4">
        <v>85</v>
      </c>
      <c r="O1347" s="4" t="s">
        <v>26</v>
      </c>
      <c r="P1347" s="7" t="s">
        <v>19</v>
      </c>
    </row>
    <row r="1348" spans="2:16" x14ac:dyDescent="0.45">
      <c r="B1348" s="4">
        <v>1347</v>
      </c>
      <c r="C1348" s="4" t="s">
        <v>29</v>
      </c>
      <c r="D1348" s="4" t="s">
        <v>23</v>
      </c>
      <c r="E1348" s="4" t="s">
        <v>37</v>
      </c>
      <c r="F1348" s="4" t="s">
        <v>24</v>
      </c>
      <c r="G1348" s="4" t="s">
        <v>19</v>
      </c>
      <c r="H1348" s="4" t="s">
        <v>32</v>
      </c>
      <c r="I1348" s="4">
        <v>0</v>
      </c>
      <c r="J1348" s="5">
        <v>10.8</v>
      </c>
      <c r="K1348" s="6">
        <v>0.87</v>
      </c>
      <c r="L1348" s="4">
        <v>2</v>
      </c>
      <c r="M1348" s="4">
        <v>111</v>
      </c>
      <c r="N1348" s="4">
        <v>173</v>
      </c>
      <c r="O1348" s="4" t="s">
        <v>21</v>
      </c>
      <c r="P1348" s="7" t="s">
        <v>19</v>
      </c>
    </row>
    <row r="1349" spans="2:16" x14ac:dyDescent="0.45">
      <c r="B1349" s="4">
        <v>1348</v>
      </c>
      <c r="C1349" s="4" t="s">
        <v>39</v>
      </c>
      <c r="D1349" s="4" t="s">
        <v>16</v>
      </c>
      <c r="E1349" s="4" t="s">
        <v>17</v>
      </c>
      <c r="F1349" s="4" t="s">
        <v>24</v>
      </c>
      <c r="G1349" s="4" t="s">
        <v>30</v>
      </c>
      <c r="H1349" s="4" t="s">
        <v>28</v>
      </c>
      <c r="I1349" s="4">
        <v>34</v>
      </c>
      <c r="J1349" s="5">
        <v>52.1</v>
      </c>
      <c r="K1349" s="6">
        <v>1.8</v>
      </c>
      <c r="L1349" s="4">
        <v>0</v>
      </c>
      <c r="M1349" s="4">
        <v>103</v>
      </c>
      <c r="N1349" s="4">
        <v>76</v>
      </c>
      <c r="O1349" s="4" t="s">
        <v>21</v>
      </c>
      <c r="P1349" s="7" t="s">
        <v>19</v>
      </c>
    </row>
    <row r="1350" spans="2:16" x14ac:dyDescent="0.45">
      <c r="B1350" s="4">
        <v>1349</v>
      </c>
      <c r="C1350" s="4" t="s">
        <v>41</v>
      </c>
      <c r="D1350" s="4" t="s">
        <v>16</v>
      </c>
      <c r="E1350" s="4" t="s">
        <v>17</v>
      </c>
      <c r="F1350" s="4" t="s">
        <v>28</v>
      </c>
      <c r="G1350" s="4" t="s">
        <v>19</v>
      </c>
      <c r="H1350" s="4" t="s">
        <v>20</v>
      </c>
      <c r="I1350" s="4">
        <v>22</v>
      </c>
      <c r="J1350" s="5">
        <v>62.1</v>
      </c>
      <c r="K1350" s="6">
        <v>1.59</v>
      </c>
      <c r="L1350" s="4">
        <v>3</v>
      </c>
      <c r="M1350" s="4">
        <v>114</v>
      </c>
      <c r="N1350" s="4">
        <v>93</v>
      </c>
      <c r="O1350" s="4" t="s">
        <v>21</v>
      </c>
      <c r="P1350" s="7" t="s">
        <v>30</v>
      </c>
    </row>
    <row r="1351" spans="2:16" x14ac:dyDescent="0.45">
      <c r="B1351" s="4">
        <v>1350</v>
      </c>
      <c r="C1351" s="4" t="s">
        <v>41</v>
      </c>
      <c r="D1351" s="4" t="s">
        <v>16</v>
      </c>
      <c r="E1351" s="4" t="s">
        <v>17</v>
      </c>
      <c r="F1351" s="4" t="s">
        <v>18</v>
      </c>
      <c r="G1351" s="4" t="s">
        <v>19</v>
      </c>
      <c r="H1351" s="4" t="s">
        <v>28</v>
      </c>
      <c r="I1351" s="4">
        <v>32</v>
      </c>
      <c r="J1351" s="5">
        <v>94.4</v>
      </c>
      <c r="K1351" s="6">
        <v>1.59</v>
      </c>
      <c r="L1351" s="4">
        <v>4</v>
      </c>
      <c r="M1351" s="4">
        <v>111</v>
      </c>
      <c r="N1351" s="4">
        <v>81</v>
      </c>
      <c r="O1351" s="4" t="s">
        <v>26</v>
      </c>
      <c r="P1351" s="7" t="s">
        <v>19</v>
      </c>
    </row>
    <row r="1352" spans="2:16" x14ac:dyDescent="0.45">
      <c r="B1352" s="4">
        <v>1351</v>
      </c>
      <c r="C1352" s="4" t="s">
        <v>27</v>
      </c>
      <c r="D1352" s="4" t="s">
        <v>16</v>
      </c>
      <c r="E1352" s="4" t="s">
        <v>17</v>
      </c>
      <c r="F1352" s="4" t="s">
        <v>24</v>
      </c>
      <c r="G1352" s="4" t="s">
        <v>30</v>
      </c>
      <c r="H1352" s="4" t="s">
        <v>20</v>
      </c>
      <c r="I1352" s="4">
        <v>21</v>
      </c>
      <c r="J1352" s="5">
        <v>94</v>
      </c>
      <c r="K1352" s="6">
        <v>1.63</v>
      </c>
      <c r="L1352" s="4">
        <v>4</v>
      </c>
      <c r="M1352" s="4">
        <v>111</v>
      </c>
      <c r="N1352" s="4">
        <v>90</v>
      </c>
      <c r="O1352" s="4" t="s">
        <v>21</v>
      </c>
      <c r="P1352" s="7" t="s">
        <v>19</v>
      </c>
    </row>
    <row r="1353" spans="2:16" x14ac:dyDescent="0.45">
      <c r="B1353" s="4">
        <v>1352</v>
      </c>
      <c r="C1353" s="4" t="s">
        <v>41</v>
      </c>
      <c r="D1353" s="4" t="s">
        <v>23</v>
      </c>
      <c r="E1353" s="4" t="s">
        <v>37</v>
      </c>
      <c r="F1353" s="4" t="s">
        <v>24</v>
      </c>
      <c r="G1353" s="4" t="s">
        <v>19</v>
      </c>
      <c r="H1353" s="4" t="s">
        <v>20</v>
      </c>
      <c r="I1353" s="4">
        <v>63</v>
      </c>
      <c r="J1353" s="5">
        <v>65</v>
      </c>
      <c r="K1353" s="6">
        <v>1.73</v>
      </c>
      <c r="L1353" s="4">
        <v>3</v>
      </c>
      <c r="M1353" s="4">
        <v>137</v>
      </c>
      <c r="N1353" s="4">
        <v>91</v>
      </c>
      <c r="O1353" s="4" t="s">
        <v>21</v>
      </c>
      <c r="P1353" s="7" t="s">
        <v>30</v>
      </c>
    </row>
    <row r="1354" spans="2:16" x14ac:dyDescent="0.45">
      <c r="B1354" s="4">
        <v>1353</v>
      </c>
      <c r="C1354" s="4" t="s">
        <v>40</v>
      </c>
      <c r="D1354" s="4" t="s">
        <v>23</v>
      </c>
      <c r="E1354" s="4" t="s">
        <v>17</v>
      </c>
      <c r="F1354" s="4" t="s">
        <v>18</v>
      </c>
      <c r="G1354" s="4" t="s">
        <v>19</v>
      </c>
      <c r="H1354" s="4" t="s">
        <v>20</v>
      </c>
      <c r="I1354" s="4">
        <v>1</v>
      </c>
      <c r="J1354" s="5">
        <v>7.1</v>
      </c>
      <c r="K1354" s="6">
        <v>0.67</v>
      </c>
      <c r="L1354" s="4">
        <v>6</v>
      </c>
      <c r="M1354" s="4">
        <v>98</v>
      </c>
      <c r="N1354" s="4">
        <v>86</v>
      </c>
      <c r="O1354" s="4" t="s">
        <v>26</v>
      </c>
      <c r="P1354" s="7" t="s">
        <v>19</v>
      </c>
    </row>
    <row r="1355" spans="2:16" x14ac:dyDescent="0.45">
      <c r="B1355" s="4">
        <v>1354</v>
      </c>
      <c r="C1355" s="4" t="s">
        <v>40</v>
      </c>
      <c r="D1355" s="4" t="s">
        <v>23</v>
      </c>
      <c r="E1355" s="4" t="s">
        <v>37</v>
      </c>
      <c r="F1355" s="4" t="s">
        <v>24</v>
      </c>
      <c r="G1355" s="4" t="s">
        <v>19</v>
      </c>
      <c r="H1355" s="4" t="s">
        <v>38</v>
      </c>
      <c r="I1355" s="4">
        <v>30</v>
      </c>
      <c r="J1355" s="5">
        <v>75.5</v>
      </c>
      <c r="K1355" s="6">
        <v>1.75</v>
      </c>
      <c r="L1355" s="4">
        <v>3</v>
      </c>
      <c r="M1355" s="4">
        <v>123</v>
      </c>
      <c r="N1355" s="4">
        <v>92</v>
      </c>
      <c r="O1355" s="4" t="s">
        <v>21</v>
      </c>
      <c r="P1355" s="7" t="s">
        <v>19</v>
      </c>
    </row>
    <row r="1356" spans="2:16" x14ac:dyDescent="0.45">
      <c r="B1356" s="4">
        <v>1355</v>
      </c>
      <c r="C1356" s="4" t="s">
        <v>41</v>
      </c>
      <c r="D1356" s="4" t="s">
        <v>23</v>
      </c>
      <c r="E1356" s="4" t="s">
        <v>44</v>
      </c>
      <c r="F1356" s="4" t="s">
        <v>24</v>
      </c>
      <c r="G1356" s="4" t="s">
        <v>19</v>
      </c>
      <c r="H1356" s="4" t="s">
        <v>46</v>
      </c>
      <c r="I1356" s="4">
        <v>21</v>
      </c>
      <c r="J1356" s="5">
        <v>83.7</v>
      </c>
      <c r="K1356" s="6">
        <v>1.68</v>
      </c>
      <c r="L1356" s="4">
        <v>1</v>
      </c>
      <c r="M1356" s="4">
        <v>114</v>
      </c>
      <c r="N1356" s="4">
        <v>87</v>
      </c>
      <c r="O1356" s="4" t="s">
        <v>21</v>
      </c>
      <c r="P1356" s="7" t="s">
        <v>19</v>
      </c>
    </row>
    <row r="1357" spans="2:16" x14ac:dyDescent="0.45">
      <c r="B1357" s="4">
        <v>1356</v>
      </c>
      <c r="C1357" s="4" t="s">
        <v>40</v>
      </c>
      <c r="D1357" s="4" t="s">
        <v>16</v>
      </c>
      <c r="E1357" s="4" t="s">
        <v>35</v>
      </c>
      <c r="F1357" s="4" t="s">
        <v>24</v>
      </c>
      <c r="G1357" s="4" t="s">
        <v>19</v>
      </c>
      <c r="H1357" s="4" t="s">
        <v>28</v>
      </c>
      <c r="I1357" s="4">
        <v>0</v>
      </c>
      <c r="J1357" s="5">
        <v>12</v>
      </c>
      <c r="K1357" s="6">
        <v>0.7</v>
      </c>
      <c r="L1357" s="4">
        <v>4</v>
      </c>
      <c r="M1357" s="4">
        <v>94</v>
      </c>
      <c r="N1357" s="4">
        <v>73</v>
      </c>
      <c r="O1357" s="4" t="s">
        <v>26</v>
      </c>
      <c r="P1357" s="7" t="s">
        <v>19</v>
      </c>
    </row>
    <row r="1358" spans="2:16" x14ac:dyDescent="0.45">
      <c r="B1358" s="4">
        <v>1357</v>
      </c>
      <c r="C1358" s="4" t="s">
        <v>31</v>
      </c>
      <c r="D1358" s="4" t="s">
        <v>16</v>
      </c>
      <c r="E1358" s="4" t="s">
        <v>17</v>
      </c>
      <c r="F1358" s="4" t="s">
        <v>28</v>
      </c>
      <c r="G1358" s="4" t="s">
        <v>19</v>
      </c>
      <c r="H1358" s="4" t="s">
        <v>25</v>
      </c>
      <c r="I1358" s="4">
        <v>77</v>
      </c>
      <c r="J1358" s="5">
        <v>86.3</v>
      </c>
      <c r="K1358" s="6">
        <v>1.69</v>
      </c>
      <c r="L1358" s="4">
        <v>0</v>
      </c>
      <c r="M1358" s="4">
        <v>138</v>
      </c>
      <c r="N1358" s="4">
        <v>102</v>
      </c>
      <c r="O1358" s="4" t="s">
        <v>26</v>
      </c>
      <c r="P1358" s="7" t="s">
        <v>30</v>
      </c>
    </row>
    <row r="1359" spans="2:16" x14ac:dyDescent="0.45">
      <c r="B1359" s="4">
        <v>1358</v>
      </c>
      <c r="C1359" s="4" t="s">
        <v>22</v>
      </c>
      <c r="D1359" s="4" t="s">
        <v>16</v>
      </c>
      <c r="E1359" s="4" t="s">
        <v>17</v>
      </c>
      <c r="F1359" s="4" t="s">
        <v>24</v>
      </c>
      <c r="G1359" s="4" t="s">
        <v>30</v>
      </c>
      <c r="H1359" s="4" t="s">
        <v>36</v>
      </c>
      <c r="I1359" s="4">
        <v>55</v>
      </c>
      <c r="J1359" s="5">
        <v>70</v>
      </c>
      <c r="K1359" s="6">
        <v>1.64</v>
      </c>
      <c r="L1359" s="4">
        <v>0</v>
      </c>
      <c r="M1359" s="4">
        <v>135</v>
      </c>
      <c r="N1359" s="4">
        <v>103</v>
      </c>
      <c r="O1359" s="4" t="s">
        <v>21</v>
      </c>
      <c r="P1359" s="7" t="s">
        <v>19</v>
      </c>
    </row>
    <row r="1360" spans="2:16" x14ac:dyDescent="0.45">
      <c r="B1360" s="4">
        <v>1359</v>
      </c>
      <c r="C1360" s="4" t="s">
        <v>15</v>
      </c>
      <c r="D1360" s="4" t="s">
        <v>23</v>
      </c>
      <c r="E1360" s="4" t="s">
        <v>35</v>
      </c>
      <c r="F1360" s="4" t="s">
        <v>24</v>
      </c>
      <c r="G1360" s="4" t="s">
        <v>30</v>
      </c>
      <c r="H1360" s="4" t="s">
        <v>36</v>
      </c>
      <c r="I1360" s="4">
        <v>48</v>
      </c>
      <c r="J1360" s="5">
        <v>85.9</v>
      </c>
      <c r="K1360" s="6">
        <v>1.5</v>
      </c>
      <c r="L1360" s="4">
        <v>2</v>
      </c>
      <c r="M1360" s="4">
        <v>130</v>
      </c>
      <c r="N1360" s="4">
        <v>84</v>
      </c>
      <c r="O1360" s="4" t="s">
        <v>21</v>
      </c>
      <c r="P1360" s="7" t="s">
        <v>19</v>
      </c>
    </row>
    <row r="1361" spans="2:16" x14ac:dyDescent="0.45">
      <c r="B1361" s="4">
        <v>1360</v>
      </c>
      <c r="C1361" s="4" t="s">
        <v>40</v>
      </c>
      <c r="D1361" s="4" t="s">
        <v>23</v>
      </c>
      <c r="E1361" s="4" t="s">
        <v>37</v>
      </c>
      <c r="F1361" s="4" t="s">
        <v>24</v>
      </c>
      <c r="G1361" s="4" t="s">
        <v>19</v>
      </c>
      <c r="H1361" s="4" t="s">
        <v>28</v>
      </c>
      <c r="I1361" s="4">
        <v>26</v>
      </c>
      <c r="J1361" s="5">
        <v>84.9</v>
      </c>
      <c r="K1361" s="6">
        <v>1.53</v>
      </c>
      <c r="L1361" s="4">
        <v>0</v>
      </c>
      <c r="M1361" s="4">
        <v>113</v>
      </c>
      <c r="N1361" s="4">
        <v>82</v>
      </c>
      <c r="O1361" s="4" t="s">
        <v>26</v>
      </c>
      <c r="P1361" s="7" t="s">
        <v>19</v>
      </c>
    </row>
    <row r="1362" spans="2:16" x14ac:dyDescent="0.45">
      <c r="B1362" s="4">
        <v>1361</v>
      </c>
      <c r="C1362" s="4" t="s">
        <v>27</v>
      </c>
      <c r="D1362" s="4" t="s">
        <v>16</v>
      </c>
      <c r="E1362" s="4" t="s">
        <v>35</v>
      </c>
      <c r="F1362" s="4" t="s">
        <v>18</v>
      </c>
      <c r="G1362" s="4" t="s">
        <v>19</v>
      </c>
      <c r="H1362" s="4" t="s">
        <v>34</v>
      </c>
      <c r="I1362" s="4">
        <v>14</v>
      </c>
      <c r="J1362" s="5">
        <v>44.4</v>
      </c>
      <c r="K1362" s="6">
        <v>1.47</v>
      </c>
      <c r="L1362" s="4">
        <v>1</v>
      </c>
      <c r="M1362" s="4">
        <v>115</v>
      </c>
      <c r="N1362" s="4">
        <v>87</v>
      </c>
      <c r="O1362" s="4" t="s">
        <v>26</v>
      </c>
      <c r="P1362" s="7" t="s">
        <v>19</v>
      </c>
    </row>
    <row r="1363" spans="2:16" x14ac:dyDescent="0.45">
      <c r="B1363" s="4">
        <v>1362</v>
      </c>
      <c r="C1363" s="4" t="s">
        <v>33</v>
      </c>
      <c r="D1363" s="4" t="s">
        <v>23</v>
      </c>
      <c r="E1363" s="4" t="s">
        <v>17</v>
      </c>
      <c r="F1363" s="4" t="s">
        <v>28</v>
      </c>
      <c r="G1363" s="4" t="s">
        <v>19</v>
      </c>
      <c r="H1363" s="4" t="s">
        <v>20</v>
      </c>
      <c r="I1363" s="4">
        <v>18</v>
      </c>
      <c r="J1363" s="5">
        <v>71.2</v>
      </c>
      <c r="K1363" s="6">
        <v>1.78</v>
      </c>
      <c r="L1363" s="4">
        <v>5</v>
      </c>
      <c r="M1363" s="4">
        <v>105</v>
      </c>
      <c r="N1363" s="4">
        <v>91</v>
      </c>
      <c r="O1363" s="4" t="s">
        <v>26</v>
      </c>
      <c r="P1363" s="7" t="s">
        <v>19</v>
      </c>
    </row>
    <row r="1364" spans="2:16" x14ac:dyDescent="0.45">
      <c r="B1364" s="4">
        <v>1363</v>
      </c>
      <c r="C1364" s="4" t="s">
        <v>29</v>
      </c>
      <c r="D1364" s="4" t="s">
        <v>23</v>
      </c>
      <c r="E1364" s="4" t="s">
        <v>44</v>
      </c>
      <c r="F1364" s="4" t="s">
        <v>18</v>
      </c>
      <c r="G1364" s="4" t="s">
        <v>19</v>
      </c>
      <c r="H1364" s="4" t="s">
        <v>28</v>
      </c>
      <c r="I1364" s="4">
        <v>38</v>
      </c>
      <c r="J1364" s="5">
        <v>74.8</v>
      </c>
      <c r="K1364" s="6">
        <v>1.72</v>
      </c>
      <c r="L1364" s="4">
        <v>0</v>
      </c>
      <c r="M1364" s="4">
        <v>104</v>
      </c>
      <c r="N1364" s="4">
        <v>72</v>
      </c>
      <c r="O1364" s="4" t="s">
        <v>26</v>
      </c>
      <c r="P1364" s="7" t="s">
        <v>19</v>
      </c>
    </row>
    <row r="1365" spans="2:16" x14ac:dyDescent="0.45">
      <c r="B1365" s="4">
        <v>1364</v>
      </c>
      <c r="C1365" s="4" t="s">
        <v>33</v>
      </c>
      <c r="D1365" s="4" t="s">
        <v>16</v>
      </c>
      <c r="E1365" s="4" t="s">
        <v>17</v>
      </c>
      <c r="F1365" s="4" t="s">
        <v>18</v>
      </c>
      <c r="G1365" s="4" t="s">
        <v>19</v>
      </c>
      <c r="H1365" s="4" t="s">
        <v>20</v>
      </c>
      <c r="I1365" s="4">
        <v>26</v>
      </c>
      <c r="J1365" s="5">
        <v>66.400000000000006</v>
      </c>
      <c r="K1365" s="6">
        <v>1.57</v>
      </c>
      <c r="L1365" s="4">
        <v>3</v>
      </c>
      <c r="M1365" s="4">
        <v>120</v>
      </c>
      <c r="N1365" s="4">
        <v>81</v>
      </c>
      <c r="O1365" s="4" t="s">
        <v>21</v>
      </c>
      <c r="P1365" s="7" t="s">
        <v>19</v>
      </c>
    </row>
    <row r="1366" spans="2:16" x14ac:dyDescent="0.45">
      <c r="B1366" s="4">
        <v>1365</v>
      </c>
      <c r="C1366" s="4" t="s">
        <v>40</v>
      </c>
      <c r="D1366" s="4" t="s">
        <v>23</v>
      </c>
      <c r="E1366" s="4" t="s">
        <v>17</v>
      </c>
      <c r="F1366" s="4" t="s">
        <v>18</v>
      </c>
      <c r="G1366" s="4" t="s">
        <v>19</v>
      </c>
      <c r="H1366" s="4" t="s">
        <v>25</v>
      </c>
      <c r="I1366" s="4">
        <v>58</v>
      </c>
      <c r="J1366" s="5">
        <v>78.900000000000006</v>
      </c>
      <c r="K1366" s="6">
        <v>1.75</v>
      </c>
      <c r="L1366" s="4">
        <v>2</v>
      </c>
      <c r="M1366" s="4">
        <v>123</v>
      </c>
      <c r="N1366" s="4">
        <v>99</v>
      </c>
      <c r="O1366" s="4" t="s">
        <v>26</v>
      </c>
      <c r="P1366" s="7" t="s">
        <v>19</v>
      </c>
    </row>
    <row r="1367" spans="2:16" x14ac:dyDescent="0.45">
      <c r="B1367" s="4">
        <v>1366</v>
      </c>
      <c r="C1367" s="4" t="s">
        <v>43</v>
      </c>
      <c r="D1367" s="4" t="s">
        <v>23</v>
      </c>
      <c r="E1367" s="4" t="s">
        <v>17</v>
      </c>
      <c r="F1367" s="4" t="s">
        <v>18</v>
      </c>
      <c r="G1367" s="4" t="s">
        <v>30</v>
      </c>
      <c r="H1367" s="4" t="s">
        <v>20</v>
      </c>
      <c r="I1367" s="4">
        <v>56</v>
      </c>
      <c r="J1367" s="5">
        <v>80.5</v>
      </c>
      <c r="K1367" s="6">
        <v>1.76</v>
      </c>
      <c r="L1367" s="4">
        <v>1</v>
      </c>
      <c r="M1367" s="4">
        <v>122</v>
      </c>
      <c r="N1367" s="4">
        <v>104</v>
      </c>
      <c r="O1367" s="4" t="s">
        <v>26</v>
      </c>
      <c r="P1367" s="7" t="s">
        <v>19</v>
      </c>
    </row>
    <row r="1368" spans="2:16" x14ac:dyDescent="0.45">
      <c r="B1368" s="4">
        <v>1367</v>
      </c>
      <c r="C1368" s="4" t="s">
        <v>22</v>
      </c>
      <c r="D1368" s="4" t="s">
        <v>16</v>
      </c>
      <c r="E1368" s="4" t="s">
        <v>37</v>
      </c>
      <c r="F1368" s="4" t="s">
        <v>28</v>
      </c>
      <c r="G1368" s="4" t="s">
        <v>19</v>
      </c>
      <c r="H1368" s="4" t="s">
        <v>20</v>
      </c>
      <c r="I1368" s="4">
        <v>33</v>
      </c>
      <c r="J1368" s="5">
        <v>67.5</v>
      </c>
      <c r="K1368" s="6">
        <v>1.57</v>
      </c>
      <c r="L1368" s="4">
        <v>1</v>
      </c>
      <c r="M1368" s="4">
        <v>117</v>
      </c>
      <c r="N1368" s="4">
        <v>99</v>
      </c>
      <c r="O1368" s="4" t="s">
        <v>26</v>
      </c>
      <c r="P1368" s="7" t="s">
        <v>19</v>
      </c>
    </row>
    <row r="1369" spans="2:16" x14ac:dyDescent="0.45">
      <c r="B1369" s="4">
        <v>1368</v>
      </c>
      <c r="C1369" s="4" t="s">
        <v>39</v>
      </c>
      <c r="D1369" s="4" t="s">
        <v>16</v>
      </c>
      <c r="E1369" s="4" t="s">
        <v>35</v>
      </c>
      <c r="F1369" s="4" t="s">
        <v>18</v>
      </c>
      <c r="G1369" s="4" t="s">
        <v>30</v>
      </c>
      <c r="H1369" s="4" t="s">
        <v>36</v>
      </c>
      <c r="I1369" s="4">
        <v>40</v>
      </c>
      <c r="J1369" s="5">
        <v>82.1</v>
      </c>
      <c r="K1369" s="6">
        <v>1.51</v>
      </c>
      <c r="L1369" s="4">
        <v>5</v>
      </c>
      <c r="M1369" s="4">
        <v>131</v>
      </c>
      <c r="N1369" s="4">
        <v>102</v>
      </c>
      <c r="O1369" s="4" t="s">
        <v>21</v>
      </c>
      <c r="P1369" s="7" t="s">
        <v>19</v>
      </c>
    </row>
    <row r="1370" spans="2:16" x14ac:dyDescent="0.45">
      <c r="B1370" s="4">
        <v>1369</v>
      </c>
      <c r="C1370" s="4" t="s">
        <v>45</v>
      </c>
      <c r="D1370" s="4" t="s">
        <v>16</v>
      </c>
      <c r="E1370" s="4" t="s">
        <v>37</v>
      </c>
      <c r="F1370" s="4" t="s">
        <v>42</v>
      </c>
      <c r="G1370" s="4" t="s">
        <v>19</v>
      </c>
      <c r="H1370" s="4" t="s">
        <v>20</v>
      </c>
      <c r="I1370" s="4">
        <v>4</v>
      </c>
      <c r="J1370" s="5">
        <v>11.1</v>
      </c>
      <c r="K1370" s="6">
        <v>0.93</v>
      </c>
      <c r="L1370" s="4">
        <v>3</v>
      </c>
      <c r="M1370" s="4">
        <v>102</v>
      </c>
      <c r="N1370" s="4">
        <v>90</v>
      </c>
      <c r="O1370" s="4" t="s">
        <v>21</v>
      </c>
      <c r="P1370" s="7" t="s">
        <v>19</v>
      </c>
    </row>
    <row r="1371" spans="2:16" x14ac:dyDescent="0.45">
      <c r="B1371" s="4">
        <v>1370</v>
      </c>
      <c r="C1371" s="4" t="s">
        <v>27</v>
      </c>
      <c r="D1371" s="4" t="s">
        <v>16</v>
      </c>
      <c r="E1371" s="4" t="s">
        <v>17</v>
      </c>
      <c r="F1371" s="4" t="s">
        <v>18</v>
      </c>
      <c r="G1371" s="4" t="s">
        <v>30</v>
      </c>
      <c r="H1371" s="4" t="s">
        <v>20</v>
      </c>
      <c r="I1371" s="4">
        <v>54</v>
      </c>
      <c r="J1371" s="5">
        <v>71.3</v>
      </c>
      <c r="K1371" s="6">
        <v>1.66</v>
      </c>
      <c r="L1371" s="4">
        <v>2</v>
      </c>
      <c r="M1371" s="4">
        <v>114</v>
      </c>
      <c r="N1371" s="4">
        <v>82</v>
      </c>
      <c r="O1371" s="4" t="s">
        <v>26</v>
      </c>
      <c r="P1371" s="7" t="s">
        <v>19</v>
      </c>
    </row>
    <row r="1372" spans="2:16" x14ac:dyDescent="0.45">
      <c r="B1372" s="4">
        <v>1371</v>
      </c>
      <c r="C1372" s="4" t="s">
        <v>27</v>
      </c>
      <c r="D1372" s="4" t="s">
        <v>23</v>
      </c>
      <c r="E1372" s="4" t="s">
        <v>37</v>
      </c>
      <c r="F1372" s="4" t="s">
        <v>24</v>
      </c>
      <c r="G1372" s="4" t="s">
        <v>30</v>
      </c>
      <c r="H1372" s="4" t="s">
        <v>28</v>
      </c>
      <c r="I1372" s="4">
        <v>22</v>
      </c>
      <c r="J1372" s="5">
        <v>92</v>
      </c>
      <c r="K1372" s="6">
        <v>1.86</v>
      </c>
      <c r="L1372" s="4">
        <v>10</v>
      </c>
      <c r="M1372" s="4">
        <v>105</v>
      </c>
      <c r="N1372" s="4">
        <v>83</v>
      </c>
      <c r="O1372" s="4" t="s">
        <v>26</v>
      </c>
      <c r="P1372" s="7" t="s">
        <v>19</v>
      </c>
    </row>
    <row r="1373" spans="2:16" x14ac:dyDescent="0.45">
      <c r="B1373" s="4">
        <v>1372</v>
      </c>
      <c r="C1373" s="4" t="s">
        <v>40</v>
      </c>
      <c r="D1373" s="4" t="s">
        <v>23</v>
      </c>
      <c r="E1373" s="4" t="s">
        <v>17</v>
      </c>
      <c r="F1373" s="4" t="s">
        <v>24</v>
      </c>
      <c r="G1373" s="4" t="s">
        <v>30</v>
      </c>
      <c r="H1373" s="4" t="s">
        <v>25</v>
      </c>
      <c r="I1373" s="4">
        <v>21</v>
      </c>
      <c r="J1373" s="5">
        <v>60.7</v>
      </c>
      <c r="K1373" s="6">
        <v>1.62</v>
      </c>
      <c r="L1373" s="4">
        <v>8</v>
      </c>
      <c r="M1373" s="4">
        <v>118</v>
      </c>
      <c r="N1373" s="4">
        <v>85</v>
      </c>
      <c r="O1373" s="4" t="s">
        <v>21</v>
      </c>
      <c r="P1373" s="7" t="s">
        <v>19</v>
      </c>
    </row>
    <row r="1374" spans="2:16" x14ac:dyDescent="0.45">
      <c r="B1374" s="4">
        <v>1373</v>
      </c>
      <c r="C1374" s="4" t="s">
        <v>43</v>
      </c>
      <c r="D1374" s="4" t="s">
        <v>16</v>
      </c>
      <c r="E1374" s="4" t="s">
        <v>17</v>
      </c>
      <c r="F1374" s="4" t="s">
        <v>24</v>
      </c>
      <c r="G1374" s="4" t="s">
        <v>19</v>
      </c>
      <c r="H1374" s="4" t="s">
        <v>20</v>
      </c>
      <c r="I1374" s="4">
        <v>2</v>
      </c>
      <c r="J1374" s="5">
        <v>15.5</v>
      </c>
      <c r="K1374" s="6">
        <v>0.91</v>
      </c>
      <c r="L1374" s="4">
        <v>2</v>
      </c>
      <c r="M1374" s="4">
        <v>102</v>
      </c>
      <c r="N1374" s="4">
        <v>76</v>
      </c>
      <c r="O1374" s="4" t="s">
        <v>26</v>
      </c>
      <c r="P1374" s="7" t="s">
        <v>19</v>
      </c>
    </row>
    <row r="1375" spans="2:16" x14ac:dyDescent="0.45">
      <c r="B1375" s="4">
        <v>1374</v>
      </c>
      <c r="C1375" s="4" t="s">
        <v>22</v>
      </c>
      <c r="D1375" s="4" t="s">
        <v>16</v>
      </c>
      <c r="E1375" s="4" t="s">
        <v>35</v>
      </c>
      <c r="F1375" s="4" t="s">
        <v>28</v>
      </c>
      <c r="G1375" s="4" t="s">
        <v>19</v>
      </c>
      <c r="H1375" s="4" t="s">
        <v>25</v>
      </c>
      <c r="I1375" s="4">
        <v>14</v>
      </c>
      <c r="J1375" s="5">
        <v>38.9</v>
      </c>
      <c r="K1375" s="6">
        <v>1.73</v>
      </c>
      <c r="L1375" s="4">
        <v>6</v>
      </c>
      <c r="M1375" s="4">
        <v>96</v>
      </c>
      <c r="N1375" s="4">
        <v>82</v>
      </c>
      <c r="O1375" s="4" t="s">
        <v>26</v>
      </c>
      <c r="P1375" s="7" t="s">
        <v>19</v>
      </c>
    </row>
    <row r="1376" spans="2:16" x14ac:dyDescent="0.45">
      <c r="B1376" s="4">
        <v>1375</v>
      </c>
      <c r="C1376" s="4" t="s">
        <v>22</v>
      </c>
      <c r="D1376" s="4" t="s">
        <v>16</v>
      </c>
      <c r="E1376" s="4" t="s">
        <v>17</v>
      </c>
      <c r="F1376" s="4" t="s">
        <v>18</v>
      </c>
      <c r="G1376" s="4" t="s">
        <v>30</v>
      </c>
      <c r="H1376" s="4" t="s">
        <v>36</v>
      </c>
      <c r="I1376" s="4">
        <v>51</v>
      </c>
      <c r="J1376" s="5">
        <v>58.3</v>
      </c>
      <c r="K1376" s="6">
        <v>1.84</v>
      </c>
      <c r="L1376" s="4">
        <v>5</v>
      </c>
      <c r="M1376" s="4">
        <v>153</v>
      </c>
      <c r="N1376" s="4">
        <v>74</v>
      </c>
      <c r="O1376" s="4" t="s">
        <v>21</v>
      </c>
      <c r="P1376" s="7" t="s">
        <v>19</v>
      </c>
    </row>
    <row r="1377" spans="2:16" x14ac:dyDescent="0.45">
      <c r="B1377" s="4">
        <v>1376</v>
      </c>
      <c r="C1377" s="4" t="s">
        <v>27</v>
      </c>
      <c r="D1377" s="4" t="s">
        <v>16</v>
      </c>
      <c r="E1377" s="4" t="s">
        <v>17</v>
      </c>
      <c r="F1377" s="4" t="s">
        <v>18</v>
      </c>
      <c r="G1377" s="4" t="s">
        <v>30</v>
      </c>
      <c r="H1377" s="4" t="s">
        <v>28</v>
      </c>
      <c r="I1377" s="4">
        <v>21</v>
      </c>
      <c r="J1377" s="5">
        <v>81.400000000000006</v>
      </c>
      <c r="K1377" s="6">
        <v>1.53</v>
      </c>
      <c r="L1377" s="4">
        <v>4</v>
      </c>
      <c r="M1377" s="4">
        <v>100</v>
      </c>
      <c r="N1377" s="4">
        <v>74</v>
      </c>
      <c r="O1377" s="4" t="s">
        <v>21</v>
      </c>
      <c r="P1377" s="7" t="s">
        <v>19</v>
      </c>
    </row>
    <row r="1378" spans="2:16" x14ac:dyDescent="0.45">
      <c r="B1378" s="4">
        <v>1377</v>
      </c>
      <c r="C1378" s="4" t="s">
        <v>41</v>
      </c>
      <c r="D1378" s="4" t="s">
        <v>23</v>
      </c>
      <c r="E1378" s="4" t="s">
        <v>17</v>
      </c>
      <c r="F1378" s="4" t="s">
        <v>24</v>
      </c>
      <c r="G1378" s="4" t="s">
        <v>19</v>
      </c>
      <c r="H1378" s="4" t="s">
        <v>38</v>
      </c>
      <c r="I1378" s="4">
        <v>44</v>
      </c>
      <c r="J1378" s="5">
        <v>86.7</v>
      </c>
      <c r="K1378" s="6">
        <v>1.73</v>
      </c>
      <c r="L1378" s="4">
        <v>1</v>
      </c>
      <c r="M1378" s="4">
        <v>121</v>
      </c>
      <c r="N1378" s="4">
        <v>99</v>
      </c>
      <c r="O1378" s="4" t="s">
        <v>26</v>
      </c>
      <c r="P1378" s="7" t="s">
        <v>30</v>
      </c>
    </row>
    <row r="1379" spans="2:16" x14ac:dyDescent="0.45">
      <c r="B1379" s="4">
        <v>1378</v>
      </c>
      <c r="C1379" s="4" t="s">
        <v>31</v>
      </c>
      <c r="D1379" s="4" t="s">
        <v>23</v>
      </c>
      <c r="E1379" s="4" t="s">
        <v>35</v>
      </c>
      <c r="F1379" s="4" t="s">
        <v>28</v>
      </c>
      <c r="G1379" s="4" t="s">
        <v>19</v>
      </c>
      <c r="H1379" s="4" t="s">
        <v>28</v>
      </c>
      <c r="I1379" s="4">
        <v>11</v>
      </c>
      <c r="J1379" s="5">
        <v>21.4</v>
      </c>
      <c r="K1379" s="6">
        <v>1.1299999999999999</v>
      </c>
      <c r="L1379" s="4">
        <v>1</v>
      </c>
      <c r="M1379" s="4">
        <v>105</v>
      </c>
      <c r="N1379" s="4">
        <v>95</v>
      </c>
      <c r="O1379" s="4" t="s">
        <v>21</v>
      </c>
      <c r="P1379" s="7" t="s">
        <v>19</v>
      </c>
    </row>
    <row r="1380" spans="2:16" x14ac:dyDescent="0.45">
      <c r="B1380" s="4">
        <v>1379</v>
      </c>
      <c r="C1380" s="4" t="s">
        <v>27</v>
      </c>
      <c r="D1380" s="4" t="s">
        <v>16</v>
      </c>
      <c r="E1380" s="4" t="s">
        <v>17</v>
      </c>
      <c r="F1380" s="4" t="s">
        <v>24</v>
      </c>
      <c r="G1380" s="4" t="s">
        <v>19</v>
      </c>
      <c r="H1380" s="4" t="s">
        <v>36</v>
      </c>
      <c r="I1380" s="4">
        <v>27</v>
      </c>
      <c r="J1380" s="5">
        <v>69.7</v>
      </c>
      <c r="K1380" s="6">
        <v>1.81</v>
      </c>
      <c r="L1380" s="4">
        <v>1</v>
      </c>
      <c r="M1380" s="4">
        <v>127</v>
      </c>
      <c r="N1380" s="4">
        <v>92</v>
      </c>
      <c r="O1380" s="4" t="s">
        <v>21</v>
      </c>
      <c r="P1380" s="7" t="s">
        <v>19</v>
      </c>
    </row>
    <row r="1381" spans="2:16" x14ac:dyDescent="0.45">
      <c r="B1381" s="4">
        <v>1380</v>
      </c>
      <c r="C1381" s="4" t="s">
        <v>22</v>
      </c>
      <c r="D1381" s="4" t="s">
        <v>23</v>
      </c>
      <c r="E1381" s="4" t="s">
        <v>35</v>
      </c>
      <c r="F1381" s="4" t="s">
        <v>18</v>
      </c>
      <c r="G1381" s="4" t="s">
        <v>19</v>
      </c>
      <c r="H1381" s="4" t="s">
        <v>20</v>
      </c>
      <c r="I1381" s="4">
        <v>0</v>
      </c>
      <c r="J1381" s="5">
        <v>15.6</v>
      </c>
      <c r="K1381" s="6">
        <v>0.76</v>
      </c>
      <c r="L1381" s="4">
        <v>1</v>
      </c>
      <c r="M1381" s="4">
        <v>94</v>
      </c>
      <c r="N1381" s="4">
        <v>73</v>
      </c>
      <c r="O1381" s="4" t="s">
        <v>26</v>
      </c>
      <c r="P1381" s="7" t="s">
        <v>19</v>
      </c>
    </row>
    <row r="1382" spans="2:16" x14ac:dyDescent="0.45">
      <c r="B1382" s="4">
        <v>1381</v>
      </c>
      <c r="C1382" s="4" t="s">
        <v>31</v>
      </c>
      <c r="D1382" s="4" t="s">
        <v>23</v>
      </c>
      <c r="E1382" s="4" t="s">
        <v>17</v>
      </c>
      <c r="F1382" s="4" t="s">
        <v>24</v>
      </c>
      <c r="G1382" s="4" t="s">
        <v>19</v>
      </c>
      <c r="H1382" s="4" t="s">
        <v>20</v>
      </c>
      <c r="I1382" s="4">
        <v>45</v>
      </c>
      <c r="J1382" s="5">
        <v>53.9</v>
      </c>
      <c r="K1382" s="6">
        <v>1.65</v>
      </c>
      <c r="L1382" s="4">
        <v>1</v>
      </c>
      <c r="M1382" s="4">
        <v>106</v>
      </c>
      <c r="N1382" s="4">
        <v>73</v>
      </c>
      <c r="O1382" s="4" t="s">
        <v>26</v>
      </c>
      <c r="P1382" s="7" t="s">
        <v>19</v>
      </c>
    </row>
    <row r="1383" spans="2:16" x14ac:dyDescent="0.45">
      <c r="B1383" s="4">
        <v>1382</v>
      </c>
      <c r="C1383" s="4" t="s">
        <v>41</v>
      </c>
      <c r="D1383" s="4" t="s">
        <v>23</v>
      </c>
      <c r="E1383" s="4" t="s">
        <v>17</v>
      </c>
      <c r="F1383" s="4" t="s">
        <v>24</v>
      </c>
      <c r="G1383" s="4" t="s">
        <v>30</v>
      </c>
      <c r="H1383" s="4" t="s">
        <v>25</v>
      </c>
      <c r="I1383" s="4">
        <v>6</v>
      </c>
      <c r="J1383" s="5">
        <v>22.2</v>
      </c>
      <c r="K1383" s="6">
        <v>1.23</v>
      </c>
      <c r="L1383" s="4">
        <v>2</v>
      </c>
      <c r="M1383" s="4">
        <v>112</v>
      </c>
      <c r="N1383" s="4">
        <v>88</v>
      </c>
      <c r="O1383" s="4" t="s">
        <v>26</v>
      </c>
      <c r="P1383" s="7" t="s">
        <v>19</v>
      </c>
    </row>
    <row r="1384" spans="2:16" x14ac:dyDescent="0.45">
      <c r="B1384" s="4">
        <v>1383</v>
      </c>
      <c r="C1384" s="4" t="s">
        <v>31</v>
      </c>
      <c r="D1384" s="4" t="s">
        <v>16</v>
      </c>
      <c r="E1384" s="4" t="s">
        <v>44</v>
      </c>
      <c r="F1384" s="4" t="s">
        <v>24</v>
      </c>
      <c r="G1384" s="4" t="s">
        <v>30</v>
      </c>
      <c r="H1384" s="4" t="s">
        <v>20</v>
      </c>
      <c r="I1384" s="4">
        <v>17</v>
      </c>
      <c r="J1384" s="5">
        <v>60.4</v>
      </c>
      <c r="K1384" s="6">
        <v>1.55</v>
      </c>
      <c r="L1384" s="4">
        <v>1</v>
      </c>
      <c r="M1384" s="4">
        <v>108</v>
      </c>
      <c r="N1384" s="4">
        <v>96</v>
      </c>
      <c r="O1384" s="4" t="s">
        <v>26</v>
      </c>
      <c r="P1384" s="7" t="s">
        <v>19</v>
      </c>
    </row>
    <row r="1385" spans="2:16" x14ac:dyDescent="0.45">
      <c r="B1385" s="4">
        <v>1384</v>
      </c>
      <c r="C1385" s="4" t="s">
        <v>29</v>
      </c>
      <c r="D1385" s="4" t="s">
        <v>16</v>
      </c>
      <c r="E1385" s="4" t="s">
        <v>17</v>
      </c>
      <c r="F1385" s="4" t="s">
        <v>28</v>
      </c>
      <c r="G1385" s="4" t="s">
        <v>19</v>
      </c>
      <c r="H1385" s="4" t="s">
        <v>46</v>
      </c>
      <c r="I1385" s="4">
        <v>41</v>
      </c>
      <c r="J1385" s="5">
        <v>64.8</v>
      </c>
      <c r="K1385" s="6">
        <v>1.81</v>
      </c>
      <c r="L1385" s="4">
        <v>0</v>
      </c>
      <c r="M1385" s="4">
        <v>119</v>
      </c>
      <c r="N1385" s="4">
        <v>80</v>
      </c>
      <c r="O1385" s="4" t="s">
        <v>26</v>
      </c>
      <c r="P1385" s="7" t="s">
        <v>19</v>
      </c>
    </row>
    <row r="1386" spans="2:16" x14ac:dyDescent="0.45">
      <c r="B1386" s="4">
        <v>1385</v>
      </c>
      <c r="C1386" s="4" t="s">
        <v>39</v>
      </c>
      <c r="D1386" s="4" t="s">
        <v>16</v>
      </c>
      <c r="E1386" s="4" t="s">
        <v>35</v>
      </c>
      <c r="F1386" s="4" t="s">
        <v>42</v>
      </c>
      <c r="G1386" s="4" t="s">
        <v>19</v>
      </c>
      <c r="H1386" s="4" t="s">
        <v>28</v>
      </c>
      <c r="I1386" s="4">
        <v>75</v>
      </c>
      <c r="J1386" s="5">
        <v>62.4</v>
      </c>
      <c r="K1386" s="6">
        <v>1.48</v>
      </c>
      <c r="L1386" s="4">
        <v>5</v>
      </c>
      <c r="M1386" s="4">
        <v>125</v>
      </c>
      <c r="N1386" s="4">
        <v>97</v>
      </c>
      <c r="O1386" s="4" t="s">
        <v>21</v>
      </c>
      <c r="P1386" s="7" t="s">
        <v>19</v>
      </c>
    </row>
    <row r="1387" spans="2:16" x14ac:dyDescent="0.45">
      <c r="B1387" s="4">
        <v>1386</v>
      </c>
      <c r="C1387" s="4" t="s">
        <v>45</v>
      </c>
      <c r="D1387" s="4" t="s">
        <v>23</v>
      </c>
      <c r="E1387" s="4" t="s">
        <v>35</v>
      </c>
      <c r="F1387" s="4" t="s">
        <v>18</v>
      </c>
      <c r="G1387" s="4" t="s">
        <v>19</v>
      </c>
      <c r="H1387" s="4" t="s">
        <v>34</v>
      </c>
      <c r="I1387" s="4">
        <v>3</v>
      </c>
      <c r="J1387" s="5">
        <v>8</v>
      </c>
      <c r="K1387" s="6">
        <v>0.88</v>
      </c>
      <c r="L1387" s="4">
        <v>4</v>
      </c>
      <c r="M1387" s="4">
        <v>104</v>
      </c>
      <c r="N1387" s="4">
        <v>74</v>
      </c>
      <c r="O1387" s="4" t="s">
        <v>26</v>
      </c>
      <c r="P1387" s="7" t="s">
        <v>19</v>
      </c>
    </row>
    <row r="1388" spans="2:16" x14ac:dyDescent="0.45">
      <c r="B1388" s="4">
        <v>1387</v>
      </c>
      <c r="C1388" s="4" t="s">
        <v>43</v>
      </c>
      <c r="D1388" s="4" t="s">
        <v>16</v>
      </c>
      <c r="E1388" s="4" t="s">
        <v>35</v>
      </c>
      <c r="F1388" s="4" t="s">
        <v>24</v>
      </c>
      <c r="G1388" s="4" t="s">
        <v>19</v>
      </c>
      <c r="H1388" s="4" t="s">
        <v>20</v>
      </c>
      <c r="I1388" s="4">
        <v>21</v>
      </c>
      <c r="J1388" s="5">
        <v>72.2</v>
      </c>
      <c r="K1388" s="6">
        <v>1.83</v>
      </c>
      <c r="L1388" s="4">
        <v>5</v>
      </c>
      <c r="M1388" s="4">
        <v>107</v>
      </c>
      <c r="N1388" s="4">
        <v>84</v>
      </c>
      <c r="O1388" s="4" t="s">
        <v>21</v>
      </c>
      <c r="P1388" s="7" t="s">
        <v>19</v>
      </c>
    </row>
    <row r="1389" spans="2:16" x14ac:dyDescent="0.45">
      <c r="B1389" s="4">
        <v>1388</v>
      </c>
      <c r="C1389" s="4" t="s">
        <v>40</v>
      </c>
      <c r="D1389" s="4" t="s">
        <v>16</v>
      </c>
      <c r="E1389" s="4" t="s">
        <v>17</v>
      </c>
      <c r="F1389" s="4" t="s">
        <v>28</v>
      </c>
      <c r="G1389" s="4" t="s">
        <v>30</v>
      </c>
      <c r="H1389" s="4" t="s">
        <v>28</v>
      </c>
      <c r="I1389" s="4">
        <v>20</v>
      </c>
      <c r="J1389" s="5">
        <v>69.2</v>
      </c>
      <c r="K1389" s="6">
        <v>1.63</v>
      </c>
      <c r="L1389" s="4">
        <v>0</v>
      </c>
      <c r="M1389" s="4">
        <v>107</v>
      </c>
      <c r="N1389" s="4">
        <v>82</v>
      </c>
      <c r="O1389" s="4" t="s">
        <v>21</v>
      </c>
      <c r="P1389" s="7" t="s">
        <v>19</v>
      </c>
    </row>
    <row r="1390" spans="2:16" x14ac:dyDescent="0.45">
      <c r="B1390" s="4">
        <v>1389</v>
      </c>
      <c r="C1390" s="4" t="s">
        <v>40</v>
      </c>
      <c r="D1390" s="4" t="s">
        <v>16</v>
      </c>
      <c r="E1390" s="4" t="s">
        <v>35</v>
      </c>
      <c r="F1390" s="4" t="s">
        <v>24</v>
      </c>
      <c r="G1390" s="4" t="s">
        <v>19</v>
      </c>
      <c r="H1390" s="4" t="s">
        <v>32</v>
      </c>
      <c r="I1390" s="4">
        <v>81</v>
      </c>
      <c r="J1390" s="5">
        <v>91.9</v>
      </c>
      <c r="K1390" s="6">
        <v>1.5</v>
      </c>
      <c r="L1390" s="4">
        <v>0</v>
      </c>
      <c r="M1390" s="4">
        <v>133</v>
      </c>
      <c r="N1390" s="4">
        <v>185</v>
      </c>
      <c r="O1390" s="4" t="s">
        <v>26</v>
      </c>
      <c r="P1390" s="7" t="s">
        <v>19</v>
      </c>
    </row>
    <row r="1391" spans="2:16" x14ac:dyDescent="0.45">
      <c r="B1391" s="4">
        <v>1390</v>
      </c>
      <c r="C1391" s="4" t="s">
        <v>22</v>
      </c>
      <c r="D1391" s="4" t="s">
        <v>23</v>
      </c>
      <c r="E1391" s="4" t="s">
        <v>17</v>
      </c>
      <c r="F1391" s="4" t="s">
        <v>24</v>
      </c>
      <c r="G1391" s="4" t="s">
        <v>30</v>
      </c>
      <c r="H1391" s="4" t="s">
        <v>46</v>
      </c>
      <c r="I1391" s="4">
        <v>61</v>
      </c>
      <c r="J1391" s="5">
        <v>82.9</v>
      </c>
      <c r="K1391" s="6">
        <v>1.74</v>
      </c>
      <c r="L1391" s="4">
        <v>4</v>
      </c>
      <c r="M1391" s="4">
        <v>115</v>
      </c>
      <c r="N1391" s="4">
        <v>79</v>
      </c>
      <c r="O1391" s="4" t="s">
        <v>21</v>
      </c>
      <c r="P1391" s="7" t="s">
        <v>19</v>
      </c>
    </row>
    <row r="1392" spans="2:16" x14ac:dyDescent="0.45">
      <c r="B1392" s="4">
        <v>1391</v>
      </c>
      <c r="C1392" s="4" t="s">
        <v>22</v>
      </c>
      <c r="D1392" s="4" t="s">
        <v>16</v>
      </c>
      <c r="E1392" s="4" t="s">
        <v>35</v>
      </c>
      <c r="F1392" s="4" t="s">
        <v>18</v>
      </c>
      <c r="G1392" s="4" t="s">
        <v>19</v>
      </c>
      <c r="H1392" s="4" t="s">
        <v>20</v>
      </c>
      <c r="I1392" s="4">
        <v>7</v>
      </c>
      <c r="J1392" s="5">
        <v>19.3</v>
      </c>
      <c r="K1392" s="6">
        <v>1.31</v>
      </c>
      <c r="L1392" s="4">
        <v>6</v>
      </c>
      <c r="M1392" s="4">
        <v>93</v>
      </c>
      <c r="N1392" s="4">
        <v>89</v>
      </c>
      <c r="O1392" s="4" t="s">
        <v>26</v>
      </c>
      <c r="P1392" s="7" t="s">
        <v>19</v>
      </c>
    </row>
    <row r="1393" spans="2:16" x14ac:dyDescent="0.45">
      <c r="B1393" s="4">
        <v>1392</v>
      </c>
      <c r="C1393" s="4" t="s">
        <v>41</v>
      </c>
      <c r="D1393" s="4" t="s">
        <v>23</v>
      </c>
      <c r="E1393" s="4" t="s">
        <v>17</v>
      </c>
      <c r="F1393" s="4" t="s">
        <v>42</v>
      </c>
      <c r="G1393" s="4" t="s">
        <v>19</v>
      </c>
      <c r="H1393" s="4" t="s">
        <v>25</v>
      </c>
      <c r="I1393" s="4">
        <v>1</v>
      </c>
      <c r="J1393" s="5">
        <v>12.7</v>
      </c>
      <c r="K1393" s="6">
        <v>1.02</v>
      </c>
      <c r="L1393" s="4">
        <v>3</v>
      </c>
      <c r="M1393" s="4">
        <v>93</v>
      </c>
      <c r="N1393" s="4">
        <v>87</v>
      </c>
      <c r="O1393" s="4" t="s">
        <v>26</v>
      </c>
      <c r="P1393" s="7" t="s">
        <v>19</v>
      </c>
    </row>
    <row r="1394" spans="2:16" x14ac:dyDescent="0.45">
      <c r="B1394" s="4">
        <v>1393</v>
      </c>
      <c r="C1394" s="4" t="s">
        <v>45</v>
      </c>
      <c r="D1394" s="4" t="s">
        <v>16</v>
      </c>
      <c r="E1394" s="4" t="s">
        <v>35</v>
      </c>
      <c r="F1394" s="4" t="s">
        <v>42</v>
      </c>
      <c r="G1394" s="4" t="s">
        <v>30</v>
      </c>
      <c r="H1394" s="4" t="s">
        <v>28</v>
      </c>
      <c r="I1394" s="4">
        <v>0</v>
      </c>
      <c r="J1394" s="5">
        <v>8.9</v>
      </c>
      <c r="K1394" s="6">
        <v>0.98</v>
      </c>
      <c r="L1394" s="4">
        <v>0</v>
      </c>
      <c r="M1394" s="4">
        <v>98</v>
      </c>
      <c r="N1394" s="4">
        <v>98</v>
      </c>
      <c r="O1394" s="4" t="s">
        <v>26</v>
      </c>
      <c r="P1394" s="7" t="s">
        <v>19</v>
      </c>
    </row>
    <row r="1395" spans="2:16" x14ac:dyDescent="0.45">
      <c r="B1395" s="4">
        <v>1394</v>
      </c>
      <c r="C1395" s="4" t="s">
        <v>41</v>
      </c>
      <c r="D1395" s="4" t="s">
        <v>16</v>
      </c>
      <c r="E1395" s="4" t="s">
        <v>17</v>
      </c>
      <c r="F1395" s="4" t="s">
        <v>28</v>
      </c>
      <c r="G1395" s="4" t="s">
        <v>19</v>
      </c>
      <c r="H1395" s="4" t="s">
        <v>25</v>
      </c>
      <c r="I1395" s="4">
        <v>7</v>
      </c>
      <c r="J1395" s="5">
        <v>33</v>
      </c>
      <c r="K1395" s="6">
        <v>1.36</v>
      </c>
      <c r="L1395" s="4">
        <v>2</v>
      </c>
      <c r="M1395" s="4">
        <v>94</v>
      </c>
      <c r="N1395" s="4">
        <v>77</v>
      </c>
      <c r="O1395" s="4" t="s">
        <v>26</v>
      </c>
      <c r="P1395" s="7" t="s">
        <v>19</v>
      </c>
    </row>
    <row r="1396" spans="2:16" x14ac:dyDescent="0.45">
      <c r="B1396" s="4">
        <v>1395</v>
      </c>
      <c r="C1396" s="4" t="s">
        <v>27</v>
      </c>
      <c r="D1396" s="4" t="s">
        <v>16</v>
      </c>
      <c r="E1396" s="4" t="s">
        <v>17</v>
      </c>
      <c r="F1396" s="4" t="s">
        <v>42</v>
      </c>
      <c r="G1396" s="4" t="s">
        <v>19</v>
      </c>
      <c r="H1396" s="4" t="s">
        <v>34</v>
      </c>
      <c r="I1396" s="4">
        <v>22</v>
      </c>
      <c r="J1396" s="5">
        <v>46.1</v>
      </c>
      <c r="K1396" s="6">
        <v>1.58</v>
      </c>
      <c r="L1396" s="4">
        <v>1</v>
      </c>
      <c r="M1396" s="4">
        <v>108</v>
      </c>
      <c r="N1396" s="4">
        <v>101</v>
      </c>
      <c r="O1396" s="4" t="s">
        <v>21</v>
      </c>
      <c r="P1396" s="7" t="s">
        <v>19</v>
      </c>
    </row>
    <row r="1397" spans="2:16" x14ac:dyDescent="0.45">
      <c r="B1397" s="4">
        <v>1396</v>
      </c>
      <c r="C1397" s="4" t="s">
        <v>27</v>
      </c>
      <c r="D1397" s="4" t="s">
        <v>16</v>
      </c>
      <c r="E1397" s="4" t="s">
        <v>35</v>
      </c>
      <c r="F1397" s="4" t="s">
        <v>24</v>
      </c>
      <c r="G1397" s="4" t="s">
        <v>19</v>
      </c>
      <c r="H1397" s="4" t="s">
        <v>20</v>
      </c>
      <c r="I1397" s="4">
        <v>12</v>
      </c>
      <c r="J1397" s="5">
        <v>61</v>
      </c>
      <c r="K1397" s="6">
        <v>1.66</v>
      </c>
      <c r="L1397" s="4">
        <v>1</v>
      </c>
      <c r="M1397" s="4">
        <v>120</v>
      </c>
      <c r="N1397" s="4">
        <v>93</v>
      </c>
      <c r="O1397" s="4" t="s">
        <v>21</v>
      </c>
      <c r="P1397" s="7" t="s">
        <v>30</v>
      </c>
    </row>
    <row r="1398" spans="2:16" x14ac:dyDescent="0.45">
      <c r="B1398" s="4">
        <v>1397</v>
      </c>
      <c r="C1398" s="4" t="s">
        <v>41</v>
      </c>
      <c r="D1398" s="4" t="s">
        <v>16</v>
      </c>
      <c r="E1398" s="4" t="s">
        <v>17</v>
      </c>
      <c r="F1398" s="4" t="s">
        <v>28</v>
      </c>
      <c r="G1398" s="4" t="s">
        <v>19</v>
      </c>
      <c r="H1398" s="4" t="s">
        <v>34</v>
      </c>
      <c r="I1398" s="4">
        <v>21</v>
      </c>
      <c r="J1398" s="5">
        <v>61.9</v>
      </c>
      <c r="K1398" s="6">
        <v>1.73</v>
      </c>
      <c r="L1398" s="4">
        <v>1</v>
      </c>
      <c r="M1398" s="4">
        <v>105</v>
      </c>
      <c r="N1398" s="4">
        <v>76</v>
      </c>
      <c r="O1398" s="4" t="s">
        <v>21</v>
      </c>
      <c r="P1398" s="7" t="s">
        <v>19</v>
      </c>
    </row>
    <row r="1399" spans="2:16" x14ac:dyDescent="0.45">
      <c r="B1399" s="4">
        <v>1398</v>
      </c>
      <c r="C1399" s="4" t="s">
        <v>41</v>
      </c>
      <c r="D1399" s="4" t="s">
        <v>23</v>
      </c>
      <c r="E1399" s="4" t="s">
        <v>35</v>
      </c>
      <c r="F1399" s="4" t="s">
        <v>24</v>
      </c>
      <c r="G1399" s="4" t="s">
        <v>30</v>
      </c>
      <c r="H1399" s="4" t="s">
        <v>32</v>
      </c>
      <c r="I1399" s="4">
        <v>44</v>
      </c>
      <c r="J1399" s="5">
        <v>72.099999999999994</v>
      </c>
      <c r="K1399" s="6">
        <v>1.53</v>
      </c>
      <c r="L1399" s="4">
        <v>4</v>
      </c>
      <c r="M1399" s="4">
        <v>114</v>
      </c>
      <c r="N1399" s="4">
        <v>163</v>
      </c>
      <c r="O1399" s="4" t="s">
        <v>26</v>
      </c>
      <c r="P1399" s="7" t="s">
        <v>19</v>
      </c>
    </row>
    <row r="1400" spans="2:16" x14ac:dyDescent="0.45">
      <c r="B1400" s="4">
        <v>1399</v>
      </c>
      <c r="C1400" s="4" t="s">
        <v>22</v>
      </c>
      <c r="D1400" s="4" t="s">
        <v>16</v>
      </c>
      <c r="E1400" s="4" t="s">
        <v>37</v>
      </c>
      <c r="F1400" s="4" t="s">
        <v>18</v>
      </c>
      <c r="G1400" s="4" t="s">
        <v>30</v>
      </c>
      <c r="H1400" s="4" t="s">
        <v>28</v>
      </c>
      <c r="I1400" s="4">
        <v>45</v>
      </c>
      <c r="J1400" s="5">
        <v>87.7</v>
      </c>
      <c r="K1400" s="6">
        <v>1.74</v>
      </c>
      <c r="L1400" s="4">
        <v>5</v>
      </c>
      <c r="M1400" s="4">
        <v>135</v>
      </c>
      <c r="N1400" s="4">
        <v>71</v>
      </c>
      <c r="O1400" s="4" t="s">
        <v>21</v>
      </c>
      <c r="P1400" s="7" t="s">
        <v>30</v>
      </c>
    </row>
    <row r="1401" spans="2:16" x14ac:dyDescent="0.45">
      <c r="B1401" s="4">
        <v>1400</v>
      </c>
      <c r="C1401" s="4" t="s">
        <v>29</v>
      </c>
      <c r="D1401" s="4" t="s">
        <v>23</v>
      </c>
      <c r="E1401" s="4" t="s">
        <v>17</v>
      </c>
      <c r="F1401" s="4" t="s">
        <v>18</v>
      </c>
      <c r="G1401" s="4" t="s">
        <v>19</v>
      </c>
      <c r="H1401" s="4" t="s">
        <v>20</v>
      </c>
      <c r="I1401" s="4">
        <v>50</v>
      </c>
      <c r="J1401" s="5">
        <v>94.8</v>
      </c>
      <c r="K1401" s="6">
        <v>1.69</v>
      </c>
      <c r="L1401" s="4">
        <v>2</v>
      </c>
      <c r="M1401" s="4">
        <v>138</v>
      </c>
      <c r="N1401" s="4">
        <v>91</v>
      </c>
      <c r="O1401" s="4" t="s">
        <v>26</v>
      </c>
      <c r="P1401" s="7" t="s">
        <v>30</v>
      </c>
    </row>
    <row r="1402" spans="2:16" x14ac:dyDescent="0.45">
      <c r="B1402" s="4">
        <v>1401</v>
      </c>
      <c r="C1402" s="4" t="s">
        <v>43</v>
      </c>
      <c r="D1402" s="4" t="s">
        <v>16</v>
      </c>
      <c r="E1402" s="4" t="s">
        <v>35</v>
      </c>
      <c r="F1402" s="4" t="s">
        <v>18</v>
      </c>
      <c r="G1402" s="4" t="s">
        <v>19</v>
      </c>
      <c r="H1402" s="4" t="s">
        <v>38</v>
      </c>
      <c r="I1402" s="4">
        <v>0</v>
      </c>
      <c r="J1402" s="5">
        <v>15.9</v>
      </c>
      <c r="K1402" s="6">
        <v>0.99</v>
      </c>
      <c r="L1402" s="4">
        <v>1</v>
      </c>
      <c r="M1402" s="4">
        <v>101</v>
      </c>
      <c r="N1402" s="4">
        <v>102</v>
      </c>
      <c r="O1402" s="4" t="s">
        <v>26</v>
      </c>
      <c r="P1402" s="7" t="s">
        <v>19</v>
      </c>
    </row>
    <row r="1403" spans="2:16" x14ac:dyDescent="0.45">
      <c r="B1403" s="4">
        <v>1402</v>
      </c>
      <c r="C1403" s="4" t="s">
        <v>31</v>
      </c>
      <c r="D1403" s="4" t="s">
        <v>16</v>
      </c>
      <c r="E1403" s="4" t="s">
        <v>37</v>
      </c>
      <c r="F1403" s="4" t="s">
        <v>24</v>
      </c>
      <c r="G1403" s="4" t="s">
        <v>19</v>
      </c>
      <c r="H1403" s="4" t="s">
        <v>46</v>
      </c>
      <c r="I1403" s="4">
        <v>3</v>
      </c>
      <c r="J1403" s="5">
        <v>15.2</v>
      </c>
      <c r="K1403" s="6">
        <v>0.93</v>
      </c>
      <c r="L1403" s="4">
        <v>9</v>
      </c>
      <c r="M1403" s="4">
        <v>93</v>
      </c>
      <c r="N1403" s="4">
        <v>98</v>
      </c>
      <c r="O1403" s="4" t="s">
        <v>21</v>
      </c>
      <c r="P1403" s="7" t="s">
        <v>19</v>
      </c>
    </row>
    <row r="1404" spans="2:16" x14ac:dyDescent="0.45">
      <c r="B1404" s="4">
        <v>1403</v>
      </c>
      <c r="C1404" s="4" t="s">
        <v>40</v>
      </c>
      <c r="D1404" s="4" t="s">
        <v>23</v>
      </c>
      <c r="E1404" s="4" t="s">
        <v>17</v>
      </c>
      <c r="F1404" s="4" t="s">
        <v>18</v>
      </c>
      <c r="G1404" s="4" t="s">
        <v>30</v>
      </c>
      <c r="H1404" s="4" t="s">
        <v>38</v>
      </c>
      <c r="I1404" s="4">
        <v>14</v>
      </c>
      <c r="J1404" s="5">
        <v>60.1</v>
      </c>
      <c r="K1404" s="6">
        <v>1.67</v>
      </c>
      <c r="L1404" s="4">
        <v>4</v>
      </c>
      <c r="M1404" s="4">
        <v>107</v>
      </c>
      <c r="N1404" s="4">
        <v>91</v>
      </c>
      <c r="O1404" s="4" t="s">
        <v>26</v>
      </c>
      <c r="P1404" s="7" t="s">
        <v>19</v>
      </c>
    </row>
    <row r="1405" spans="2:16" x14ac:dyDescent="0.45">
      <c r="B1405" s="4">
        <v>1404</v>
      </c>
      <c r="C1405" s="4" t="s">
        <v>31</v>
      </c>
      <c r="D1405" s="4" t="s">
        <v>23</v>
      </c>
      <c r="E1405" s="4" t="s">
        <v>17</v>
      </c>
      <c r="F1405" s="4" t="s">
        <v>24</v>
      </c>
      <c r="G1405" s="4" t="s">
        <v>19</v>
      </c>
      <c r="H1405" s="4" t="s">
        <v>25</v>
      </c>
      <c r="I1405" s="4">
        <v>46</v>
      </c>
      <c r="J1405" s="5">
        <v>51.4</v>
      </c>
      <c r="K1405" s="6">
        <v>1.83</v>
      </c>
      <c r="L1405" s="4">
        <v>2</v>
      </c>
      <c r="M1405" s="4">
        <v>129</v>
      </c>
      <c r="N1405" s="4">
        <v>98</v>
      </c>
      <c r="O1405" s="4" t="s">
        <v>26</v>
      </c>
      <c r="P1405" s="7" t="s">
        <v>30</v>
      </c>
    </row>
    <row r="1406" spans="2:16" x14ac:dyDescent="0.45">
      <c r="B1406" s="4">
        <v>1405</v>
      </c>
      <c r="C1406" s="4" t="s">
        <v>40</v>
      </c>
      <c r="D1406" s="4" t="s">
        <v>16</v>
      </c>
      <c r="E1406" s="4" t="s">
        <v>35</v>
      </c>
      <c r="F1406" s="4" t="s">
        <v>18</v>
      </c>
      <c r="G1406" s="4" t="s">
        <v>19</v>
      </c>
      <c r="H1406" s="4" t="s">
        <v>34</v>
      </c>
      <c r="I1406" s="4">
        <v>11</v>
      </c>
      <c r="J1406" s="5">
        <v>22</v>
      </c>
      <c r="K1406" s="6">
        <v>1.24</v>
      </c>
      <c r="L1406" s="4">
        <v>1</v>
      </c>
      <c r="M1406" s="4">
        <v>101</v>
      </c>
      <c r="N1406" s="4">
        <v>91</v>
      </c>
      <c r="O1406" s="4" t="s">
        <v>21</v>
      </c>
      <c r="P1406" s="7" t="s">
        <v>19</v>
      </c>
    </row>
    <row r="1407" spans="2:16" x14ac:dyDescent="0.45">
      <c r="B1407" s="4">
        <v>1406</v>
      </c>
      <c r="C1407" s="4" t="s">
        <v>29</v>
      </c>
      <c r="D1407" s="4" t="s">
        <v>23</v>
      </c>
      <c r="E1407" s="4" t="s">
        <v>17</v>
      </c>
      <c r="F1407" s="4" t="s">
        <v>24</v>
      </c>
      <c r="G1407" s="4" t="s">
        <v>19</v>
      </c>
      <c r="H1407" s="4" t="s">
        <v>36</v>
      </c>
      <c r="I1407" s="4">
        <v>57</v>
      </c>
      <c r="J1407" s="5">
        <v>48.4</v>
      </c>
      <c r="K1407" s="6">
        <v>1.74</v>
      </c>
      <c r="L1407" s="4">
        <v>6</v>
      </c>
      <c r="M1407" s="4">
        <v>126</v>
      </c>
      <c r="N1407" s="4">
        <v>81</v>
      </c>
      <c r="O1407" s="4" t="s">
        <v>26</v>
      </c>
      <c r="P1407" s="7" t="s">
        <v>19</v>
      </c>
    </row>
    <row r="1408" spans="2:16" x14ac:dyDescent="0.45">
      <c r="B1408" s="4">
        <v>1407</v>
      </c>
      <c r="C1408" s="4" t="s">
        <v>33</v>
      </c>
      <c r="D1408" s="4" t="s">
        <v>16</v>
      </c>
      <c r="E1408" s="4" t="s">
        <v>35</v>
      </c>
      <c r="F1408" s="4" t="s">
        <v>18</v>
      </c>
      <c r="G1408" s="4" t="s">
        <v>19</v>
      </c>
      <c r="H1408" s="4" t="s">
        <v>20</v>
      </c>
      <c r="I1408" s="4">
        <v>7</v>
      </c>
      <c r="J1408" s="5">
        <v>20.7</v>
      </c>
      <c r="K1408" s="6">
        <v>1.21</v>
      </c>
      <c r="L1408" s="4">
        <v>2</v>
      </c>
      <c r="M1408" s="4">
        <v>119</v>
      </c>
      <c r="N1408" s="4">
        <v>99</v>
      </c>
      <c r="O1408" s="4" t="s">
        <v>26</v>
      </c>
      <c r="P1408" s="7" t="s">
        <v>30</v>
      </c>
    </row>
    <row r="1409" spans="2:16" x14ac:dyDescent="0.45">
      <c r="B1409" s="4">
        <v>1408</v>
      </c>
      <c r="C1409" s="4" t="s">
        <v>31</v>
      </c>
      <c r="D1409" s="4" t="s">
        <v>16</v>
      </c>
      <c r="E1409" s="4" t="s">
        <v>35</v>
      </c>
      <c r="F1409" s="4" t="s">
        <v>24</v>
      </c>
      <c r="G1409" s="4" t="s">
        <v>30</v>
      </c>
      <c r="H1409" s="4" t="s">
        <v>20</v>
      </c>
      <c r="I1409" s="4">
        <v>0</v>
      </c>
      <c r="J1409" s="5">
        <v>17.100000000000001</v>
      </c>
      <c r="K1409" s="6">
        <v>1.01</v>
      </c>
      <c r="L1409" s="4">
        <v>0</v>
      </c>
      <c r="M1409" s="4">
        <v>110</v>
      </c>
      <c r="N1409" s="4">
        <v>88</v>
      </c>
      <c r="O1409" s="4" t="s">
        <v>21</v>
      </c>
      <c r="P1409" s="7" t="s">
        <v>19</v>
      </c>
    </row>
    <row r="1410" spans="2:16" x14ac:dyDescent="0.45">
      <c r="B1410" s="4">
        <v>1409</v>
      </c>
      <c r="C1410" s="4" t="s">
        <v>45</v>
      </c>
      <c r="D1410" s="4" t="s">
        <v>23</v>
      </c>
      <c r="E1410" s="4" t="s">
        <v>17</v>
      </c>
      <c r="F1410" s="4" t="s">
        <v>28</v>
      </c>
      <c r="G1410" s="4" t="s">
        <v>19</v>
      </c>
      <c r="H1410" s="4" t="s">
        <v>28</v>
      </c>
      <c r="I1410" s="4">
        <v>37</v>
      </c>
      <c r="J1410" s="5">
        <v>53.5</v>
      </c>
      <c r="K1410" s="6">
        <v>1.69</v>
      </c>
      <c r="L1410" s="4">
        <v>4</v>
      </c>
      <c r="M1410" s="4">
        <v>121</v>
      </c>
      <c r="N1410" s="4">
        <v>73</v>
      </c>
      <c r="O1410" s="4" t="s">
        <v>21</v>
      </c>
      <c r="P1410" s="7" t="s">
        <v>30</v>
      </c>
    </row>
    <row r="1411" spans="2:16" x14ac:dyDescent="0.45">
      <c r="B1411" s="4">
        <v>1410</v>
      </c>
      <c r="C1411" s="4" t="s">
        <v>27</v>
      </c>
      <c r="D1411" s="4" t="s">
        <v>16</v>
      </c>
      <c r="E1411" s="4" t="s">
        <v>35</v>
      </c>
      <c r="F1411" s="4" t="s">
        <v>18</v>
      </c>
      <c r="G1411" s="4" t="s">
        <v>19</v>
      </c>
      <c r="H1411" s="4" t="s">
        <v>20</v>
      </c>
      <c r="I1411" s="4">
        <v>6</v>
      </c>
      <c r="J1411" s="5">
        <v>37.1</v>
      </c>
      <c r="K1411" s="6">
        <v>1.41</v>
      </c>
      <c r="L1411" s="4">
        <v>6</v>
      </c>
      <c r="M1411" s="4">
        <v>113</v>
      </c>
      <c r="N1411" s="4">
        <v>91</v>
      </c>
      <c r="O1411" s="4" t="s">
        <v>26</v>
      </c>
      <c r="P1411" s="7" t="s">
        <v>19</v>
      </c>
    </row>
    <row r="1412" spans="2:16" x14ac:dyDescent="0.45">
      <c r="B1412" s="4">
        <v>1411</v>
      </c>
      <c r="C1412" s="4" t="s">
        <v>41</v>
      </c>
      <c r="D1412" s="4" t="s">
        <v>23</v>
      </c>
      <c r="E1412" s="4" t="s">
        <v>35</v>
      </c>
      <c r="F1412" s="4" t="s">
        <v>18</v>
      </c>
      <c r="G1412" s="4" t="s">
        <v>19</v>
      </c>
      <c r="H1412" s="4" t="s">
        <v>25</v>
      </c>
      <c r="I1412" s="4">
        <v>28</v>
      </c>
      <c r="J1412" s="5">
        <v>64.2</v>
      </c>
      <c r="K1412" s="6">
        <v>1.76</v>
      </c>
      <c r="L1412" s="4">
        <v>3</v>
      </c>
      <c r="M1412" s="4">
        <v>110</v>
      </c>
      <c r="N1412" s="4">
        <v>85</v>
      </c>
      <c r="O1412" s="4" t="s">
        <v>26</v>
      </c>
      <c r="P1412" s="7" t="s">
        <v>19</v>
      </c>
    </row>
    <row r="1413" spans="2:16" x14ac:dyDescent="0.45">
      <c r="B1413" s="4">
        <v>1412</v>
      </c>
      <c r="C1413" s="4" t="s">
        <v>45</v>
      </c>
      <c r="D1413" s="4" t="s">
        <v>16</v>
      </c>
      <c r="E1413" s="4" t="s">
        <v>17</v>
      </c>
      <c r="F1413" s="4" t="s">
        <v>24</v>
      </c>
      <c r="G1413" s="4" t="s">
        <v>19</v>
      </c>
      <c r="H1413" s="4" t="s">
        <v>36</v>
      </c>
      <c r="I1413" s="4">
        <v>22</v>
      </c>
      <c r="J1413" s="5">
        <v>57.7</v>
      </c>
      <c r="K1413" s="6">
        <v>1.62</v>
      </c>
      <c r="L1413" s="4">
        <v>2</v>
      </c>
      <c r="M1413" s="4">
        <v>117</v>
      </c>
      <c r="N1413" s="4">
        <v>87</v>
      </c>
      <c r="O1413" s="4" t="s">
        <v>26</v>
      </c>
      <c r="P1413" s="7" t="s">
        <v>19</v>
      </c>
    </row>
    <row r="1414" spans="2:16" x14ac:dyDescent="0.45">
      <c r="B1414" s="4">
        <v>1413</v>
      </c>
      <c r="C1414" s="4" t="s">
        <v>41</v>
      </c>
      <c r="D1414" s="4" t="s">
        <v>23</v>
      </c>
      <c r="E1414" s="4" t="s">
        <v>35</v>
      </c>
      <c r="F1414" s="4" t="s">
        <v>24</v>
      </c>
      <c r="G1414" s="4" t="s">
        <v>30</v>
      </c>
      <c r="H1414" s="4" t="s">
        <v>20</v>
      </c>
      <c r="I1414" s="4">
        <v>23</v>
      </c>
      <c r="J1414" s="5">
        <v>46.2</v>
      </c>
      <c r="K1414" s="6">
        <v>1.58</v>
      </c>
      <c r="L1414" s="4">
        <v>4</v>
      </c>
      <c r="M1414" s="4">
        <v>129</v>
      </c>
      <c r="N1414" s="4">
        <v>90</v>
      </c>
      <c r="O1414" s="4" t="s">
        <v>26</v>
      </c>
      <c r="P1414" s="7" t="s">
        <v>30</v>
      </c>
    </row>
    <row r="1415" spans="2:16" x14ac:dyDescent="0.45">
      <c r="B1415" s="4">
        <v>1414</v>
      </c>
      <c r="C1415" s="4" t="s">
        <v>29</v>
      </c>
      <c r="D1415" s="4" t="s">
        <v>16</v>
      </c>
      <c r="E1415" s="4" t="s">
        <v>44</v>
      </c>
      <c r="F1415" s="4" t="s">
        <v>24</v>
      </c>
      <c r="G1415" s="4" t="s">
        <v>19</v>
      </c>
      <c r="H1415" s="4" t="s">
        <v>20</v>
      </c>
      <c r="I1415" s="4">
        <v>18</v>
      </c>
      <c r="J1415" s="5">
        <v>75.3</v>
      </c>
      <c r="K1415" s="6">
        <v>1.87</v>
      </c>
      <c r="L1415" s="4">
        <v>1</v>
      </c>
      <c r="M1415" s="4">
        <v>120</v>
      </c>
      <c r="N1415" s="4">
        <v>85</v>
      </c>
      <c r="O1415" s="4" t="s">
        <v>26</v>
      </c>
      <c r="P1415" s="7" t="s">
        <v>19</v>
      </c>
    </row>
    <row r="1416" spans="2:16" x14ac:dyDescent="0.45">
      <c r="B1416" s="4">
        <v>1415</v>
      </c>
      <c r="C1416" s="4" t="s">
        <v>27</v>
      </c>
      <c r="D1416" s="4" t="s">
        <v>23</v>
      </c>
      <c r="E1416" s="4" t="s">
        <v>35</v>
      </c>
      <c r="F1416" s="4" t="s">
        <v>18</v>
      </c>
      <c r="G1416" s="4" t="s">
        <v>30</v>
      </c>
      <c r="H1416" s="4" t="s">
        <v>28</v>
      </c>
      <c r="I1416" s="4">
        <v>33</v>
      </c>
      <c r="J1416" s="5">
        <v>83.2</v>
      </c>
      <c r="K1416" s="6">
        <v>1.61</v>
      </c>
      <c r="L1416" s="4">
        <v>3</v>
      </c>
      <c r="M1416" s="4">
        <v>110</v>
      </c>
      <c r="N1416" s="4">
        <v>94</v>
      </c>
      <c r="O1416" s="4" t="s">
        <v>21</v>
      </c>
      <c r="P1416" s="7" t="s">
        <v>19</v>
      </c>
    </row>
    <row r="1417" spans="2:16" x14ac:dyDescent="0.45">
      <c r="B1417" s="4">
        <v>1416</v>
      </c>
      <c r="C1417" s="4" t="s">
        <v>22</v>
      </c>
      <c r="D1417" s="4" t="s">
        <v>16</v>
      </c>
      <c r="E1417" s="4" t="s">
        <v>35</v>
      </c>
      <c r="F1417" s="4" t="s">
        <v>24</v>
      </c>
      <c r="G1417" s="4" t="s">
        <v>19</v>
      </c>
      <c r="H1417" s="4" t="s">
        <v>34</v>
      </c>
      <c r="I1417" s="4">
        <v>11</v>
      </c>
      <c r="J1417" s="5">
        <v>33.6</v>
      </c>
      <c r="K1417" s="6">
        <v>1.39</v>
      </c>
      <c r="L1417" s="4">
        <v>8</v>
      </c>
      <c r="M1417" s="4">
        <v>117</v>
      </c>
      <c r="N1417" s="4">
        <v>79</v>
      </c>
      <c r="O1417" s="4" t="s">
        <v>26</v>
      </c>
      <c r="P1417" s="7" t="s">
        <v>19</v>
      </c>
    </row>
    <row r="1418" spans="2:16" x14ac:dyDescent="0.45">
      <c r="B1418" s="4">
        <v>1417</v>
      </c>
      <c r="C1418" s="4" t="s">
        <v>27</v>
      </c>
      <c r="D1418" s="4" t="s">
        <v>23</v>
      </c>
      <c r="E1418" s="4" t="s">
        <v>37</v>
      </c>
      <c r="F1418" s="4" t="s">
        <v>24</v>
      </c>
      <c r="G1418" s="4" t="s">
        <v>19</v>
      </c>
      <c r="H1418" s="4" t="s">
        <v>36</v>
      </c>
      <c r="I1418" s="4">
        <v>4</v>
      </c>
      <c r="J1418" s="5">
        <v>8.6</v>
      </c>
      <c r="K1418" s="6">
        <v>0.67</v>
      </c>
      <c r="L1418" s="4">
        <v>1</v>
      </c>
      <c r="M1418" s="4">
        <v>127</v>
      </c>
      <c r="N1418" s="4">
        <v>91</v>
      </c>
      <c r="O1418" s="4" t="s">
        <v>26</v>
      </c>
      <c r="P1418" s="7" t="s">
        <v>19</v>
      </c>
    </row>
    <row r="1419" spans="2:16" x14ac:dyDescent="0.45">
      <c r="B1419" s="4">
        <v>1418</v>
      </c>
      <c r="C1419" s="4" t="s">
        <v>40</v>
      </c>
      <c r="D1419" s="4" t="s">
        <v>23</v>
      </c>
      <c r="E1419" s="4" t="s">
        <v>17</v>
      </c>
      <c r="F1419" s="4" t="s">
        <v>24</v>
      </c>
      <c r="G1419" s="4" t="s">
        <v>19</v>
      </c>
      <c r="H1419" s="4" t="s">
        <v>28</v>
      </c>
      <c r="I1419" s="4">
        <v>74</v>
      </c>
      <c r="J1419" s="5">
        <v>88.9</v>
      </c>
      <c r="K1419" s="6">
        <v>1.84</v>
      </c>
      <c r="L1419" s="4">
        <v>3</v>
      </c>
      <c r="M1419" s="4">
        <v>137</v>
      </c>
      <c r="N1419" s="4">
        <v>102</v>
      </c>
      <c r="O1419" s="4" t="s">
        <v>26</v>
      </c>
      <c r="P1419" s="7" t="s">
        <v>19</v>
      </c>
    </row>
    <row r="1420" spans="2:16" x14ac:dyDescent="0.45">
      <c r="B1420" s="4">
        <v>1419</v>
      </c>
      <c r="C1420" s="4" t="s">
        <v>22</v>
      </c>
      <c r="D1420" s="4" t="s">
        <v>23</v>
      </c>
      <c r="E1420" s="4" t="s">
        <v>37</v>
      </c>
      <c r="F1420" s="4" t="s">
        <v>24</v>
      </c>
      <c r="G1420" s="4" t="s">
        <v>19</v>
      </c>
      <c r="H1420" s="4" t="s">
        <v>32</v>
      </c>
      <c r="I1420" s="4">
        <v>20</v>
      </c>
      <c r="J1420" s="5">
        <v>85.4</v>
      </c>
      <c r="K1420" s="6">
        <v>1.87</v>
      </c>
      <c r="L1420" s="4">
        <v>0</v>
      </c>
      <c r="M1420" s="4">
        <v>116</v>
      </c>
      <c r="N1420" s="4">
        <v>157</v>
      </c>
      <c r="O1420" s="4" t="s">
        <v>26</v>
      </c>
      <c r="P1420" s="7" t="s">
        <v>30</v>
      </c>
    </row>
    <row r="1421" spans="2:16" x14ac:dyDescent="0.45">
      <c r="B1421" s="4">
        <v>1420</v>
      </c>
      <c r="C1421" s="4" t="s">
        <v>22</v>
      </c>
      <c r="D1421" s="4" t="s">
        <v>16</v>
      </c>
      <c r="E1421" s="4" t="s">
        <v>35</v>
      </c>
      <c r="F1421" s="4" t="s">
        <v>28</v>
      </c>
      <c r="G1421" s="4" t="s">
        <v>19</v>
      </c>
      <c r="H1421" s="4" t="s">
        <v>38</v>
      </c>
      <c r="I1421" s="4">
        <v>22</v>
      </c>
      <c r="J1421" s="5">
        <v>72.400000000000006</v>
      </c>
      <c r="K1421" s="6">
        <v>1.53</v>
      </c>
      <c r="L1421" s="4">
        <v>4</v>
      </c>
      <c r="M1421" s="4">
        <v>121</v>
      </c>
      <c r="N1421" s="4">
        <v>99</v>
      </c>
      <c r="O1421" s="4" t="s">
        <v>26</v>
      </c>
      <c r="P1421" s="7" t="s">
        <v>19</v>
      </c>
    </row>
    <row r="1422" spans="2:16" x14ac:dyDescent="0.45">
      <c r="B1422" s="4">
        <v>1421</v>
      </c>
      <c r="C1422" s="4" t="s">
        <v>41</v>
      </c>
      <c r="D1422" s="4" t="s">
        <v>16</v>
      </c>
      <c r="E1422" s="4" t="s">
        <v>35</v>
      </c>
      <c r="F1422" s="4" t="s">
        <v>18</v>
      </c>
      <c r="G1422" s="4" t="s">
        <v>19</v>
      </c>
      <c r="H1422" s="4" t="s">
        <v>34</v>
      </c>
      <c r="I1422" s="4">
        <v>51</v>
      </c>
      <c r="J1422" s="5">
        <v>73.900000000000006</v>
      </c>
      <c r="K1422" s="6">
        <v>1.56</v>
      </c>
      <c r="L1422" s="4">
        <v>2</v>
      </c>
      <c r="M1422" s="4">
        <v>129</v>
      </c>
      <c r="N1422" s="4">
        <v>87</v>
      </c>
      <c r="O1422" s="4" t="s">
        <v>26</v>
      </c>
      <c r="P1422" s="7" t="s">
        <v>19</v>
      </c>
    </row>
    <row r="1423" spans="2:16" x14ac:dyDescent="0.45">
      <c r="B1423" s="4">
        <v>1422</v>
      </c>
      <c r="C1423" s="4" t="s">
        <v>22</v>
      </c>
      <c r="D1423" s="4" t="s">
        <v>16</v>
      </c>
      <c r="E1423" s="4" t="s">
        <v>17</v>
      </c>
      <c r="F1423" s="4" t="s">
        <v>18</v>
      </c>
      <c r="G1423" s="4" t="s">
        <v>19</v>
      </c>
      <c r="H1423" s="4" t="s">
        <v>38</v>
      </c>
      <c r="I1423" s="4">
        <v>7</v>
      </c>
      <c r="J1423" s="5">
        <v>37.299999999999997</v>
      </c>
      <c r="K1423" s="6">
        <v>1.23</v>
      </c>
      <c r="L1423" s="4">
        <v>1</v>
      </c>
      <c r="M1423" s="4">
        <v>98</v>
      </c>
      <c r="N1423" s="4">
        <v>97</v>
      </c>
      <c r="O1423" s="4" t="s">
        <v>26</v>
      </c>
      <c r="P1423" s="7" t="s">
        <v>19</v>
      </c>
    </row>
    <row r="1424" spans="2:16" x14ac:dyDescent="0.45">
      <c r="B1424" s="4">
        <v>1423</v>
      </c>
      <c r="C1424" s="4" t="s">
        <v>33</v>
      </c>
      <c r="D1424" s="4" t="s">
        <v>16</v>
      </c>
      <c r="E1424" s="4" t="s">
        <v>17</v>
      </c>
      <c r="F1424" s="4" t="s">
        <v>28</v>
      </c>
      <c r="G1424" s="4" t="s">
        <v>19</v>
      </c>
      <c r="H1424" s="4" t="s">
        <v>34</v>
      </c>
      <c r="I1424" s="4">
        <v>13</v>
      </c>
      <c r="J1424" s="5">
        <v>46.5</v>
      </c>
      <c r="K1424" s="6">
        <v>1.7</v>
      </c>
      <c r="L1424" s="4">
        <v>3</v>
      </c>
      <c r="M1424" s="4">
        <v>106</v>
      </c>
      <c r="N1424" s="4">
        <v>89</v>
      </c>
      <c r="O1424" s="4" t="s">
        <v>26</v>
      </c>
      <c r="P1424" s="7" t="s">
        <v>19</v>
      </c>
    </row>
    <row r="1425" spans="2:16" x14ac:dyDescent="0.45">
      <c r="B1425" s="4">
        <v>1424</v>
      </c>
      <c r="C1425" s="4" t="s">
        <v>41</v>
      </c>
      <c r="D1425" s="4" t="s">
        <v>23</v>
      </c>
      <c r="E1425" s="4" t="s">
        <v>17</v>
      </c>
      <c r="F1425" s="4" t="s">
        <v>18</v>
      </c>
      <c r="G1425" s="4" t="s">
        <v>19</v>
      </c>
      <c r="H1425" s="4" t="s">
        <v>28</v>
      </c>
      <c r="I1425" s="4">
        <v>37</v>
      </c>
      <c r="J1425" s="5">
        <v>45.3</v>
      </c>
      <c r="K1425" s="6">
        <v>1.57</v>
      </c>
      <c r="L1425" s="4">
        <v>1</v>
      </c>
      <c r="M1425" s="4">
        <v>118</v>
      </c>
      <c r="N1425" s="4">
        <v>101</v>
      </c>
      <c r="O1425" s="4" t="s">
        <v>26</v>
      </c>
      <c r="P1425" s="7" t="s">
        <v>30</v>
      </c>
    </row>
    <row r="1426" spans="2:16" x14ac:dyDescent="0.45">
      <c r="B1426" s="4">
        <v>1425</v>
      </c>
      <c r="C1426" s="4" t="s">
        <v>22</v>
      </c>
      <c r="D1426" s="4" t="s">
        <v>23</v>
      </c>
      <c r="E1426" s="4" t="s">
        <v>35</v>
      </c>
      <c r="F1426" s="4" t="s">
        <v>42</v>
      </c>
      <c r="G1426" s="4" t="s">
        <v>19</v>
      </c>
      <c r="H1426" s="4" t="s">
        <v>25</v>
      </c>
      <c r="I1426" s="4">
        <v>24</v>
      </c>
      <c r="J1426" s="5">
        <v>74.400000000000006</v>
      </c>
      <c r="K1426" s="6">
        <v>1.67</v>
      </c>
      <c r="L1426" s="4">
        <v>7</v>
      </c>
      <c r="M1426" s="4">
        <v>97</v>
      </c>
      <c r="N1426" s="4">
        <v>98</v>
      </c>
      <c r="O1426" s="4" t="s">
        <v>26</v>
      </c>
      <c r="P1426" s="7" t="s">
        <v>19</v>
      </c>
    </row>
    <row r="1427" spans="2:16" x14ac:dyDescent="0.45">
      <c r="B1427" s="4">
        <v>1426</v>
      </c>
      <c r="C1427" s="4" t="s">
        <v>39</v>
      </c>
      <c r="D1427" s="4" t="s">
        <v>16</v>
      </c>
      <c r="E1427" s="4" t="s">
        <v>17</v>
      </c>
      <c r="F1427" s="4" t="s">
        <v>28</v>
      </c>
      <c r="G1427" s="4" t="s">
        <v>19</v>
      </c>
      <c r="H1427" s="4" t="s">
        <v>32</v>
      </c>
      <c r="I1427" s="4">
        <v>5</v>
      </c>
      <c r="J1427" s="5">
        <v>24.1</v>
      </c>
      <c r="K1427" s="6">
        <v>1.07</v>
      </c>
      <c r="L1427" s="4">
        <v>2</v>
      </c>
      <c r="M1427" s="4">
        <v>114</v>
      </c>
      <c r="N1427" s="4">
        <v>152</v>
      </c>
      <c r="O1427" s="4" t="s">
        <v>26</v>
      </c>
      <c r="P1427" s="7" t="s">
        <v>19</v>
      </c>
    </row>
    <row r="1428" spans="2:16" x14ac:dyDescent="0.45">
      <c r="B1428" s="4">
        <v>1427</v>
      </c>
      <c r="C1428" s="4" t="s">
        <v>33</v>
      </c>
      <c r="D1428" s="4" t="s">
        <v>23</v>
      </c>
      <c r="E1428" s="4" t="s">
        <v>35</v>
      </c>
      <c r="F1428" s="4" t="s">
        <v>24</v>
      </c>
      <c r="G1428" s="4" t="s">
        <v>19</v>
      </c>
      <c r="H1428" s="4" t="s">
        <v>32</v>
      </c>
      <c r="I1428" s="4">
        <v>39</v>
      </c>
      <c r="J1428" s="5">
        <v>79.099999999999994</v>
      </c>
      <c r="K1428" s="6">
        <v>1.65</v>
      </c>
      <c r="L1428" s="4">
        <v>2</v>
      </c>
      <c r="M1428" s="4">
        <v>110</v>
      </c>
      <c r="N1428" s="4">
        <v>142</v>
      </c>
      <c r="O1428" s="4" t="s">
        <v>26</v>
      </c>
      <c r="P1428" s="7" t="s">
        <v>19</v>
      </c>
    </row>
    <row r="1429" spans="2:16" x14ac:dyDescent="0.45">
      <c r="B1429" s="4">
        <v>1428</v>
      </c>
      <c r="C1429" s="4" t="s">
        <v>27</v>
      </c>
      <c r="D1429" s="4" t="s">
        <v>16</v>
      </c>
      <c r="E1429" s="4" t="s">
        <v>35</v>
      </c>
      <c r="F1429" s="4" t="s">
        <v>24</v>
      </c>
      <c r="G1429" s="4" t="s">
        <v>19</v>
      </c>
      <c r="H1429" s="4" t="s">
        <v>46</v>
      </c>
      <c r="I1429" s="4">
        <v>14</v>
      </c>
      <c r="J1429" s="5">
        <v>41.8</v>
      </c>
      <c r="K1429" s="6">
        <v>1.47</v>
      </c>
      <c r="L1429" s="4">
        <v>1</v>
      </c>
      <c r="M1429" s="4">
        <v>96</v>
      </c>
      <c r="N1429" s="4">
        <v>93</v>
      </c>
      <c r="O1429" s="4" t="s">
        <v>26</v>
      </c>
      <c r="P1429" s="7" t="s">
        <v>19</v>
      </c>
    </row>
    <row r="1430" spans="2:16" x14ac:dyDescent="0.45">
      <c r="B1430" s="4">
        <v>1429</v>
      </c>
      <c r="C1430" s="4" t="s">
        <v>33</v>
      </c>
      <c r="D1430" s="4" t="s">
        <v>16</v>
      </c>
      <c r="E1430" s="4" t="s">
        <v>17</v>
      </c>
      <c r="F1430" s="4" t="s">
        <v>24</v>
      </c>
      <c r="G1430" s="4" t="s">
        <v>19</v>
      </c>
      <c r="H1430" s="4" t="s">
        <v>20</v>
      </c>
      <c r="I1430" s="4">
        <v>14</v>
      </c>
      <c r="J1430" s="5">
        <v>47.9</v>
      </c>
      <c r="K1430" s="6">
        <v>1.61</v>
      </c>
      <c r="L1430" s="4">
        <v>0</v>
      </c>
      <c r="M1430" s="4">
        <v>103</v>
      </c>
      <c r="N1430" s="4">
        <v>99</v>
      </c>
      <c r="O1430" s="4" t="s">
        <v>26</v>
      </c>
      <c r="P1430" s="7" t="s">
        <v>19</v>
      </c>
    </row>
    <row r="1431" spans="2:16" x14ac:dyDescent="0.45">
      <c r="B1431" s="4">
        <v>1430</v>
      </c>
      <c r="C1431" s="4" t="s">
        <v>22</v>
      </c>
      <c r="D1431" s="4" t="s">
        <v>16</v>
      </c>
      <c r="E1431" s="4" t="s">
        <v>35</v>
      </c>
      <c r="F1431" s="4" t="s">
        <v>24</v>
      </c>
      <c r="G1431" s="4" t="s">
        <v>30</v>
      </c>
      <c r="H1431" s="4" t="s">
        <v>38</v>
      </c>
      <c r="I1431" s="4">
        <v>90</v>
      </c>
      <c r="J1431" s="5">
        <v>69.5</v>
      </c>
      <c r="K1431" s="6">
        <v>1.58</v>
      </c>
      <c r="L1431" s="4">
        <v>2</v>
      </c>
      <c r="M1431" s="4">
        <v>126</v>
      </c>
      <c r="N1431" s="4">
        <v>80</v>
      </c>
      <c r="O1431" s="4" t="s">
        <v>21</v>
      </c>
      <c r="P1431" s="7" t="s">
        <v>19</v>
      </c>
    </row>
    <row r="1432" spans="2:16" x14ac:dyDescent="0.45">
      <c r="B1432" s="4">
        <v>1431</v>
      </c>
      <c r="C1432" s="4" t="s">
        <v>43</v>
      </c>
      <c r="D1432" s="4" t="s">
        <v>23</v>
      </c>
      <c r="E1432" s="4" t="s">
        <v>44</v>
      </c>
      <c r="F1432" s="4" t="s">
        <v>42</v>
      </c>
      <c r="G1432" s="4" t="s">
        <v>19</v>
      </c>
      <c r="H1432" s="4" t="s">
        <v>32</v>
      </c>
      <c r="I1432" s="4">
        <v>36</v>
      </c>
      <c r="J1432" s="5">
        <v>75</v>
      </c>
      <c r="K1432" s="6">
        <v>1.63</v>
      </c>
      <c r="L1432" s="4">
        <v>5</v>
      </c>
      <c r="M1432" s="4">
        <v>122</v>
      </c>
      <c r="N1432" s="4">
        <v>159</v>
      </c>
      <c r="O1432" s="4" t="s">
        <v>26</v>
      </c>
      <c r="P1432" s="7" t="s">
        <v>30</v>
      </c>
    </row>
    <row r="1433" spans="2:16" x14ac:dyDescent="0.45">
      <c r="B1433" s="4">
        <v>1432</v>
      </c>
      <c r="C1433" s="4" t="s">
        <v>33</v>
      </c>
      <c r="D1433" s="4" t="s">
        <v>23</v>
      </c>
      <c r="E1433" s="4" t="s">
        <v>17</v>
      </c>
      <c r="F1433" s="4" t="s">
        <v>24</v>
      </c>
      <c r="G1433" s="4" t="s">
        <v>19</v>
      </c>
      <c r="H1433" s="4" t="s">
        <v>34</v>
      </c>
      <c r="I1433" s="4">
        <v>44</v>
      </c>
      <c r="J1433" s="5">
        <v>93.9</v>
      </c>
      <c r="K1433" s="6">
        <v>1.48</v>
      </c>
      <c r="L1433" s="4">
        <v>9</v>
      </c>
      <c r="M1433" s="4">
        <v>119</v>
      </c>
      <c r="N1433" s="4">
        <v>97</v>
      </c>
      <c r="O1433" s="4" t="s">
        <v>21</v>
      </c>
      <c r="P1433" s="7" t="s">
        <v>30</v>
      </c>
    </row>
    <row r="1434" spans="2:16" x14ac:dyDescent="0.45">
      <c r="B1434" s="4">
        <v>1433</v>
      </c>
      <c r="C1434" s="4" t="s">
        <v>40</v>
      </c>
      <c r="D1434" s="4" t="s">
        <v>16</v>
      </c>
      <c r="E1434" s="4" t="s">
        <v>44</v>
      </c>
      <c r="F1434" s="4" t="s">
        <v>28</v>
      </c>
      <c r="G1434" s="4" t="s">
        <v>19</v>
      </c>
      <c r="H1434" s="4" t="s">
        <v>34</v>
      </c>
      <c r="I1434" s="4">
        <v>7</v>
      </c>
      <c r="J1434" s="5">
        <v>34</v>
      </c>
      <c r="K1434" s="6">
        <v>1.07</v>
      </c>
      <c r="L1434" s="4">
        <v>2</v>
      </c>
      <c r="M1434" s="4">
        <v>112</v>
      </c>
      <c r="N1434" s="4">
        <v>102</v>
      </c>
      <c r="O1434" s="4" t="s">
        <v>26</v>
      </c>
      <c r="P1434" s="7" t="s">
        <v>19</v>
      </c>
    </row>
    <row r="1435" spans="2:16" x14ac:dyDescent="0.45">
      <c r="B1435" s="4">
        <v>1434</v>
      </c>
      <c r="C1435" s="4" t="s">
        <v>41</v>
      </c>
      <c r="D1435" s="4" t="s">
        <v>23</v>
      </c>
      <c r="E1435" s="4" t="s">
        <v>17</v>
      </c>
      <c r="F1435" s="4" t="s">
        <v>24</v>
      </c>
      <c r="G1435" s="4" t="s">
        <v>19</v>
      </c>
      <c r="H1435" s="4" t="s">
        <v>20</v>
      </c>
      <c r="I1435" s="4">
        <v>37</v>
      </c>
      <c r="J1435" s="5">
        <v>45.4</v>
      </c>
      <c r="K1435" s="6">
        <v>1.76</v>
      </c>
      <c r="L1435" s="4">
        <v>5</v>
      </c>
      <c r="M1435" s="4">
        <v>102</v>
      </c>
      <c r="N1435" s="4">
        <v>75</v>
      </c>
      <c r="O1435" s="4" t="s">
        <v>21</v>
      </c>
      <c r="P1435" s="7" t="s">
        <v>19</v>
      </c>
    </row>
    <row r="1436" spans="2:16" x14ac:dyDescent="0.45">
      <c r="B1436" s="4">
        <v>1435</v>
      </c>
      <c r="C1436" s="4" t="s">
        <v>33</v>
      </c>
      <c r="D1436" s="4" t="s">
        <v>23</v>
      </c>
      <c r="E1436" s="4" t="s">
        <v>17</v>
      </c>
      <c r="F1436" s="4" t="s">
        <v>42</v>
      </c>
      <c r="G1436" s="4" t="s">
        <v>19</v>
      </c>
      <c r="H1436" s="4" t="s">
        <v>32</v>
      </c>
      <c r="I1436" s="4">
        <v>33</v>
      </c>
      <c r="J1436" s="5">
        <v>46.4</v>
      </c>
      <c r="K1436" s="6">
        <v>1.87</v>
      </c>
      <c r="L1436" s="4">
        <v>1</v>
      </c>
      <c r="M1436" s="4">
        <v>117</v>
      </c>
      <c r="N1436" s="4">
        <v>141</v>
      </c>
      <c r="O1436" s="4" t="s">
        <v>26</v>
      </c>
      <c r="P1436" s="7" t="s">
        <v>30</v>
      </c>
    </row>
    <row r="1437" spans="2:16" x14ac:dyDescent="0.45">
      <c r="B1437" s="4">
        <v>1436</v>
      </c>
      <c r="C1437" s="4" t="s">
        <v>43</v>
      </c>
      <c r="D1437" s="4" t="s">
        <v>23</v>
      </c>
      <c r="E1437" s="4" t="s">
        <v>17</v>
      </c>
      <c r="F1437" s="4" t="s">
        <v>24</v>
      </c>
      <c r="G1437" s="4" t="s">
        <v>19</v>
      </c>
      <c r="H1437" s="4" t="s">
        <v>38</v>
      </c>
      <c r="I1437" s="4">
        <v>0</v>
      </c>
      <c r="J1437" s="5">
        <v>14.4</v>
      </c>
      <c r="K1437" s="6">
        <v>0.9</v>
      </c>
      <c r="L1437" s="4">
        <v>0</v>
      </c>
      <c r="M1437" s="4">
        <v>108</v>
      </c>
      <c r="N1437" s="4">
        <v>84</v>
      </c>
      <c r="O1437" s="4" t="s">
        <v>26</v>
      </c>
      <c r="P1437" s="7" t="s">
        <v>19</v>
      </c>
    </row>
    <row r="1438" spans="2:16" x14ac:dyDescent="0.45">
      <c r="B1438" s="4">
        <v>1437</v>
      </c>
      <c r="C1438" s="4" t="s">
        <v>31</v>
      </c>
      <c r="D1438" s="4" t="s">
        <v>23</v>
      </c>
      <c r="E1438" s="4" t="s">
        <v>17</v>
      </c>
      <c r="F1438" s="4" t="s">
        <v>18</v>
      </c>
      <c r="G1438" s="4" t="s">
        <v>19</v>
      </c>
      <c r="H1438" s="4" t="s">
        <v>38</v>
      </c>
      <c r="I1438" s="4">
        <v>1</v>
      </c>
      <c r="J1438" s="5">
        <v>8.4</v>
      </c>
      <c r="K1438" s="6">
        <v>0.99</v>
      </c>
      <c r="L1438" s="4">
        <v>5</v>
      </c>
      <c r="M1438" s="4">
        <v>108</v>
      </c>
      <c r="N1438" s="4">
        <v>87</v>
      </c>
      <c r="O1438" s="4" t="s">
        <v>26</v>
      </c>
      <c r="P1438" s="7" t="s">
        <v>19</v>
      </c>
    </row>
    <row r="1439" spans="2:16" x14ac:dyDescent="0.45">
      <c r="B1439" s="4">
        <v>1438</v>
      </c>
      <c r="C1439" s="4" t="s">
        <v>40</v>
      </c>
      <c r="D1439" s="4" t="s">
        <v>23</v>
      </c>
      <c r="E1439" s="4" t="s">
        <v>17</v>
      </c>
      <c r="F1439" s="4" t="s">
        <v>24</v>
      </c>
      <c r="G1439" s="4" t="s">
        <v>19</v>
      </c>
      <c r="H1439" s="4" t="s">
        <v>34</v>
      </c>
      <c r="I1439" s="4">
        <v>26</v>
      </c>
      <c r="J1439" s="5">
        <v>71.5</v>
      </c>
      <c r="K1439" s="6">
        <v>1.5</v>
      </c>
      <c r="L1439" s="4">
        <v>6</v>
      </c>
      <c r="M1439" s="4">
        <v>108</v>
      </c>
      <c r="N1439" s="4">
        <v>76</v>
      </c>
      <c r="O1439" s="4" t="s">
        <v>21</v>
      </c>
      <c r="P1439" s="7" t="s">
        <v>19</v>
      </c>
    </row>
    <row r="1440" spans="2:16" x14ac:dyDescent="0.45">
      <c r="B1440" s="4">
        <v>1439</v>
      </c>
      <c r="C1440" s="4" t="s">
        <v>27</v>
      </c>
      <c r="D1440" s="4" t="s">
        <v>23</v>
      </c>
      <c r="E1440" s="4" t="s">
        <v>17</v>
      </c>
      <c r="F1440" s="4" t="s">
        <v>24</v>
      </c>
      <c r="G1440" s="4" t="s">
        <v>30</v>
      </c>
      <c r="H1440" s="4" t="s">
        <v>34</v>
      </c>
      <c r="I1440" s="4">
        <v>82</v>
      </c>
      <c r="J1440" s="5">
        <v>82.4</v>
      </c>
      <c r="K1440" s="6">
        <v>1.75</v>
      </c>
      <c r="L1440" s="4">
        <v>3</v>
      </c>
      <c r="M1440" s="4">
        <v>130</v>
      </c>
      <c r="N1440" s="4">
        <v>88</v>
      </c>
      <c r="O1440" s="4" t="s">
        <v>26</v>
      </c>
      <c r="P1440" s="7" t="s">
        <v>19</v>
      </c>
    </row>
    <row r="1441" spans="2:16" x14ac:dyDescent="0.45">
      <c r="B1441" s="4">
        <v>1440</v>
      </c>
      <c r="C1441" s="4" t="s">
        <v>45</v>
      </c>
      <c r="D1441" s="4" t="s">
        <v>23</v>
      </c>
      <c r="E1441" s="4" t="s">
        <v>35</v>
      </c>
      <c r="F1441" s="4" t="s">
        <v>24</v>
      </c>
      <c r="G1441" s="4" t="s">
        <v>19</v>
      </c>
      <c r="H1441" s="4" t="s">
        <v>32</v>
      </c>
      <c r="I1441" s="4">
        <v>45</v>
      </c>
      <c r="J1441" s="5">
        <v>77</v>
      </c>
      <c r="K1441" s="6">
        <v>1.75</v>
      </c>
      <c r="L1441" s="4">
        <v>6</v>
      </c>
      <c r="M1441" s="4">
        <v>110</v>
      </c>
      <c r="N1441" s="4">
        <v>131</v>
      </c>
      <c r="O1441" s="4" t="s">
        <v>26</v>
      </c>
      <c r="P1441" s="7" t="s">
        <v>19</v>
      </c>
    </row>
    <row r="1442" spans="2:16" x14ac:dyDescent="0.45">
      <c r="B1442" s="4">
        <v>1441</v>
      </c>
      <c r="C1442" s="4" t="s">
        <v>15</v>
      </c>
      <c r="D1442" s="4" t="s">
        <v>16</v>
      </c>
      <c r="E1442" s="4" t="s">
        <v>35</v>
      </c>
      <c r="F1442" s="4" t="s">
        <v>24</v>
      </c>
      <c r="G1442" s="4" t="s">
        <v>19</v>
      </c>
      <c r="H1442" s="4" t="s">
        <v>20</v>
      </c>
      <c r="I1442" s="4">
        <v>14</v>
      </c>
      <c r="J1442" s="5">
        <v>40.700000000000003</v>
      </c>
      <c r="K1442" s="6">
        <v>1.63</v>
      </c>
      <c r="L1442" s="4">
        <v>1</v>
      </c>
      <c r="M1442" s="4">
        <v>111</v>
      </c>
      <c r="N1442" s="4">
        <v>92</v>
      </c>
      <c r="O1442" s="4" t="s">
        <v>26</v>
      </c>
      <c r="P1442" s="7" t="s">
        <v>19</v>
      </c>
    </row>
    <row r="1443" spans="2:16" x14ac:dyDescent="0.45">
      <c r="B1443" s="4">
        <v>1442</v>
      </c>
      <c r="C1443" s="4" t="s">
        <v>27</v>
      </c>
      <c r="D1443" s="4" t="s">
        <v>16</v>
      </c>
      <c r="E1443" s="4" t="s">
        <v>44</v>
      </c>
      <c r="F1443" s="4" t="s">
        <v>18</v>
      </c>
      <c r="G1443" s="4" t="s">
        <v>19</v>
      </c>
      <c r="H1443" s="4" t="s">
        <v>20</v>
      </c>
      <c r="I1443" s="4">
        <v>22</v>
      </c>
      <c r="J1443" s="5">
        <v>47.9</v>
      </c>
      <c r="K1443" s="6">
        <v>1.5</v>
      </c>
      <c r="L1443" s="4">
        <v>2</v>
      </c>
      <c r="M1443" s="4">
        <v>104</v>
      </c>
      <c r="N1443" s="4">
        <v>93</v>
      </c>
      <c r="O1443" s="4" t="s">
        <v>21</v>
      </c>
      <c r="P1443" s="7" t="s">
        <v>19</v>
      </c>
    </row>
    <row r="1444" spans="2:16" x14ac:dyDescent="0.45">
      <c r="B1444" s="4">
        <v>1443</v>
      </c>
      <c r="C1444" s="4" t="s">
        <v>41</v>
      </c>
      <c r="D1444" s="4" t="s">
        <v>23</v>
      </c>
      <c r="E1444" s="4" t="s">
        <v>35</v>
      </c>
      <c r="F1444" s="4" t="s">
        <v>18</v>
      </c>
      <c r="G1444" s="4" t="s">
        <v>19</v>
      </c>
      <c r="H1444" s="4" t="s">
        <v>20</v>
      </c>
      <c r="I1444" s="4">
        <v>18</v>
      </c>
      <c r="J1444" s="5">
        <v>62.6</v>
      </c>
      <c r="K1444" s="6">
        <v>1.5</v>
      </c>
      <c r="L1444" s="4">
        <v>1</v>
      </c>
      <c r="M1444" s="4">
        <v>119</v>
      </c>
      <c r="N1444" s="4">
        <v>80</v>
      </c>
      <c r="O1444" s="4" t="s">
        <v>26</v>
      </c>
      <c r="P1444" s="7" t="s">
        <v>19</v>
      </c>
    </row>
    <row r="1445" spans="2:16" x14ac:dyDescent="0.45">
      <c r="B1445" s="4">
        <v>1444</v>
      </c>
      <c r="C1445" s="4" t="s">
        <v>43</v>
      </c>
      <c r="D1445" s="4" t="s">
        <v>16</v>
      </c>
      <c r="E1445" s="4" t="s">
        <v>35</v>
      </c>
      <c r="F1445" s="4" t="s">
        <v>24</v>
      </c>
      <c r="G1445" s="4" t="s">
        <v>19</v>
      </c>
      <c r="H1445" s="4" t="s">
        <v>28</v>
      </c>
      <c r="I1445" s="4">
        <v>75</v>
      </c>
      <c r="J1445" s="5">
        <v>81</v>
      </c>
      <c r="K1445" s="6">
        <v>1.75</v>
      </c>
      <c r="L1445" s="4">
        <v>6</v>
      </c>
      <c r="M1445" s="4">
        <v>136</v>
      </c>
      <c r="N1445" s="4">
        <v>91</v>
      </c>
      <c r="O1445" s="4" t="s">
        <v>26</v>
      </c>
      <c r="P1445" s="7" t="s">
        <v>19</v>
      </c>
    </row>
    <row r="1446" spans="2:16" x14ac:dyDescent="0.45">
      <c r="B1446" s="4">
        <v>1445</v>
      </c>
      <c r="C1446" s="4" t="s">
        <v>41</v>
      </c>
      <c r="D1446" s="4" t="s">
        <v>23</v>
      </c>
      <c r="E1446" s="4" t="s">
        <v>44</v>
      </c>
      <c r="F1446" s="4" t="s">
        <v>18</v>
      </c>
      <c r="G1446" s="4" t="s">
        <v>30</v>
      </c>
      <c r="H1446" s="4" t="s">
        <v>28</v>
      </c>
      <c r="I1446" s="4">
        <v>10</v>
      </c>
      <c r="J1446" s="5">
        <v>21.4</v>
      </c>
      <c r="K1446" s="6">
        <v>1.1399999999999999</v>
      </c>
      <c r="L1446" s="4">
        <v>0</v>
      </c>
      <c r="M1446" s="4">
        <v>112</v>
      </c>
      <c r="N1446" s="4">
        <v>101</v>
      </c>
      <c r="O1446" s="4" t="s">
        <v>21</v>
      </c>
      <c r="P1446" s="7" t="s">
        <v>19</v>
      </c>
    </row>
    <row r="1447" spans="2:16" x14ac:dyDescent="0.45">
      <c r="B1447" s="4">
        <v>1446</v>
      </c>
      <c r="C1447" s="4" t="s">
        <v>41</v>
      </c>
      <c r="D1447" s="4" t="s">
        <v>16</v>
      </c>
      <c r="E1447" s="4" t="s">
        <v>35</v>
      </c>
      <c r="F1447" s="4" t="s">
        <v>24</v>
      </c>
      <c r="G1447" s="4" t="s">
        <v>30</v>
      </c>
      <c r="H1447" s="4" t="s">
        <v>46</v>
      </c>
      <c r="I1447" s="4">
        <v>19</v>
      </c>
      <c r="J1447" s="5">
        <v>62</v>
      </c>
      <c r="K1447" s="6">
        <v>1.67</v>
      </c>
      <c r="L1447" s="4">
        <v>3</v>
      </c>
      <c r="M1447" s="4">
        <v>108</v>
      </c>
      <c r="N1447" s="4">
        <v>97</v>
      </c>
      <c r="O1447" s="4" t="s">
        <v>26</v>
      </c>
      <c r="P1447" s="7" t="s">
        <v>19</v>
      </c>
    </row>
    <row r="1448" spans="2:16" x14ac:dyDescent="0.45">
      <c r="B1448" s="4">
        <v>1447</v>
      </c>
      <c r="C1448" s="4" t="s">
        <v>41</v>
      </c>
      <c r="D1448" s="4" t="s">
        <v>23</v>
      </c>
      <c r="E1448" s="4" t="s">
        <v>35</v>
      </c>
      <c r="F1448" s="4" t="s">
        <v>18</v>
      </c>
      <c r="G1448" s="4" t="s">
        <v>19</v>
      </c>
      <c r="H1448" s="4" t="s">
        <v>36</v>
      </c>
      <c r="I1448" s="4">
        <v>4</v>
      </c>
      <c r="J1448" s="5">
        <v>11.6</v>
      </c>
      <c r="K1448" s="6">
        <v>0.79</v>
      </c>
      <c r="L1448" s="4">
        <v>1</v>
      </c>
      <c r="M1448" s="4">
        <v>127</v>
      </c>
      <c r="N1448" s="4">
        <v>95</v>
      </c>
      <c r="O1448" s="4" t="s">
        <v>21</v>
      </c>
      <c r="P1448" s="7" t="s">
        <v>19</v>
      </c>
    </row>
    <row r="1449" spans="2:16" x14ac:dyDescent="0.45">
      <c r="B1449" s="4">
        <v>1448</v>
      </c>
      <c r="C1449" s="4" t="s">
        <v>15</v>
      </c>
      <c r="D1449" s="4" t="s">
        <v>16</v>
      </c>
      <c r="E1449" s="4" t="s">
        <v>17</v>
      </c>
      <c r="F1449" s="4" t="s">
        <v>24</v>
      </c>
      <c r="G1449" s="4" t="s">
        <v>19</v>
      </c>
      <c r="H1449" s="4" t="s">
        <v>20</v>
      </c>
      <c r="I1449" s="4">
        <v>74</v>
      </c>
      <c r="J1449" s="5">
        <v>91.3</v>
      </c>
      <c r="K1449" s="6">
        <v>1.68</v>
      </c>
      <c r="L1449" s="4">
        <v>1</v>
      </c>
      <c r="M1449" s="4">
        <v>113</v>
      </c>
      <c r="N1449" s="4">
        <v>84</v>
      </c>
      <c r="O1449" s="4" t="s">
        <v>26</v>
      </c>
      <c r="P1449" s="7" t="s">
        <v>19</v>
      </c>
    </row>
    <row r="1450" spans="2:16" x14ac:dyDescent="0.45">
      <c r="B1450" s="4">
        <v>1449</v>
      </c>
      <c r="C1450" s="4" t="s">
        <v>39</v>
      </c>
      <c r="D1450" s="4" t="s">
        <v>23</v>
      </c>
      <c r="E1450" s="4" t="s">
        <v>35</v>
      </c>
      <c r="F1450" s="4" t="s">
        <v>18</v>
      </c>
      <c r="G1450" s="4" t="s">
        <v>19</v>
      </c>
      <c r="H1450" s="4" t="s">
        <v>28</v>
      </c>
      <c r="I1450" s="4">
        <v>34</v>
      </c>
      <c r="J1450" s="5">
        <v>58.6</v>
      </c>
      <c r="K1450" s="6">
        <v>1.79</v>
      </c>
      <c r="L1450" s="4">
        <v>4</v>
      </c>
      <c r="M1450" s="4">
        <v>104</v>
      </c>
      <c r="N1450" s="4">
        <v>73</v>
      </c>
      <c r="O1450" s="4" t="s">
        <v>26</v>
      </c>
      <c r="P1450" s="7" t="s">
        <v>19</v>
      </c>
    </row>
    <row r="1451" spans="2:16" x14ac:dyDescent="0.45">
      <c r="B1451" s="4">
        <v>1450</v>
      </c>
      <c r="C1451" s="4" t="s">
        <v>15</v>
      </c>
      <c r="D1451" s="4" t="s">
        <v>23</v>
      </c>
      <c r="E1451" s="4" t="s">
        <v>17</v>
      </c>
      <c r="F1451" s="4" t="s">
        <v>24</v>
      </c>
      <c r="G1451" s="4" t="s">
        <v>19</v>
      </c>
      <c r="H1451" s="4" t="s">
        <v>25</v>
      </c>
      <c r="I1451" s="4">
        <v>58</v>
      </c>
      <c r="J1451" s="5">
        <v>59</v>
      </c>
      <c r="K1451" s="6">
        <v>1.89</v>
      </c>
      <c r="L1451" s="4">
        <v>2</v>
      </c>
      <c r="M1451" s="4">
        <v>114</v>
      </c>
      <c r="N1451" s="4">
        <v>73</v>
      </c>
      <c r="O1451" s="4" t="s">
        <v>26</v>
      </c>
      <c r="P1451" s="7" t="s">
        <v>19</v>
      </c>
    </row>
    <row r="1452" spans="2:16" x14ac:dyDescent="0.45">
      <c r="B1452" s="4">
        <v>1451</v>
      </c>
      <c r="C1452" s="4" t="s">
        <v>40</v>
      </c>
      <c r="D1452" s="4" t="s">
        <v>23</v>
      </c>
      <c r="E1452" s="4" t="s">
        <v>17</v>
      </c>
      <c r="F1452" s="4" t="s">
        <v>24</v>
      </c>
      <c r="G1452" s="4" t="s">
        <v>19</v>
      </c>
      <c r="H1452" s="4" t="s">
        <v>32</v>
      </c>
      <c r="I1452" s="4">
        <v>14</v>
      </c>
      <c r="J1452" s="5">
        <v>49</v>
      </c>
      <c r="K1452" s="6">
        <v>1.47</v>
      </c>
      <c r="L1452" s="4">
        <v>10</v>
      </c>
      <c r="M1452" s="4">
        <v>107</v>
      </c>
      <c r="N1452" s="4">
        <v>155</v>
      </c>
      <c r="O1452" s="4" t="s">
        <v>26</v>
      </c>
      <c r="P1452" s="7" t="s">
        <v>19</v>
      </c>
    </row>
    <row r="1453" spans="2:16" x14ac:dyDescent="0.45">
      <c r="B1453" s="4">
        <v>1452</v>
      </c>
      <c r="C1453" s="4" t="s">
        <v>22</v>
      </c>
      <c r="D1453" s="4" t="s">
        <v>16</v>
      </c>
      <c r="E1453" s="4" t="s">
        <v>17</v>
      </c>
      <c r="F1453" s="4" t="s">
        <v>18</v>
      </c>
      <c r="G1453" s="4" t="s">
        <v>19</v>
      </c>
      <c r="H1453" s="4" t="s">
        <v>20</v>
      </c>
      <c r="I1453" s="4">
        <v>17</v>
      </c>
      <c r="J1453" s="5">
        <v>52</v>
      </c>
      <c r="K1453" s="6">
        <v>1.48</v>
      </c>
      <c r="L1453" s="4">
        <v>2</v>
      </c>
      <c r="M1453" s="4">
        <v>116</v>
      </c>
      <c r="N1453" s="4">
        <v>99</v>
      </c>
      <c r="O1453" s="4" t="s">
        <v>21</v>
      </c>
      <c r="P1453" s="7" t="s">
        <v>19</v>
      </c>
    </row>
    <row r="1454" spans="2:16" x14ac:dyDescent="0.45">
      <c r="B1454" s="4">
        <v>1453</v>
      </c>
      <c r="C1454" s="4" t="s">
        <v>27</v>
      </c>
      <c r="D1454" s="4" t="s">
        <v>16</v>
      </c>
      <c r="E1454" s="4" t="s">
        <v>17</v>
      </c>
      <c r="F1454" s="4" t="s">
        <v>24</v>
      </c>
      <c r="G1454" s="4" t="s">
        <v>19</v>
      </c>
      <c r="H1454" s="4" t="s">
        <v>36</v>
      </c>
      <c r="I1454" s="4">
        <v>17</v>
      </c>
      <c r="J1454" s="5">
        <v>40.200000000000003</v>
      </c>
      <c r="K1454" s="6">
        <v>1.72</v>
      </c>
      <c r="L1454" s="4">
        <v>3</v>
      </c>
      <c r="M1454" s="4">
        <v>130</v>
      </c>
      <c r="N1454" s="4">
        <v>100</v>
      </c>
      <c r="O1454" s="4" t="s">
        <v>21</v>
      </c>
      <c r="P1454" s="7" t="s">
        <v>30</v>
      </c>
    </row>
    <row r="1455" spans="2:16" x14ac:dyDescent="0.45">
      <c r="B1455" s="4">
        <v>1454</v>
      </c>
      <c r="C1455" s="4" t="s">
        <v>40</v>
      </c>
      <c r="D1455" s="4" t="s">
        <v>23</v>
      </c>
      <c r="E1455" s="4" t="s">
        <v>35</v>
      </c>
      <c r="F1455" s="4" t="s">
        <v>18</v>
      </c>
      <c r="G1455" s="4" t="s">
        <v>30</v>
      </c>
      <c r="H1455" s="4" t="s">
        <v>28</v>
      </c>
      <c r="I1455" s="4">
        <v>23</v>
      </c>
      <c r="J1455" s="5">
        <v>61.4</v>
      </c>
      <c r="K1455" s="6">
        <v>1.88</v>
      </c>
      <c r="L1455" s="4">
        <v>9</v>
      </c>
      <c r="M1455" s="4">
        <v>120</v>
      </c>
      <c r="N1455" s="4">
        <v>98</v>
      </c>
      <c r="O1455" s="4" t="s">
        <v>26</v>
      </c>
      <c r="P1455" s="7" t="s">
        <v>19</v>
      </c>
    </row>
    <row r="1456" spans="2:16" x14ac:dyDescent="0.45">
      <c r="B1456" s="4">
        <v>1455</v>
      </c>
      <c r="C1456" s="4" t="s">
        <v>39</v>
      </c>
      <c r="D1456" s="4" t="s">
        <v>23</v>
      </c>
      <c r="E1456" s="4" t="s">
        <v>35</v>
      </c>
      <c r="F1456" s="4" t="s">
        <v>24</v>
      </c>
      <c r="G1456" s="4" t="s">
        <v>19</v>
      </c>
      <c r="H1456" s="4" t="s">
        <v>20</v>
      </c>
      <c r="I1456" s="4">
        <v>0</v>
      </c>
      <c r="J1456" s="5">
        <v>6.7</v>
      </c>
      <c r="K1456" s="6">
        <v>0.85</v>
      </c>
      <c r="L1456" s="4">
        <v>4</v>
      </c>
      <c r="M1456" s="4">
        <v>103</v>
      </c>
      <c r="N1456" s="4">
        <v>93</v>
      </c>
      <c r="O1456" s="4" t="s">
        <v>26</v>
      </c>
      <c r="P1456" s="7" t="s">
        <v>19</v>
      </c>
    </row>
    <row r="1457" spans="2:16" x14ac:dyDescent="0.45">
      <c r="B1457" s="4">
        <v>1456</v>
      </c>
      <c r="C1457" s="4" t="s">
        <v>45</v>
      </c>
      <c r="D1457" s="4" t="s">
        <v>16</v>
      </c>
      <c r="E1457" s="4" t="s">
        <v>35</v>
      </c>
      <c r="F1457" s="4" t="s">
        <v>18</v>
      </c>
      <c r="G1457" s="4" t="s">
        <v>19</v>
      </c>
      <c r="H1457" s="4" t="s">
        <v>36</v>
      </c>
      <c r="I1457" s="4">
        <v>29</v>
      </c>
      <c r="J1457" s="5">
        <v>85.2</v>
      </c>
      <c r="K1457" s="6">
        <v>1.5</v>
      </c>
      <c r="L1457" s="4">
        <v>3</v>
      </c>
      <c r="M1457" s="4">
        <v>130</v>
      </c>
      <c r="N1457" s="4">
        <v>71</v>
      </c>
      <c r="O1457" s="4" t="s">
        <v>21</v>
      </c>
      <c r="P1457" s="7" t="s">
        <v>30</v>
      </c>
    </row>
    <row r="1458" spans="2:16" x14ac:dyDescent="0.45">
      <c r="B1458" s="4">
        <v>1457</v>
      </c>
      <c r="C1458" s="4" t="s">
        <v>33</v>
      </c>
      <c r="D1458" s="4" t="s">
        <v>16</v>
      </c>
      <c r="E1458" s="4" t="s">
        <v>35</v>
      </c>
      <c r="F1458" s="4" t="s">
        <v>28</v>
      </c>
      <c r="G1458" s="4" t="s">
        <v>30</v>
      </c>
      <c r="H1458" s="4" t="s">
        <v>20</v>
      </c>
      <c r="I1458" s="4">
        <v>11</v>
      </c>
      <c r="J1458" s="5">
        <v>19.7</v>
      </c>
      <c r="K1458" s="6">
        <v>1.36</v>
      </c>
      <c r="L1458" s="4">
        <v>1</v>
      </c>
      <c r="M1458" s="4">
        <v>103</v>
      </c>
      <c r="N1458" s="4">
        <v>100</v>
      </c>
      <c r="O1458" s="4" t="s">
        <v>21</v>
      </c>
      <c r="P1458" s="7" t="s">
        <v>19</v>
      </c>
    </row>
    <row r="1459" spans="2:16" x14ac:dyDescent="0.45">
      <c r="B1459" s="4">
        <v>1458</v>
      </c>
      <c r="C1459" s="4" t="s">
        <v>22</v>
      </c>
      <c r="D1459" s="4" t="s">
        <v>23</v>
      </c>
      <c r="E1459" s="4" t="s">
        <v>17</v>
      </c>
      <c r="F1459" s="4" t="s">
        <v>24</v>
      </c>
      <c r="G1459" s="4" t="s">
        <v>19</v>
      </c>
      <c r="H1459" s="4" t="s">
        <v>28</v>
      </c>
      <c r="I1459" s="4">
        <v>13</v>
      </c>
      <c r="J1459" s="5">
        <v>53.1</v>
      </c>
      <c r="K1459" s="6">
        <v>1.58</v>
      </c>
      <c r="L1459" s="4">
        <v>2</v>
      </c>
      <c r="M1459" s="4">
        <v>104</v>
      </c>
      <c r="N1459" s="4">
        <v>80</v>
      </c>
      <c r="O1459" s="4" t="s">
        <v>26</v>
      </c>
      <c r="P1459" s="7" t="s">
        <v>19</v>
      </c>
    </row>
    <row r="1460" spans="2:16" x14ac:dyDescent="0.45">
      <c r="B1460" s="4">
        <v>1459</v>
      </c>
      <c r="C1460" s="4" t="s">
        <v>45</v>
      </c>
      <c r="D1460" s="4" t="s">
        <v>23</v>
      </c>
      <c r="E1460" s="4" t="s">
        <v>17</v>
      </c>
      <c r="F1460" s="4" t="s">
        <v>18</v>
      </c>
      <c r="G1460" s="4" t="s">
        <v>19</v>
      </c>
      <c r="H1460" s="4" t="s">
        <v>28</v>
      </c>
      <c r="I1460" s="4">
        <v>17</v>
      </c>
      <c r="J1460" s="5">
        <v>38.5</v>
      </c>
      <c r="K1460" s="6">
        <v>1.61</v>
      </c>
      <c r="L1460" s="4">
        <v>3</v>
      </c>
      <c r="M1460" s="4">
        <v>116</v>
      </c>
      <c r="N1460" s="4">
        <v>103</v>
      </c>
      <c r="O1460" s="4" t="s">
        <v>26</v>
      </c>
      <c r="P1460" s="7" t="s">
        <v>30</v>
      </c>
    </row>
    <row r="1461" spans="2:16" x14ac:dyDescent="0.45">
      <c r="B1461" s="4">
        <v>1460</v>
      </c>
      <c r="C1461" s="4" t="s">
        <v>40</v>
      </c>
      <c r="D1461" s="4" t="s">
        <v>23</v>
      </c>
      <c r="E1461" s="4" t="s">
        <v>35</v>
      </c>
      <c r="F1461" s="4" t="s">
        <v>24</v>
      </c>
      <c r="G1461" s="4" t="s">
        <v>19</v>
      </c>
      <c r="H1461" s="4" t="s">
        <v>28</v>
      </c>
      <c r="I1461" s="4">
        <v>51</v>
      </c>
      <c r="J1461" s="5">
        <v>61.4</v>
      </c>
      <c r="K1461" s="6">
        <v>1.68</v>
      </c>
      <c r="L1461" s="4">
        <v>5</v>
      </c>
      <c r="M1461" s="4">
        <v>130</v>
      </c>
      <c r="N1461" s="4">
        <v>75</v>
      </c>
      <c r="O1461" s="4" t="s">
        <v>26</v>
      </c>
      <c r="P1461" s="7" t="s">
        <v>19</v>
      </c>
    </row>
    <row r="1462" spans="2:16" x14ac:dyDescent="0.45">
      <c r="B1462" s="4">
        <v>1461</v>
      </c>
      <c r="C1462" s="4" t="s">
        <v>15</v>
      </c>
      <c r="D1462" s="4" t="s">
        <v>23</v>
      </c>
      <c r="E1462" s="4" t="s">
        <v>17</v>
      </c>
      <c r="F1462" s="4" t="s">
        <v>28</v>
      </c>
      <c r="G1462" s="4" t="s">
        <v>30</v>
      </c>
      <c r="H1462" s="4" t="s">
        <v>20</v>
      </c>
      <c r="I1462" s="4">
        <v>9</v>
      </c>
      <c r="J1462" s="5">
        <v>19.5</v>
      </c>
      <c r="K1462" s="6">
        <v>1.36</v>
      </c>
      <c r="L1462" s="4">
        <v>4</v>
      </c>
      <c r="M1462" s="4">
        <v>94</v>
      </c>
      <c r="N1462" s="4">
        <v>98</v>
      </c>
      <c r="O1462" s="4" t="s">
        <v>21</v>
      </c>
      <c r="P1462" s="7" t="s">
        <v>19</v>
      </c>
    </row>
    <row r="1463" spans="2:16" x14ac:dyDescent="0.45">
      <c r="B1463" s="4">
        <v>1462</v>
      </c>
      <c r="C1463" s="4" t="s">
        <v>27</v>
      </c>
      <c r="D1463" s="4" t="s">
        <v>23</v>
      </c>
      <c r="E1463" s="4" t="s">
        <v>17</v>
      </c>
      <c r="F1463" s="4" t="s">
        <v>24</v>
      </c>
      <c r="G1463" s="4" t="s">
        <v>19</v>
      </c>
      <c r="H1463" s="4" t="s">
        <v>34</v>
      </c>
      <c r="I1463" s="4">
        <v>39</v>
      </c>
      <c r="J1463" s="5">
        <v>64.7</v>
      </c>
      <c r="K1463" s="6">
        <v>1.77</v>
      </c>
      <c r="L1463" s="4">
        <v>7</v>
      </c>
      <c r="M1463" s="4">
        <v>125</v>
      </c>
      <c r="N1463" s="4">
        <v>98</v>
      </c>
      <c r="O1463" s="4" t="s">
        <v>26</v>
      </c>
      <c r="P1463" s="7" t="s">
        <v>19</v>
      </c>
    </row>
    <row r="1464" spans="2:16" x14ac:dyDescent="0.45">
      <c r="B1464" s="4">
        <v>1463</v>
      </c>
      <c r="C1464" s="4" t="s">
        <v>41</v>
      </c>
      <c r="D1464" s="4" t="s">
        <v>23</v>
      </c>
      <c r="E1464" s="4" t="s">
        <v>35</v>
      </c>
      <c r="F1464" s="4" t="s">
        <v>28</v>
      </c>
      <c r="G1464" s="4" t="s">
        <v>19</v>
      </c>
      <c r="H1464" s="4" t="s">
        <v>34</v>
      </c>
      <c r="I1464" s="4">
        <v>44</v>
      </c>
      <c r="J1464" s="5">
        <v>56.3</v>
      </c>
      <c r="K1464" s="6">
        <v>1.52</v>
      </c>
      <c r="L1464" s="4">
        <v>2</v>
      </c>
      <c r="M1464" s="4">
        <v>113</v>
      </c>
      <c r="N1464" s="4">
        <v>96</v>
      </c>
      <c r="O1464" s="4" t="s">
        <v>21</v>
      </c>
      <c r="P1464" s="7" t="s">
        <v>19</v>
      </c>
    </row>
    <row r="1465" spans="2:16" x14ac:dyDescent="0.45">
      <c r="B1465" s="4">
        <v>1464</v>
      </c>
      <c r="C1465" s="4" t="s">
        <v>40</v>
      </c>
      <c r="D1465" s="4" t="s">
        <v>16</v>
      </c>
      <c r="E1465" s="4" t="s">
        <v>17</v>
      </c>
      <c r="F1465" s="4" t="s">
        <v>24</v>
      </c>
      <c r="G1465" s="4" t="s">
        <v>30</v>
      </c>
      <c r="H1465" s="4" t="s">
        <v>20</v>
      </c>
      <c r="I1465" s="4">
        <v>22</v>
      </c>
      <c r="J1465" s="5">
        <v>50.6</v>
      </c>
      <c r="K1465" s="6">
        <v>1.74</v>
      </c>
      <c r="L1465" s="4">
        <v>5</v>
      </c>
      <c r="M1465" s="4">
        <v>121</v>
      </c>
      <c r="N1465" s="4">
        <v>90</v>
      </c>
      <c r="O1465" s="4" t="s">
        <v>21</v>
      </c>
      <c r="P1465" s="7" t="s">
        <v>30</v>
      </c>
    </row>
    <row r="1466" spans="2:16" x14ac:dyDescent="0.45">
      <c r="B1466" s="4">
        <v>1465</v>
      </c>
      <c r="C1466" s="4" t="s">
        <v>29</v>
      </c>
      <c r="D1466" s="4" t="s">
        <v>16</v>
      </c>
      <c r="E1466" s="4" t="s">
        <v>17</v>
      </c>
      <c r="F1466" s="4" t="s">
        <v>24</v>
      </c>
      <c r="G1466" s="4" t="s">
        <v>19</v>
      </c>
      <c r="H1466" s="4" t="s">
        <v>20</v>
      </c>
      <c r="I1466" s="4">
        <v>55</v>
      </c>
      <c r="J1466" s="5">
        <v>62.4</v>
      </c>
      <c r="K1466" s="6">
        <v>1.89</v>
      </c>
      <c r="L1466" s="4">
        <v>1</v>
      </c>
      <c r="M1466" s="4">
        <v>111</v>
      </c>
      <c r="N1466" s="4">
        <v>75</v>
      </c>
      <c r="O1466" s="4" t="s">
        <v>21</v>
      </c>
      <c r="P1466" s="7" t="s">
        <v>19</v>
      </c>
    </row>
    <row r="1467" spans="2:16" x14ac:dyDescent="0.45">
      <c r="B1467" s="4">
        <v>1466</v>
      </c>
      <c r="C1467" s="4" t="s">
        <v>41</v>
      </c>
      <c r="D1467" s="4" t="s">
        <v>23</v>
      </c>
      <c r="E1467" s="4" t="s">
        <v>35</v>
      </c>
      <c r="F1467" s="4" t="s">
        <v>24</v>
      </c>
      <c r="G1467" s="4" t="s">
        <v>19</v>
      </c>
      <c r="H1467" s="4" t="s">
        <v>20</v>
      </c>
      <c r="I1467" s="4">
        <v>35</v>
      </c>
      <c r="J1467" s="5">
        <v>48.7</v>
      </c>
      <c r="K1467" s="6">
        <v>1.89</v>
      </c>
      <c r="L1467" s="4">
        <v>0</v>
      </c>
      <c r="M1467" s="4">
        <v>107</v>
      </c>
      <c r="N1467" s="4">
        <v>83</v>
      </c>
      <c r="O1467" s="4" t="s">
        <v>21</v>
      </c>
      <c r="P1467" s="7" t="s">
        <v>19</v>
      </c>
    </row>
    <row r="1468" spans="2:16" x14ac:dyDescent="0.45">
      <c r="B1468" s="4">
        <v>1467</v>
      </c>
      <c r="C1468" s="4" t="s">
        <v>41</v>
      </c>
      <c r="D1468" s="4" t="s">
        <v>16</v>
      </c>
      <c r="E1468" s="4" t="s">
        <v>17</v>
      </c>
      <c r="F1468" s="4" t="s">
        <v>42</v>
      </c>
      <c r="G1468" s="4" t="s">
        <v>19</v>
      </c>
      <c r="H1468" s="4" t="s">
        <v>38</v>
      </c>
      <c r="I1468" s="4">
        <v>21</v>
      </c>
      <c r="J1468" s="5">
        <v>80.599999999999994</v>
      </c>
      <c r="K1468" s="6">
        <v>1.72</v>
      </c>
      <c r="L1468" s="4">
        <v>0</v>
      </c>
      <c r="M1468" s="4">
        <v>97</v>
      </c>
      <c r="N1468" s="4">
        <v>86</v>
      </c>
      <c r="O1468" s="4" t="s">
        <v>21</v>
      </c>
      <c r="P1468" s="7" t="s">
        <v>19</v>
      </c>
    </row>
    <row r="1469" spans="2:16" x14ac:dyDescent="0.45">
      <c r="B1469" s="4">
        <v>1468</v>
      </c>
      <c r="C1469" s="4" t="s">
        <v>33</v>
      </c>
      <c r="D1469" s="4" t="s">
        <v>23</v>
      </c>
      <c r="E1469" s="4" t="s">
        <v>35</v>
      </c>
      <c r="F1469" s="4" t="s">
        <v>24</v>
      </c>
      <c r="G1469" s="4" t="s">
        <v>19</v>
      </c>
      <c r="H1469" s="4" t="s">
        <v>36</v>
      </c>
      <c r="I1469" s="4">
        <v>6</v>
      </c>
      <c r="J1469" s="5">
        <v>21.7</v>
      </c>
      <c r="K1469" s="6">
        <v>1.32</v>
      </c>
      <c r="L1469" s="4">
        <v>0</v>
      </c>
      <c r="M1469" s="4">
        <v>116</v>
      </c>
      <c r="N1469" s="4">
        <v>70</v>
      </c>
      <c r="O1469" s="4" t="s">
        <v>21</v>
      </c>
      <c r="P1469" s="7" t="s">
        <v>19</v>
      </c>
    </row>
    <row r="1470" spans="2:16" x14ac:dyDescent="0.45">
      <c r="B1470" s="4">
        <v>1469</v>
      </c>
      <c r="C1470" s="4" t="s">
        <v>43</v>
      </c>
      <c r="D1470" s="4" t="s">
        <v>23</v>
      </c>
      <c r="E1470" s="4" t="s">
        <v>17</v>
      </c>
      <c r="F1470" s="4" t="s">
        <v>18</v>
      </c>
      <c r="G1470" s="4" t="s">
        <v>19</v>
      </c>
      <c r="H1470" s="4" t="s">
        <v>28</v>
      </c>
      <c r="I1470" s="4">
        <v>81</v>
      </c>
      <c r="J1470" s="5">
        <v>71.900000000000006</v>
      </c>
      <c r="K1470" s="6">
        <v>1.66</v>
      </c>
      <c r="L1470" s="4">
        <v>2</v>
      </c>
      <c r="M1470" s="4">
        <v>127</v>
      </c>
      <c r="N1470" s="4">
        <v>101</v>
      </c>
      <c r="O1470" s="4" t="s">
        <v>26</v>
      </c>
      <c r="P1470" s="7" t="s">
        <v>19</v>
      </c>
    </row>
    <row r="1471" spans="2:16" x14ac:dyDescent="0.45">
      <c r="B1471" s="4">
        <v>1470</v>
      </c>
      <c r="C1471" s="4" t="s">
        <v>45</v>
      </c>
      <c r="D1471" s="4" t="s">
        <v>16</v>
      </c>
      <c r="E1471" s="4" t="s">
        <v>35</v>
      </c>
      <c r="F1471" s="4" t="s">
        <v>18</v>
      </c>
      <c r="G1471" s="4" t="s">
        <v>30</v>
      </c>
      <c r="H1471" s="4" t="s">
        <v>28</v>
      </c>
      <c r="I1471" s="4">
        <v>25</v>
      </c>
      <c r="J1471" s="5">
        <v>62.7</v>
      </c>
      <c r="K1471" s="6">
        <v>1.73</v>
      </c>
      <c r="L1471" s="4">
        <v>1</v>
      </c>
      <c r="M1471" s="4">
        <v>121</v>
      </c>
      <c r="N1471" s="4">
        <v>96</v>
      </c>
      <c r="O1471" s="4" t="s">
        <v>21</v>
      </c>
      <c r="P1471" s="7" t="s">
        <v>19</v>
      </c>
    </row>
    <row r="1472" spans="2:16" x14ac:dyDescent="0.45">
      <c r="B1472" s="4">
        <v>1471</v>
      </c>
      <c r="C1472" s="4" t="s">
        <v>40</v>
      </c>
      <c r="D1472" s="4" t="s">
        <v>23</v>
      </c>
      <c r="E1472" s="4" t="s">
        <v>17</v>
      </c>
      <c r="F1472" s="4" t="s">
        <v>18</v>
      </c>
      <c r="G1472" s="4" t="s">
        <v>19</v>
      </c>
      <c r="H1472" s="4" t="s">
        <v>28</v>
      </c>
      <c r="I1472" s="4">
        <v>40</v>
      </c>
      <c r="J1472" s="5">
        <v>54.4</v>
      </c>
      <c r="K1472" s="6">
        <v>1.55</v>
      </c>
      <c r="L1472" s="4">
        <v>3</v>
      </c>
      <c r="M1472" s="4">
        <v>108</v>
      </c>
      <c r="N1472" s="4">
        <v>98</v>
      </c>
      <c r="O1472" s="4" t="s">
        <v>21</v>
      </c>
      <c r="P1472" s="7" t="s">
        <v>19</v>
      </c>
    </row>
    <row r="1473" spans="2:16" x14ac:dyDescent="0.45">
      <c r="B1473" s="4">
        <v>1472</v>
      </c>
      <c r="C1473" s="4" t="s">
        <v>22</v>
      </c>
      <c r="D1473" s="4" t="s">
        <v>16</v>
      </c>
      <c r="E1473" s="4" t="s">
        <v>17</v>
      </c>
      <c r="F1473" s="4" t="s">
        <v>18</v>
      </c>
      <c r="G1473" s="4" t="s">
        <v>19</v>
      </c>
      <c r="H1473" s="4" t="s">
        <v>20</v>
      </c>
      <c r="I1473" s="4">
        <v>10</v>
      </c>
      <c r="J1473" s="5">
        <v>36.4</v>
      </c>
      <c r="K1473" s="6">
        <v>1.08</v>
      </c>
      <c r="L1473" s="4">
        <v>5</v>
      </c>
      <c r="M1473" s="4">
        <v>102</v>
      </c>
      <c r="N1473" s="4">
        <v>71</v>
      </c>
      <c r="O1473" s="4" t="s">
        <v>26</v>
      </c>
      <c r="P1473" s="7" t="s">
        <v>19</v>
      </c>
    </row>
    <row r="1474" spans="2:16" x14ac:dyDescent="0.45">
      <c r="B1474" s="4">
        <v>1473</v>
      </c>
      <c r="C1474" s="4" t="s">
        <v>41</v>
      </c>
      <c r="D1474" s="4" t="s">
        <v>16</v>
      </c>
      <c r="E1474" s="4" t="s">
        <v>35</v>
      </c>
      <c r="F1474" s="4" t="s">
        <v>28</v>
      </c>
      <c r="G1474" s="4" t="s">
        <v>19</v>
      </c>
      <c r="H1474" s="4" t="s">
        <v>20</v>
      </c>
      <c r="I1474" s="4">
        <v>13</v>
      </c>
      <c r="J1474" s="5">
        <v>43.5</v>
      </c>
      <c r="K1474" s="6">
        <v>1.67</v>
      </c>
      <c r="L1474" s="4">
        <v>4</v>
      </c>
      <c r="M1474" s="4">
        <v>97</v>
      </c>
      <c r="N1474" s="4">
        <v>104</v>
      </c>
      <c r="O1474" s="4" t="s">
        <v>26</v>
      </c>
      <c r="P1474" s="7" t="s">
        <v>19</v>
      </c>
    </row>
    <row r="1475" spans="2:16" x14ac:dyDescent="0.45">
      <c r="B1475" s="4">
        <v>1474</v>
      </c>
      <c r="C1475" s="4" t="s">
        <v>27</v>
      </c>
      <c r="D1475" s="4" t="s">
        <v>23</v>
      </c>
      <c r="E1475" s="4" t="s">
        <v>17</v>
      </c>
      <c r="F1475" s="4" t="s">
        <v>28</v>
      </c>
      <c r="G1475" s="4" t="s">
        <v>19</v>
      </c>
      <c r="H1475" s="4" t="s">
        <v>28</v>
      </c>
      <c r="I1475" s="4">
        <v>21</v>
      </c>
      <c r="J1475" s="5">
        <v>63.2</v>
      </c>
      <c r="K1475" s="6">
        <v>1.87</v>
      </c>
      <c r="L1475" s="4">
        <v>0</v>
      </c>
      <c r="M1475" s="4">
        <v>113</v>
      </c>
      <c r="N1475" s="4">
        <v>71</v>
      </c>
      <c r="O1475" s="4" t="s">
        <v>21</v>
      </c>
      <c r="P1475" s="7" t="s">
        <v>30</v>
      </c>
    </row>
    <row r="1476" spans="2:16" x14ac:dyDescent="0.45">
      <c r="B1476" s="4">
        <v>1475</v>
      </c>
      <c r="C1476" s="4" t="s">
        <v>39</v>
      </c>
      <c r="D1476" s="4" t="s">
        <v>23</v>
      </c>
      <c r="E1476" s="4" t="s">
        <v>17</v>
      </c>
      <c r="F1476" s="4" t="s">
        <v>18</v>
      </c>
      <c r="G1476" s="4" t="s">
        <v>30</v>
      </c>
      <c r="H1476" s="4" t="s">
        <v>20</v>
      </c>
      <c r="I1476" s="4">
        <v>16</v>
      </c>
      <c r="J1476" s="5">
        <v>41.6</v>
      </c>
      <c r="K1476" s="6">
        <v>1.74</v>
      </c>
      <c r="L1476" s="4">
        <v>3</v>
      </c>
      <c r="M1476" s="4">
        <v>113</v>
      </c>
      <c r="N1476" s="4">
        <v>105</v>
      </c>
      <c r="O1476" s="4" t="s">
        <v>21</v>
      </c>
      <c r="P1476" s="7" t="s">
        <v>19</v>
      </c>
    </row>
    <row r="1477" spans="2:16" x14ac:dyDescent="0.45">
      <c r="B1477" s="4">
        <v>1476</v>
      </c>
      <c r="C1477" s="4" t="s">
        <v>22</v>
      </c>
      <c r="D1477" s="4" t="s">
        <v>23</v>
      </c>
      <c r="E1477" s="4" t="s">
        <v>17</v>
      </c>
      <c r="F1477" s="4" t="s">
        <v>42</v>
      </c>
      <c r="G1477" s="4" t="s">
        <v>19</v>
      </c>
      <c r="H1477" s="4" t="s">
        <v>36</v>
      </c>
      <c r="I1477" s="4">
        <v>15</v>
      </c>
      <c r="J1477" s="5">
        <v>51.5</v>
      </c>
      <c r="K1477" s="6">
        <v>1.63</v>
      </c>
      <c r="L1477" s="4">
        <v>3</v>
      </c>
      <c r="M1477" s="4">
        <v>131</v>
      </c>
      <c r="N1477" s="4">
        <v>96</v>
      </c>
      <c r="O1477" s="4" t="s">
        <v>21</v>
      </c>
      <c r="P1477" s="7" t="s">
        <v>19</v>
      </c>
    </row>
    <row r="1478" spans="2:16" x14ac:dyDescent="0.45">
      <c r="B1478" s="4">
        <v>1477</v>
      </c>
      <c r="C1478" s="4" t="s">
        <v>29</v>
      </c>
      <c r="D1478" s="4" t="s">
        <v>16</v>
      </c>
      <c r="E1478" s="4" t="s">
        <v>37</v>
      </c>
      <c r="F1478" s="4" t="s">
        <v>18</v>
      </c>
      <c r="G1478" s="4" t="s">
        <v>19</v>
      </c>
      <c r="H1478" s="4" t="s">
        <v>38</v>
      </c>
      <c r="I1478" s="4">
        <v>5</v>
      </c>
      <c r="J1478" s="5">
        <v>36.4</v>
      </c>
      <c r="K1478" s="6">
        <v>1.1399999999999999</v>
      </c>
      <c r="L1478" s="4">
        <v>1</v>
      </c>
      <c r="M1478" s="4">
        <v>109</v>
      </c>
      <c r="N1478" s="4">
        <v>95</v>
      </c>
      <c r="O1478" s="4" t="s">
        <v>21</v>
      </c>
      <c r="P1478" s="7" t="s">
        <v>19</v>
      </c>
    </row>
    <row r="1479" spans="2:16" x14ac:dyDescent="0.45">
      <c r="B1479" s="4">
        <v>1478</v>
      </c>
      <c r="C1479" s="4" t="s">
        <v>22</v>
      </c>
      <c r="D1479" s="4" t="s">
        <v>23</v>
      </c>
      <c r="E1479" s="4" t="s">
        <v>17</v>
      </c>
      <c r="F1479" s="4" t="s">
        <v>18</v>
      </c>
      <c r="G1479" s="4" t="s">
        <v>19</v>
      </c>
      <c r="H1479" s="4" t="s">
        <v>20</v>
      </c>
      <c r="I1479" s="4">
        <v>28</v>
      </c>
      <c r="J1479" s="5">
        <v>73.599999999999994</v>
      </c>
      <c r="K1479" s="6">
        <v>1.87</v>
      </c>
      <c r="L1479" s="4">
        <v>0</v>
      </c>
      <c r="M1479" s="4">
        <v>115</v>
      </c>
      <c r="N1479" s="4">
        <v>85</v>
      </c>
      <c r="O1479" s="4" t="s">
        <v>26</v>
      </c>
      <c r="P1479" s="7" t="s">
        <v>19</v>
      </c>
    </row>
    <row r="1480" spans="2:16" x14ac:dyDescent="0.45">
      <c r="B1480" s="4">
        <v>1479</v>
      </c>
      <c r="C1480" s="4" t="s">
        <v>15</v>
      </c>
      <c r="D1480" s="4" t="s">
        <v>16</v>
      </c>
      <c r="E1480" s="4" t="s">
        <v>17</v>
      </c>
      <c r="F1480" s="4" t="s">
        <v>24</v>
      </c>
      <c r="G1480" s="4" t="s">
        <v>19</v>
      </c>
      <c r="H1480" s="4" t="s">
        <v>34</v>
      </c>
      <c r="I1480" s="4">
        <v>1</v>
      </c>
      <c r="J1480" s="5">
        <v>7.1</v>
      </c>
      <c r="K1480" s="6">
        <v>0.78</v>
      </c>
      <c r="L1480" s="4">
        <v>5</v>
      </c>
      <c r="M1480" s="4">
        <v>115</v>
      </c>
      <c r="N1480" s="4">
        <v>71</v>
      </c>
      <c r="O1480" s="4" t="s">
        <v>26</v>
      </c>
      <c r="P1480" s="7" t="s">
        <v>19</v>
      </c>
    </row>
    <row r="1481" spans="2:16" x14ac:dyDescent="0.45">
      <c r="B1481" s="4">
        <v>1480</v>
      </c>
      <c r="C1481" s="4" t="s">
        <v>29</v>
      </c>
      <c r="D1481" s="4" t="s">
        <v>16</v>
      </c>
      <c r="E1481" s="4" t="s">
        <v>17</v>
      </c>
      <c r="F1481" s="4" t="s">
        <v>28</v>
      </c>
      <c r="G1481" s="4" t="s">
        <v>19</v>
      </c>
      <c r="H1481" s="4" t="s">
        <v>46</v>
      </c>
      <c r="I1481" s="4">
        <v>20</v>
      </c>
      <c r="J1481" s="5">
        <v>59.2</v>
      </c>
      <c r="K1481" s="6">
        <v>1.66</v>
      </c>
      <c r="L1481" s="4">
        <v>1</v>
      </c>
      <c r="M1481" s="4">
        <v>114</v>
      </c>
      <c r="N1481" s="4">
        <v>82</v>
      </c>
      <c r="O1481" s="4" t="s">
        <v>26</v>
      </c>
      <c r="P1481" s="7" t="s">
        <v>19</v>
      </c>
    </row>
    <row r="1482" spans="2:16" x14ac:dyDescent="0.45">
      <c r="B1482" s="4">
        <v>1481</v>
      </c>
      <c r="C1482" s="4" t="s">
        <v>39</v>
      </c>
      <c r="D1482" s="4" t="s">
        <v>23</v>
      </c>
      <c r="E1482" s="4" t="s">
        <v>35</v>
      </c>
      <c r="F1482" s="4" t="s">
        <v>24</v>
      </c>
      <c r="G1482" s="4" t="s">
        <v>19</v>
      </c>
      <c r="H1482" s="4" t="s">
        <v>46</v>
      </c>
      <c r="I1482" s="4">
        <v>23</v>
      </c>
      <c r="J1482" s="5">
        <v>62.3</v>
      </c>
      <c r="K1482" s="6">
        <v>1.6</v>
      </c>
      <c r="L1482" s="4">
        <v>4</v>
      </c>
      <c r="M1482" s="4">
        <v>109</v>
      </c>
      <c r="N1482" s="4">
        <v>97</v>
      </c>
      <c r="O1482" s="4" t="s">
        <v>26</v>
      </c>
      <c r="P1482" s="7" t="s">
        <v>19</v>
      </c>
    </row>
    <row r="1483" spans="2:16" x14ac:dyDescent="0.45">
      <c r="B1483" s="4">
        <v>1482</v>
      </c>
      <c r="C1483" s="4" t="s">
        <v>29</v>
      </c>
      <c r="D1483" s="4" t="s">
        <v>16</v>
      </c>
      <c r="E1483" s="4" t="s">
        <v>35</v>
      </c>
      <c r="F1483" s="4" t="s">
        <v>18</v>
      </c>
      <c r="G1483" s="4" t="s">
        <v>19</v>
      </c>
      <c r="H1483" s="4" t="s">
        <v>25</v>
      </c>
      <c r="I1483" s="4">
        <v>3</v>
      </c>
      <c r="J1483" s="5">
        <v>11.6</v>
      </c>
      <c r="K1483" s="6">
        <v>0.72</v>
      </c>
      <c r="L1483" s="4">
        <v>4</v>
      </c>
      <c r="M1483" s="4">
        <v>95</v>
      </c>
      <c r="N1483" s="4">
        <v>73</v>
      </c>
      <c r="O1483" s="4" t="s">
        <v>21</v>
      </c>
      <c r="P1483" s="7" t="s">
        <v>19</v>
      </c>
    </row>
    <row r="1484" spans="2:16" x14ac:dyDescent="0.45">
      <c r="B1484" s="4">
        <v>1483</v>
      </c>
      <c r="C1484" s="4" t="s">
        <v>15</v>
      </c>
      <c r="D1484" s="4" t="s">
        <v>16</v>
      </c>
      <c r="E1484" s="4" t="s">
        <v>17</v>
      </c>
      <c r="F1484" s="4" t="s">
        <v>24</v>
      </c>
      <c r="G1484" s="4" t="s">
        <v>19</v>
      </c>
      <c r="H1484" s="4" t="s">
        <v>28</v>
      </c>
      <c r="I1484" s="4">
        <v>41</v>
      </c>
      <c r="J1484" s="5">
        <v>74.400000000000006</v>
      </c>
      <c r="K1484" s="6">
        <v>1.77</v>
      </c>
      <c r="L1484" s="4">
        <v>5</v>
      </c>
      <c r="M1484" s="4">
        <v>117</v>
      </c>
      <c r="N1484" s="4">
        <v>78</v>
      </c>
      <c r="O1484" s="4" t="s">
        <v>21</v>
      </c>
      <c r="P1484" s="7" t="s">
        <v>19</v>
      </c>
    </row>
    <row r="1485" spans="2:16" x14ac:dyDescent="0.45">
      <c r="B1485" s="4">
        <v>1484</v>
      </c>
      <c r="C1485" s="4" t="s">
        <v>22</v>
      </c>
      <c r="D1485" s="4" t="s">
        <v>16</v>
      </c>
      <c r="E1485" s="4" t="s">
        <v>35</v>
      </c>
      <c r="F1485" s="4" t="s">
        <v>24</v>
      </c>
      <c r="G1485" s="4" t="s">
        <v>19</v>
      </c>
      <c r="H1485" s="4" t="s">
        <v>36</v>
      </c>
      <c r="I1485" s="4">
        <v>25</v>
      </c>
      <c r="J1485" s="5">
        <v>93.8</v>
      </c>
      <c r="K1485" s="6">
        <v>1.62</v>
      </c>
      <c r="L1485" s="4">
        <v>5</v>
      </c>
      <c r="M1485" s="4">
        <v>145</v>
      </c>
      <c r="N1485" s="4">
        <v>99</v>
      </c>
      <c r="O1485" s="4" t="s">
        <v>26</v>
      </c>
      <c r="P1485" s="7" t="s">
        <v>19</v>
      </c>
    </row>
    <row r="1486" spans="2:16" x14ac:dyDescent="0.45">
      <c r="B1486" s="4">
        <v>1485</v>
      </c>
      <c r="C1486" s="4" t="s">
        <v>39</v>
      </c>
      <c r="D1486" s="4" t="s">
        <v>16</v>
      </c>
      <c r="E1486" s="4" t="s">
        <v>44</v>
      </c>
      <c r="F1486" s="4" t="s">
        <v>24</v>
      </c>
      <c r="G1486" s="4" t="s">
        <v>30</v>
      </c>
      <c r="H1486" s="4" t="s">
        <v>25</v>
      </c>
      <c r="I1486" s="4">
        <v>54</v>
      </c>
      <c r="J1486" s="5">
        <v>66.099999999999994</v>
      </c>
      <c r="K1486" s="6">
        <v>1.49</v>
      </c>
      <c r="L1486" s="4">
        <v>3</v>
      </c>
      <c r="M1486" s="4">
        <v>111</v>
      </c>
      <c r="N1486" s="4">
        <v>91</v>
      </c>
      <c r="O1486" s="4" t="s">
        <v>21</v>
      </c>
      <c r="P1486" s="7" t="s">
        <v>19</v>
      </c>
    </row>
    <row r="1487" spans="2:16" x14ac:dyDescent="0.45">
      <c r="B1487" s="4">
        <v>1486</v>
      </c>
      <c r="C1487" s="4" t="s">
        <v>27</v>
      </c>
      <c r="D1487" s="4" t="s">
        <v>16</v>
      </c>
      <c r="E1487" s="4" t="s">
        <v>35</v>
      </c>
      <c r="F1487" s="4" t="s">
        <v>24</v>
      </c>
      <c r="G1487" s="4" t="s">
        <v>30</v>
      </c>
      <c r="H1487" s="4" t="s">
        <v>20</v>
      </c>
      <c r="I1487" s="4">
        <v>8</v>
      </c>
      <c r="J1487" s="5">
        <v>21.4</v>
      </c>
      <c r="K1487" s="6">
        <v>1.2</v>
      </c>
      <c r="L1487" s="4">
        <v>1</v>
      </c>
      <c r="M1487" s="4">
        <v>104</v>
      </c>
      <c r="N1487" s="4">
        <v>84</v>
      </c>
      <c r="O1487" s="4" t="s">
        <v>21</v>
      </c>
      <c r="P1487" s="7" t="s">
        <v>19</v>
      </c>
    </row>
    <row r="1488" spans="2:16" x14ac:dyDescent="0.45">
      <c r="B1488" s="4">
        <v>1487</v>
      </c>
      <c r="C1488" s="4" t="s">
        <v>40</v>
      </c>
      <c r="D1488" s="4" t="s">
        <v>23</v>
      </c>
      <c r="E1488" s="4" t="s">
        <v>17</v>
      </c>
      <c r="F1488" s="4" t="s">
        <v>24</v>
      </c>
      <c r="G1488" s="4" t="s">
        <v>19</v>
      </c>
      <c r="H1488" s="4" t="s">
        <v>46</v>
      </c>
      <c r="I1488" s="4">
        <v>38</v>
      </c>
      <c r="J1488" s="5">
        <v>85</v>
      </c>
      <c r="K1488" s="6">
        <v>1.88</v>
      </c>
      <c r="L1488" s="4">
        <v>2</v>
      </c>
      <c r="M1488" s="4">
        <v>126</v>
      </c>
      <c r="N1488" s="4">
        <v>91</v>
      </c>
      <c r="O1488" s="4" t="s">
        <v>21</v>
      </c>
      <c r="P1488" s="7" t="s">
        <v>19</v>
      </c>
    </row>
    <row r="1489" spans="2:16" x14ac:dyDescent="0.45">
      <c r="B1489" s="4">
        <v>1488</v>
      </c>
      <c r="C1489" s="4" t="s">
        <v>39</v>
      </c>
      <c r="D1489" s="4" t="s">
        <v>23</v>
      </c>
      <c r="E1489" s="4" t="s">
        <v>35</v>
      </c>
      <c r="F1489" s="4" t="s">
        <v>24</v>
      </c>
      <c r="G1489" s="4" t="s">
        <v>30</v>
      </c>
      <c r="H1489" s="4" t="s">
        <v>20</v>
      </c>
      <c r="I1489" s="4">
        <v>62</v>
      </c>
      <c r="J1489" s="5">
        <v>69</v>
      </c>
      <c r="K1489" s="6">
        <v>1.66</v>
      </c>
      <c r="L1489" s="4">
        <v>2</v>
      </c>
      <c r="M1489" s="4">
        <v>118</v>
      </c>
      <c r="N1489" s="4">
        <v>92</v>
      </c>
      <c r="O1489" s="4" t="s">
        <v>21</v>
      </c>
      <c r="P1489" s="7" t="s">
        <v>19</v>
      </c>
    </row>
    <row r="1490" spans="2:16" x14ac:dyDescent="0.45">
      <c r="B1490" s="4">
        <v>1489</v>
      </c>
      <c r="C1490" s="4" t="s">
        <v>43</v>
      </c>
      <c r="D1490" s="4" t="s">
        <v>16</v>
      </c>
      <c r="E1490" s="4" t="s">
        <v>17</v>
      </c>
      <c r="F1490" s="4" t="s">
        <v>28</v>
      </c>
      <c r="G1490" s="4" t="s">
        <v>19</v>
      </c>
      <c r="H1490" s="4" t="s">
        <v>36</v>
      </c>
      <c r="I1490" s="4">
        <v>1</v>
      </c>
      <c r="J1490" s="5">
        <v>15</v>
      </c>
      <c r="K1490" s="6">
        <v>0.99</v>
      </c>
      <c r="L1490" s="4">
        <v>0</v>
      </c>
      <c r="M1490" s="4">
        <v>127</v>
      </c>
      <c r="N1490" s="4">
        <v>73</v>
      </c>
      <c r="O1490" s="4" t="s">
        <v>26</v>
      </c>
      <c r="P1490" s="7" t="s">
        <v>19</v>
      </c>
    </row>
    <row r="1491" spans="2:16" x14ac:dyDescent="0.45">
      <c r="B1491" s="4">
        <v>1490</v>
      </c>
      <c r="C1491" s="4" t="s">
        <v>40</v>
      </c>
      <c r="D1491" s="4" t="s">
        <v>16</v>
      </c>
      <c r="E1491" s="4" t="s">
        <v>37</v>
      </c>
      <c r="F1491" s="4" t="s">
        <v>24</v>
      </c>
      <c r="G1491" s="4" t="s">
        <v>19</v>
      </c>
      <c r="H1491" s="4" t="s">
        <v>25</v>
      </c>
      <c r="I1491" s="4">
        <v>13</v>
      </c>
      <c r="J1491" s="5">
        <v>62.5</v>
      </c>
      <c r="K1491" s="6">
        <v>1.48</v>
      </c>
      <c r="L1491" s="4">
        <v>7</v>
      </c>
      <c r="M1491" s="4">
        <v>112</v>
      </c>
      <c r="N1491" s="4">
        <v>80</v>
      </c>
      <c r="O1491" s="4" t="s">
        <v>21</v>
      </c>
      <c r="P1491" s="7" t="s">
        <v>19</v>
      </c>
    </row>
    <row r="1492" spans="2:16" x14ac:dyDescent="0.45">
      <c r="B1492" s="4">
        <v>1491</v>
      </c>
      <c r="C1492" s="4" t="s">
        <v>27</v>
      </c>
      <c r="D1492" s="4" t="s">
        <v>16</v>
      </c>
      <c r="E1492" s="4" t="s">
        <v>35</v>
      </c>
      <c r="F1492" s="4" t="s">
        <v>28</v>
      </c>
      <c r="G1492" s="4" t="s">
        <v>19</v>
      </c>
      <c r="H1492" s="4" t="s">
        <v>20</v>
      </c>
      <c r="I1492" s="4">
        <v>14</v>
      </c>
      <c r="J1492" s="5">
        <v>49.9</v>
      </c>
      <c r="K1492" s="6">
        <v>1.66</v>
      </c>
      <c r="L1492" s="4">
        <v>1</v>
      </c>
      <c r="M1492" s="4">
        <v>104</v>
      </c>
      <c r="N1492" s="4">
        <v>84</v>
      </c>
      <c r="O1492" s="4" t="s">
        <v>26</v>
      </c>
      <c r="P1492" s="7" t="s">
        <v>30</v>
      </c>
    </row>
    <row r="1493" spans="2:16" x14ac:dyDescent="0.45">
      <c r="B1493" s="4">
        <v>1492</v>
      </c>
      <c r="C1493" s="4" t="s">
        <v>22</v>
      </c>
      <c r="D1493" s="4" t="s">
        <v>16</v>
      </c>
      <c r="E1493" s="4" t="s">
        <v>35</v>
      </c>
      <c r="F1493" s="4" t="s">
        <v>18</v>
      </c>
      <c r="G1493" s="4" t="s">
        <v>19</v>
      </c>
      <c r="H1493" s="4" t="s">
        <v>28</v>
      </c>
      <c r="I1493" s="4">
        <v>43</v>
      </c>
      <c r="J1493" s="5">
        <v>68.7</v>
      </c>
      <c r="K1493" s="6">
        <v>1.48</v>
      </c>
      <c r="L1493" s="4">
        <v>2</v>
      </c>
      <c r="M1493" s="4">
        <v>127</v>
      </c>
      <c r="N1493" s="4">
        <v>103</v>
      </c>
      <c r="O1493" s="4" t="s">
        <v>21</v>
      </c>
      <c r="P1493" s="7" t="s">
        <v>19</v>
      </c>
    </row>
    <row r="1494" spans="2:16" x14ac:dyDescent="0.45">
      <c r="B1494" s="4">
        <v>1493</v>
      </c>
      <c r="C1494" s="4" t="s">
        <v>31</v>
      </c>
      <c r="D1494" s="4" t="s">
        <v>16</v>
      </c>
      <c r="E1494" s="4" t="s">
        <v>35</v>
      </c>
      <c r="F1494" s="4" t="s">
        <v>18</v>
      </c>
      <c r="G1494" s="4" t="s">
        <v>19</v>
      </c>
      <c r="H1494" s="4" t="s">
        <v>36</v>
      </c>
      <c r="I1494" s="4">
        <v>31</v>
      </c>
      <c r="J1494" s="5">
        <v>90.5</v>
      </c>
      <c r="K1494" s="6">
        <v>1.89</v>
      </c>
      <c r="L1494" s="4">
        <v>5</v>
      </c>
      <c r="M1494" s="4">
        <v>139</v>
      </c>
      <c r="N1494" s="4">
        <v>88</v>
      </c>
      <c r="O1494" s="4" t="s">
        <v>21</v>
      </c>
      <c r="P1494" s="7" t="s">
        <v>19</v>
      </c>
    </row>
    <row r="1495" spans="2:16" x14ac:dyDescent="0.45">
      <c r="B1495" s="4">
        <v>1494</v>
      </c>
      <c r="C1495" s="4" t="s">
        <v>22</v>
      </c>
      <c r="D1495" s="4" t="s">
        <v>16</v>
      </c>
      <c r="E1495" s="4" t="s">
        <v>17</v>
      </c>
      <c r="F1495" s="4" t="s">
        <v>18</v>
      </c>
      <c r="G1495" s="4" t="s">
        <v>30</v>
      </c>
      <c r="H1495" s="4" t="s">
        <v>28</v>
      </c>
      <c r="I1495" s="4">
        <v>28</v>
      </c>
      <c r="J1495" s="5">
        <v>71.900000000000006</v>
      </c>
      <c r="K1495" s="6">
        <v>1.58</v>
      </c>
      <c r="L1495" s="4">
        <v>5</v>
      </c>
      <c r="M1495" s="4">
        <v>114</v>
      </c>
      <c r="N1495" s="4">
        <v>102</v>
      </c>
      <c r="O1495" s="4" t="s">
        <v>21</v>
      </c>
      <c r="P1495" s="7" t="s">
        <v>19</v>
      </c>
    </row>
    <row r="1496" spans="2:16" x14ac:dyDescent="0.45">
      <c r="B1496" s="4">
        <v>1495</v>
      </c>
      <c r="C1496" s="4" t="s">
        <v>40</v>
      </c>
      <c r="D1496" s="4" t="s">
        <v>23</v>
      </c>
      <c r="E1496" s="4" t="s">
        <v>35</v>
      </c>
      <c r="F1496" s="4" t="s">
        <v>18</v>
      </c>
      <c r="G1496" s="4" t="s">
        <v>30</v>
      </c>
      <c r="H1496" s="4" t="s">
        <v>36</v>
      </c>
      <c r="I1496" s="4">
        <v>5</v>
      </c>
      <c r="J1496" s="5">
        <v>24.1</v>
      </c>
      <c r="K1496" s="6">
        <v>1.1299999999999999</v>
      </c>
      <c r="L1496" s="4">
        <v>3</v>
      </c>
      <c r="M1496" s="4">
        <v>123</v>
      </c>
      <c r="N1496" s="4">
        <v>96</v>
      </c>
      <c r="O1496" s="4" t="s">
        <v>26</v>
      </c>
      <c r="P1496" s="7" t="s">
        <v>19</v>
      </c>
    </row>
    <row r="1497" spans="2:16" x14ac:dyDescent="0.45">
      <c r="B1497" s="4">
        <v>1496</v>
      </c>
      <c r="C1497" s="4" t="s">
        <v>15</v>
      </c>
      <c r="D1497" s="4" t="s">
        <v>23</v>
      </c>
      <c r="E1497" s="4" t="s">
        <v>37</v>
      </c>
      <c r="F1497" s="4" t="s">
        <v>28</v>
      </c>
      <c r="G1497" s="4" t="s">
        <v>30</v>
      </c>
      <c r="H1497" s="4" t="s">
        <v>25</v>
      </c>
      <c r="I1497" s="4">
        <v>34</v>
      </c>
      <c r="J1497" s="5">
        <v>77.599999999999994</v>
      </c>
      <c r="K1497" s="6">
        <v>1.56</v>
      </c>
      <c r="L1497" s="4">
        <v>0</v>
      </c>
      <c r="M1497" s="4">
        <v>109</v>
      </c>
      <c r="N1497" s="4">
        <v>79</v>
      </c>
      <c r="O1497" s="4" t="s">
        <v>26</v>
      </c>
      <c r="P1497" s="7" t="s">
        <v>19</v>
      </c>
    </row>
    <row r="1498" spans="2:16" x14ac:dyDescent="0.45">
      <c r="B1498" s="4">
        <v>1497</v>
      </c>
      <c r="C1498" s="4" t="s">
        <v>29</v>
      </c>
      <c r="D1498" s="4" t="s">
        <v>23</v>
      </c>
      <c r="E1498" s="4" t="s">
        <v>35</v>
      </c>
      <c r="F1498" s="4" t="s">
        <v>42</v>
      </c>
      <c r="G1498" s="4" t="s">
        <v>19</v>
      </c>
      <c r="H1498" s="4" t="s">
        <v>25</v>
      </c>
      <c r="I1498" s="4">
        <v>14</v>
      </c>
      <c r="J1498" s="5">
        <v>64.2</v>
      </c>
      <c r="K1498" s="6">
        <v>1.5</v>
      </c>
      <c r="L1498" s="4">
        <v>0</v>
      </c>
      <c r="M1498" s="4">
        <v>111</v>
      </c>
      <c r="N1498" s="4">
        <v>89</v>
      </c>
      <c r="O1498" s="4" t="s">
        <v>26</v>
      </c>
      <c r="P1498" s="7" t="s">
        <v>19</v>
      </c>
    </row>
    <row r="1499" spans="2:16" x14ac:dyDescent="0.45">
      <c r="B1499" s="4">
        <v>1498</v>
      </c>
      <c r="C1499" s="4" t="s">
        <v>22</v>
      </c>
      <c r="D1499" s="4" t="s">
        <v>16</v>
      </c>
      <c r="E1499" s="4" t="s">
        <v>17</v>
      </c>
      <c r="F1499" s="4" t="s">
        <v>24</v>
      </c>
      <c r="G1499" s="4" t="s">
        <v>19</v>
      </c>
      <c r="H1499" s="4" t="s">
        <v>20</v>
      </c>
      <c r="I1499" s="4">
        <v>32</v>
      </c>
      <c r="J1499" s="5">
        <v>46.9</v>
      </c>
      <c r="K1499" s="6">
        <v>1.81</v>
      </c>
      <c r="L1499" s="4">
        <v>1</v>
      </c>
      <c r="M1499" s="4">
        <v>103</v>
      </c>
      <c r="N1499" s="4">
        <v>89</v>
      </c>
      <c r="O1499" s="4" t="s">
        <v>26</v>
      </c>
      <c r="P1499" s="7" t="s">
        <v>19</v>
      </c>
    </row>
    <row r="1500" spans="2:16" x14ac:dyDescent="0.45">
      <c r="B1500" s="4">
        <v>1499</v>
      </c>
      <c r="C1500" s="4" t="s">
        <v>41</v>
      </c>
      <c r="D1500" s="4" t="s">
        <v>23</v>
      </c>
      <c r="E1500" s="4" t="s">
        <v>35</v>
      </c>
      <c r="F1500" s="4" t="s">
        <v>24</v>
      </c>
      <c r="G1500" s="4" t="s">
        <v>19</v>
      </c>
      <c r="H1500" s="4" t="s">
        <v>20</v>
      </c>
      <c r="I1500" s="4">
        <v>24</v>
      </c>
      <c r="J1500" s="5">
        <v>52.7</v>
      </c>
      <c r="K1500" s="6">
        <v>1.54</v>
      </c>
      <c r="L1500" s="4">
        <v>6</v>
      </c>
      <c r="M1500" s="4">
        <v>114</v>
      </c>
      <c r="N1500" s="4">
        <v>76</v>
      </c>
      <c r="O1500" s="4" t="s">
        <v>26</v>
      </c>
      <c r="P1500" s="7" t="s">
        <v>19</v>
      </c>
    </row>
    <row r="1501" spans="2:16" x14ac:dyDescent="0.45">
      <c r="B1501" s="4">
        <v>1500</v>
      </c>
      <c r="C1501" s="4" t="s">
        <v>43</v>
      </c>
      <c r="D1501" s="4" t="s">
        <v>16</v>
      </c>
      <c r="E1501" s="4" t="s">
        <v>35</v>
      </c>
      <c r="F1501" s="4" t="s">
        <v>24</v>
      </c>
      <c r="G1501" s="4" t="s">
        <v>19</v>
      </c>
      <c r="H1501" s="4" t="s">
        <v>36</v>
      </c>
      <c r="I1501" s="4">
        <v>25</v>
      </c>
      <c r="J1501" s="5">
        <v>57.3</v>
      </c>
      <c r="K1501" s="6">
        <v>1.72</v>
      </c>
      <c r="L1501" s="4">
        <v>1</v>
      </c>
      <c r="M1501" s="4">
        <v>129</v>
      </c>
      <c r="N1501" s="4">
        <v>72</v>
      </c>
      <c r="O1501" s="4" t="s">
        <v>21</v>
      </c>
      <c r="P1501" s="7" t="s">
        <v>19</v>
      </c>
    </row>
    <row r="1502" spans="2:16" x14ac:dyDescent="0.45">
      <c r="B1502" s="4">
        <v>1501</v>
      </c>
      <c r="C1502" s="4" t="s">
        <v>15</v>
      </c>
      <c r="D1502" s="4" t="s">
        <v>16</v>
      </c>
      <c r="E1502" s="4" t="s">
        <v>35</v>
      </c>
      <c r="F1502" s="4" t="s">
        <v>24</v>
      </c>
      <c r="G1502" s="4" t="s">
        <v>19</v>
      </c>
      <c r="H1502" s="4" t="s">
        <v>36</v>
      </c>
      <c r="I1502" s="4">
        <v>2</v>
      </c>
      <c r="J1502" s="5">
        <v>10.5</v>
      </c>
      <c r="K1502" s="6">
        <v>0.61</v>
      </c>
      <c r="L1502" s="4">
        <v>5</v>
      </c>
      <c r="M1502" s="4">
        <v>116</v>
      </c>
      <c r="N1502" s="4">
        <v>86</v>
      </c>
      <c r="O1502" s="4" t="s">
        <v>21</v>
      </c>
      <c r="P1502" s="7" t="s">
        <v>19</v>
      </c>
    </row>
    <row r="1503" spans="2:16" x14ac:dyDescent="0.45">
      <c r="B1503" s="4">
        <v>1502</v>
      </c>
      <c r="C1503" s="4" t="s">
        <v>39</v>
      </c>
      <c r="D1503" s="4" t="s">
        <v>16</v>
      </c>
      <c r="E1503" s="4" t="s">
        <v>17</v>
      </c>
      <c r="F1503" s="4" t="s">
        <v>42</v>
      </c>
      <c r="G1503" s="4" t="s">
        <v>19</v>
      </c>
      <c r="H1503" s="4" t="s">
        <v>20</v>
      </c>
      <c r="I1503" s="4">
        <v>9</v>
      </c>
      <c r="J1503" s="5">
        <v>33.799999999999997</v>
      </c>
      <c r="K1503" s="6">
        <v>1.34</v>
      </c>
      <c r="L1503" s="4">
        <v>5</v>
      </c>
      <c r="M1503" s="4">
        <v>107</v>
      </c>
      <c r="N1503" s="4">
        <v>99</v>
      </c>
      <c r="O1503" s="4" t="s">
        <v>26</v>
      </c>
      <c r="P1503" s="7" t="s">
        <v>19</v>
      </c>
    </row>
    <row r="1504" spans="2:16" x14ac:dyDescent="0.45">
      <c r="B1504" s="4">
        <v>1503</v>
      </c>
      <c r="C1504" s="4" t="s">
        <v>27</v>
      </c>
      <c r="D1504" s="4" t="s">
        <v>16</v>
      </c>
      <c r="E1504" s="4" t="s">
        <v>44</v>
      </c>
      <c r="F1504" s="4" t="s">
        <v>24</v>
      </c>
      <c r="G1504" s="4" t="s">
        <v>19</v>
      </c>
      <c r="H1504" s="4" t="s">
        <v>28</v>
      </c>
      <c r="I1504" s="4">
        <v>55</v>
      </c>
      <c r="J1504" s="5">
        <v>64.400000000000006</v>
      </c>
      <c r="K1504" s="6">
        <v>1.88</v>
      </c>
      <c r="L1504" s="4">
        <v>5</v>
      </c>
      <c r="M1504" s="4">
        <v>126</v>
      </c>
      <c r="N1504" s="4">
        <v>72</v>
      </c>
      <c r="O1504" s="4" t="s">
        <v>26</v>
      </c>
      <c r="P1504" s="7" t="s">
        <v>19</v>
      </c>
    </row>
    <row r="1505" spans="2:16" x14ac:dyDescent="0.45">
      <c r="B1505" s="4">
        <v>1504</v>
      </c>
      <c r="C1505" s="4" t="s">
        <v>43</v>
      </c>
      <c r="D1505" s="4" t="s">
        <v>16</v>
      </c>
      <c r="E1505" s="4" t="s">
        <v>37</v>
      </c>
      <c r="F1505" s="4" t="s">
        <v>24</v>
      </c>
      <c r="G1505" s="4" t="s">
        <v>19</v>
      </c>
      <c r="H1505" s="4" t="s">
        <v>28</v>
      </c>
      <c r="I1505" s="4">
        <v>24</v>
      </c>
      <c r="J1505" s="5">
        <v>49.2</v>
      </c>
      <c r="K1505" s="6">
        <v>1.51</v>
      </c>
      <c r="L1505" s="4">
        <v>3</v>
      </c>
      <c r="M1505" s="4">
        <v>98</v>
      </c>
      <c r="N1505" s="4">
        <v>81</v>
      </c>
      <c r="O1505" s="4" t="s">
        <v>26</v>
      </c>
      <c r="P1505" s="7" t="s">
        <v>19</v>
      </c>
    </row>
    <row r="1506" spans="2:16" x14ac:dyDescent="0.45">
      <c r="B1506" s="4">
        <v>1505</v>
      </c>
      <c r="C1506" s="4" t="s">
        <v>39</v>
      </c>
      <c r="D1506" s="4" t="s">
        <v>23</v>
      </c>
      <c r="E1506" s="4" t="s">
        <v>37</v>
      </c>
      <c r="F1506" s="4" t="s">
        <v>42</v>
      </c>
      <c r="G1506" s="4" t="s">
        <v>30</v>
      </c>
      <c r="H1506" s="4" t="s">
        <v>28</v>
      </c>
      <c r="I1506" s="4">
        <v>47</v>
      </c>
      <c r="J1506" s="5">
        <v>88.4</v>
      </c>
      <c r="K1506" s="6">
        <v>1.81</v>
      </c>
      <c r="L1506" s="4">
        <v>2</v>
      </c>
      <c r="M1506" s="4">
        <v>127</v>
      </c>
      <c r="N1506" s="4">
        <v>75</v>
      </c>
      <c r="O1506" s="4" t="s">
        <v>26</v>
      </c>
      <c r="P1506" s="7" t="s">
        <v>30</v>
      </c>
    </row>
    <row r="1507" spans="2:16" x14ac:dyDescent="0.45">
      <c r="B1507" s="4">
        <v>1506</v>
      </c>
      <c r="C1507" s="4" t="s">
        <v>31</v>
      </c>
      <c r="D1507" s="4" t="s">
        <v>16</v>
      </c>
      <c r="E1507" s="4" t="s">
        <v>35</v>
      </c>
      <c r="F1507" s="4" t="s">
        <v>18</v>
      </c>
      <c r="G1507" s="4" t="s">
        <v>30</v>
      </c>
      <c r="H1507" s="4" t="s">
        <v>34</v>
      </c>
      <c r="I1507" s="4">
        <v>22</v>
      </c>
      <c r="J1507" s="5">
        <v>56.3</v>
      </c>
      <c r="K1507" s="6">
        <v>1.84</v>
      </c>
      <c r="L1507" s="4">
        <v>3</v>
      </c>
      <c r="M1507" s="4">
        <v>106</v>
      </c>
      <c r="N1507" s="4">
        <v>84</v>
      </c>
      <c r="O1507" s="4" t="s">
        <v>21</v>
      </c>
      <c r="P1507" s="7" t="s">
        <v>19</v>
      </c>
    </row>
    <row r="1508" spans="2:16" x14ac:dyDescent="0.45">
      <c r="B1508" s="4">
        <v>1507</v>
      </c>
      <c r="C1508" s="4" t="s">
        <v>15</v>
      </c>
      <c r="D1508" s="4" t="s">
        <v>16</v>
      </c>
      <c r="E1508" s="4" t="s">
        <v>17</v>
      </c>
      <c r="F1508" s="4" t="s">
        <v>24</v>
      </c>
      <c r="G1508" s="4" t="s">
        <v>19</v>
      </c>
      <c r="H1508" s="4" t="s">
        <v>28</v>
      </c>
      <c r="I1508" s="4">
        <v>30</v>
      </c>
      <c r="J1508" s="5">
        <v>50.7</v>
      </c>
      <c r="K1508" s="6">
        <v>1.6</v>
      </c>
      <c r="L1508" s="4">
        <v>1</v>
      </c>
      <c r="M1508" s="4">
        <v>109</v>
      </c>
      <c r="N1508" s="4">
        <v>103</v>
      </c>
      <c r="O1508" s="4" t="s">
        <v>26</v>
      </c>
      <c r="P1508" s="7" t="s">
        <v>19</v>
      </c>
    </row>
    <row r="1509" spans="2:16" x14ac:dyDescent="0.45">
      <c r="B1509" s="4">
        <v>1508</v>
      </c>
      <c r="C1509" s="4" t="s">
        <v>22</v>
      </c>
      <c r="D1509" s="4" t="s">
        <v>16</v>
      </c>
      <c r="E1509" s="4" t="s">
        <v>37</v>
      </c>
      <c r="F1509" s="4" t="s">
        <v>24</v>
      </c>
      <c r="G1509" s="4" t="s">
        <v>19</v>
      </c>
      <c r="H1509" s="4" t="s">
        <v>32</v>
      </c>
      <c r="I1509" s="4">
        <v>18</v>
      </c>
      <c r="J1509" s="5">
        <v>47.6</v>
      </c>
      <c r="K1509" s="6">
        <v>1.66</v>
      </c>
      <c r="L1509" s="4">
        <v>1</v>
      </c>
      <c r="M1509" s="4">
        <v>100</v>
      </c>
      <c r="N1509" s="4">
        <v>176</v>
      </c>
      <c r="O1509" s="4" t="s">
        <v>26</v>
      </c>
      <c r="P1509" s="7" t="s">
        <v>19</v>
      </c>
    </row>
    <row r="1510" spans="2:16" x14ac:dyDescent="0.45">
      <c r="B1510" s="4">
        <v>1509</v>
      </c>
      <c r="C1510" s="4" t="s">
        <v>22</v>
      </c>
      <c r="D1510" s="4" t="s">
        <v>23</v>
      </c>
      <c r="E1510" s="4" t="s">
        <v>17</v>
      </c>
      <c r="F1510" s="4" t="s">
        <v>18</v>
      </c>
      <c r="G1510" s="4" t="s">
        <v>19</v>
      </c>
      <c r="H1510" s="4" t="s">
        <v>32</v>
      </c>
      <c r="I1510" s="4">
        <v>38</v>
      </c>
      <c r="J1510" s="5">
        <v>73.5</v>
      </c>
      <c r="K1510" s="6">
        <v>1.74</v>
      </c>
      <c r="L1510" s="4">
        <v>5</v>
      </c>
      <c r="M1510" s="4">
        <v>128</v>
      </c>
      <c r="N1510" s="4">
        <v>147</v>
      </c>
      <c r="O1510" s="4" t="s">
        <v>21</v>
      </c>
      <c r="P1510" s="7" t="s">
        <v>30</v>
      </c>
    </row>
    <row r="1511" spans="2:16" x14ac:dyDescent="0.45">
      <c r="B1511" s="4">
        <v>1510</v>
      </c>
      <c r="C1511" s="4" t="s">
        <v>40</v>
      </c>
      <c r="D1511" s="4" t="s">
        <v>16</v>
      </c>
      <c r="E1511" s="4" t="s">
        <v>17</v>
      </c>
      <c r="F1511" s="4" t="s">
        <v>24</v>
      </c>
      <c r="G1511" s="4" t="s">
        <v>19</v>
      </c>
      <c r="H1511" s="4" t="s">
        <v>36</v>
      </c>
      <c r="I1511" s="4">
        <v>64</v>
      </c>
      <c r="J1511" s="5">
        <v>68.599999999999994</v>
      </c>
      <c r="K1511" s="6">
        <v>1.62</v>
      </c>
      <c r="L1511" s="4">
        <v>1</v>
      </c>
      <c r="M1511" s="4">
        <v>135</v>
      </c>
      <c r="N1511" s="4">
        <v>104</v>
      </c>
      <c r="O1511" s="4" t="s">
        <v>26</v>
      </c>
      <c r="P1511" s="7" t="s">
        <v>19</v>
      </c>
    </row>
    <row r="1512" spans="2:16" x14ac:dyDescent="0.45">
      <c r="B1512" s="4">
        <v>1511</v>
      </c>
      <c r="C1512" s="4" t="s">
        <v>45</v>
      </c>
      <c r="D1512" s="4" t="s">
        <v>23</v>
      </c>
      <c r="E1512" s="4" t="s">
        <v>35</v>
      </c>
      <c r="F1512" s="4" t="s">
        <v>42</v>
      </c>
      <c r="G1512" s="4" t="s">
        <v>30</v>
      </c>
      <c r="H1512" s="4" t="s">
        <v>25</v>
      </c>
      <c r="I1512" s="4">
        <v>13</v>
      </c>
      <c r="J1512" s="5">
        <v>38.700000000000003</v>
      </c>
      <c r="K1512" s="6">
        <v>1.46</v>
      </c>
      <c r="L1512" s="4">
        <v>1</v>
      </c>
      <c r="M1512" s="4">
        <v>95</v>
      </c>
      <c r="N1512" s="4">
        <v>91</v>
      </c>
      <c r="O1512" s="4" t="s">
        <v>26</v>
      </c>
      <c r="P1512" s="7" t="s">
        <v>19</v>
      </c>
    </row>
    <row r="1513" spans="2:16" x14ac:dyDescent="0.45">
      <c r="B1513" s="4">
        <v>1512</v>
      </c>
      <c r="C1513" s="4" t="s">
        <v>39</v>
      </c>
      <c r="D1513" s="4" t="s">
        <v>23</v>
      </c>
      <c r="E1513" s="4" t="s">
        <v>35</v>
      </c>
      <c r="F1513" s="4" t="s">
        <v>28</v>
      </c>
      <c r="G1513" s="4" t="s">
        <v>19</v>
      </c>
      <c r="H1513" s="4" t="s">
        <v>25</v>
      </c>
      <c r="I1513" s="4">
        <v>4</v>
      </c>
      <c r="J1513" s="5">
        <v>6.1</v>
      </c>
      <c r="K1513" s="6">
        <v>0.9</v>
      </c>
      <c r="L1513" s="4">
        <v>4</v>
      </c>
      <c r="M1513" s="4">
        <v>105</v>
      </c>
      <c r="N1513" s="4">
        <v>99</v>
      </c>
      <c r="O1513" s="4" t="s">
        <v>26</v>
      </c>
      <c r="P1513" s="7" t="s">
        <v>19</v>
      </c>
    </row>
    <row r="1514" spans="2:16" x14ac:dyDescent="0.45">
      <c r="B1514" s="4">
        <v>1513</v>
      </c>
      <c r="C1514" s="4" t="s">
        <v>29</v>
      </c>
      <c r="D1514" s="4" t="s">
        <v>16</v>
      </c>
      <c r="E1514" s="4" t="s">
        <v>17</v>
      </c>
      <c r="F1514" s="4" t="s">
        <v>28</v>
      </c>
      <c r="G1514" s="4" t="s">
        <v>19</v>
      </c>
      <c r="H1514" s="4" t="s">
        <v>20</v>
      </c>
      <c r="I1514" s="4">
        <v>0</v>
      </c>
      <c r="J1514" s="5">
        <v>17.100000000000001</v>
      </c>
      <c r="K1514" s="6">
        <v>0.62</v>
      </c>
      <c r="L1514" s="4">
        <v>7</v>
      </c>
      <c r="M1514" s="4">
        <v>97</v>
      </c>
      <c r="N1514" s="4">
        <v>75</v>
      </c>
      <c r="O1514" s="4" t="s">
        <v>26</v>
      </c>
      <c r="P1514" s="7" t="s">
        <v>19</v>
      </c>
    </row>
    <row r="1515" spans="2:16" x14ac:dyDescent="0.45">
      <c r="B1515" s="4">
        <v>1514</v>
      </c>
      <c r="C1515" s="4" t="s">
        <v>22</v>
      </c>
      <c r="D1515" s="4" t="s">
        <v>16</v>
      </c>
      <c r="E1515" s="4" t="s">
        <v>44</v>
      </c>
      <c r="F1515" s="4" t="s">
        <v>18</v>
      </c>
      <c r="G1515" s="4" t="s">
        <v>30</v>
      </c>
      <c r="H1515" s="4" t="s">
        <v>28</v>
      </c>
      <c r="I1515" s="4">
        <v>2</v>
      </c>
      <c r="J1515" s="5">
        <v>16</v>
      </c>
      <c r="K1515" s="6">
        <v>0.61</v>
      </c>
      <c r="L1515" s="4">
        <v>0</v>
      </c>
      <c r="M1515" s="4">
        <v>99</v>
      </c>
      <c r="N1515" s="4">
        <v>98</v>
      </c>
      <c r="O1515" s="4" t="s">
        <v>21</v>
      </c>
      <c r="P1515" s="7" t="s">
        <v>19</v>
      </c>
    </row>
    <row r="1516" spans="2:16" x14ac:dyDescent="0.45">
      <c r="B1516" s="4">
        <v>1515</v>
      </c>
      <c r="C1516" s="4" t="s">
        <v>27</v>
      </c>
      <c r="D1516" s="4" t="s">
        <v>16</v>
      </c>
      <c r="E1516" s="4" t="s">
        <v>44</v>
      </c>
      <c r="F1516" s="4" t="s">
        <v>42</v>
      </c>
      <c r="G1516" s="4" t="s">
        <v>19</v>
      </c>
      <c r="H1516" s="4" t="s">
        <v>36</v>
      </c>
      <c r="I1516" s="4">
        <v>7</v>
      </c>
      <c r="J1516" s="5">
        <v>20.9</v>
      </c>
      <c r="K1516" s="6">
        <v>1.3</v>
      </c>
      <c r="L1516" s="4">
        <v>7</v>
      </c>
      <c r="M1516" s="4">
        <v>131</v>
      </c>
      <c r="N1516" s="4">
        <v>99</v>
      </c>
      <c r="O1516" s="4" t="s">
        <v>26</v>
      </c>
      <c r="P1516" s="7" t="s">
        <v>30</v>
      </c>
    </row>
    <row r="1517" spans="2:16" x14ac:dyDescent="0.45">
      <c r="B1517" s="4">
        <v>1516</v>
      </c>
      <c r="C1517" s="4" t="s">
        <v>27</v>
      </c>
      <c r="D1517" s="4" t="s">
        <v>23</v>
      </c>
      <c r="E1517" s="4" t="s">
        <v>17</v>
      </c>
      <c r="F1517" s="4" t="s">
        <v>24</v>
      </c>
      <c r="G1517" s="4" t="s">
        <v>19</v>
      </c>
      <c r="H1517" s="4" t="s">
        <v>28</v>
      </c>
      <c r="I1517" s="4">
        <v>42</v>
      </c>
      <c r="J1517" s="5">
        <v>56</v>
      </c>
      <c r="K1517" s="6">
        <v>1.58</v>
      </c>
      <c r="L1517" s="4">
        <v>3</v>
      </c>
      <c r="M1517" s="4">
        <v>126</v>
      </c>
      <c r="N1517" s="4">
        <v>93</v>
      </c>
      <c r="O1517" s="4" t="s">
        <v>26</v>
      </c>
      <c r="P1517" s="7" t="s">
        <v>30</v>
      </c>
    </row>
    <row r="1518" spans="2:16" x14ac:dyDescent="0.45">
      <c r="B1518" s="4">
        <v>1517</v>
      </c>
      <c r="C1518" s="4" t="s">
        <v>22</v>
      </c>
      <c r="D1518" s="4" t="s">
        <v>23</v>
      </c>
      <c r="E1518" s="4" t="s">
        <v>35</v>
      </c>
      <c r="F1518" s="4" t="s">
        <v>24</v>
      </c>
      <c r="G1518" s="4" t="s">
        <v>30</v>
      </c>
      <c r="H1518" s="4" t="s">
        <v>46</v>
      </c>
      <c r="I1518" s="4">
        <v>9</v>
      </c>
      <c r="J1518" s="5">
        <v>21.8</v>
      </c>
      <c r="K1518" s="6">
        <v>1.1299999999999999</v>
      </c>
      <c r="L1518" s="4">
        <v>8</v>
      </c>
      <c r="M1518" s="4">
        <v>100</v>
      </c>
      <c r="N1518" s="4">
        <v>93</v>
      </c>
      <c r="O1518" s="4" t="s">
        <v>21</v>
      </c>
      <c r="P1518" s="7" t="s">
        <v>19</v>
      </c>
    </row>
    <row r="1519" spans="2:16" x14ac:dyDescent="0.45">
      <c r="B1519" s="4">
        <v>1518</v>
      </c>
      <c r="C1519" s="4" t="s">
        <v>27</v>
      </c>
      <c r="D1519" s="4" t="s">
        <v>23</v>
      </c>
      <c r="E1519" s="4" t="s">
        <v>17</v>
      </c>
      <c r="F1519" s="4" t="s">
        <v>24</v>
      </c>
      <c r="G1519" s="4" t="s">
        <v>19</v>
      </c>
      <c r="H1519" s="4" t="s">
        <v>20</v>
      </c>
      <c r="I1519" s="4">
        <v>0</v>
      </c>
      <c r="J1519" s="5">
        <v>12.1</v>
      </c>
      <c r="K1519" s="6">
        <v>0.85</v>
      </c>
      <c r="L1519" s="4">
        <v>2</v>
      </c>
      <c r="M1519" s="4">
        <v>109</v>
      </c>
      <c r="N1519" s="4">
        <v>90</v>
      </c>
      <c r="O1519" s="4" t="s">
        <v>21</v>
      </c>
      <c r="P1519" s="7" t="s">
        <v>19</v>
      </c>
    </row>
    <row r="1520" spans="2:16" x14ac:dyDescent="0.45">
      <c r="B1520" s="4">
        <v>1519</v>
      </c>
      <c r="C1520" s="4" t="s">
        <v>29</v>
      </c>
      <c r="D1520" s="4" t="s">
        <v>23</v>
      </c>
      <c r="E1520" s="4" t="s">
        <v>35</v>
      </c>
      <c r="F1520" s="4" t="s">
        <v>18</v>
      </c>
      <c r="G1520" s="4" t="s">
        <v>30</v>
      </c>
      <c r="H1520" s="4" t="s">
        <v>20</v>
      </c>
      <c r="I1520" s="4">
        <v>2</v>
      </c>
      <c r="J1520" s="5">
        <v>7</v>
      </c>
      <c r="K1520" s="6">
        <v>1.03</v>
      </c>
      <c r="L1520" s="4">
        <v>1</v>
      </c>
      <c r="M1520" s="4">
        <v>107</v>
      </c>
      <c r="N1520" s="4">
        <v>81</v>
      </c>
      <c r="O1520" s="4" t="s">
        <v>26</v>
      </c>
      <c r="P1520" s="7" t="s">
        <v>19</v>
      </c>
    </row>
    <row r="1521" spans="2:16" x14ac:dyDescent="0.45">
      <c r="B1521" s="4">
        <v>1520</v>
      </c>
      <c r="C1521" s="4" t="s">
        <v>22</v>
      </c>
      <c r="D1521" s="4" t="s">
        <v>16</v>
      </c>
      <c r="E1521" s="4" t="s">
        <v>35</v>
      </c>
      <c r="F1521" s="4" t="s">
        <v>28</v>
      </c>
      <c r="G1521" s="4" t="s">
        <v>30</v>
      </c>
      <c r="H1521" s="4" t="s">
        <v>38</v>
      </c>
      <c r="I1521" s="4">
        <v>16</v>
      </c>
      <c r="J1521" s="5">
        <v>50.7</v>
      </c>
      <c r="K1521" s="6">
        <v>1.71</v>
      </c>
      <c r="L1521" s="4">
        <v>3</v>
      </c>
      <c r="M1521" s="4">
        <v>110</v>
      </c>
      <c r="N1521" s="4">
        <v>75</v>
      </c>
      <c r="O1521" s="4" t="s">
        <v>21</v>
      </c>
      <c r="P1521" s="7" t="s">
        <v>19</v>
      </c>
    </row>
    <row r="1522" spans="2:16" x14ac:dyDescent="0.45">
      <c r="B1522" s="4">
        <v>1521</v>
      </c>
      <c r="C1522" s="4" t="s">
        <v>41</v>
      </c>
      <c r="D1522" s="4" t="s">
        <v>16</v>
      </c>
      <c r="E1522" s="4" t="s">
        <v>17</v>
      </c>
      <c r="F1522" s="4" t="s">
        <v>24</v>
      </c>
      <c r="G1522" s="4" t="s">
        <v>19</v>
      </c>
      <c r="H1522" s="4" t="s">
        <v>28</v>
      </c>
      <c r="I1522" s="4">
        <v>3</v>
      </c>
      <c r="J1522" s="5">
        <v>16.899999999999999</v>
      </c>
      <c r="K1522" s="6">
        <v>1.03</v>
      </c>
      <c r="L1522" s="4">
        <v>2</v>
      </c>
      <c r="M1522" s="4">
        <v>116</v>
      </c>
      <c r="N1522" s="4">
        <v>76</v>
      </c>
      <c r="O1522" s="4" t="s">
        <v>21</v>
      </c>
      <c r="P1522" s="7" t="s">
        <v>19</v>
      </c>
    </row>
    <row r="1523" spans="2:16" x14ac:dyDescent="0.45">
      <c r="B1523" s="4">
        <v>1522</v>
      </c>
      <c r="C1523" s="4" t="s">
        <v>45</v>
      </c>
      <c r="D1523" s="4" t="s">
        <v>23</v>
      </c>
      <c r="E1523" s="4" t="s">
        <v>35</v>
      </c>
      <c r="F1523" s="4" t="s">
        <v>24</v>
      </c>
      <c r="G1523" s="4" t="s">
        <v>19</v>
      </c>
      <c r="H1523" s="4" t="s">
        <v>34</v>
      </c>
      <c r="I1523" s="4">
        <v>21</v>
      </c>
      <c r="J1523" s="5">
        <v>51.2</v>
      </c>
      <c r="K1523" s="6">
        <v>1.77</v>
      </c>
      <c r="L1523" s="4">
        <v>6</v>
      </c>
      <c r="M1523" s="4">
        <v>115</v>
      </c>
      <c r="N1523" s="4">
        <v>86</v>
      </c>
      <c r="O1523" s="4" t="s">
        <v>26</v>
      </c>
      <c r="P1523" s="7" t="s">
        <v>30</v>
      </c>
    </row>
    <row r="1524" spans="2:16" x14ac:dyDescent="0.45">
      <c r="B1524" s="4">
        <v>1523</v>
      </c>
      <c r="C1524" s="4" t="s">
        <v>40</v>
      </c>
      <c r="D1524" s="4" t="s">
        <v>16</v>
      </c>
      <c r="E1524" s="4" t="s">
        <v>35</v>
      </c>
      <c r="F1524" s="4" t="s">
        <v>18</v>
      </c>
      <c r="G1524" s="4" t="s">
        <v>30</v>
      </c>
      <c r="H1524" s="4" t="s">
        <v>36</v>
      </c>
      <c r="I1524" s="4">
        <v>15</v>
      </c>
      <c r="J1524" s="5">
        <v>47.9</v>
      </c>
      <c r="K1524" s="6">
        <v>1.65</v>
      </c>
      <c r="L1524" s="4">
        <v>3</v>
      </c>
      <c r="M1524" s="4">
        <v>123</v>
      </c>
      <c r="N1524" s="4">
        <v>105</v>
      </c>
      <c r="O1524" s="4" t="s">
        <v>21</v>
      </c>
      <c r="P1524" s="7" t="s">
        <v>19</v>
      </c>
    </row>
    <row r="1525" spans="2:16" x14ac:dyDescent="0.45">
      <c r="B1525" s="4">
        <v>1524</v>
      </c>
      <c r="C1525" s="4" t="s">
        <v>45</v>
      </c>
      <c r="D1525" s="4" t="s">
        <v>16</v>
      </c>
      <c r="E1525" s="4" t="s">
        <v>44</v>
      </c>
      <c r="F1525" s="4" t="s">
        <v>28</v>
      </c>
      <c r="G1525" s="4" t="s">
        <v>30</v>
      </c>
      <c r="H1525" s="4" t="s">
        <v>25</v>
      </c>
      <c r="I1525" s="4">
        <v>25</v>
      </c>
      <c r="J1525" s="5">
        <v>87.2</v>
      </c>
      <c r="K1525" s="6">
        <v>1.58</v>
      </c>
      <c r="L1525" s="4">
        <v>2</v>
      </c>
      <c r="M1525" s="4">
        <v>109</v>
      </c>
      <c r="N1525" s="4">
        <v>103</v>
      </c>
      <c r="O1525" s="4" t="s">
        <v>21</v>
      </c>
      <c r="P1525" s="7" t="s">
        <v>19</v>
      </c>
    </row>
    <row r="1526" spans="2:16" x14ac:dyDescent="0.45">
      <c r="B1526" s="4">
        <v>1525</v>
      </c>
      <c r="C1526" s="4" t="s">
        <v>29</v>
      </c>
      <c r="D1526" s="4" t="s">
        <v>16</v>
      </c>
      <c r="E1526" s="4" t="s">
        <v>37</v>
      </c>
      <c r="F1526" s="4" t="s">
        <v>28</v>
      </c>
      <c r="G1526" s="4" t="s">
        <v>30</v>
      </c>
      <c r="H1526" s="4" t="s">
        <v>36</v>
      </c>
      <c r="I1526" s="4">
        <v>6</v>
      </c>
      <c r="J1526" s="5">
        <v>34.9</v>
      </c>
      <c r="K1526" s="6">
        <v>1.4</v>
      </c>
      <c r="L1526" s="4">
        <v>4</v>
      </c>
      <c r="M1526" s="4">
        <v>122</v>
      </c>
      <c r="N1526" s="4">
        <v>102</v>
      </c>
      <c r="O1526" s="4" t="s">
        <v>21</v>
      </c>
      <c r="P1526" s="7" t="s">
        <v>19</v>
      </c>
    </row>
    <row r="1527" spans="2:16" x14ac:dyDescent="0.45">
      <c r="B1527" s="4">
        <v>1526</v>
      </c>
      <c r="C1527" s="4" t="s">
        <v>40</v>
      </c>
      <c r="D1527" s="4" t="s">
        <v>23</v>
      </c>
      <c r="E1527" s="4" t="s">
        <v>17</v>
      </c>
      <c r="F1527" s="4" t="s">
        <v>18</v>
      </c>
      <c r="G1527" s="4" t="s">
        <v>30</v>
      </c>
      <c r="H1527" s="4" t="s">
        <v>34</v>
      </c>
      <c r="I1527" s="4">
        <v>34</v>
      </c>
      <c r="J1527" s="5">
        <v>69.3</v>
      </c>
      <c r="K1527" s="6">
        <v>1.8</v>
      </c>
      <c r="L1527" s="4">
        <v>6</v>
      </c>
      <c r="M1527" s="4">
        <v>125</v>
      </c>
      <c r="N1527" s="4">
        <v>94</v>
      </c>
      <c r="O1527" s="4" t="s">
        <v>26</v>
      </c>
      <c r="P1527" s="7" t="s">
        <v>19</v>
      </c>
    </row>
    <row r="1528" spans="2:16" x14ac:dyDescent="0.45">
      <c r="B1528" s="4">
        <v>1527</v>
      </c>
      <c r="C1528" s="4" t="s">
        <v>40</v>
      </c>
      <c r="D1528" s="4" t="s">
        <v>23</v>
      </c>
      <c r="E1528" s="4" t="s">
        <v>17</v>
      </c>
      <c r="F1528" s="4" t="s">
        <v>28</v>
      </c>
      <c r="G1528" s="4" t="s">
        <v>19</v>
      </c>
      <c r="H1528" s="4" t="s">
        <v>25</v>
      </c>
      <c r="I1528" s="4">
        <v>33</v>
      </c>
      <c r="J1528" s="5">
        <v>74.8</v>
      </c>
      <c r="K1528" s="6">
        <v>1.78</v>
      </c>
      <c r="L1528" s="4">
        <v>3</v>
      </c>
      <c r="M1528" s="4">
        <v>113</v>
      </c>
      <c r="N1528" s="4">
        <v>104</v>
      </c>
      <c r="O1528" s="4" t="s">
        <v>26</v>
      </c>
      <c r="P1528" s="7" t="s">
        <v>19</v>
      </c>
    </row>
    <row r="1529" spans="2:16" x14ac:dyDescent="0.45">
      <c r="B1529" s="4">
        <v>1528</v>
      </c>
      <c r="C1529" s="4" t="s">
        <v>27</v>
      </c>
      <c r="D1529" s="4" t="s">
        <v>16</v>
      </c>
      <c r="E1529" s="4" t="s">
        <v>37</v>
      </c>
      <c r="F1529" s="4" t="s">
        <v>24</v>
      </c>
      <c r="G1529" s="4" t="s">
        <v>19</v>
      </c>
      <c r="H1529" s="4" t="s">
        <v>25</v>
      </c>
      <c r="I1529" s="4">
        <v>56</v>
      </c>
      <c r="J1529" s="5">
        <v>77.400000000000006</v>
      </c>
      <c r="K1529" s="6">
        <v>1.69</v>
      </c>
      <c r="L1529" s="4">
        <v>3</v>
      </c>
      <c r="M1529" s="4">
        <v>125</v>
      </c>
      <c r="N1529" s="4">
        <v>101</v>
      </c>
      <c r="O1529" s="4" t="s">
        <v>21</v>
      </c>
      <c r="P1529" s="7" t="s">
        <v>19</v>
      </c>
    </row>
    <row r="1530" spans="2:16" x14ac:dyDescent="0.45">
      <c r="B1530" s="4">
        <v>1529</v>
      </c>
      <c r="C1530" s="4" t="s">
        <v>45</v>
      </c>
      <c r="D1530" s="4" t="s">
        <v>16</v>
      </c>
      <c r="E1530" s="4" t="s">
        <v>17</v>
      </c>
      <c r="F1530" s="4" t="s">
        <v>24</v>
      </c>
      <c r="G1530" s="4" t="s">
        <v>19</v>
      </c>
      <c r="H1530" s="4" t="s">
        <v>20</v>
      </c>
      <c r="I1530" s="4">
        <v>27</v>
      </c>
      <c r="J1530" s="5">
        <v>75</v>
      </c>
      <c r="K1530" s="6">
        <v>1.78</v>
      </c>
      <c r="L1530" s="4">
        <v>1</v>
      </c>
      <c r="M1530" s="4">
        <v>101</v>
      </c>
      <c r="N1530" s="4">
        <v>85</v>
      </c>
      <c r="O1530" s="4" t="s">
        <v>26</v>
      </c>
      <c r="P1530" s="7" t="s">
        <v>19</v>
      </c>
    </row>
    <row r="1531" spans="2:16" x14ac:dyDescent="0.45">
      <c r="B1531" s="4">
        <v>1530</v>
      </c>
      <c r="C1531" s="4" t="s">
        <v>22</v>
      </c>
      <c r="D1531" s="4" t="s">
        <v>16</v>
      </c>
      <c r="E1531" s="4" t="s">
        <v>17</v>
      </c>
      <c r="F1531" s="4" t="s">
        <v>28</v>
      </c>
      <c r="G1531" s="4" t="s">
        <v>19</v>
      </c>
      <c r="H1531" s="4" t="s">
        <v>32</v>
      </c>
      <c r="I1531" s="4">
        <v>18</v>
      </c>
      <c r="J1531" s="5">
        <v>77.8</v>
      </c>
      <c r="K1531" s="6">
        <v>1.87</v>
      </c>
      <c r="L1531" s="4">
        <v>1</v>
      </c>
      <c r="M1531" s="4">
        <v>118</v>
      </c>
      <c r="N1531" s="4">
        <v>147</v>
      </c>
      <c r="O1531" s="4" t="s">
        <v>26</v>
      </c>
      <c r="P1531" s="7" t="s">
        <v>30</v>
      </c>
    </row>
    <row r="1532" spans="2:16" x14ac:dyDescent="0.45">
      <c r="B1532" s="4">
        <v>1531</v>
      </c>
      <c r="C1532" s="4" t="s">
        <v>40</v>
      </c>
      <c r="D1532" s="4" t="s">
        <v>23</v>
      </c>
      <c r="E1532" s="4" t="s">
        <v>17</v>
      </c>
      <c r="F1532" s="4" t="s">
        <v>28</v>
      </c>
      <c r="G1532" s="4" t="s">
        <v>19</v>
      </c>
      <c r="H1532" s="4" t="s">
        <v>32</v>
      </c>
      <c r="I1532" s="4">
        <v>0</v>
      </c>
      <c r="J1532" s="5">
        <v>17.5</v>
      </c>
      <c r="K1532" s="6">
        <v>0.81</v>
      </c>
      <c r="L1532" s="4">
        <v>0</v>
      </c>
      <c r="M1532" s="4">
        <v>107</v>
      </c>
      <c r="N1532" s="4">
        <v>142</v>
      </c>
      <c r="O1532" s="4" t="s">
        <v>26</v>
      </c>
      <c r="P1532" s="7" t="s">
        <v>19</v>
      </c>
    </row>
    <row r="1533" spans="2:16" x14ac:dyDescent="0.45">
      <c r="B1533" s="4">
        <v>1532</v>
      </c>
      <c r="C1533" s="4" t="s">
        <v>27</v>
      </c>
      <c r="D1533" s="4" t="s">
        <v>16</v>
      </c>
      <c r="E1533" s="4" t="s">
        <v>35</v>
      </c>
      <c r="F1533" s="4" t="s">
        <v>18</v>
      </c>
      <c r="G1533" s="4" t="s">
        <v>19</v>
      </c>
      <c r="H1533" s="4" t="s">
        <v>25</v>
      </c>
      <c r="I1533" s="4">
        <v>26</v>
      </c>
      <c r="J1533" s="5">
        <v>55.4</v>
      </c>
      <c r="K1533" s="6">
        <v>1.64</v>
      </c>
      <c r="L1533" s="4">
        <v>3</v>
      </c>
      <c r="M1533" s="4">
        <v>110</v>
      </c>
      <c r="N1533" s="4">
        <v>76</v>
      </c>
      <c r="O1533" s="4" t="s">
        <v>26</v>
      </c>
      <c r="P1533" s="7" t="s">
        <v>19</v>
      </c>
    </row>
    <row r="1534" spans="2:16" x14ac:dyDescent="0.45">
      <c r="B1534" s="4">
        <v>1533</v>
      </c>
      <c r="C1534" s="4" t="s">
        <v>22</v>
      </c>
      <c r="D1534" s="4" t="s">
        <v>23</v>
      </c>
      <c r="E1534" s="4" t="s">
        <v>17</v>
      </c>
      <c r="F1534" s="4" t="s">
        <v>18</v>
      </c>
      <c r="G1534" s="4" t="s">
        <v>30</v>
      </c>
      <c r="H1534" s="4" t="s">
        <v>20</v>
      </c>
      <c r="I1534" s="4">
        <v>0</v>
      </c>
      <c r="J1534" s="5">
        <v>15.7</v>
      </c>
      <c r="K1534" s="6">
        <v>0.67</v>
      </c>
      <c r="L1534" s="4">
        <v>1</v>
      </c>
      <c r="M1534" s="4">
        <v>105</v>
      </c>
      <c r="N1534" s="4">
        <v>88</v>
      </c>
      <c r="O1534" s="4" t="s">
        <v>21</v>
      </c>
      <c r="P1534" s="7" t="s">
        <v>19</v>
      </c>
    </row>
    <row r="1535" spans="2:16" x14ac:dyDescent="0.45">
      <c r="B1535" s="4">
        <v>1534</v>
      </c>
      <c r="C1535" s="4" t="s">
        <v>41</v>
      </c>
      <c r="D1535" s="4" t="s">
        <v>16</v>
      </c>
      <c r="E1535" s="4" t="s">
        <v>37</v>
      </c>
      <c r="F1535" s="4" t="s">
        <v>18</v>
      </c>
      <c r="G1535" s="4" t="s">
        <v>19</v>
      </c>
      <c r="H1535" s="4" t="s">
        <v>28</v>
      </c>
      <c r="I1535" s="4">
        <v>33</v>
      </c>
      <c r="J1535" s="5">
        <v>90.5</v>
      </c>
      <c r="K1535" s="6">
        <v>1.74</v>
      </c>
      <c r="L1535" s="4">
        <v>4</v>
      </c>
      <c r="M1535" s="4">
        <v>112</v>
      </c>
      <c r="N1535" s="4">
        <v>89</v>
      </c>
      <c r="O1535" s="4" t="s">
        <v>26</v>
      </c>
      <c r="P1535" s="7" t="s">
        <v>19</v>
      </c>
    </row>
    <row r="1536" spans="2:16" x14ac:dyDescent="0.45">
      <c r="B1536" s="4">
        <v>1535</v>
      </c>
      <c r="C1536" s="4" t="s">
        <v>39</v>
      </c>
      <c r="D1536" s="4" t="s">
        <v>23</v>
      </c>
      <c r="E1536" s="4" t="s">
        <v>17</v>
      </c>
      <c r="F1536" s="4" t="s">
        <v>24</v>
      </c>
      <c r="G1536" s="4" t="s">
        <v>19</v>
      </c>
      <c r="H1536" s="4" t="s">
        <v>34</v>
      </c>
      <c r="I1536" s="4">
        <v>54</v>
      </c>
      <c r="J1536" s="5">
        <v>87.4</v>
      </c>
      <c r="K1536" s="6">
        <v>1.74</v>
      </c>
      <c r="L1536" s="4">
        <v>2</v>
      </c>
      <c r="M1536" s="4">
        <v>128</v>
      </c>
      <c r="N1536" s="4">
        <v>93</v>
      </c>
      <c r="O1536" s="4" t="s">
        <v>26</v>
      </c>
      <c r="P1536" s="7" t="s">
        <v>19</v>
      </c>
    </row>
    <row r="1537" spans="2:16" x14ac:dyDescent="0.45">
      <c r="B1537" s="4">
        <v>1536</v>
      </c>
      <c r="C1537" s="4" t="s">
        <v>39</v>
      </c>
      <c r="D1537" s="4" t="s">
        <v>16</v>
      </c>
      <c r="E1537" s="4" t="s">
        <v>17</v>
      </c>
      <c r="F1537" s="4" t="s">
        <v>18</v>
      </c>
      <c r="G1537" s="4" t="s">
        <v>30</v>
      </c>
      <c r="H1537" s="4" t="s">
        <v>25</v>
      </c>
      <c r="I1537" s="4">
        <v>27</v>
      </c>
      <c r="J1537" s="5">
        <v>81.099999999999994</v>
      </c>
      <c r="K1537" s="6">
        <v>1.55</v>
      </c>
      <c r="L1537" s="4">
        <v>3</v>
      </c>
      <c r="M1537" s="4">
        <v>113</v>
      </c>
      <c r="N1537" s="4">
        <v>90</v>
      </c>
      <c r="O1537" s="4" t="s">
        <v>21</v>
      </c>
      <c r="P1537" s="7" t="s">
        <v>19</v>
      </c>
    </row>
    <row r="1538" spans="2:16" x14ac:dyDescent="0.45">
      <c r="B1538" s="4">
        <v>1537</v>
      </c>
      <c r="C1538" s="4" t="s">
        <v>41</v>
      </c>
      <c r="D1538" s="4" t="s">
        <v>23</v>
      </c>
      <c r="E1538" s="4" t="s">
        <v>35</v>
      </c>
      <c r="F1538" s="4" t="s">
        <v>28</v>
      </c>
      <c r="G1538" s="4" t="s">
        <v>19</v>
      </c>
      <c r="H1538" s="4" t="s">
        <v>34</v>
      </c>
      <c r="I1538" s="4">
        <v>17</v>
      </c>
      <c r="J1538" s="5">
        <v>39.4</v>
      </c>
      <c r="K1538" s="6">
        <v>1.68</v>
      </c>
      <c r="L1538" s="4">
        <v>3</v>
      </c>
      <c r="M1538" s="4">
        <v>119</v>
      </c>
      <c r="N1538" s="4">
        <v>102</v>
      </c>
      <c r="O1538" s="4" t="s">
        <v>26</v>
      </c>
      <c r="P1538" s="7" t="s">
        <v>19</v>
      </c>
    </row>
    <row r="1539" spans="2:16" x14ac:dyDescent="0.45">
      <c r="B1539" s="4">
        <v>1538</v>
      </c>
      <c r="C1539" s="4" t="s">
        <v>45</v>
      </c>
      <c r="D1539" s="4" t="s">
        <v>23</v>
      </c>
      <c r="E1539" s="4" t="s">
        <v>17</v>
      </c>
      <c r="F1539" s="4" t="s">
        <v>24</v>
      </c>
      <c r="G1539" s="4" t="s">
        <v>19</v>
      </c>
      <c r="H1539" s="4" t="s">
        <v>25</v>
      </c>
      <c r="I1539" s="4">
        <v>13</v>
      </c>
      <c r="J1539" s="5">
        <v>57.6</v>
      </c>
      <c r="K1539" s="6">
        <v>1.68</v>
      </c>
      <c r="L1539" s="4">
        <v>2</v>
      </c>
      <c r="M1539" s="4">
        <v>111</v>
      </c>
      <c r="N1539" s="4">
        <v>76</v>
      </c>
      <c r="O1539" s="4" t="s">
        <v>26</v>
      </c>
      <c r="P1539" s="7" t="s">
        <v>19</v>
      </c>
    </row>
    <row r="1540" spans="2:16" x14ac:dyDescent="0.45">
      <c r="B1540" s="4">
        <v>1539</v>
      </c>
      <c r="C1540" s="4" t="s">
        <v>27</v>
      </c>
      <c r="D1540" s="4" t="s">
        <v>23</v>
      </c>
      <c r="E1540" s="4" t="s">
        <v>35</v>
      </c>
      <c r="F1540" s="4" t="s">
        <v>28</v>
      </c>
      <c r="G1540" s="4" t="s">
        <v>19</v>
      </c>
      <c r="H1540" s="4" t="s">
        <v>28</v>
      </c>
      <c r="I1540" s="4">
        <v>11</v>
      </c>
      <c r="J1540" s="5">
        <v>19.3</v>
      </c>
      <c r="K1540" s="6">
        <v>1.1399999999999999</v>
      </c>
      <c r="L1540" s="4">
        <v>1</v>
      </c>
      <c r="M1540" s="4">
        <v>100</v>
      </c>
      <c r="N1540" s="4">
        <v>85</v>
      </c>
      <c r="O1540" s="4" t="s">
        <v>26</v>
      </c>
      <c r="P1540" s="7" t="s">
        <v>19</v>
      </c>
    </row>
    <row r="1541" spans="2:16" x14ac:dyDescent="0.45">
      <c r="B1541" s="4">
        <v>1540</v>
      </c>
      <c r="C1541" s="4" t="s">
        <v>27</v>
      </c>
      <c r="D1541" s="4" t="s">
        <v>23</v>
      </c>
      <c r="E1541" s="4" t="s">
        <v>35</v>
      </c>
      <c r="F1541" s="4" t="s">
        <v>24</v>
      </c>
      <c r="G1541" s="4" t="s">
        <v>19</v>
      </c>
      <c r="H1541" s="4" t="s">
        <v>38</v>
      </c>
      <c r="I1541" s="4">
        <v>12</v>
      </c>
      <c r="J1541" s="5">
        <v>59.7</v>
      </c>
      <c r="K1541" s="6">
        <v>1.66</v>
      </c>
      <c r="L1541" s="4">
        <v>2</v>
      </c>
      <c r="M1541" s="4">
        <v>109</v>
      </c>
      <c r="N1541" s="4">
        <v>89</v>
      </c>
      <c r="O1541" s="4" t="s">
        <v>21</v>
      </c>
      <c r="P1541" s="7" t="s">
        <v>30</v>
      </c>
    </row>
    <row r="1542" spans="2:16" x14ac:dyDescent="0.45">
      <c r="B1542" s="4">
        <v>1541</v>
      </c>
      <c r="C1542" s="4" t="s">
        <v>31</v>
      </c>
      <c r="D1542" s="4" t="s">
        <v>23</v>
      </c>
      <c r="E1542" s="4" t="s">
        <v>17</v>
      </c>
      <c r="F1542" s="4" t="s">
        <v>18</v>
      </c>
      <c r="G1542" s="4" t="s">
        <v>19</v>
      </c>
      <c r="H1542" s="4" t="s">
        <v>20</v>
      </c>
      <c r="I1542" s="4">
        <v>47</v>
      </c>
      <c r="J1542" s="5">
        <v>48.7</v>
      </c>
      <c r="K1542" s="6">
        <v>1.7</v>
      </c>
      <c r="L1542" s="4">
        <v>9</v>
      </c>
      <c r="M1542" s="4">
        <v>114</v>
      </c>
      <c r="N1542" s="4">
        <v>98</v>
      </c>
      <c r="O1542" s="4" t="s">
        <v>26</v>
      </c>
      <c r="P1542" s="7" t="s">
        <v>19</v>
      </c>
    </row>
    <row r="1543" spans="2:16" x14ac:dyDescent="0.45">
      <c r="B1543" s="4">
        <v>1542</v>
      </c>
      <c r="C1543" s="4" t="s">
        <v>41</v>
      </c>
      <c r="D1543" s="4" t="s">
        <v>23</v>
      </c>
      <c r="E1543" s="4" t="s">
        <v>17</v>
      </c>
      <c r="F1543" s="4" t="s">
        <v>24</v>
      </c>
      <c r="G1543" s="4" t="s">
        <v>19</v>
      </c>
      <c r="H1543" s="4" t="s">
        <v>32</v>
      </c>
      <c r="I1543" s="4">
        <v>7</v>
      </c>
      <c r="J1543" s="5">
        <v>35.1</v>
      </c>
      <c r="K1543" s="6">
        <v>1.18</v>
      </c>
      <c r="L1543" s="4">
        <v>4</v>
      </c>
      <c r="M1543" s="4">
        <v>117</v>
      </c>
      <c r="N1543" s="4">
        <v>130</v>
      </c>
      <c r="O1543" s="4" t="s">
        <v>21</v>
      </c>
      <c r="P1543" s="7" t="s">
        <v>30</v>
      </c>
    </row>
    <row r="1544" spans="2:16" x14ac:dyDescent="0.45">
      <c r="B1544" s="4">
        <v>1543</v>
      </c>
      <c r="C1544" s="4" t="s">
        <v>43</v>
      </c>
      <c r="D1544" s="4" t="s">
        <v>16</v>
      </c>
      <c r="E1544" s="4" t="s">
        <v>17</v>
      </c>
      <c r="F1544" s="4" t="s">
        <v>24</v>
      </c>
      <c r="G1544" s="4" t="s">
        <v>19</v>
      </c>
      <c r="H1544" s="4" t="s">
        <v>34</v>
      </c>
      <c r="I1544" s="4">
        <v>44</v>
      </c>
      <c r="J1544" s="5">
        <v>87.4</v>
      </c>
      <c r="K1544" s="6">
        <v>1.7</v>
      </c>
      <c r="L1544" s="4">
        <v>1</v>
      </c>
      <c r="M1544" s="4">
        <v>114</v>
      </c>
      <c r="N1544" s="4">
        <v>103</v>
      </c>
      <c r="O1544" s="4" t="s">
        <v>26</v>
      </c>
      <c r="P1544" s="7" t="s">
        <v>19</v>
      </c>
    </row>
    <row r="1545" spans="2:16" x14ac:dyDescent="0.45">
      <c r="B1545" s="4">
        <v>1544</v>
      </c>
      <c r="C1545" s="4" t="s">
        <v>22</v>
      </c>
      <c r="D1545" s="4" t="s">
        <v>23</v>
      </c>
      <c r="E1545" s="4" t="s">
        <v>35</v>
      </c>
      <c r="F1545" s="4" t="s">
        <v>24</v>
      </c>
      <c r="G1545" s="4" t="s">
        <v>19</v>
      </c>
      <c r="H1545" s="4" t="s">
        <v>38</v>
      </c>
      <c r="I1545" s="4">
        <v>23</v>
      </c>
      <c r="J1545" s="5">
        <v>88.4</v>
      </c>
      <c r="K1545" s="6">
        <v>1.5</v>
      </c>
      <c r="L1545" s="4">
        <v>3</v>
      </c>
      <c r="M1545" s="4">
        <v>110</v>
      </c>
      <c r="N1545" s="4">
        <v>85</v>
      </c>
      <c r="O1545" s="4" t="s">
        <v>21</v>
      </c>
      <c r="P1545" s="7" t="s">
        <v>19</v>
      </c>
    </row>
    <row r="1546" spans="2:16" x14ac:dyDescent="0.45">
      <c r="B1546" s="4">
        <v>1545</v>
      </c>
      <c r="C1546" s="4" t="s">
        <v>43</v>
      </c>
      <c r="D1546" s="4" t="s">
        <v>16</v>
      </c>
      <c r="E1546" s="4" t="s">
        <v>17</v>
      </c>
      <c r="F1546" s="4" t="s">
        <v>24</v>
      </c>
      <c r="G1546" s="4" t="s">
        <v>30</v>
      </c>
      <c r="H1546" s="4" t="s">
        <v>20</v>
      </c>
      <c r="I1546" s="4">
        <v>53</v>
      </c>
      <c r="J1546" s="5">
        <v>58.2</v>
      </c>
      <c r="K1546" s="6">
        <v>1.57</v>
      </c>
      <c r="L1546" s="4">
        <v>3</v>
      </c>
      <c r="M1546" s="4">
        <v>120</v>
      </c>
      <c r="N1546" s="4">
        <v>84</v>
      </c>
      <c r="O1546" s="4" t="s">
        <v>26</v>
      </c>
      <c r="P1546" s="7" t="s">
        <v>30</v>
      </c>
    </row>
    <row r="1547" spans="2:16" x14ac:dyDescent="0.45">
      <c r="B1547" s="4">
        <v>1546</v>
      </c>
      <c r="C1547" s="4" t="s">
        <v>40</v>
      </c>
      <c r="D1547" s="4" t="s">
        <v>16</v>
      </c>
      <c r="E1547" s="4" t="s">
        <v>35</v>
      </c>
      <c r="F1547" s="4" t="s">
        <v>28</v>
      </c>
      <c r="G1547" s="4" t="s">
        <v>19</v>
      </c>
      <c r="H1547" s="4" t="s">
        <v>34</v>
      </c>
      <c r="I1547" s="4">
        <v>20</v>
      </c>
      <c r="J1547" s="5">
        <v>74.2</v>
      </c>
      <c r="K1547" s="6">
        <v>1.59</v>
      </c>
      <c r="L1547" s="4">
        <v>0</v>
      </c>
      <c r="M1547" s="4">
        <v>103</v>
      </c>
      <c r="N1547" s="4">
        <v>73</v>
      </c>
      <c r="O1547" s="4" t="s">
        <v>21</v>
      </c>
      <c r="P1547" s="7" t="s">
        <v>19</v>
      </c>
    </row>
    <row r="1548" spans="2:16" x14ac:dyDescent="0.45">
      <c r="B1548" s="4">
        <v>1547</v>
      </c>
      <c r="C1548" s="4" t="s">
        <v>43</v>
      </c>
      <c r="D1548" s="4" t="s">
        <v>23</v>
      </c>
      <c r="E1548" s="4" t="s">
        <v>35</v>
      </c>
      <c r="F1548" s="4" t="s">
        <v>18</v>
      </c>
      <c r="G1548" s="4" t="s">
        <v>19</v>
      </c>
      <c r="H1548" s="4" t="s">
        <v>32</v>
      </c>
      <c r="I1548" s="4">
        <v>44</v>
      </c>
      <c r="J1548" s="5">
        <v>93.9</v>
      </c>
      <c r="K1548" s="6">
        <v>1.89</v>
      </c>
      <c r="L1548" s="4">
        <v>4</v>
      </c>
      <c r="M1548" s="4">
        <v>124</v>
      </c>
      <c r="N1548" s="4">
        <v>165</v>
      </c>
      <c r="O1548" s="4" t="s">
        <v>26</v>
      </c>
      <c r="P1548" s="7" t="s">
        <v>30</v>
      </c>
    </row>
    <row r="1549" spans="2:16" x14ac:dyDescent="0.45">
      <c r="B1549" s="4">
        <v>1548</v>
      </c>
      <c r="C1549" s="4" t="s">
        <v>27</v>
      </c>
      <c r="D1549" s="4" t="s">
        <v>23</v>
      </c>
      <c r="E1549" s="4" t="s">
        <v>35</v>
      </c>
      <c r="F1549" s="4" t="s">
        <v>18</v>
      </c>
      <c r="G1549" s="4" t="s">
        <v>19</v>
      </c>
      <c r="H1549" s="4" t="s">
        <v>36</v>
      </c>
      <c r="I1549" s="4">
        <v>7</v>
      </c>
      <c r="J1549" s="5">
        <v>30.2</v>
      </c>
      <c r="K1549" s="6">
        <v>1.24</v>
      </c>
      <c r="L1549" s="4">
        <v>1</v>
      </c>
      <c r="M1549" s="4">
        <v>136</v>
      </c>
      <c r="N1549" s="4">
        <v>94</v>
      </c>
      <c r="O1549" s="4" t="s">
        <v>21</v>
      </c>
      <c r="P1549" s="7" t="s">
        <v>19</v>
      </c>
    </row>
    <row r="1550" spans="2:16" x14ac:dyDescent="0.45">
      <c r="B1550" s="4">
        <v>1549</v>
      </c>
      <c r="C1550" s="4" t="s">
        <v>22</v>
      </c>
      <c r="D1550" s="4" t="s">
        <v>16</v>
      </c>
      <c r="E1550" s="4" t="s">
        <v>35</v>
      </c>
      <c r="F1550" s="4" t="s">
        <v>42</v>
      </c>
      <c r="G1550" s="4" t="s">
        <v>19</v>
      </c>
      <c r="H1550" s="4" t="s">
        <v>36</v>
      </c>
      <c r="I1550" s="4">
        <v>57</v>
      </c>
      <c r="J1550" s="5">
        <v>82.4</v>
      </c>
      <c r="K1550" s="6">
        <v>1.72</v>
      </c>
      <c r="L1550" s="4">
        <v>4</v>
      </c>
      <c r="M1550" s="4">
        <v>125</v>
      </c>
      <c r="N1550" s="4">
        <v>101</v>
      </c>
      <c r="O1550" s="4" t="s">
        <v>26</v>
      </c>
      <c r="P1550" s="7" t="s">
        <v>19</v>
      </c>
    </row>
    <row r="1551" spans="2:16" x14ac:dyDescent="0.45">
      <c r="B1551" s="4">
        <v>1550</v>
      </c>
      <c r="C1551" s="4" t="s">
        <v>41</v>
      </c>
      <c r="D1551" s="4" t="s">
        <v>23</v>
      </c>
      <c r="E1551" s="4" t="s">
        <v>17</v>
      </c>
      <c r="F1551" s="4" t="s">
        <v>24</v>
      </c>
      <c r="G1551" s="4" t="s">
        <v>19</v>
      </c>
      <c r="H1551" s="4" t="s">
        <v>20</v>
      </c>
      <c r="I1551" s="4">
        <v>0</v>
      </c>
      <c r="J1551" s="5">
        <v>17.8</v>
      </c>
      <c r="K1551" s="6">
        <v>0.89</v>
      </c>
      <c r="L1551" s="4">
        <v>0</v>
      </c>
      <c r="M1551" s="4">
        <v>115</v>
      </c>
      <c r="N1551" s="4">
        <v>75</v>
      </c>
      <c r="O1551" s="4" t="s">
        <v>26</v>
      </c>
      <c r="P1551" s="7" t="s">
        <v>30</v>
      </c>
    </row>
    <row r="1552" spans="2:16" x14ac:dyDescent="0.45">
      <c r="B1552" s="4">
        <v>1551</v>
      </c>
      <c r="C1552" s="4" t="s">
        <v>40</v>
      </c>
      <c r="D1552" s="4" t="s">
        <v>23</v>
      </c>
      <c r="E1552" s="4" t="s">
        <v>17</v>
      </c>
      <c r="F1552" s="4" t="s">
        <v>18</v>
      </c>
      <c r="G1552" s="4" t="s">
        <v>19</v>
      </c>
      <c r="H1552" s="4" t="s">
        <v>36</v>
      </c>
      <c r="I1552" s="4">
        <v>33</v>
      </c>
      <c r="J1552" s="5">
        <v>62.7</v>
      </c>
      <c r="K1552" s="6">
        <v>1.67</v>
      </c>
      <c r="L1552" s="4">
        <v>7</v>
      </c>
      <c r="M1552" s="4">
        <v>136</v>
      </c>
      <c r="N1552" s="4">
        <v>88</v>
      </c>
      <c r="O1552" s="4" t="s">
        <v>26</v>
      </c>
      <c r="P1552" s="7" t="s">
        <v>19</v>
      </c>
    </row>
    <row r="1553" spans="2:16" x14ac:dyDescent="0.45">
      <c r="B1553" s="4">
        <v>1552</v>
      </c>
      <c r="C1553" s="4" t="s">
        <v>33</v>
      </c>
      <c r="D1553" s="4" t="s">
        <v>16</v>
      </c>
      <c r="E1553" s="4" t="s">
        <v>35</v>
      </c>
      <c r="F1553" s="4" t="s">
        <v>18</v>
      </c>
      <c r="G1553" s="4" t="s">
        <v>19</v>
      </c>
      <c r="H1553" s="4" t="s">
        <v>20</v>
      </c>
      <c r="I1553" s="4">
        <v>12</v>
      </c>
      <c r="J1553" s="5">
        <v>47.9</v>
      </c>
      <c r="K1553" s="6">
        <v>1.7</v>
      </c>
      <c r="L1553" s="4">
        <v>5</v>
      </c>
      <c r="M1553" s="4">
        <v>105</v>
      </c>
      <c r="N1553" s="4">
        <v>78</v>
      </c>
      <c r="O1553" s="4" t="s">
        <v>21</v>
      </c>
      <c r="P1553" s="7" t="s">
        <v>19</v>
      </c>
    </row>
    <row r="1554" spans="2:16" x14ac:dyDescent="0.45">
      <c r="B1554" s="4">
        <v>1553</v>
      </c>
      <c r="C1554" s="4" t="s">
        <v>43</v>
      </c>
      <c r="D1554" s="4" t="s">
        <v>23</v>
      </c>
      <c r="E1554" s="4" t="s">
        <v>17</v>
      </c>
      <c r="F1554" s="4" t="s">
        <v>18</v>
      </c>
      <c r="G1554" s="4" t="s">
        <v>19</v>
      </c>
      <c r="H1554" s="4" t="s">
        <v>20</v>
      </c>
      <c r="I1554" s="4">
        <v>49</v>
      </c>
      <c r="J1554" s="5">
        <v>85</v>
      </c>
      <c r="K1554" s="6">
        <v>1.59</v>
      </c>
      <c r="L1554" s="4">
        <v>3</v>
      </c>
      <c r="M1554" s="4">
        <v>113</v>
      </c>
      <c r="N1554" s="4">
        <v>80</v>
      </c>
      <c r="O1554" s="4" t="s">
        <v>26</v>
      </c>
      <c r="P1554" s="7" t="s">
        <v>30</v>
      </c>
    </row>
    <row r="1555" spans="2:16" x14ac:dyDescent="0.45">
      <c r="B1555" s="4">
        <v>1554</v>
      </c>
      <c r="C1555" s="4" t="s">
        <v>40</v>
      </c>
      <c r="D1555" s="4" t="s">
        <v>16</v>
      </c>
      <c r="E1555" s="4" t="s">
        <v>17</v>
      </c>
      <c r="F1555" s="4" t="s">
        <v>28</v>
      </c>
      <c r="G1555" s="4" t="s">
        <v>19</v>
      </c>
      <c r="H1555" s="4" t="s">
        <v>25</v>
      </c>
      <c r="I1555" s="4">
        <v>4</v>
      </c>
      <c r="J1555" s="5">
        <v>17</v>
      </c>
      <c r="K1555" s="6">
        <v>0.61</v>
      </c>
      <c r="L1555" s="4">
        <v>0</v>
      </c>
      <c r="M1555" s="4">
        <v>101</v>
      </c>
      <c r="N1555" s="4">
        <v>101</v>
      </c>
      <c r="O1555" s="4" t="s">
        <v>26</v>
      </c>
      <c r="P1555" s="7" t="s">
        <v>19</v>
      </c>
    </row>
    <row r="1556" spans="2:16" x14ac:dyDescent="0.45">
      <c r="B1556" s="4">
        <v>1555</v>
      </c>
      <c r="C1556" s="4" t="s">
        <v>22</v>
      </c>
      <c r="D1556" s="4" t="s">
        <v>23</v>
      </c>
      <c r="E1556" s="4" t="s">
        <v>44</v>
      </c>
      <c r="F1556" s="4" t="s">
        <v>28</v>
      </c>
      <c r="G1556" s="4" t="s">
        <v>19</v>
      </c>
      <c r="H1556" s="4" t="s">
        <v>20</v>
      </c>
      <c r="I1556" s="4">
        <v>23</v>
      </c>
      <c r="J1556" s="5">
        <v>64</v>
      </c>
      <c r="K1556" s="6">
        <v>1.68</v>
      </c>
      <c r="L1556" s="4">
        <v>4</v>
      </c>
      <c r="M1556" s="4">
        <v>104</v>
      </c>
      <c r="N1556" s="4">
        <v>94</v>
      </c>
      <c r="O1556" s="4" t="s">
        <v>26</v>
      </c>
      <c r="P1556" s="7" t="s">
        <v>30</v>
      </c>
    </row>
    <row r="1557" spans="2:16" x14ac:dyDescent="0.45">
      <c r="B1557" s="4">
        <v>1556</v>
      </c>
      <c r="C1557" s="4" t="s">
        <v>15</v>
      </c>
      <c r="D1557" s="4" t="s">
        <v>16</v>
      </c>
      <c r="E1557" s="4" t="s">
        <v>35</v>
      </c>
      <c r="F1557" s="4" t="s">
        <v>28</v>
      </c>
      <c r="G1557" s="4" t="s">
        <v>30</v>
      </c>
      <c r="H1557" s="4" t="s">
        <v>25</v>
      </c>
      <c r="I1557" s="4">
        <v>32</v>
      </c>
      <c r="J1557" s="5">
        <v>63.9</v>
      </c>
      <c r="K1557" s="6">
        <v>1.56</v>
      </c>
      <c r="L1557" s="4">
        <v>1</v>
      </c>
      <c r="M1557" s="4">
        <v>105</v>
      </c>
      <c r="N1557" s="4">
        <v>99</v>
      </c>
      <c r="O1557" s="4" t="s">
        <v>21</v>
      </c>
      <c r="P1557" s="7" t="s">
        <v>19</v>
      </c>
    </row>
    <row r="1558" spans="2:16" x14ac:dyDescent="0.45">
      <c r="B1558" s="4">
        <v>1557</v>
      </c>
      <c r="C1558" s="4" t="s">
        <v>40</v>
      </c>
      <c r="D1558" s="4" t="s">
        <v>23</v>
      </c>
      <c r="E1558" s="4" t="s">
        <v>17</v>
      </c>
      <c r="F1558" s="4" t="s">
        <v>18</v>
      </c>
      <c r="G1558" s="4" t="s">
        <v>30</v>
      </c>
      <c r="H1558" s="4" t="s">
        <v>32</v>
      </c>
      <c r="I1558" s="4">
        <v>32</v>
      </c>
      <c r="J1558" s="5">
        <v>76.099999999999994</v>
      </c>
      <c r="K1558" s="6">
        <v>1.55</v>
      </c>
      <c r="L1558" s="4">
        <v>2</v>
      </c>
      <c r="M1558" s="4">
        <v>103</v>
      </c>
      <c r="N1558" s="4">
        <v>175</v>
      </c>
      <c r="O1558" s="4" t="s">
        <v>21</v>
      </c>
      <c r="P1558" s="7" t="s">
        <v>19</v>
      </c>
    </row>
    <row r="1559" spans="2:16" x14ac:dyDescent="0.45">
      <c r="B1559" s="4">
        <v>1558</v>
      </c>
      <c r="C1559" s="4" t="s">
        <v>45</v>
      </c>
      <c r="D1559" s="4" t="s">
        <v>16</v>
      </c>
      <c r="E1559" s="4" t="s">
        <v>17</v>
      </c>
      <c r="F1559" s="4" t="s">
        <v>42</v>
      </c>
      <c r="G1559" s="4" t="s">
        <v>19</v>
      </c>
      <c r="H1559" s="4" t="s">
        <v>36</v>
      </c>
      <c r="I1559" s="4">
        <v>1</v>
      </c>
      <c r="J1559" s="5">
        <v>17.7</v>
      </c>
      <c r="K1559" s="6">
        <v>0.97</v>
      </c>
      <c r="L1559" s="4">
        <v>5</v>
      </c>
      <c r="M1559" s="4">
        <v>120</v>
      </c>
      <c r="N1559" s="4">
        <v>84</v>
      </c>
      <c r="O1559" s="4" t="s">
        <v>21</v>
      </c>
      <c r="P1559" s="7" t="s">
        <v>19</v>
      </c>
    </row>
    <row r="1560" spans="2:16" x14ac:dyDescent="0.45">
      <c r="B1560" s="4">
        <v>1559</v>
      </c>
      <c r="C1560" s="4" t="s">
        <v>45</v>
      </c>
      <c r="D1560" s="4" t="s">
        <v>23</v>
      </c>
      <c r="E1560" s="4" t="s">
        <v>35</v>
      </c>
      <c r="F1560" s="4" t="s">
        <v>24</v>
      </c>
      <c r="G1560" s="4" t="s">
        <v>19</v>
      </c>
      <c r="H1560" s="4" t="s">
        <v>34</v>
      </c>
      <c r="I1560" s="4">
        <v>30</v>
      </c>
      <c r="J1560" s="5">
        <v>68.2</v>
      </c>
      <c r="K1560" s="6">
        <v>1.75</v>
      </c>
      <c r="L1560" s="4">
        <v>9</v>
      </c>
      <c r="M1560" s="4">
        <v>111</v>
      </c>
      <c r="N1560" s="4">
        <v>82</v>
      </c>
      <c r="O1560" s="4" t="s">
        <v>21</v>
      </c>
      <c r="P1560" s="7" t="s">
        <v>19</v>
      </c>
    </row>
    <row r="1561" spans="2:16" x14ac:dyDescent="0.45">
      <c r="B1561" s="4">
        <v>1560</v>
      </c>
      <c r="C1561" s="4" t="s">
        <v>33</v>
      </c>
      <c r="D1561" s="4" t="s">
        <v>23</v>
      </c>
      <c r="E1561" s="4" t="s">
        <v>17</v>
      </c>
      <c r="F1561" s="4" t="s">
        <v>18</v>
      </c>
      <c r="G1561" s="4" t="s">
        <v>30</v>
      </c>
      <c r="H1561" s="4" t="s">
        <v>46</v>
      </c>
      <c r="I1561" s="4">
        <v>9</v>
      </c>
      <c r="J1561" s="5">
        <v>36.700000000000003</v>
      </c>
      <c r="K1561" s="6">
        <v>1.41</v>
      </c>
      <c r="L1561" s="4">
        <v>10</v>
      </c>
      <c r="M1561" s="4">
        <v>112</v>
      </c>
      <c r="N1561" s="4">
        <v>97</v>
      </c>
      <c r="O1561" s="4" t="s">
        <v>21</v>
      </c>
      <c r="P1561" s="7" t="s">
        <v>19</v>
      </c>
    </row>
    <row r="1562" spans="2:16" x14ac:dyDescent="0.45">
      <c r="B1562" s="4">
        <v>1561</v>
      </c>
      <c r="C1562" s="4" t="s">
        <v>39</v>
      </c>
      <c r="D1562" s="4" t="s">
        <v>16</v>
      </c>
      <c r="E1562" s="4" t="s">
        <v>37</v>
      </c>
      <c r="F1562" s="4" t="s">
        <v>18</v>
      </c>
      <c r="G1562" s="4" t="s">
        <v>19</v>
      </c>
      <c r="H1562" s="4" t="s">
        <v>20</v>
      </c>
      <c r="I1562" s="4">
        <v>11</v>
      </c>
      <c r="J1562" s="5">
        <v>22.6</v>
      </c>
      <c r="K1562" s="6">
        <v>1.22</v>
      </c>
      <c r="L1562" s="4">
        <v>6</v>
      </c>
      <c r="M1562" s="4">
        <v>119</v>
      </c>
      <c r="N1562" s="4">
        <v>71</v>
      </c>
      <c r="O1562" s="4" t="s">
        <v>26</v>
      </c>
      <c r="P1562" s="7" t="s">
        <v>30</v>
      </c>
    </row>
    <row r="1563" spans="2:16" x14ac:dyDescent="0.45">
      <c r="B1563" s="4">
        <v>1562</v>
      </c>
      <c r="C1563" s="4" t="s">
        <v>40</v>
      </c>
      <c r="D1563" s="4" t="s">
        <v>23</v>
      </c>
      <c r="E1563" s="4" t="s">
        <v>17</v>
      </c>
      <c r="F1563" s="4" t="s">
        <v>18</v>
      </c>
      <c r="G1563" s="4" t="s">
        <v>19</v>
      </c>
      <c r="H1563" s="4" t="s">
        <v>36</v>
      </c>
      <c r="I1563" s="4">
        <v>5</v>
      </c>
      <c r="J1563" s="5">
        <v>32.1</v>
      </c>
      <c r="K1563" s="6">
        <v>1.07</v>
      </c>
      <c r="L1563" s="4">
        <v>4</v>
      </c>
      <c r="M1563" s="4">
        <v>123</v>
      </c>
      <c r="N1563" s="4">
        <v>85</v>
      </c>
      <c r="O1563" s="4" t="s">
        <v>26</v>
      </c>
      <c r="P1563" s="7" t="s">
        <v>19</v>
      </c>
    </row>
    <row r="1564" spans="2:16" x14ac:dyDescent="0.45">
      <c r="B1564" s="4">
        <v>1563</v>
      </c>
      <c r="C1564" s="4" t="s">
        <v>40</v>
      </c>
      <c r="D1564" s="4" t="s">
        <v>23</v>
      </c>
      <c r="E1564" s="4" t="s">
        <v>17</v>
      </c>
      <c r="F1564" s="4" t="s">
        <v>28</v>
      </c>
      <c r="G1564" s="4" t="s">
        <v>19</v>
      </c>
      <c r="H1564" s="4" t="s">
        <v>36</v>
      </c>
      <c r="I1564" s="4">
        <v>13</v>
      </c>
      <c r="J1564" s="5">
        <v>46.4</v>
      </c>
      <c r="K1564" s="6">
        <v>1.48</v>
      </c>
      <c r="L1564" s="4">
        <v>3</v>
      </c>
      <c r="M1564" s="4">
        <v>111</v>
      </c>
      <c r="N1564" s="4">
        <v>96</v>
      </c>
      <c r="O1564" s="4" t="s">
        <v>26</v>
      </c>
      <c r="P1564" s="7" t="s">
        <v>19</v>
      </c>
    </row>
    <row r="1565" spans="2:16" x14ac:dyDescent="0.45">
      <c r="B1565" s="4">
        <v>1564</v>
      </c>
      <c r="C1565" s="4" t="s">
        <v>29</v>
      </c>
      <c r="D1565" s="4" t="s">
        <v>23</v>
      </c>
      <c r="E1565" s="4" t="s">
        <v>17</v>
      </c>
      <c r="F1565" s="4" t="s">
        <v>28</v>
      </c>
      <c r="G1565" s="4" t="s">
        <v>19</v>
      </c>
      <c r="H1565" s="4" t="s">
        <v>28</v>
      </c>
      <c r="I1565" s="4">
        <v>2</v>
      </c>
      <c r="J1565" s="5">
        <v>7.6</v>
      </c>
      <c r="K1565" s="6">
        <v>0.9</v>
      </c>
      <c r="L1565" s="4">
        <v>5</v>
      </c>
      <c r="M1565" s="4">
        <v>103</v>
      </c>
      <c r="N1565" s="4">
        <v>74</v>
      </c>
      <c r="O1565" s="4" t="s">
        <v>26</v>
      </c>
      <c r="P1565" s="7" t="s">
        <v>19</v>
      </c>
    </row>
    <row r="1566" spans="2:16" x14ac:dyDescent="0.45">
      <c r="B1566" s="4">
        <v>1565</v>
      </c>
      <c r="C1566" s="4" t="s">
        <v>40</v>
      </c>
      <c r="D1566" s="4" t="s">
        <v>16</v>
      </c>
      <c r="E1566" s="4" t="s">
        <v>17</v>
      </c>
      <c r="F1566" s="4" t="s">
        <v>24</v>
      </c>
      <c r="G1566" s="4" t="s">
        <v>19</v>
      </c>
      <c r="H1566" s="4" t="s">
        <v>34</v>
      </c>
      <c r="I1566" s="4">
        <v>45</v>
      </c>
      <c r="J1566" s="5">
        <v>72</v>
      </c>
      <c r="K1566" s="6">
        <v>1.79</v>
      </c>
      <c r="L1566" s="4">
        <v>5</v>
      </c>
      <c r="M1566" s="4">
        <v>117</v>
      </c>
      <c r="N1566" s="4">
        <v>98</v>
      </c>
      <c r="O1566" s="4" t="s">
        <v>21</v>
      </c>
      <c r="P1566" s="7" t="s">
        <v>19</v>
      </c>
    </row>
    <row r="1567" spans="2:16" x14ac:dyDescent="0.45">
      <c r="B1567" s="4">
        <v>1566</v>
      </c>
      <c r="C1567" s="4" t="s">
        <v>33</v>
      </c>
      <c r="D1567" s="4" t="s">
        <v>16</v>
      </c>
      <c r="E1567" s="4" t="s">
        <v>35</v>
      </c>
      <c r="F1567" s="4" t="s">
        <v>24</v>
      </c>
      <c r="G1567" s="4" t="s">
        <v>19</v>
      </c>
      <c r="H1567" s="4" t="s">
        <v>36</v>
      </c>
      <c r="I1567" s="4">
        <v>29</v>
      </c>
      <c r="J1567" s="5">
        <v>93.8</v>
      </c>
      <c r="K1567" s="6">
        <v>1.53</v>
      </c>
      <c r="L1567" s="4">
        <v>5</v>
      </c>
      <c r="M1567" s="4">
        <v>136</v>
      </c>
      <c r="N1567" s="4">
        <v>72</v>
      </c>
      <c r="O1567" s="4" t="s">
        <v>26</v>
      </c>
      <c r="P1567" s="7" t="s">
        <v>30</v>
      </c>
    </row>
    <row r="1568" spans="2:16" x14ac:dyDescent="0.45">
      <c r="B1568" s="4">
        <v>1567</v>
      </c>
      <c r="C1568" s="4" t="s">
        <v>15</v>
      </c>
      <c r="D1568" s="4" t="s">
        <v>23</v>
      </c>
      <c r="E1568" s="4" t="s">
        <v>17</v>
      </c>
      <c r="F1568" s="4" t="s">
        <v>28</v>
      </c>
      <c r="G1568" s="4" t="s">
        <v>30</v>
      </c>
      <c r="H1568" s="4" t="s">
        <v>36</v>
      </c>
      <c r="I1568" s="4">
        <v>19</v>
      </c>
      <c r="J1568" s="5">
        <v>66.8</v>
      </c>
      <c r="K1568" s="6">
        <v>1.88</v>
      </c>
      <c r="L1568" s="4">
        <v>0</v>
      </c>
      <c r="M1568" s="4">
        <v>141</v>
      </c>
      <c r="N1568" s="4">
        <v>104</v>
      </c>
      <c r="O1568" s="4" t="s">
        <v>21</v>
      </c>
      <c r="P1568" s="7" t="s">
        <v>30</v>
      </c>
    </row>
    <row r="1569" spans="2:16" x14ac:dyDescent="0.45">
      <c r="B1569" s="4">
        <v>1568</v>
      </c>
      <c r="C1569" s="4" t="s">
        <v>15</v>
      </c>
      <c r="D1569" s="4" t="s">
        <v>16</v>
      </c>
      <c r="E1569" s="4" t="s">
        <v>17</v>
      </c>
      <c r="F1569" s="4" t="s">
        <v>24</v>
      </c>
      <c r="G1569" s="4" t="s">
        <v>19</v>
      </c>
      <c r="H1569" s="4" t="s">
        <v>28</v>
      </c>
      <c r="I1569" s="4">
        <v>84</v>
      </c>
      <c r="J1569" s="5">
        <v>52.3</v>
      </c>
      <c r="K1569" s="6">
        <v>1.78</v>
      </c>
      <c r="L1569" s="4">
        <v>4</v>
      </c>
      <c r="M1569" s="4">
        <v>121</v>
      </c>
      <c r="N1569" s="4">
        <v>95</v>
      </c>
      <c r="O1569" s="4" t="s">
        <v>21</v>
      </c>
      <c r="P1569" s="7" t="s">
        <v>19</v>
      </c>
    </row>
    <row r="1570" spans="2:16" x14ac:dyDescent="0.45">
      <c r="B1570" s="4">
        <v>1569</v>
      </c>
      <c r="C1570" s="4" t="s">
        <v>43</v>
      </c>
      <c r="D1570" s="4" t="s">
        <v>16</v>
      </c>
      <c r="E1570" s="4" t="s">
        <v>17</v>
      </c>
      <c r="F1570" s="4" t="s">
        <v>18</v>
      </c>
      <c r="G1570" s="4" t="s">
        <v>19</v>
      </c>
      <c r="H1570" s="4" t="s">
        <v>46</v>
      </c>
      <c r="I1570" s="4">
        <v>30</v>
      </c>
      <c r="J1570" s="5">
        <v>71</v>
      </c>
      <c r="K1570" s="6">
        <v>1.68</v>
      </c>
      <c r="L1570" s="4">
        <v>1</v>
      </c>
      <c r="M1570" s="4">
        <v>111</v>
      </c>
      <c r="N1570" s="4">
        <v>73</v>
      </c>
      <c r="O1570" s="4" t="s">
        <v>26</v>
      </c>
      <c r="P1570" s="7" t="s">
        <v>19</v>
      </c>
    </row>
    <row r="1571" spans="2:16" x14ac:dyDescent="0.45">
      <c r="B1571" s="4">
        <v>1570</v>
      </c>
      <c r="C1571" s="4" t="s">
        <v>33</v>
      </c>
      <c r="D1571" s="4" t="s">
        <v>16</v>
      </c>
      <c r="E1571" s="4" t="s">
        <v>17</v>
      </c>
      <c r="F1571" s="4" t="s">
        <v>28</v>
      </c>
      <c r="G1571" s="4" t="s">
        <v>19</v>
      </c>
      <c r="H1571" s="4" t="s">
        <v>20</v>
      </c>
      <c r="I1571" s="4">
        <v>19</v>
      </c>
      <c r="J1571" s="5">
        <v>80.8</v>
      </c>
      <c r="K1571" s="6">
        <v>1.75</v>
      </c>
      <c r="L1571" s="4">
        <v>3</v>
      </c>
      <c r="M1571" s="4">
        <v>100</v>
      </c>
      <c r="N1571" s="4">
        <v>100</v>
      </c>
      <c r="O1571" s="4" t="s">
        <v>26</v>
      </c>
      <c r="P1571" s="7" t="s">
        <v>19</v>
      </c>
    </row>
    <row r="1572" spans="2:16" x14ac:dyDescent="0.45">
      <c r="B1572" s="4">
        <v>1571</v>
      </c>
      <c r="C1572" s="4" t="s">
        <v>40</v>
      </c>
      <c r="D1572" s="4" t="s">
        <v>23</v>
      </c>
      <c r="E1572" s="4" t="s">
        <v>17</v>
      </c>
      <c r="F1572" s="4" t="s">
        <v>24</v>
      </c>
      <c r="G1572" s="4" t="s">
        <v>19</v>
      </c>
      <c r="H1572" s="4" t="s">
        <v>38</v>
      </c>
      <c r="I1572" s="4">
        <v>24</v>
      </c>
      <c r="J1572" s="5">
        <v>66.099999999999994</v>
      </c>
      <c r="K1572" s="6">
        <v>1.64</v>
      </c>
      <c r="L1572" s="4">
        <v>1</v>
      </c>
      <c r="M1572" s="4">
        <v>104</v>
      </c>
      <c r="N1572" s="4">
        <v>76</v>
      </c>
      <c r="O1572" s="4" t="s">
        <v>26</v>
      </c>
      <c r="P1572" s="7" t="s">
        <v>30</v>
      </c>
    </row>
    <row r="1573" spans="2:16" x14ac:dyDescent="0.45">
      <c r="B1573" s="4">
        <v>1572</v>
      </c>
      <c r="C1573" s="4" t="s">
        <v>40</v>
      </c>
      <c r="D1573" s="4" t="s">
        <v>23</v>
      </c>
      <c r="E1573" s="4" t="s">
        <v>44</v>
      </c>
      <c r="F1573" s="4" t="s">
        <v>18</v>
      </c>
      <c r="G1573" s="4" t="s">
        <v>19</v>
      </c>
      <c r="H1573" s="4" t="s">
        <v>34</v>
      </c>
      <c r="I1573" s="4">
        <v>13</v>
      </c>
      <c r="J1573" s="5">
        <v>55.4</v>
      </c>
      <c r="K1573" s="6">
        <v>1.52</v>
      </c>
      <c r="L1573" s="4">
        <v>0</v>
      </c>
      <c r="M1573" s="4">
        <v>103</v>
      </c>
      <c r="N1573" s="4">
        <v>103</v>
      </c>
      <c r="O1573" s="4" t="s">
        <v>21</v>
      </c>
      <c r="P1573" s="7" t="s">
        <v>19</v>
      </c>
    </row>
    <row r="1574" spans="2:16" x14ac:dyDescent="0.45">
      <c r="B1574" s="4">
        <v>1573</v>
      </c>
      <c r="C1574" s="4" t="s">
        <v>31</v>
      </c>
      <c r="D1574" s="4" t="s">
        <v>16</v>
      </c>
      <c r="E1574" s="4" t="s">
        <v>35</v>
      </c>
      <c r="F1574" s="4" t="s">
        <v>18</v>
      </c>
      <c r="G1574" s="4" t="s">
        <v>19</v>
      </c>
      <c r="H1574" s="4" t="s">
        <v>20</v>
      </c>
      <c r="I1574" s="4">
        <v>62</v>
      </c>
      <c r="J1574" s="5">
        <v>85.5</v>
      </c>
      <c r="K1574" s="6">
        <v>1.49</v>
      </c>
      <c r="L1574" s="4">
        <v>3</v>
      </c>
      <c r="M1574" s="4">
        <v>120</v>
      </c>
      <c r="N1574" s="4">
        <v>88</v>
      </c>
      <c r="O1574" s="4" t="s">
        <v>21</v>
      </c>
      <c r="P1574" s="7" t="s">
        <v>19</v>
      </c>
    </row>
    <row r="1575" spans="2:16" x14ac:dyDescent="0.45">
      <c r="B1575" s="4">
        <v>1574</v>
      </c>
      <c r="C1575" s="4" t="s">
        <v>33</v>
      </c>
      <c r="D1575" s="4" t="s">
        <v>23</v>
      </c>
      <c r="E1575" s="4" t="s">
        <v>44</v>
      </c>
      <c r="F1575" s="4" t="s">
        <v>18</v>
      </c>
      <c r="G1575" s="4" t="s">
        <v>19</v>
      </c>
      <c r="H1575" s="4" t="s">
        <v>20</v>
      </c>
      <c r="I1575" s="4">
        <v>55</v>
      </c>
      <c r="J1575" s="5">
        <v>94</v>
      </c>
      <c r="K1575" s="6">
        <v>1.5</v>
      </c>
      <c r="L1575" s="4">
        <v>2</v>
      </c>
      <c r="M1575" s="4">
        <v>129</v>
      </c>
      <c r="N1575" s="4">
        <v>89</v>
      </c>
      <c r="O1575" s="4" t="s">
        <v>26</v>
      </c>
      <c r="P1575" s="7" t="s">
        <v>19</v>
      </c>
    </row>
    <row r="1576" spans="2:16" x14ac:dyDescent="0.45">
      <c r="B1576" s="4">
        <v>1575</v>
      </c>
      <c r="C1576" s="4" t="s">
        <v>33</v>
      </c>
      <c r="D1576" s="4" t="s">
        <v>23</v>
      </c>
      <c r="E1576" s="4" t="s">
        <v>37</v>
      </c>
      <c r="F1576" s="4" t="s">
        <v>42</v>
      </c>
      <c r="G1576" s="4" t="s">
        <v>30</v>
      </c>
      <c r="H1576" s="4" t="s">
        <v>34</v>
      </c>
      <c r="I1576" s="4">
        <v>28</v>
      </c>
      <c r="J1576" s="5">
        <v>59.2</v>
      </c>
      <c r="K1576" s="6">
        <v>1.72</v>
      </c>
      <c r="L1576" s="4">
        <v>6</v>
      </c>
      <c r="M1576" s="4">
        <v>115</v>
      </c>
      <c r="N1576" s="4">
        <v>87</v>
      </c>
      <c r="O1576" s="4" t="s">
        <v>26</v>
      </c>
      <c r="P1576" s="7" t="s">
        <v>30</v>
      </c>
    </row>
    <row r="1577" spans="2:16" x14ac:dyDescent="0.45">
      <c r="B1577" s="4">
        <v>1576</v>
      </c>
      <c r="C1577" s="4" t="s">
        <v>41</v>
      </c>
      <c r="D1577" s="4" t="s">
        <v>16</v>
      </c>
      <c r="E1577" s="4" t="s">
        <v>17</v>
      </c>
      <c r="F1577" s="4" t="s">
        <v>18</v>
      </c>
      <c r="G1577" s="4" t="s">
        <v>19</v>
      </c>
      <c r="H1577" s="4" t="s">
        <v>28</v>
      </c>
      <c r="I1577" s="4">
        <v>14</v>
      </c>
      <c r="J1577" s="5">
        <v>60.3</v>
      </c>
      <c r="K1577" s="6">
        <v>1.68</v>
      </c>
      <c r="L1577" s="4">
        <v>9</v>
      </c>
      <c r="M1577" s="4">
        <v>104</v>
      </c>
      <c r="N1577" s="4">
        <v>103</v>
      </c>
      <c r="O1577" s="4" t="s">
        <v>26</v>
      </c>
      <c r="P1577" s="7" t="s">
        <v>19</v>
      </c>
    </row>
    <row r="1578" spans="2:16" x14ac:dyDescent="0.45">
      <c r="B1578" s="4">
        <v>1577</v>
      </c>
      <c r="C1578" s="4" t="s">
        <v>22</v>
      </c>
      <c r="D1578" s="4" t="s">
        <v>16</v>
      </c>
      <c r="E1578" s="4" t="s">
        <v>35</v>
      </c>
      <c r="F1578" s="4" t="s">
        <v>28</v>
      </c>
      <c r="G1578" s="4" t="s">
        <v>19</v>
      </c>
      <c r="H1578" s="4" t="s">
        <v>28</v>
      </c>
      <c r="I1578" s="4">
        <v>62</v>
      </c>
      <c r="J1578" s="5">
        <v>91.2</v>
      </c>
      <c r="K1578" s="6">
        <v>1.85</v>
      </c>
      <c r="L1578" s="4">
        <v>1</v>
      </c>
      <c r="M1578" s="4">
        <v>117</v>
      </c>
      <c r="N1578" s="4">
        <v>102</v>
      </c>
      <c r="O1578" s="4" t="s">
        <v>21</v>
      </c>
      <c r="P1578" s="7" t="s">
        <v>19</v>
      </c>
    </row>
    <row r="1579" spans="2:16" x14ac:dyDescent="0.45">
      <c r="B1579" s="4">
        <v>1578</v>
      </c>
      <c r="C1579" s="4" t="s">
        <v>40</v>
      </c>
      <c r="D1579" s="4" t="s">
        <v>16</v>
      </c>
      <c r="E1579" s="4" t="s">
        <v>44</v>
      </c>
      <c r="F1579" s="4" t="s">
        <v>18</v>
      </c>
      <c r="G1579" s="4" t="s">
        <v>19</v>
      </c>
      <c r="H1579" s="4" t="s">
        <v>28</v>
      </c>
      <c r="I1579" s="4">
        <v>69</v>
      </c>
      <c r="J1579" s="5">
        <v>66.5</v>
      </c>
      <c r="K1579" s="6">
        <v>1.75</v>
      </c>
      <c r="L1579" s="4">
        <v>7</v>
      </c>
      <c r="M1579" s="4">
        <v>135</v>
      </c>
      <c r="N1579" s="4">
        <v>99</v>
      </c>
      <c r="O1579" s="4" t="s">
        <v>26</v>
      </c>
      <c r="P1579" s="7" t="s">
        <v>19</v>
      </c>
    </row>
    <row r="1580" spans="2:16" x14ac:dyDescent="0.45">
      <c r="B1580" s="4">
        <v>1579</v>
      </c>
      <c r="C1580" s="4" t="s">
        <v>27</v>
      </c>
      <c r="D1580" s="4" t="s">
        <v>23</v>
      </c>
      <c r="E1580" s="4" t="s">
        <v>35</v>
      </c>
      <c r="F1580" s="4" t="s">
        <v>42</v>
      </c>
      <c r="G1580" s="4" t="s">
        <v>19</v>
      </c>
      <c r="H1580" s="4" t="s">
        <v>20</v>
      </c>
      <c r="I1580" s="4">
        <v>10</v>
      </c>
      <c r="J1580" s="5">
        <v>23</v>
      </c>
      <c r="K1580" s="6">
        <v>1.06</v>
      </c>
      <c r="L1580" s="4">
        <v>6</v>
      </c>
      <c r="M1580" s="4">
        <v>97</v>
      </c>
      <c r="N1580" s="4">
        <v>80</v>
      </c>
      <c r="O1580" s="4" t="s">
        <v>21</v>
      </c>
      <c r="P1580" s="7" t="s">
        <v>19</v>
      </c>
    </row>
    <row r="1581" spans="2:16" x14ac:dyDescent="0.45">
      <c r="B1581" s="4">
        <v>1580</v>
      </c>
      <c r="C1581" s="4" t="s">
        <v>45</v>
      </c>
      <c r="D1581" s="4" t="s">
        <v>16</v>
      </c>
      <c r="E1581" s="4" t="s">
        <v>17</v>
      </c>
      <c r="F1581" s="4" t="s">
        <v>28</v>
      </c>
      <c r="G1581" s="4" t="s">
        <v>19</v>
      </c>
      <c r="H1581" s="4" t="s">
        <v>34</v>
      </c>
      <c r="I1581" s="4">
        <v>19</v>
      </c>
      <c r="J1581" s="5">
        <v>77.7</v>
      </c>
      <c r="K1581" s="6">
        <v>1.61</v>
      </c>
      <c r="L1581" s="4">
        <v>2</v>
      </c>
      <c r="M1581" s="4">
        <v>115</v>
      </c>
      <c r="N1581" s="4">
        <v>91</v>
      </c>
      <c r="O1581" s="4" t="s">
        <v>26</v>
      </c>
      <c r="P1581" s="7" t="s">
        <v>30</v>
      </c>
    </row>
    <row r="1582" spans="2:16" x14ac:dyDescent="0.45">
      <c r="B1582" s="4">
        <v>1581</v>
      </c>
      <c r="C1582" s="4" t="s">
        <v>33</v>
      </c>
      <c r="D1582" s="4" t="s">
        <v>23</v>
      </c>
      <c r="E1582" s="4" t="s">
        <v>35</v>
      </c>
      <c r="F1582" s="4" t="s">
        <v>18</v>
      </c>
      <c r="G1582" s="4" t="s">
        <v>30</v>
      </c>
      <c r="H1582" s="4" t="s">
        <v>28</v>
      </c>
      <c r="I1582" s="4">
        <v>34</v>
      </c>
      <c r="J1582" s="5">
        <v>63.1</v>
      </c>
      <c r="K1582" s="6">
        <v>1.5</v>
      </c>
      <c r="L1582" s="4">
        <v>2</v>
      </c>
      <c r="M1582" s="4">
        <v>119</v>
      </c>
      <c r="N1582" s="4">
        <v>81</v>
      </c>
      <c r="O1582" s="4" t="s">
        <v>21</v>
      </c>
      <c r="P1582" s="7" t="s">
        <v>19</v>
      </c>
    </row>
    <row r="1583" spans="2:16" x14ac:dyDescent="0.45">
      <c r="B1583" s="4">
        <v>1582</v>
      </c>
      <c r="C1583" s="4" t="s">
        <v>27</v>
      </c>
      <c r="D1583" s="4" t="s">
        <v>23</v>
      </c>
      <c r="E1583" s="4" t="s">
        <v>17</v>
      </c>
      <c r="F1583" s="4" t="s">
        <v>24</v>
      </c>
      <c r="G1583" s="4" t="s">
        <v>30</v>
      </c>
      <c r="H1583" s="4" t="s">
        <v>28</v>
      </c>
      <c r="I1583" s="4">
        <v>39</v>
      </c>
      <c r="J1583" s="5">
        <v>88.3</v>
      </c>
      <c r="K1583" s="6">
        <v>1.6</v>
      </c>
      <c r="L1583" s="4">
        <v>3</v>
      </c>
      <c r="M1583" s="4">
        <v>120</v>
      </c>
      <c r="N1583" s="4">
        <v>96</v>
      </c>
      <c r="O1583" s="4" t="s">
        <v>26</v>
      </c>
      <c r="P1583" s="7" t="s">
        <v>19</v>
      </c>
    </row>
    <row r="1584" spans="2:16" x14ac:dyDescent="0.45">
      <c r="B1584" s="4">
        <v>1583</v>
      </c>
      <c r="C1584" s="4" t="s">
        <v>45</v>
      </c>
      <c r="D1584" s="4" t="s">
        <v>23</v>
      </c>
      <c r="E1584" s="4" t="s">
        <v>44</v>
      </c>
      <c r="F1584" s="4" t="s">
        <v>18</v>
      </c>
      <c r="G1584" s="4" t="s">
        <v>19</v>
      </c>
      <c r="H1584" s="4" t="s">
        <v>34</v>
      </c>
      <c r="I1584" s="4">
        <v>21</v>
      </c>
      <c r="J1584" s="5">
        <v>74.400000000000006</v>
      </c>
      <c r="K1584" s="6">
        <v>1.7</v>
      </c>
      <c r="L1584" s="4">
        <v>7</v>
      </c>
      <c r="M1584" s="4">
        <v>99</v>
      </c>
      <c r="N1584" s="4">
        <v>102</v>
      </c>
      <c r="O1584" s="4" t="s">
        <v>26</v>
      </c>
      <c r="P1584" s="7" t="s">
        <v>19</v>
      </c>
    </row>
    <row r="1585" spans="2:16" x14ac:dyDescent="0.45">
      <c r="B1585" s="4">
        <v>1584</v>
      </c>
      <c r="C1585" s="4" t="s">
        <v>41</v>
      </c>
      <c r="D1585" s="4" t="s">
        <v>23</v>
      </c>
      <c r="E1585" s="4" t="s">
        <v>35</v>
      </c>
      <c r="F1585" s="4" t="s">
        <v>28</v>
      </c>
      <c r="G1585" s="4" t="s">
        <v>19</v>
      </c>
      <c r="H1585" s="4" t="s">
        <v>28</v>
      </c>
      <c r="I1585" s="4">
        <v>7</v>
      </c>
      <c r="J1585" s="5">
        <v>29.1</v>
      </c>
      <c r="K1585" s="6">
        <v>1.17</v>
      </c>
      <c r="L1585" s="4">
        <v>7</v>
      </c>
      <c r="M1585" s="4">
        <v>97</v>
      </c>
      <c r="N1585" s="4">
        <v>86</v>
      </c>
      <c r="O1585" s="4" t="s">
        <v>26</v>
      </c>
      <c r="P1585" s="7" t="s">
        <v>19</v>
      </c>
    </row>
    <row r="1586" spans="2:16" x14ac:dyDescent="0.45">
      <c r="B1586" s="4">
        <v>1585</v>
      </c>
      <c r="C1586" s="4" t="s">
        <v>22</v>
      </c>
      <c r="D1586" s="4" t="s">
        <v>16</v>
      </c>
      <c r="E1586" s="4" t="s">
        <v>17</v>
      </c>
      <c r="F1586" s="4" t="s">
        <v>18</v>
      </c>
      <c r="G1586" s="4" t="s">
        <v>30</v>
      </c>
      <c r="H1586" s="4" t="s">
        <v>38</v>
      </c>
      <c r="I1586" s="4">
        <v>52</v>
      </c>
      <c r="J1586" s="5">
        <v>68.7</v>
      </c>
      <c r="K1586" s="6">
        <v>1.65</v>
      </c>
      <c r="L1586" s="4">
        <v>1</v>
      </c>
      <c r="M1586" s="4">
        <v>113</v>
      </c>
      <c r="N1586" s="4">
        <v>102</v>
      </c>
      <c r="O1586" s="4" t="s">
        <v>21</v>
      </c>
      <c r="P1586" s="7" t="s">
        <v>19</v>
      </c>
    </row>
    <row r="1587" spans="2:16" x14ac:dyDescent="0.45">
      <c r="B1587" s="4">
        <v>1586</v>
      </c>
      <c r="C1587" s="4" t="s">
        <v>15</v>
      </c>
      <c r="D1587" s="4" t="s">
        <v>23</v>
      </c>
      <c r="E1587" s="4" t="s">
        <v>35</v>
      </c>
      <c r="F1587" s="4" t="s">
        <v>24</v>
      </c>
      <c r="G1587" s="4" t="s">
        <v>19</v>
      </c>
      <c r="H1587" s="4" t="s">
        <v>25</v>
      </c>
      <c r="I1587" s="4">
        <v>37</v>
      </c>
      <c r="J1587" s="5">
        <v>60.9</v>
      </c>
      <c r="K1587" s="6">
        <v>1.58</v>
      </c>
      <c r="L1587" s="4">
        <v>2</v>
      </c>
      <c r="M1587" s="4">
        <v>109</v>
      </c>
      <c r="N1587" s="4">
        <v>88</v>
      </c>
      <c r="O1587" s="4" t="s">
        <v>26</v>
      </c>
      <c r="P1587" s="7" t="s">
        <v>30</v>
      </c>
    </row>
    <row r="1588" spans="2:16" x14ac:dyDescent="0.45">
      <c r="B1588" s="4">
        <v>1587</v>
      </c>
      <c r="C1588" s="4" t="s">
        <v>43</v>
      </c>
      <c r="D1588" s="4" t="s">
        <v>23</v>
      </c>
      <c r="E1588" s="4" t="s">
        <v>44</v>
      </c>
      <c r="F1588" s="4" t="s">
        <v>24</v>
      </c>
      <c r="G1588" s="4" t="s">
        <v>19</v>
      </c>
      <c r="H1588" s="4" t="s">
        <v>20</v>
      </c>
      <c r="I1588" s="4">
        <v>11</v>
      </c>
      <c r="J1588" s="5">
        <v>22</v>
      </c>
      <c r="K1588" s="6">
        <v>1.32</v>
      </c>
      <c r="L1588" s="4">
        <v>2</v>
      </c>
      <c r="M1588" s="4">
        <v>101</v>
      </c>
      <c r="N1588" s="4">
        <v>90</v>
      </c>
      <c r="O1588" s="4" t="s">
        <v>26</v>
      </c>
      <c r="P1588" s="7" t="s">
        <v>19</v>
      </c>
    </row>
    <row r="1589" spans="2:16" x14ac:dyDescent="0.45">
      <c r="B1589" s="4">
        <v>1588</v>
      </c>
      <c r="C1589" s="4" t="s">
        <v>45</v>
      </c>
      <c r="D1589" s="4" t="s">
        <v>16</v>
      </c>
      <c r="E1589" s="4" t="s">
        <v>17</v>
      </c>
      <c r="F1589" s="4" t="s">
        <v>24</v>
      </c>
      <c r="G1589" s="4" t="s">
        <v>19</v>
      </c>
      <c r="H1589" s="4" t="s">
        <v>38</v>
      </c>
      <c r="I1589" s="4">
        <v>21</v>
      </c>
      <c r="J1589" s="5">
        <v>59.5</v>
      </c>
      <c r="K1589" s="6">
        <v>1.83</v>
      </c>
      <c r="L1589" s="4">
        <v>3</v>
      </c>
      <c r="M1589" s="4">
        <v>114</v>
      </c>
      <c r="N1589" s="4">
        <v>89</v>
      </c>
      <c r="O1589" s="4" t="s">
        <v>26</v>
      </c>
      <c r="P1589" s="7" t="s">
        <v>19</v>
      </c>
    </row>
    <row r="1590" spans="2:16" x14ac:dyDescent="0.45">
      <c r="B1590" s="4">
        <v>1589</v>
      </c>
      <c r="C1590" s="4" t="s">
        <v>41</v>
      </c>
      <c r="D1590" s="4" t="s">
        <v>23</v>
      </c>
      <c r="E1590" s="4" t="s">
        <v>17</v>
      </c>
      <c r="F1590" s="4" t="s">
        <v>24</v>
      </c>
      <c r="G1590" s="4" t="s">
        <v>19</v>
      </c>
      <c r="H1590" s="4" t="s">
        <v>25</v>
      </c>
      <c r="I1590" s="4">
        <v>5</v>
      </c>
      <c r="J1590" s="5">
        <v>22.8</v>
      </c>
      <c r="K1590" s="6">
        <v>1.19</v>
      </c>
      <c r="L1590" s="4">
        <v>10</v>
      </c>
      <c r="M1590" s="4">
        <v>106</v>
      </c>
      <c r="N1590" s="4">
        <v>105</v>
      </c>
      <c r="O1590" s="4" t="s">
        <v>21</v>
      </c>
      <c r="P1590" s="7" t="s">
        <v>19</v>
      </c>
    </row>
    <row r="1591" spans="2:16" x14ac:dyDescent="0.45">
      <c r="B1591" s="4">
        <v>1590</v>
      </c>
      <c r="C1591" s="4" t="s">
        <v>45</v>
      </c>
      <c r="D1591" s="4" t="s">
        <v>23</v>
      </c>
      <c r="E1591" s="4" t="s">
        <v>35</v>
      </c>
      <c r="F1591" s="4" t="s">
        <v>24</v>
      </c>
      <c r="G1591" s="4" t="s">
        <v>19</v>
      </c>
      <c r="H1591" s="4" t="s">
        <v>28</v>
      </c>
      <c r="I1591" s="4">
        <v>34</v>
      </c>
      <c r="J1591" s="5">
        <v>77.400000000000006</v>
      </c>
      <c r="K1591" s="6">
        <v>1.8</v>
      </c>
      <c r="L1591" s="4">
        <v>3</v>
      </c>
      <c r="M1591" s="4">
        <v>117</v>
      </c>
      <c r="N1591" s="4">
        <v>82</v>
      </c>
      <c r="O1591" s="4" t="s">
        <v>26</v>
      </c>
      <c r="P1591" s="7" t="s">
        <v>30</v>
      </c>
    </row>
    <row r="1592" spans="2:16" x14ac:dyDescent="0.45">
      <c r="B1592" s="4">
        <v>1591</v>
      </c>
      <c r="C1592" s="4" t="s">
        <v>22</v>
      </c>
      <c r="D1592" s="4" t="s">
        <v>16</v>
      </c>
      <c r="E1592" s="4" t="s">
        <v>35</v>
      </c>
      <c r="F1592" s="4" t="s">
        <v>24</v>
      </c>
      <c r="G1592" s="4" t="s">
        <v>19</v>
      </c>
      <c r="H1592" s="4" t="s">
        <v>28</v>
      </c>
      <c r="I1592" s="4">
        <v>18</v>
      </c>
      <c r="J1592" s="5">
        <v>66.099999999999994</v>
      </c>
      <c r="K1592" s="6">
        <v>1.67</v>
      </c>
      <c r="L1592" s="4">
        <v>1</v>
      </c>
      <c r="M1592" s="4">
        <v>109</v>
      </c>
      <c r="N1592" s="4">
        <v>91</v>
      </c>
      <c r="O1592" s="4" t="s">
        <v>26</v>
      </c>
      <c r="P1592" s="7" t="s">
        <v>19</v>
      </c>
    </row>
    <row r="1593" spans="2:16" x14ac:dyDescent="0.45">
      <c r="B1593" s="4">
        <v>1592</v>
      </c>
      <c r="C1593" s="4" t="s">
        <v>29</v>
      </c>
      <c r="D1593" s="4" t="s">
        <v>23</v>
      </c>
      <c r="E1593" s="4" t="s">
        <v>17</v>
      </c>
      <c r="F1593" s="4" t="s">
        <v>18</v>
      </c>
      <c r="G1593" s="4" t="s">
        <v>30</v>
      </c>
      <c r="H1593" s="4" t="s">
        <v>38</v>
      </c>
      <c r="I1593" s="4">
        <v>44</v>
      </c>
      <c r="J1593" s="5">
        <v>56.1</v>
      </c>
      <c r="K1593" s="6">
        <v>1.69</v>
      </c>
      <c r="L1593" s="4">
        <v>1</v>
      </c>
      <c r="M1593" s="4">
        <v>123</v>
      </c>
      <c r="N1593" s="4">
        <v>70</v>
      </c>
      <c r="O1593" s="4" t="s">
        <v>26</v>
      </c>
      <c r="P1593" s="7" t="s">
        <v>19</v>
      </c>
    </row>
    <row r="1594" spans="2:16" x14ac:dyDescent="0.45">
      <c r="B1594" s="4">
        <v>1593</v>
      </c>
      <c r="C1594" s="4" t="s">
        <v>39</v>
      </c>
      <c r="D1594" s="4" t="s">
        <v>23</v>
      </c>
      <c r="E1594" s="4" t="s">
        <v>35</v>
      </c>
      <c r="F1594" s="4" t="s">
        <v>18</v>
      </c>
      <c r="G1594" s="4" t="s">
        <v>19</v>
      </c>
      <c r="H1594" s="4" t="s">
        <v>36</v>
      </c>
      <c r="I1594" s="4">
        <v>76</v>
      </c>
      <c r="J1594" s="5">
        <v>87.5</v>
      </c>
      <c r="K1594" s="6">
        <v>1.67</v>
      </c>
      <c r="L1594" s="4">
        <v>1</v>
      </c>
      <c r="M1594" s="4">
        <v>148</v>
      </c>
      <c r="N1594" s="4">
        <v>92</v>
      </c>
      <c r="O1594" s="4" t="s">
        <v>26</v>
      </c>
      <c r="P1594" s="7" t="s">
        <v>19</v>
      </c>
    </row>
    <row r="1595" spans="2:16" x14ac:dyDescent="0.45">
      <c r="B1595" s="4">
        <v>1594</v>
      </c>
      <c r="C1595" s="4" t="s">
        <v>33</v>
      </c>
      <c r="D1595" s="4" t="s">
        <v>16</v>
      </c>
      <c r="E1595" s="4" t="s">
        <v>17</v>
      </c>
      <c r="F1595" s="4" t="s">
        <v>24</v>
      </c>
      <c r="G1595" s="4" t="s">
        <v>19</v>
      </c>
      <c r="H1595" s="4" t="s">
        <v>28</v>
      </c>
      <c r="I1595" s="4">
        <v>7</v>
      </c>
      <c r="J1595" s="5">
        <v>21.3</v>
      </c>
      <c r="K1595" s="6">
        <v>1.19</v>
      </c>
      <c r="L1595" s="4">
        <v>4</v>
      </c>
      <c r="M1595" s="4">
        <v>98</v>
      </c>
      <c r="N1595" s="4">
        <v>74</v>
      </c>
      <c r="O1595" s="4" t="s">
        <v>21</v>
      </c>
      <c r="P1595" s="7" t="s">
        <v>19</v>
      </c>
    </row>
    <row r="1596" spans="2:16" x14ac:dyDescent="0.45">
      <c r="B1596" s="4">
        <v>1595</v>
      </c>
      <c r="C1596" s="4" t="s">
        <v>27</v>
      </c>
      <c r="D1596" s="4" t="s">
        <v>23</v>
      </c>
      <c r="E1596" s="4" t="s">
        <v>17</v>
      </c>
      <c r="F1596" s="4" t="s">
        <v>18</v>
      </c>
      <c r="G1596" s="4" t="s">
        <v>19</v>
      </c>
      <c r="H1596" s="4" t="s">
        <v>25</v>
      </c>
      <c r="I1596" s="4">
        <v>1</v>
      </c>
      <c r="J1596" s="5">
        <v>15.8</v>
      </c>
      <c r="K1596" s="6">
        <v>0.85</v>
      </c>
      <c r="L1596" s="4">
        <v>4</v>
      </c>
      <c r="M1596" s="4">
        <v>106</v>
      </c>
      <c r="N1596" s="4">
        <v>95</v>
      </c>
      <c r="O1596" s="4" t="s">
        <v>26</v>
      </c>
      <c r="P1596" s="7" t="s">
        <v>19</v>
      </c>
    </row>
    <row r="1597" spans="2:16" x14ac:dyDescent="0.45">
      <c r="B1597" s="4">
        <v>1596</v>
      </c>
      <c r="C1597" s="4" t="s">
        <v>27</v>
      </c>
      <c r="D1597" s="4" t="s">
        <v>23</v>
      </c>
      <c r="E1597" s="4" t="s">
        <v>17</v>
      </c>
      <c r="F1597" s="4" t="s">
        <v>18</v>
      </c>
      <c r="G1597" s="4" t="s">
        <v>19</v>
      </c>
      <c r="H1597" s="4" t="s">
        <v>20</v>
      </c>
      <c r="I1597" s="4">
        <v>61</v>
      </c>
      <c r="J1597" s="5">
        <v>67.900000000000006</v>
      </c>
      <c r="K1597" s="6">
        <v>1.88</v>
      </c>
      <c r="L1597" s="4">
        <v>3</v>
      </c>
      <c r="M1597" s="4">
        <v>112</v>
      </c>
      <c r="N1597" s="4">
        <v>78</v>
      </c>
      <c r="O1597" s="4" t="s">
        <v>26</v>
      </c>
      <c r="P1597" s="7" t="s">
        <v>19</v>
      </c>
    </row>
    <row r="1598" spans="2:16" x14ac:dyDescent="0.45">
      <c r="B1598" s="4">
        <v>1597</v>
      </c>
      <c r="C1598" s="4" t="s">
        <v>22</v>
      </c>
      <c r="D1598" s="4" t="s">
        <v>16</v>
      </c>
      <c r="E1598" s="4" t="s">
        <v>17</v>
      </c>
      <c r="F1598" s="4" t="s">
        <v>18</v>
      </c>
      <c r="G1598" s="4" t="s">
        <v>30</v>
      </c>
      <c r="H1598" s="4" t="s">
        <v>36</v>
      </c>
      <c r="I1598" s="4">
        <v>6</v>
      </c>
      <c r="J1598" s="5">
        <v>23.3</v>
      </c>
      <c r="K1598" s="6">
        <v>1.37</v>
      </c>
      <c r="L1598" s="4">
        <v>3</v>
      </c>
      <c r="M1598" s="4">
        <v>118</v>
      </c>
      <c r="N1598" s="4">
        <v>87</v>
      </c>
      <c r="O1598" s="4" t="s">
        <v>21</v>
      </c>
      <c r="P1598" s="7" t="s">
        <v>19</v>
      </c>
    </row>
    <row r="1599" spans="2:16" x14ac:dyDescent="0.45">
      <c r="B1599" s="4">
        <v>1598</v>
      </c>
      <c r="C1599" s="4" t="s">
        <v>22</v>
      </c>
      <c r="D1599" s="4" t="s">
        <v>23</v>
      </c>
      <c r="E1599" s="4" t="s">
        <v>35</v>
      </c>
      <c r="F1599" s="4" t="s">
        <v>18</v>
      </c>
      <c r="G1599" s="4" t="s">
        <v>19</v>
      </c>
      <c r="H1599" s="4" t="s">
        <v>38</v>
      </c>
      <c r="I1599" s="4">
        <v>22</v>
      </c>
      <c r="J1599" s="5">
        <v>63.3</v>
      </c>
      <c r="K1599" s="6">
        <v>1.62</v>
      </c>
      <c r="L1599" s="4">
        <v>2</v>
      </c>
      <c r="M1599" s="4">
        <v>116</v>
      </c>
      <c r="N1599" s="4">
        <v>102</v>
      </c>
      <c r="O1599" s="4" t="s">
        <v>21</v>
      </c>
      <c r="P1599" s="7" t="s">
        <v>19</v>
      </c>
    </row>
    <row r="1600" spans="2:16" x14ac:dyDescent="0.45">
      <c r="B1600" s="4">
        <v>1599</v>
      </c>
      <c r="C1600" s="4" t="s">
        <v>22</v>
      </c>
      <c r="D1600" s="4" t="s">
        <v>16</v>
      </c>
      <c r="E1600" s="4" t="s">
        <v>35</v>
      </c>
      <c r="F1600" s="4" t="s">
        <v>18</v>
      </c>
      <c r="G1600" s="4" t="s">
        <v>19</v>
      </c>
      <c r="H1600" s="4" t="s">
        <v>20</v>
      </c>
      <c r="I1600" s="4">
        <v>11</v>
      </c>
      <c r="J1600" s="5">
        <v>21.1</v>
      </c>
      <c r="K1600" s="6">
        <v>1.1599999999999999</v>
      </c>
      <c r="L1600" s="4">
        <v>9</v>
      </c>
      <c r="M1600" s="4">
        <v>110</v>
      </c>
      <c r="N1600" s="4">
        <v>83</v>
      </c>
      <c r="O1600" s="4" t="s">
        <v>21</v>
      </c>
      <c r="P1600" s="7" t="s">
        <v>19</v>
      </c>
    </row>
    <row r="1601" spans="2:16" x14ac:dyDescent="0.45">
      <c r="B1601" s="4">
        <v>1600</v>
      </c>
      <c r="C1601" s="4" t="s">
        <v>22</v>
      </c>
      <c r="D1601" s="4" t="s">
        <v>23</v>
      </c>
      <c r="E1601" s="4" t="s">
        <v>17</v>
      </c>
      <c r="F1601" s="4" t="s">
        <v>28</v>
      </c>
      <c r="G1601" s="4" t="s">
        <v>19</v>
      </c>
      <c r="H1601" s="4" t="s">
        <v>32</v>
      </c>
      <c r="I1601" s="4">
        <v>50</v>
      </c>
      <c r="J1601" s="5">
        <v>65.5</v>
      </c>
      <c r="K1601" s="6">
        <v>1.53</v>
      </c>
      <c r="L1601" s="4">
        <v>6</v>
      </c>
      <c r="M1601" s="4">
        <v>126</v>
      </c>
      <c r="N1601" s="4">
        <v>146</v>
      </c>
      <c r="O1601" s="4" t="s">
        <v>26</v>
      </c>
      <c r="P1601" s="7" t="s">
        <v>30</v>
      </c>
    </row>
    <row r="1602" spans="2:16" x14ac:dyDescent="0.45">
      <c r="B1602" s="4">
        <v>1601</v>
      </c>
      <c r="C1602" s="4" t="s">
        <v>31</v>
      </c>
      <c r="D1602" s="4" t="s">
        <v>16</v>
      </c>
      <c r="E1602" s="4" t="s">
        <v>17</v>
      </c>
      <c r="F1602" s="4" t="s">
        <v>24</v>
      </c>
      <c r="G1602" s="4" t="s">
        <v>30</v>
      </c>
      <c r="H1602" s="4" t="s">
        <v>34</v>
      </c>
      <c r="I1602" s="4">
        <v>53</v>
      </c>
      <c r="J1602" s="5">
        <v>80.900000000000006</v>
      </c>
      <c r="K1602" s="6">
        <v>1.63</v>
      </c>
      <c r="L1602" s="4">
        <v>2</v>
      </c>
      <c r="M1602" s="4">
        <v>116</v>
      </c>
      <c r="N1602" s="4">
        <v>94</v>
      </c>
      <c r="O1602" s="4" t="s">
        <v>26</v>
      </c>
      <c r="P1602" s="7" t="s">
        <v>19</v>
      </c>
    </row>
    <row r="1603" spans="2:16" x14ac:dyDescent="0.45">
      <c r="B1603" s="4">
        <v>1602</v>
      </c>
      <c r="C1603" s="4" t="s">
        <v>31</v>
      </c>
      <c r="D1603" s="4" t="s">
        <v>23</v>
      </c>
      <c r="E1603" s="4" t="s">
        <v>37</v>
      </c>
      <c r="F1603" s="4" t="s">
        <v>24</v>
      </c>
      <c r="G1603" s="4" t="s">
        <v>19</v>
      </c>
      <c r="H1603" s="4" t="s">
        <v>20</v>
      </c>
      <c r="I1603" s="4">
        <v>28</v>
      </c>
      <c r="J1603" s="5">
        <v>62.8</v>
      </c>
      <c r="K1603" s="6">
        <v>1.52</v>
      </c>
      <c r="L1603" s="4">
        <v>5</v>
      </c>
      <c r="M1603" s="4">
        <v>110</v>
      </c>
      <c r="N1603" s="4">
        <v>101</v>
      </c>
      <c r="O1603" s="4" t="s">
        <v>26</v>
      </c>
      <c r="P1603" s="7" t="s">
        <v>19</v>
      </c>
    </row>
    <row r="1604" spans="2:16" x14ac:dyDescent="0.45">
      <c r="B1604" s="4">
        <v>1603</v>
      </c>
      <c r="C1604" s="4" t="s">
        <v>31</v>
      </c>
      <c r="D1604" s="4" t="s">
        <v>16</v>
      </c>
      <c r="E1604" s="4" t="s">
        <v>17</v>
      </c>
      <c r="F1604" s="4" t="s">
        <v>18</v>
      </c>
      <c r="G1604" s="4" t="s">
        <v>19</v>
      </c>
      <c r="H1604" s="4" t="s">
        <v>32</v>
      </c>
      <c r="I1604" s="4">
        <v>14</v>
      </c>
      <c r="J1604" s="5">
        <v>63.2</v>
      </c>
      <c r="K1604" s="6">
        <v>1.46</v>
      </c>
      <c r="L1604" s="4">
        <v>6</v>
      </c>
      <c r="M1604" s="4">
        <v>97</v>
      </c>
      <c r="N1604" s="4">
        <v>160</v>
      </c>
      <c r="O1604" s="4" t="s">
        <v>26</v>
      </c>
      <c r="P1604" s="7" t="s">
        <v>19</v>
      </c>
    </row>
    <row r="1605" spans="2:16" x14ac:dyDescent="0.45">
      <c r="B1605" s="4">
        <v>1604</v>
      </c>
      <c r="C1605" s="4" t="s">
        <v>33</v>
      </c>
      <c r="D1605" s="4" t="s">
        <v>16</v>
      </c>
      <c r="E1605" s="4" t="s">
        <v>17</v>
      </c>
      <c r="F1605" s="4" t="s">
        <v>28</v>
      </c>
      <c r="G1605" s="4" t="s">
        <v>30</v>
      </c>
      <c r="H1605" s="4" t="s">
        <v>28</v>
      </c>
      <c r="I1605" s="4">
        <v>2</v>
      </c>
      <c r="J1605" s="5">
        <v>17.5</v>
      </c>
      <c r="K1605" s="6">
        <v>0.88</v>
      </c>
      <c r="L1605" s="4">
        <v>7</v>
      </c>
      <c r="M1605" s="4">
        <v>106</v>
      </c>
      <c r="N1605" s="4">
        <v>75</v>
      </c>
      <c r="O1605" s="4" t="s">
        <v>21</v>
      </c>
      <c r="P1605" s="7" t="s">
        <v>19</v>
      </c>
    </row>
    <row r="1606" spans="2:16" x14ac:dyDescent="0.45">
      <c r="B1606" s="4">
        <v>1605</v>
      </c>
      <c r="C1606" s="4" t="s">
        <v>31</v>
      </c>
      <c r="D1606" s="4" t="s">
        <v>16</v>
      </c>
      <c r="E1606" s="4" t="s">
        <v>44</v>
      </c>
      <c r="F1606" s="4" t="s">
        <v>28</v>
      </c>
      <c r="G1606" s="4" t="s">
        <v>19</v>
      </c>
      <c r="H1606" s="4" t="s">
        <v>25</v>
      </c>
      <c r="I1606" s="4">
        <v>37</v>
      </c>
      <c r="J1606" s="5">
        <v>72.8</v>
      </c>
      <c r="K1606" s="6">
        <v>1.52</v>
      </c>
      <c r="L1606" s="4">
        <v>4</v>
      </c>
      <c r="M1606" s="4">
        <v>108</v>
      </c>
      <c r="N1606" s="4">
        <v>83</v>
      </c>
      <c r="O1606" s="4" t="s">
        <v>21</v>
      </c>
      <c r="P1606" s="7" t="s">
        <v>30</v>
      </c>
    </row>
    <row r="1607" spans="2:16" x14ac:dyDescent="0.45">
      <c r="B1607" s="4">
        <v>1606</v>
      </c>
      <c r="C1607" s="4" t="s">
        <v>27</v>
      </c>
      <c r="D1607" s="4" t="s">
        <v>16</v>
      </c>
      <c r="E1607" s="4" t="s">
        <v>35</v>
      </c>
      <c r="F1607" s="4" t="s">
        <v>42</v>
      </c>
      <c r="G1607" s="4" t="s">
        <v>30</v>
      </c>
      <c r="H1607" s="4" t="s">
        <v>25</v>
      </c>
      <c r="I1607" s="4">
        <v>11</v>
      </c>
      <c r="J1607" s="5">
        <v>35.200000000000003</v>
      </c>
      <c r="K1607" s="6">
        <v>1.1599999999999999</v>
      </c>
      <c r="L1607" s="4">
        <v>7</v>
      </c>
      <c r="M1607" s="4">
        <v>103</v>
      </c>
      <c r="N1607" s="4">
        <v>100</v>
      </c>
      <c r="O1607" s="4" t="s">
        <v>21</v>
      </c>
      <c r="P1607" s="7" t="s">
        <v>19</v>
      </c>
    </row>
    <row r="1608" spans="2:16" x14ac:dyDescent="0.45">
      <c r="B1608" s="4">
        <v>1607</v>
      </c>
      <c r="C1608" s="4" t="s">
        <v>40</v>
      </c>
      <c r="D1608" s="4" t="s">
        <v>16</v>
      </c>
      <c r="E1608" s="4" t="s">
        <v>35</v>
      </c>
      <c r="F1608" s="4" t="s">
        <v>18</v>
      </c>
      <c r="G1608" s="4" t="s">
        <v>19</v>
      </c>
      <c r="H1608" s="4" t="s">
        <v>20</v>
      </c>
      <c r="I1608" s="4">
        <v>21</v>
      </c>
      <c r="J1608" s="5">
        <v>51.9</v>
      </c>
      <c r="K1608" s="6">
        <v>1.49</v>
      </c>
      <c r="L1608" s="4">
        <v>0</v>
      </c>
      <c r="M1608" s="4">
        <v>110</v>
      </c>
      <c r="N1608" s="4">
        <v>90</v>
      </c>
      <c r="O1608" s="4" t="s">
        <v>21</v>
      </c>
      <c r="P1608" s="7" t="s">
        <v>19</v>
      </c>
    </row>
    <row r="1609" spans="2:16" x14ac:dyDescent="0.45">
      <c r="B1609" s="4">
        <v>1608</v>
      </c>
      <c r="C1609" s="4" t="s">
        <v>39</v>
      </c>
      <c r="D1609" s="4" t="s">
        <v>23</v>
      </c>
      <c r="E1609" s="4" t="s">
        <v>17</v>
      </c>
      <c r="F1609" s="4" t="s">
        <v>24</v>
      </c>
      <c r="G1609" s="4" t="s">
        <v>19</v>
      </c>
      <c r="H1609" s="4" t="s">
        <v>36</v>
      </c>
      <c r="I1609" s="4">
        <v>43</v>
      </c>
      <c r="J1609" s="5">
        <v>49</v>
      </c>
      <c r="K1609" s="6">
        <v>1.58</v>
      </c>
      <c r="L1609" s="4">
        <v>1</v>
      </c>
      <c r="M1609" s="4">
        <v>127</v>
      </c>
      <c r="N1609" s="4">
        <v>92</v>
      </c>
      <c r="O1609" s="4" t="s">
        <v>26</v>
      </c>
      <c r="P1609" s="7" t="s">
        <v>19</v>
      </c>
    </row>
    <row r="1610" spans="2:16" x14ac:dyDescent="0.45">
      <c r="B1610" s="4">
        <v>1609</v>
      </c>
      <c r="C1610" s="4" t="s">
        <v>33</v>
      </c>
      <c r="D1610" s="4" t="s">
        <v>23</v>
      </c>
      <c r="E1610" s="4" t="s">
        <v>44</v>
      </c>
      <c r="F1610" s="4" t="s">
        <v>28</v>
      </c>
      <c r="G1610" s="4" t="s">
        <v>19</v>
      </c>
      <c r="H1610" s="4" t="s">
        <v>28</v>
      </c>
      <c r="I1610" s="4">
        <v>47</v>
      </c>
      <c r="J1610" s="5">
        <v>74.900000000000006</v>
      </c>
      <c r="K1610" s="6">
        <v>1.48</v>
      </c>
      <c r="L1610" s="4">
        <v>2</v>
      </c>
      <c r="M1610" s="4">
        <v>111</v>
      </c>
      <c r="N1610" s="4">
        <v>85</v>
      </c>
      <c r="O1610" s="4" t="s">
        <v>21</v>
      </c>
      <c r="P1610" s="7" t="s">
        <v>19</v>
      </c>
    </row>
    <row r="1611" spans="2:16" x14ac:dyDescent="0.45">
      <c r="B1611" s="4">
        <v>1610</v>
      </c>
      <c r="C1611" s="4" t="s">
        <v>27</v>
      </c>
      <c r="D1611" s="4" t="s">
        <v>16</v>
      </c>
      <c r="E1611" s="4" t="s">
        <v>17</v>
      </c>
      <c r="F1611" s="4" t="s">
        <v>28</v>
      </c>
      <c r="G1611" s="4" t="s">
        <v>30</v>
      </c>
      <c r="H1611" s="4" t="s">
        <v>32</v>
      </c>
      <c r="I1611" s="4">
        <v>4</v>
      </c>
      <c r="J1611" s="5">
        <v>14.8</v>
      </c>
      <c r="K1611" s="6">
        <v>0.7</v>
      </c>
      <c r="L1611" s="4">
        <v>3</v>
      </c>
      <c r="M1611" s="4">
        <v>105</v>
      </c>
      <c r="N1611" s="4">
        <v>172</v>
      </c>
      <c r="O1611" s="4" t="s">
        <v>21</v>
      </c>
      <c r="P1611" s="7" t="s">
        <v>30</v>
      </c>
    </row>
    <row r="1612" spans="2:16" x14ac:dyDescent="0.45">
      <c r="B1612" s="4">
        <v>1611</v>
      </c>
      <c r="C1612" s="4" t="s">
        <v>27</v>
      </c>
      <c r="D1612" s="4" t="s">
        <v>23</v>
      </c>
      <c r="E1612" s="4" t="s">
        <v>35</v>
      </c>
      <c r="F1612" s="4" t="s">
        <v>24</v>
      </c>
      <c r="G1612" s="4" t="s">
        <v>19</v>
      </c>
      <c r="H1612" s="4" t="s">
        <v>46</v>
      </c>
      <c r="I1612" s="4">
        <v>15</v>
      </c>
      <c r="J1612" s="5">
        <v>42.3</v>
      </c>
      <c r="K1612" s="6">
        <v>1.48</v>
      </c>
      <c r="L1612" s="4">
        <v>7</v>
      </c>
      <c r="M1612" s="4">
        <v>110</v>
      </c>
      <c r="N1612" s="4">
        <v>84</v>
      </c>
      <c r="O1612" s="4" t="s">
        <v>21</v>
      </c>
      <c r="P1612" s="7" t="s">
        <v>19</v>
      </c>
    </row>
    <row r="1613" spans="2:16" x14ac:dyDescent="0.45">
      <c r="B1613" s="4">
        <v>1612</v>
      </c>
      <c r="C1613" s="4" t="s">
        <v>15</v>
      </c>
      <c r="D1613" s="4" t="s">
        <v>16</v>
      </c>
      <c r="E1613" s="4" t="s">
        <v>35</v>
      </c>
      <c r="F1613" s="4" t="s">
        <v>18</v>
      </c>
      <c r="G1613" s="4" t="s">
        <v>19</v>
      </c>
      <c r="H1613" s="4" t="s">
        <v>25</v>
      </c>
      <c r="I1613" s="4">
        <v>48</v>
      </c>
      <c r="J1613" s="5">
        <v>52.4</v>
      </c>
      <c r="K1613" s="6">
        <v>1.86</v>
      </c>
      <c r="L1613" s="4">
        <v>9</v>
      </c>
      <c r="M1613" s="4">
        <v>110</v>
      </c>
      <c r="N1613" s="4">
        <v>100</v>
      </c>
      <c r="O1613" s="4" t="s">
        <v>21</v>
      </c>
      <c r="P1613" s="7" t="s">
        <v>19</v>
      </c>
    </row>
    <row r="1614" spans="2:16" x14ac:dyDescent="0.45">
      <c r="B1614" s="4">
        <v>1613</v>
      </c>
      <c r="C1614" s="4" t="s">
        <v>29</v>
      </c>
      <c r="D1614" s="4" t="s">
        <v>23</v>
      </c>
      <c r="E1614" s="4" t="s">
        <v>35</v>
      </c>
      <c r="F1614" s="4" t="s">
        <v>24</v>
      </c>
      <c r="G1614" s="4" t="s">
        <v>19</v>
      </c>
      <c r="H1614" s="4" t="s">
        <v>20</v>
      </c>
      <c r="I1614" s="4">
        <v>32</v>
      </c>
      <c r="J1614" s="5">
        <v>89.5</v>
      </c>
      <c r="K1614" s="6">
        <v>1.74</v>
      </c>
      <c r="L1614" s="4">
        <v>2</v>
      </c>
      <c r="M1614" s="4">
        <v>124</v>
      </c>
      <c r="N1614" s="4">
        <v>81</v>
      </c>
      <c r="O1614" s="4" t="s">
        <v>26</v>
      </c>
      <c r="P1614" s="7" t="s">
        <v>30</v>
      </c>
    </row>
    <row r="1615" spans="2:16" x14ac:dyDescent="0.45">
      <c r="B1615" s="4">
        <v>1614</v>
      </c>
      <c r="C1615" s="4" t="s">
        <v>29</v>
      </c>
      <c r="D1615" s="4" t="s">
        <v>16</v>
      </c>
      <c r="E1615" s="4" t="s">
        <v>17</v>
      </c>
      <c r="F1615" s="4" t="s">
        <v>18</v>
      </c>
      <c r="G1615" s="4" t="s">
        <v>19</v>
      </c>
      <c r="H1615" s="4" t="s">
        <v>32</v>
      </c>
      <c r="I1615" s="4">
        <v>25</v>
      </c>
      <c r="J1615" s="5">
        <v>69.5</v>
      </c>
      <c r="K1615" s="6">
        <v>1.59</v>
      </c>
      <c r="L1615" s="4">
        <v>6</v>
      </c>
      <c r="M1615" s="4">
        <v>120</v>
      </c>
      <c r="N1615" s="4">
        <v>146</v>
      </c>
      <c r="O1615" s="4" t="s">
        <v>21</v>
      </c>
      <c r="P1615" s="7" t="s">
        <v>19</v>
      </c>
    </row>
    <row r="1616" spans="2:16" x14ac:dyDescent="0.45">
      <c r="B1616" s="4">
        <v>1615</v>
      </c>
      <c r="C1616" s="4" t="s">
        <v>43</v>
      </c>
      <c r="D1616" s="4" t="s">
        <v>16</v>
      </c>
      <c r="E1616" s="4" t="s">
        <v>35</v>
      </c>
      <c r="F1616" s="4" t="s">
        <v>24</v>
      </c>
      <c r="G1616" s="4" t="s">
        <v>19</v>
      </c>
      <c r="H1616" s="4" t="s">
        <v>46</v>
      </c>
      <c r="I1616" s="4">
        <v>14</v>
      </c>
      <c r="J1616" s="5">
        <v>48</v>
      </c>
      <c r="K1616" s="6">
        <v>1.74</v>
      </c>
      <c r="L1616" s="4">
        <v>4</v>
      </c>
      <c r="M1616" s="4">
        <v>102</v>
      </c>
      <c r="N1616" s="4">
        <v>74</v>
      </c>
      <c r="O1616" s="4" t="s">
        <v>26</v>
      </c>
      <c r="P1616" s="7" t="s">
        <v>19</v>
      </c>
    </row>
    <row r="1617" spans="2:16" x14ac:dyDescent="0.45">
      <c r="B1617" s="4">
        <v>1616</v>
      </c>
      <c r="C1617" s="4" t="s">
        <v>27</v>
      </c>
      <c r="D1617" s="4" t="s">
        <v>23</v>
      </c>
      <c r="E1617" s="4" t="s">
        <v>35</v>
      </c>
      <c r="F1617" s="4" t="s">
        <v>42</v>
      </c>
      <c r="G1617" s="4" t="s">
        <v>19</v>
      </c>
      <c r="H1617" s="4" t="s">
        <v>36</v>
      </c>
      <c r="I1617" s="4">
        <v>43</v>
      </c>
      <c r="J1617" s="5">
        <v>74.400000000000006</v>
      </c>
      <c r="K1617" s="6">
        <v>1.87</v>
      </c>
      <c r="L1617" s="4">
        <v>10</v>
      </c>
      <c r="M1617" s="4">
        <v>147</v>
      </c>
      <c r="N1617" s="4">
        <v>86</v>
      </c>
      <c r="O1617" s="4" t="s">
        <v>26</v>
      </c>
      <c r="P1617" s="7" t="s">
        <v>30</v>
      </c>
    </row>
    <row r="1618" spans="2:16" x14ac:dyDescent="0.45">
      <c r="B1618" s="4">
        <v>1617</v>
      </c>
      <c r="C1618" s="4" t="s">
        <v>15</v>
      </c>
      <c r="D1618" s="4" t="s">
        <v>16</v>
      </c>
      <c r="E1618" s="4" t="s">
        <v>17</v>
      </c>
      <c r="F1618" s="4" t="s">
        <v>24</v>
      </c>
      <c r="G1618" s="4" t="s">
        <v>19</v>
      </c>
      <c r="H1618" s="4" t="s">
        <v>38</v>
      </c>
      <c r="I1618" s="4">
        <v>7</v>
      </c>
      <c r="J1618" s="5">
        <v>35.700000000000003</v>
      </c>
      <c r="K1618" s="6">
        <v>1.06</v>
      </c>
      <c r="L1618" s="4">
        <v>3</v>
      </c>
      <c r="M1618" s="4">
        <v>98</v>
      </c>
      <c r="N1618" s="4">
        <v>75</v>
      </c>
      <c r="O1618" s="4" t="s">
        <v>26</v>
      </c>
      <c r="P1618" s="7" t="s">
        <v>19</v>
      </c>
    </row>
    <row r="1619" spans="2:16" x14ac:dyDescent="0.45">
      <c r="B1619" s="4">
        <v>1618</v>
      </c>
      <c r="C1619" s="4" t="s">
        <v>33</v>
      </c>
      <c r="D1619" s="4" t="s">
        <v>16</v>
      </c>
      <c r="E1619" s="4" t="s">
        <v>17</v>
      </c>
      <c r="F1619" s="4" t="s">
        <v>18</v>
      </c>
      <c r="G1619" s="4" t="s">
        <v>30</v>
      </c>
      <c r="H1619" s="4" t="s">
        <v>32</v>
      </c>
      <c r="I1619" s="4">
        <v>10</v>
      </c>
      <c r="J1619" s="5">
        <v>22</v>
      </c>
      <c r="K1619" s="6">
        <v>1.08</v>
      </c>
      <c r="L1619" s="4">
        <v>1</v>
      </c>
      <c r="M1619" s="4">
        <v>104</v>
      </c>
      <c r="N1619" s="4">
        <v>168</v>
      </c>
      <c r="O1619" s="4" t="s">
        <v>26</v>
      </c>
      <c r="P1619" s="7" t="s">
        <v>19</v>
      </c>
    </row>
    <row r="1620" spans="2:16" x14ac:dyDescent="0.45">
      <c r="B1620" s="4">
        <v>1619</v>
      </c>
      <c r="C1620" s="4" t="s">
        <v>40</v>
      </c>
      <c r="D1620" s="4" t="s">
        <v>16</v>
      </c>
      <c r="E1620" s="4" t="s">
        <v>35</v>
      </c>
      <c r="F1620" s="4" t="s">
        <v>18</v>
      </c>
      <c r="G1620" s="4" t="s">
        <v>19</v>
      </c>
      <c r="H1620" s="4" t="s">
        <v>32</v>
      </c>
      <c r="I1620" s="4">
        <v>30</v>
      </c>
      <c r="J1620" s="5">
        <v>66.099999999999994</v>
      </c>
      <c r="K1620" s="6">
        <v>1.72</v>
      </c>
      <c r="L1620" s="4">
        <v>1</v>
      </c>
      <c r="M1620" s="4">
        <v>122</v>
      </c>
      <c r="N1620" s="4">
        <v>162</v>
      </c>
      <c r="O1620" s="4" t="s">
        <v>26</v>
      </c>
      <c r="P1620" s="7" t="s">
        <v>19</v>
      </c>
    </row>
    <row r="1621" spans="2:16" x14ac:dyDescent="0.45">
      <c r="B1621" s="4">
        <v>1620</v>
      </c>
      <c r="C1621" s="4" t="s">
        <v>29</v>
      </c>
      <c r="D1621" s="4" t="s">
        <v>23</v>
      </c>
      <c r="E1621" s="4" t="s">
        <v>37</v>
      </c>
      <c r="F1621" s="4" t="s">
        <v>24</v>
      </c>
      <c r="G1621" s="4" t="s">
        <v>19</v>
      </c>
      <c r="H1621" s="4" t="s">
        <v>28</v>
      </c>
      <c r="I1621" s="4">
        <v>19</v>
      </c>
      <c r="J1621" s="5">
        <v>62.8</v>
      </c>
      <c r="K1621" s="6">
        <v>1.53</v>
      </c>
      <c r="L1621" s="4">
        <v>6</v>
      </c>
      <c r="M1621" s="4">
        <v>109</v>
      </c>
      <c r="N1621" s="4">
        <v>76</v>
      </c>
      <c r="O1621" s="4" t="s">
        <v>21</v>
      </c>
      <c r="P1621" s="7" t="s">
        <v>19</v>
      </c>
    </row>
    <row r="1622" spans="2:16" x14ac:dyDescent="0.45">
      <c r="B1622" s="4">
        <v>1621</v>
      </c>
      <c r="C1622" s="4" t="s">
        <v>27</v>
      </c>
      <c r="D1622" s="4" t="s">
        <v>16</v>
      </c>
      <c r="E1622" s="4" t="s">
        <v>17</v>
      </c>
      <c r="F1622" s="4" t="s">
        <v>18</v>
      </c>
      <c r="G1622" s="4" t="s">
        <v>19</v>
      </c>
      <c r="H1622" s="4" t="s">
        <v>36</v>
      </c>
      <c r="I1622" s="4">
        <v>18</v>
      </c>
      <c r="J1622" s="5">
        <v>69.5</v>
      </c>
      <c r="K1622" s="6">
        <v>1.74</v>
      </c>
      <c r="L1622" s="4">
        <v>0</v>
      </c>
      <c r="M1622" s="4">
        <v>130</v>
      </c>
      <c r="N1622" s="4">
        <v>75</v>
      </c>
      <c r="O1622" s="4" t="s">
        <v>21</v>
      </c>
      <c r="P1622" s="7" t="s">
        <v>19</v>
      </c>
    </row>
    <row r="1623" spans="2:16" x14ac:dyDescent="0.45">
      <c r="B1623" s="4">
        <v>1622</v>
      </c>
      <c r="C1623" s="4" t="s">
        <v>29</v>
      </c>
      <c r="D1623" s="4" t="s">
        <v>16</v>
      </c>
      <c r="E1623" s="4" t="s">
        <v>17</v>
      </c>
      <c r="F1623" s="4" t="s">
        <v>18</v>
      </c>
      <c r="G1623" s="4" t="s">
        <v>30</v>
      </c>
      <c r="H1623" s="4" t="s">
        <v>28</v>
      </c>
      <c r="I1623" s="4">
        <v>22</v>
      </c>
      <c r="J1623" s="5">
        <v>47.9</v>
      </c>
      <c r="K1623" s="6">
        <v>1.81</v>
      </c>
      <c r="L1623" s="4">
        <v>2</v>
      </c>
      <c r="M1623" s="4">
        <v>115</v>
      </c>
      <c r="N1623" s="4">
        <v>70</v>
      </c>
      <c r="O1623" s="4" t="s">
        <v>26</v>
      </c>
      <c r="P1623" s="7" t="s">
        <v>19</v>
      </c>
    </row>
    <row r="1624" spans="2:16" x14ac:dyDescent="0.45">
      <c r="B1624" s="4">
        <v>1623</v>
      </c>
      <c r="C1624" s="4" t="s">
        <v>45</v>
      </c>
      <c r="D1624" s="4" t="s">
        <v>23</v>
      </c>
      <c r="E1624" s="4" t="s">
        <v>17</v>
      </c>
      <c r="F1624" s="4" t="s">
        <v>24</v>
      </c>
      <c r="G1624" s="4" t="s">
        <v>19</v>
      </c>
      <c r="H1624" s="4" t="s">
        <v>36</v>
      </c>
      <c r="I1624" s="4">
        <v>38</v>
      </c>
      <c r="J1624" s="5">
        <v>57.8</v>
      </c>
      <c r="K1624" s="6">
        <v>1.78</v>
      </c>
      <c r="L1624" s="4">
        <v>1</v>
      </c>
      <c r="M1624" s="4">
        <v>142</v>
      </c>
      <c r="N1624" s="4">
        <v>92</v>
      </c>
      <c r="O1624" s="4" t="s">
        <v>21</v>
      </c>
      <c r="P1624" s="7" t="s">
        <v>19</v>
      </c>
    </row>
    <row r="1625" spans="2:16" x14ac:dyDescent="0.45">
      <c r="B1625" s="4">
        <v>1624</v>
      </c>
      <c r="C1625" s="4" t="s">
        <v>40</v>
      </c>
      <c r="D1625" s="4" t="s">
        <v>16</v>
      </c>
      <c r="E1625" s="4" t="s">
        <v>17</v>
      </c>
      <c r="F1625" s="4" t="s">
        <v>28</v>
      </c>
      <c r="G1625" s="4" t="s">
        <v>30</v>
      </c>
      <c r="H1625" s="4" t="s">
        <v>36</v>
      </c>
      <c r="I1625" s="4">
        <v>42</v>
      </c>
      <c r="J1625" s="5">
        <v>91.6</v>
      </c>
      <c r="K1625" s="6">
        <v>1.59</v>
      </c>
      <c r="L1625" s="4">
        <v>2</v>
      </c>
      <c r="M1625" s="4">
        <v>144</v>
      </c>
      <c r="N1625" s="4">
        <v>74</v>
      </c>
      <c r="O1625" s="4" t="s">
        <v>21</v>
      </c>
      <c r="P1625" s="7" t="s">
        <v>19</v>
      </c>
    </row>
    <row r="1626" spans="2:16" x14ac:dyDescent="0.45">
      <c r="B1626" s="4">
        <v>1625</v>
      </c>
      <c r="C1626" s="4" t="s">
        <v>27</v>
      </c>
      <c r="D1626" s="4" t="s">
        <v>16</v>
      </c>
      <c r="E1626" s="4" t="s">
        <v>17</v>
      </c>
      <c r="F1626" s="4" t="s">
        <v>18</v>
      </c>
      <c r="G1626" s="4" t="s">
        <v>19</v>
      </c>
      <c r="H1626" s="4" t="s">
        <v>36</v>
      </c>
      <c r="I1626" s="4">
        <v>43</v>
      </c>
      <c r="J1626" s="5">
        <v>48.2</v>
      </c>
      <c r="K1626" s="6">
        <v>1.56</v>
      </c>
      <c r="L1626" s="4">
        <v>2</v>
      </c>
      <c r="M1626" s="4">
        <v>137</v>
      </c>
      <c r="N1626" s="4">
        <v>78</v>
      </c>
      <c r="O1626" s="4" t="s">
        <v>21</v>
      </c>
      <c r="P1626" s="7" t="s">
        <v>19</v>
      </c>
    </row>
    <row r="1627" spans="2:16" x14ac:dyDescent="0.45">
      <c r="B1627" s="4">
        <v>1626</v>
      </c>
      <c r="C1627" s="4" t="s">
        <v>29</v>
      </c>
      <c r="D1627" s="4" t="s">
        <v>23</v>
      </c>
      <c r="E1627" s="4" t="s">
        <v>17</v>
      </c>
      <c r="F1627" s="4" t="s">
        <v>18</v>
      </c>
      <c r="G1627" s="4" t="s">
        <v>19</v>
      </c>
      <c r="H1627" s="4" t="s">
        <v>28</v>
      </c>
      <c r="I1627" s="4">
        <v>42</v>
      </c>
      <c r="J1627" s="5">
        <v>60.5</v>
      </c>
      <c r="K1627" s="6">
        <v>1.58</v>
      </c>
      <c r="L1627" s="4">
        <v>5</v>
      </c>
      <c r="M1627" s="4">
        <v>125</v>
      </c>
      <c r="N1627" s="4">
        <v>98</v>
      </c>
      <c r="O1627" s="4" t="s">
        <v>26</v>
      </c>
      <c r="P1627" s="7" t="s">
        <v>30</v>
      </c>
    </row>
    <row r="1628" spans="2:16" x14ac:dyDescent="0.45">
      <c r="B1628" s="4">
        <v>1627</v>
      </c>
      <c r="C1628" s="4" t="s">
        <v>27</v>
      </c>
      <c r="D1628" s="4" t="s">
        <v>16</v>
      </c>
      <c r="E1628" s="4" t="s">
        <v>35</v>
      </c>
      <c r="F1628" s="4" t="s">
        <v>28</v>
      </c>
      <c r="G1628" s="4" t="s">
        <v>30</v>
      </c>
      <c r="H1628" s="4" t="s">
        <v>25</v>
      </c>
      <c r="I1628" s="4">
        <v>5</v>
      </c>
      <c r="J1628" s="5">
        <v>26.7</v>
      </c>
      <c r="K1628" s="6">
        <v>1.24</v>
      </c>
      <c r="L1628" s="4">
        <v>3</v>
      </c>
      <c r="M1628" s="4">
        <v>110</v>
      </c>
      <c r="N1628" s="4">
        <v>101</v>
      </c>
      <c r="O1628" s="4" t="s">
        <v>21</v>
      </c>
      <c r="P1628" s="7" t="s">
        <v>19</v>
      </c>
    </row>
    <row r="1629" spans="2:16" x14ac:dyDescent="0.45">
      <c r="B1629" s="4">
        <v>1628</v>
      </c>
      <c r="C1629" s="4" t="s">
        <v>39</v>
      </c>
      <c r="D1629" s="4" t="s">
        <v>16</v>
      </c>
      <c r="E1629" s="4" t="s">
        <v>44</v>
      </c>
      <c r="F1629" s="4" t="s">
        <v>24</v>
      </c>
      <c r="G1629" s="4" t="s">
        <v>19</v>
      </c>
      <c r="H1629" s="4" t="s">
        <v>20</v>
      </c>
      <c r="I1629" s="4">
        <v>42</v>
      </c>
      <c r="J1629" s="5">
        <v>78.900000000000006</v>
      </c>
      <c r="K1629" s="6">
        <v>1.65</v>
      </c>
      <c r="L1629" s="4">
        <v>6</v>
      </c>
      <c r="M1629" s="4">
        <v>111</v>
      </c>
      <c r="N1629" s="4">
        <v>86</v>
      </c>
      <c r="O1629" s="4" t="s">
        <v>21</v>
      </c>
      <c r="P1629" s="7" t="s">
        <v>19</v>
      </c>
    </row>
    <row r="1630" spans="2:16" x14ac:dyDescent="0.45">
      <c r="B1630" s="4">
        <v>1629</v>
      </c>
      <c r="C1630" s="4" t="s">
        <v>45</v>
      </c>
      <c r="D1630" s="4" t="s">
        <v>16</v>
      </c>
      <c r="E1630" s="4" t="s">
        <v>35</v>
      </c>
      <c r="F1630" s="4" t="s">
        <v>28</v>
      </c>
      <c r="G1630" s="4" t="s">
        <v>30</v>
      </c>
      <c r="H1630" s="4" t="s">
        <v>25</v>
      </c>
      <c r="I1630" s="4">
        <v>10</v>
      </c>
      <c r="J1630" s="5">
        <v>27.8</v>
      </c>
      <c r="K1630" s="6">
        <v>1.23</v>
      </c>
      <c r="L1630" s="4">
        <v>2</v>
      </c>
      <c r="M1630" s="4">
        <v>116</v>
      </c>
      <c r="N1630" s="4">
        <v>72</v>
      </c>
      <c r="O1630" s="4" t="s">
        <v>21</v>
      </c>
      <c r="P1630" s="7" t="s">
        <v>19</v>
      </c>
    </row>
    <row r="1631" spans="2:16" x14ac:dyDescent="0.45">
      <c r="B1631" s="4">
        <v>1630</v>
      </c>
      <c r="C1631" s="4" t="s">
        <v>29</v>
      </c>
      <c r="D1631" s="4" t="s">
        <v>16</v>
      </c>
      <c r="E1631" s="4" t="s">
        <v>37</v>
      </c>
      <c r="F1631" s="4" t="s">
        <v>28</v>
      </c>
      <c r="G1631" s="4" t="s">
        <v>19</v>
      </c>
      <c r="H1631" s="4" t="s">
        <v>46</v>
      </c>
      <c r="I1631" s="4">
        <v>24</v>
      </c>
      <c r="J1631" s="5">
        <v>79.5</v>
      </c>
      <c r="K1631" s="6">
        <v>1.79</v>
      </c>
      <c r="L1631" s="4">
        <v>2</v>
      </c>
      <c r="M1631" s="4">
        <v>109</v>
      </c>
      <c r="N1631" s="4">
        <v>77</v>
      </c>
      <c r="O1631" s="4" t="s">
        <v>21</v>
      </c>
      <c r="P1631" s="7" t="s">
        <v>19</v>
      </c>
    </row>
    <row r="1632" spans="2:16" x14ac:dyDescent="0.45">
      <c r="B1632" s="4">
        <v>1631</v>
      </c>
      <c r="C1632" s="4" t="s">
        <v>39</v>
      </c>
      <c r="D1632" s="4" t="s">
        <v>16</v>
      </c>
      <c r="E1632" s="4" t="s">
        <v>17</v>
      </c>
      <c r="F1632" s="4" t="s">
        <v>18</v>
      </c>
      <c r="G1632" s="4" t="s">
        <v>30</v>
      </c>
      <c r="H1632" s="4" t="s">
        <v>32</v>
      </c>
      <c r="I1632" s="4">
        <v>7</v>
      </c>
      <c r="J1632" s="5">
        <v>36.6</v>
      </c>
      <c r="K1632" s="6">
        <v>1.33</v>
      </c>
      <c r="L1632" s="4">
        <v>9</v>
      </c>
      <c r="M1632" s="4">
        <v>104</v>
      </c>
      <c r="N1632" s="4">
        <v>163</v>
      </c>
      <c r="O1632" s="4" t="s">
        <v>21</v>
      </c>
      <c r="P1632" s="7" t="s">
        <v>19</v>
      </c>
    </row>
    <row r="1633" spans="2:16" x14ac:dyDescent="0.45">
      <c r="B1633" s="4">
        <v>1632</v>
      </c>
      <c r="C1633" s="4" t="s">
        <v>31</v>
      </c>
      <c r="D1633" s="4" t="s">
        <v>16</v>
      </c>
      <c r="E1633" s="4" t="s">
        <v>17</v>
      </c>
      <c r="F1633" s="4" t="s">
        <v>18</v>
      </c>
      <c r="G1633" s="4" t="s">
        <v>19</v>
      </c>
      <c r="H1633" s="4" t="s">
        <v>28</v>
      </c>
      <c r="I1633" s="4">
        <v>19</v>
      </c>
      <c r="J1633" s="5">
        <v>74.400000000000006</v>
      </c>
      <c r="K1633" s="6">
        <v>1.59</v>
      </c>
      <c r="L1633" s="4">
        <v>0</v>
      </c>
      <c r="M1633" s="4">
        <v>106</v>
      </c>
      <c r="N1633" s="4">
        <v>103</v>
      </c>
      <c r="O1633" s="4" t="s">
        <v>26</v>
      </c>
      <c r="P1633" s="7" t="s">
        <v>19</v>
      </c>
    </row>
    <row r="1634" spans="2:16" x14ac:dyDescent="0.45">
      <c r="B1634" s="4">
        <v>1633</v>
      </c>
      <c r="C1634" s="4" t="s">
        <v>45</v>
      </c>
      <c r="D1634" s="4" t="s">
        <v>23</v>
      </c>
      <c r="E1634" s="4" t="s">
        <v>35</v>
      </c>
      <c r="F1634" s="4" t="s">
        <v>18</v>
      </c>
      <c r="G1634" s="4" t="s">
        <v>30</v>
      </c>
      <c r="H1634" s="4" t="s">
        <v>38</v>
      </c>
      <c r="I1634" s="4">
        <v>28</v>
      </c>
      <c r="J1634" s="5">
        <v>75.599999999999994</v>
      </c>
      <c r="K1634" s="6">
        <v>1.66</v>
      </c>
      <c r="L1634" s="4">
        <v>1</v>
      </c>
      <c r="M1634" s="4">
        <v>117</v>
      </c>
      <c r="N1634" s="4">
        <v>93</v>
      </c>
      <c r="O1634" s="4" t="s">
        <v>26</v>
      </c>
      <c r="P1634" s="7" t="s">
        <v>30</v>
      </c>
    </row>
    <row r="1635" spans="2:16" x14ac:dyDescent="0.45">
      <c r="B1635" s="4">
        <v>1634</v>
      </c>
      <c r="C1635" s="4" t="s">
        <v>27</v>
      </c>
      <c r="D1635" s="4" t="s">
        <v>23</v>
      </c>
      <c r="E1635" s="4" t="s">
        <v>17</v>
      </c>
      <c r="F1635" s="4" t="s">
        <v>24</v>
      </c>
      <c r="G1635" s="4" t="s">
        <v>19</v>
      </c>
      <c r="H1635" s="4" t="s">
        <v>38</v>
      </c>
      <c r="I1635" s="4">
        <v>70</v>
      </c>
      <c r="J1635" s="5">
        <v>79.900000000000006</v>
      </c>
      <c r="K1635" s="6">
        <v>1.74</v>
      </c>
      <c r="L1635" s="4">
        <v>4</v>
      </c>
      <c r="M1635" s="4">
        <v>121</v>
      </c>
      <c r="N1635" s="4">
        <v>90</v>
      </c>
      <c r="O1635" s="4" t="s">
        <v>26</v>
      </c>
      <c r="P1635" s="7" t="s">
        <v>19</v>
      </c>
    </row>
    <row r="1636" spans="2:16" x14ac:dyDescent="0.45">
      <c r="B1636" s="4">
        <v>1635</v>
      </c>
      <c r="C1636" s="4" t="s">
        <v>33</v>
      </c>
      <c r="D1636" s="4" t="s">
        <v>23</v>
      </c>
      <c r="E1636" s="4" t="s">
        <v>35</v>
      </c>
      <c r="F1636" s="4" t="s">
        <v>28</v>
      </c>
      <c r="G1636" s="4" t="s">
        <v>19</v>
      </c>
      <c r="H1636" s="4" t="s">
        <v>28</v>
      </c>
      <c r="I1636" s="4">
        <v>76</v>
      </c>
      <c r="J1636" s="5">
        <v>67</v>
      </c>
      <c r="K1636" s="6">
        <v>1.54</v>
      </c>
      <c r="L1636" s="4">
        <v>2</v>
      </c>
      <c r="M1636" s="4">
        <v>113</v>
      </c>
      <c r="N1636" s="4">
        <v>82</v>
      </c>
      <c r="O1636" s="4" t="s">
        <v>26</v>
      </c>
      <c r="P1636" s="7" t="s">
        <v>19</v>
      </c>
    </row>
    <row r="1637" spans="2:16" x14ac:dyDescent="0.45">
      <c r="B1637" s="4">
        <v>1636</v>
      </c>
      <c r="C1637" s="4" t="s">
        <v>27</v>
      </c>
      <c r="D1637" s="4" t="s">
        <v>23</v>
      </c>
      <c r="E1637" s="4" t="s">
        <v>17</v>
      </c>
      <c r="F1637" s="4" t="s">
        <v>24</v>
      </c>
      <c r="G1637" s="4" t="s">
        <v>30</v>
      </c>
      <c r="H1637" s="4" t="s">
        <v>32</v>
      </c>
      <c r="I1637" s="4">
        <v>68</v>
      </c>
      <c r="J1637" s="5">
        <v>48.3</v>
      </c>
      <c r="K1637" s="6">
        <v>1.83</v>
      </c>
      <c r="L1637" s="4">
        <v>1</v>
      </c>
      <c r="M1637" s="4">
        <v>132</v>
      </c>
      <c r="N1637" s="4">
        <v>140</v>
      </c>
      <c r="O1637" s="4" t="s">
        <v>21</v>
      </c>
      <c r="P1637" s="7" t="s">
        <v>30</v>
      </c>
    </row>
    <row r="1638" spans="2:16" x14ac:dyDescent="0.45">
      <c r="B1638" s="4">
        <v>1637</v>
      </c>
      <c r="C1638" s="4" t="s">
        <v>27</v>
      </c>
      <c r="D1638" s="4" t="s">
        <v>16</v>
      </c>
      <c r="E1638" s="4" t="s">
        <v>17</v>
      </c>
      <c r="F1638" s="4" t="s">
        <v>24</v>
      </c>
      <c r="G1638" s="4" t="s">
        <v>19</v>
      </c>
      <c r="H1638" s="4" t="s">
        <v>34</v>
      </c>
      <c r="I1638" s="4">
        <v>40</v>
      </c>
      <c r="J1638" s="5">
        <v>51.4</v>
      </c>
      <c r="K1638" s="6">
        <v>1.87</v>
      </c>
      <c r="L1638" s="4">
        <v>5</v>
      </c>
      <c r="M1638" s="4">
        <v>107</v>
      </c>
      <c r="N1638" s="4">
        <v>98</v>
      </c>
      <c r="O1638" s="4" t="s">
        <v>26</v>
      </c>
      <c r="P1638" s="7" t="s">
        <v>19</v>
      </c>
    </row>
    <row r="1639" spans="2:16" x14ac:dyDescent="0.45">
      <c r="B1639" s="4">
        <v>1638</v>
      </c>
      <c r="C1639" s="4" t="s">
        <v>45</v>
      </c>
      <c r="D1639" s="4" t="s">
        <v>16</v>
      </c>
      <c r="E1639" s="4" t="s">
        <v>35</v>
      </c>
      <c r="F1639" s="4" t="s">
        <v>28</v>
      </c>
      <c r="G1639" s="4" t="s">
        <v>19</v>
      </c>
      <c r="H1639" s="4" t="s">
        <v>36</v>
      </c>
      <c r="I1639" s="4">
        <v>10</v>
      </c>
      <c r="J1639" s="5">
        <v>35.5</v>
      </c>
      <c r="K1639" s="6">
        <v>1.21</v>
      </c>
      <c r="L1639" s="4">
        <v>0</v>
      </c>
      <c r="M1639" s="4">
        <v>127</v>
      </c>
      <c r="N1639" s="4">
        <v>88</v>
      </c>
      <c r="O1639" s="4" t="s">
        <v>26</v>
      </c>
      <c r="P1639" s="7" t="s">
        <v>19</v>
      </c>
    </row>
    <row r="1640" spans="2:16" x14ac:dyDescent="0.45">
      <c r="B1640" s="4">
        <v>1639</v>
      </c>
      <c r="C1640" s="4" t="s">
        <v>27</v>
      </c>
      <c r="D1640" s="4" t="s">
        <v>23</v>
      </c>
      <c r="E1640" s="4" t="s">
        <v>44</v>
      </c>
      <c r="F1640" s="4" t="s">
        <v>24</v>
      </c>
      <c r="G1640" s="4" t="s">
        <v>30</v>
      </c>
      <c r="H1640" s="4" t="s">
        <v>20</v>
      </c>
      <c r="I1640" s="4">
        <v>86</v>
      </c>
      <c r="J1640" s="5">
        <v>86.7</v>
      </c>
      <c r="K1640" s="6">
        <v>1.8</v>
      </c>
      <c r="L1640" s="4">
        <v>10</v>
      </c>
      <c r="M1640" s="4">
        <v>134</v>
      </c>
      <c r="N1640" s="4">
        <v>87</v>
      </c>
      <c r="O1640" s="4" t="s">
        <v>21</v>
      </c>
      <c r="P1640" s="7" t="s">
        <v>30</v>
      </c>
    </row>
    <row r="1641" spans="2:16" x14ac:dyDescent="0.45">
      <c r="B1641" s="4">
        <v>1640</v>
      </c>
      <c r="C1641" s="4" t="s">
        <v>40</v>
      </c>
      <c r="D1641" s="4" t="s">
        <v>23</v>
      </c>
      <c r="E1641" s="4" t="s">
        <v>37</v>
      </c>
      <c r="F1641" s="4" t="s">
        <v>24</v>
      </c>
      <c r="G1641" s="4" t="s">
        <v>19</v>
      </c>
      <c r="H1641" s="4" t="s">
        <v>25</v>
      </c>
      <c r="I1641" s="4">
        <v>31</v>
      </c>
      <c r="J1641" s="5">
        <v>92.5</v>
      </c>
      <c r="K1641" s="6">
        <v>1.9</v>
      </c>
      <c r="L1641" s="4">
        <v>9</v>
      </c>
      <c r="M1641" s="4">
        <v>127</v>
      </c>
      <c r="N1641" s="4">
        <v>101</v>
      </c>
      <c r="O1641" s="4" t="s">
        <v>26</v>
      </c>
      <c r="P1641" s="7" t="s">
        <v>30</v>
      </c>
    </row>
    <row r="1642" spans="2:16" x14ac:dyDescent="0.45">
      <c r="B1642" s="4">
        <v>1641</v>
      </c>
      <c r="C1642" s="4" t="s">
        <v>33</v>
      </c>
      <c r="D1642" s="4" t="s">
        <v>16</v>
      </c>
      <c r="E1642" s="4" t="s">
        <v>35</v>
      </c>
      <c r="F1642" s="4" t="s">
        <v>42</v>
      </c>
      <c r="G1642" s="4" t="s">
        <v>30</v>
      </c>
      <c r="H1642" s="4" t="s">
        <v>38</v>
      </c>
      <c r="I1642" s="4">
        <v>54</v>
      </c>
      <c r="J1642" s="5">
        <v>75.599999999999994</v>
      </c>
      <c r="K1642" s="6">
        <v>1.7</v>
      </c>
      <c r="L1642" s="4">
        <v>2</v>
      </c>
      <c r="M1642" s="4">
        <v>115</v>
      </c>
      <c r="N1642" s="4">
        <v>76</v>
      </c>
      <c r="O1642" s="4" t="s">
        <v>26</v>
      </c>
      <c r="P1642" s="7" t="s">
        <v>19</v>
      </c>
    </row>
    <row r="1643" spans="2:16" x14ac:dyDescent="0.45">
      <c r="B1643" s="4">
        <v>1642</v>
      </c>
      <c r="C1643" s="4" t="s">
        <v>29</v>
      </c>
      <c r="D1643" s="4" t="s">
        <v>23</v>
      </c>
      <c r="E1643" s="4" t="s">
        <v>37</v>
      </c>
      <c r="F1643" s="4" t="s">
        <v>18</v>
      </c>
      <c r="G1643" s="4" t="s">
        <v>30</v>
      </c>
      <c r="H1643" s="4" t="s">
        <v>38</v>
      </c>
      <c r="I1643" s="4">
        <v>29</v>
      </c>
      <c r="J1643" s="5">
        <v>72.8</v>
      </c>
      <c r="K1643" s="6">
        <v>1.8</v>
      </c>
      <c r="L1643" s="4">
        <v>5</v>
      </c>
      <c r="M1643" s="4">
        <v>106</v>
      </c>
      <c r="N1643" s="4">
        <v>83</v>
      </c>
      <c r="O1643" s="4" t="s">
        <v>26</v>
      </c>
      <c r="P1643" s="7" t="s">
        <v>19</v>
      </c>
    </row>
    <row r="1644" spans="2:16" x14ac:dyDescent="0.45">
      <c r="B1644" s="4">
        <v>1643</v>
      </c>
      <c r="C1644" s="4" t="s">
        <v>27</v>
      </c>
      <c r="D1644" s="4" t="s">
        <v>23</v>
      </c>
      <c r="E1644" s="4" t="s">
        <v>35</v>
      </c>
      <c r="F1644" s="4" t="s">
        <v>24</v>
      </c>
      <c r="G1644" s="4" t="s">
        <v>19</v>
      </c>
      <c r="H1644" s="4" t="s">
        <v>20</v>
      </c>
      <c r="I1644" s="4">
        <v>15</v>
      </c>
      <c r="J1644" s="5">
        <v>58.1</v>
      </c>
      <c r="K1644" s="6">
        <v>1.5</v>
      </c>
      <c r="L1644" s="4">
        <v>1</v>
      </c>
      <c r="M1644" s="4">
        <v>111</v>
      </c>
      <c r="N1644" s="4">
        <v>89</v>
      </c>
      <c r="O1644" s="4" t="s">
        <v>21</v>
      </c>
      <c r="P1644" s="7" t="s">
        <v>19</v>
      </c>
    </row>
    <row r="1645" spans="2:16" x14ac:dyDescent="0.45">
      <c r="B1645" s="4">
        <v>1644</v>
      </c>
      <c r="C1645" s="4" t="s">
        <v>40</v>
      </c>
      <c r="D1645" s="4" t="s">
        <v>16</v>
      </c>
      <c r="E1645" s="4" t="s">
        <v>37</v>
      </c>
      <c r="F1645" s="4" t="s">
        <v>28</v>
      </c>
      <c r="G1645" s="4" t="s">
        <v>19</v>
      </c>
      <c r="H1645" s="4" t="s">
        <v>38</v>
      </c>
      <c r="I1645" s="4">
        <v>55</v>
      </c>
      <c r="J1645" s="5">
        <v>53.6</v>
      </c>
      <c r="K1645" s="6">
        <v>1.77</v>
      </c>
      <c r="L1645" s="4">
        <v>5</v>
      </c>
      <c r="M1645" s="4">
        <v>124</v>
      </c>
      <c r="N1645" s="4">
        <v>77</v>
      </c>
      <c r="O1645" s="4" t="s">
        <v>26</v>
      </c>
      <c r="P1645" s="7" t="s">
        <v>19</v>
      </c>
    </row>
    <row r="1646" spans="2:16" x14ac:dyDescent="0.45">
      <c r="B1646" s="4">
        <v>1645</v>
      </c>
      <c r="C1646" s="4" t="s">
        <v>15</v>
      </c>
      <c r="D1646" s="4" t="s">
        <v>23</v>
      </c>
      <c r="E1646" s="4" t="s">
        <v>17</v>
      </c>
      <c r="F1646" s="4" t="s">
        <v>24</v>
      </c>
      <c r="G1646" s="4" t="s">
        <v>19</v>
      </c>
      <c r="H1646" s="4" t="s">
        <v>38</v>
      </c>
      <c r="I1646" s="4">
        <v>20</v>
      </c>
      <c r="J1646" s="5">
        <v>78.599999999999994</v>
      </c>
      <c r="K1646" s="6">
        <v>1.77</v>
      </c>
      <c r="L1646" s="4">
        <v>1</v>
      </c>
      <c r="M1646" s="4">
        <v>125</v>
      </c>
      <c r="N1646" s="4">
        <v>80</v>
      </c>
      <c r="O1646" s="4" t="s">
        <v>26</v>
      </c>
      <c r="P1646" s="7" t="s">
        <v>30</v>
      </c>
    </row>
    <row r="1647" spans="2:16" x14ac:dyDescent="0.45">
      <c r="B1647" s="4">
        <v>1646</v>
      </c>
      <c r="C1647" s="4" t="s">
        <v>27</v>
      </c>
      <c r="D1647" s="4" t="s">
        <v>23</v>
      </c>
      <c r="E1647" s="4" t="s">
        <v>17</v>
      </c>
      <c r="F1647" s="4" t="s">
        <v>28</v>
      </c>
      <c r="G1647" s="4" t="s">
        <v>19</v>
      </c>
      <c r="H1647" s="4" t="s">
        <v>20</v>
      </c>
      <c r="I1647" s="4">
        <v>5</v>
      </c>
      <c r="J1647" s="5">
        <v>20.3</v>
      </c>
      <c r="K1647" s="6">
        <v>1.1299999999999999</v>
      </c>
      <c r="L1647" s="4">
        <v>1</v>
      </c>
      <c r="M1647" s="4">
        <v>106</v>
      </c>
      <c r="N1647" s="4">
        <v>83</v>
      </c>
      <c r="O1647" s="4" t="s">
        <v>26</v>
      </c>
      <c r="P1647" s="7" t="s">
        <v>19</v>
      </c>
    </row>
    <row r="1648" spans="2:16" x14ac:dyDescent="0.45">
      <c r="B1648" s="4">
        <v>1647</v>
      </c>
      <c r="C1648" s="4" t="s">
        <v>41</v>
      </c>
      <c r="D1648" s="4" t="s">
        <v>23</v>
      </c>
      <c r="E1648" s="4" t="s">
        <v>37</v>
      </c>
      <c r="F1648" s="4" t="s">
        <v>18</v>
      </c>
      <c r="G1648" s="4" t="s">
        <v>30</v>
      </c>
      <c r="H1648" s="4" t="s">
        <v>36</v>
      </c>
      <c r="I1648" s="4">
        <v>24</v>
      </c>
      <c r="J1648" s="5">
        <v>67.400000000000006</v>
      </c>
      <c r="K1648" s="6">
        <v>1.76</v>
      </c>
      <c r="L1648" s="4">
        <v>2</v>
      </c>
      <c r="M1648" s="4">
        <v>124</v>
      </c>
      <c r="N1648" s="4">
        <v>95</v>
      </c>
      <c r="O1648" s="4" t="s">
        <v>26</v>
      </c>
      <c r="P1648" s="7" t="s">
        <v>19</v>
      </c>
    </row>
    <row r="1649" spans="2:16" x14ac:dyDescent="0.45">
      <c r="B1649" s="4">
        <v>1648</v>
      </c>
      <c r="C1649" s="4" t="s">
        <v>27</v>
      </c>
      <c r="D1649" s="4" t="s">
        <v>16</v>
      </c>
      <c r="E1649" s="4" t="s">
        <v>35</v>
      </c>
      <c r="F1649" s="4" t="s">
        <v>18</v>
      </c>
      <c r="G1649" s="4" t="s">
        <v>19</v>
      </c>
      <c r="H1649" s="4" t="s">
        <v>25</v>
      </c>
      <c r="I1649" s="4">
        <v>20</v>
      </c>
      <c r="J1649" s="5">
        <v>66.099999999999994</v>
      </c>
      <c r="K1649" s="6">
        <v>1.9</v>
      </c>
      <c r="L1649" s="4">
        <v>3</v>
      </c>
      <c r="M1649" s="4">
        <v>116</v>
      </c>
      <c r="N1649" s="4">
        <v>98</v>
      </c>
      <c r="O1649" s="4" t="s">
        <v>26</v>
      </c>
      <c r="P1649" s="7" t="s">
        <v>19</v>
      </c>
    </row>
    <row r="1650" spans="2:16" x14ac:dyDescent="0.45">
      <c r="B1650" s="4">
        <v>1649</v>
      </c>
      <c r="C1650" s="4" t="s">
        <v>29</v>
      </c>
      <c r="D1650" s="4" t="s">
        <v>23</v>
      </c>
      <c r="E1650" s="4" t="s">
        <v>17</v>
      </c>
      <c r="F1650" s="4" t="s">
        <v>24</v>
      </c>
      <c r="G1650" s="4" t="s">
        <v>19</v>
      </c>
      <c r="H1650" s="4" t="s">
        <v>20</v>
      </c>
      <c r="I1650" s="4">
        <v>14</v>
      </c>
      <c r="J1650" s="5">
        <v>61.2</v>
      </c>
      <c r="K1650" s="6">
        <v>1.47</v>
      </c>
      <c r="L1650" s="4">
        <v>0</v>
      </c>
      <c r="M1650" s="4">
        <v>95</v>
      </c>
      <c r="N1650" s="4">
        <v>92</v>
      </c>
      <c r="O1650" s="4" t="s">
        <v>21</v>
      </c>
      <c r="P1650" s="7" t="s">
        <v>19</v>
      </c>
    </row>
    <row r="1651" spans="2:16" x14ac:dyDescent="0.45">
      <c r="B1651" s="4">
        <v>1650</v>
      </c>
      <c r="C1651" s="4" t="s">
        <v>22</v>
      </c>
      <c r="D1651" s="4" t="s">
        <v>16</v>
      </c>
      <c r="E1651" s="4" t="s">
        <v>17</v>
      </c>
      <c r="F1651" s="4" t="s">
        <v>24</v>
      </c>
      <c r="G1651" s="4" t="s">
        <v>19</v>
      </c>
      <c r="H1651" s="4" t="s">
        <v>25</v>
      </c>
      <c r="I1651" s="4">
        <v>15</v>
      </c>
      <c r="J1651" s="5">
        <v>61.7</v>
      </c>
      <c r="K1651" s="6">
        <v>1.52</v>
      </c>
      <c r="L1651" s="4">
        <v>4</v>
      </c>
      <c r="M1651" s="4">
        <v>100</v>
      </c>
      <c r="N1651" s="4">
        <v>94</v>
      </c>
      <c r="O1651" s="4" t="s">
        <v>21</v>
      </c>
      <c r="P1651" s="7" t="s">
        <v>19</v>
      </c>
    </row>
    <row r="1652" spans="2:16" x14ac:dyDescent="0.45">
      <c r="B1652" s="4">
        <v>1651</v>
      </c>
      <c r="C1652" s="4" t="s">
        <v>43</v>
      </c>
      <c r="D1652" s="4" t="s">
        <v>23</v>
      </c>
      <c r="E1652" s="4" t="s">
        <v>35</v>
      </c>
      <c r="F1652" s="4" t="s">
        <v>18</v>
      </c>
      <c r="G1652" s="4" t="s">
        <v>19</v>
      </c>
      <c r="H1652" s="4" t="s">
        <v>34</v>
      </c>
      <c r="I1652" s="4">
        <v>85</v>
      </c>
      <c r="J1652" s="5">
        <v>50.1</v>
      </c>
      <c r="K1652" s="6">
        <v>1.79</v>
      </c>
      <c r="L1652" s="4">
        <v>1</v>
      </c>
      <c r="M1652" s="4">
        <v>136</v>
      </c>
      <c r="N1652" s="4">
        <v>71</v>
      </c>
      <c r="O1652" s="4" t="s">
        <v>26</v>
      </c>
      <c r="P1652" s="7" t="s">
        <v>19</v>
      </c>
    </row>
    <row r="1653" spans="2:16" x14ac:dyDescent="0.45">
      <c r="B1653" s="4">
        <v>1652</v>
      </c>
      <c r="C1653" s="4" t="s">
        <v>33</v>
      </c>
      <c r="D1653" s="4" t="s">
        <v>16</v>
      </c>
      <c r="E1653" s="4" t="s">
        <v>35</v>
      </c>
      <c r="F1653" s="4" t="s">
        <v>24</v>
      </c>
      <c r="G1653" s="4" t="s">
        <v>19</v>
      </c>
      <c r="H1653" s="4" t="s">
        <v>25</v>
      </c>
      <c r="I1653" s="4">
        <v>90</v>
      </c>
      <c r="J1653" s="5">
        <v>93.6</v>
      </c>
      <c r="K1653" s="6">
        <v>1.49</v>
      </c>
      <c r="L1653" s="4">
        <v>0</v>
      </c>
      <c r="M1653" s="4">
        <v>121</v>
      </c>
      <c r="N1653" s="4">
        <v>71</v>
      </c>
      <c r="O1653" s="4" t="s">
        <v>26</v>
      </c>
      <c r="P1653" s="7" t="s">
        <v>19</v>
      </c>
    </row>
    <row r="1654" spans="2:16" x14ac:dyDescent="0.45">
      <c r="B1654" s="4">
        <v>1653</v>
      </c>
      <c r="C1654" s="4" t="s">
        <v>39</v>
      </c>
      <c r="D1654" s="4" t="s">
        <v>23</v>
      </c>
      <c r="E1654" s="4" t="s">
        <v>17</v>
      </c>
      <c r="F1654" s="4" t="s">
        <v>28</v>
      </c>
      <c r="G1654" s="4" t="s">
        <v>19</v>
      </c>
      <c r="H1654" s="4" t="s">
        <v>20</v>
      </c>
      <c r="I1654" s="4">
        <v>14</v>
      </c>
      <c r="J1654" s="5">
        <v>58.8</v>
      </c>
      <c r="K1654" s="6">
        <v>1.66</v>
      </c>
      <c r="L1654" s="4">
        <v>0</v>
      </c>
      <c r="M1654" s="4">
        <v>110</v>
      </c>
      <c r="N1654" s="4">
        <v>81</v>
      </c>
      <c r="O1654" s="4" t="s">
        <v>26</v>
      </c>
      <c r="P1654" s="7" t="s">
        <v>30</v>
      </c>
    </row>
    <row r="1655" spans="2:16" x14ac:dyDescent="0.45">
      <c r="B1655" s="4">
        <v>1654</v>
      </c>
      <c r="C1655" s="4" t="s">
        <v>33</v>
      </c>
      <c r="D1655" s="4" t="s">
        <v>16</v>
      </c>
      <c r="E1655" s="4" t="s">
        <v>35</v>
      </c>
      <c r="F1655" s="4" t="s">
        <v>24</v>
      </c>
      <c r="G1655" s="4" t="s">
        <v>30</v>
      </c>
      <c r="H1655" s="4" t="s">
        <v>20</v>
      </c>
      <c r="I1655" s="4">
        <v>2</v>
      </c>
      <c r="J1655" s="5">
        <v>12.5</v>
      </c>
      <c r="K1655" s="6">
        <v>0.92</v>
      </c>
      <c r="L1655" s="4">
        <v>2</v>
      </c>
      <c r="M1655" s="4">
        <v>106</v>
      </c>
      <c r="N1655" s="4">
        <v>94</v>
      </c>
      <c r="O1655" s="4" t="s">
        <v>21</v>
      </c>
      <c r="P1655" s="7" t="s">
        <v>19</v>
      </c>
    </row>
    <row r="1656" spans="2:16" x14ac:dyDescent="0.45">
      <c r="B1656" s="4">
        <v>1655</v>
      </c>
      <c r="C1656" s="4" t="s">
        <v>41</v>
      </c>
      <c r="D1656" s="4" t="s">
        <v>16</v>
      </c>
      <c r="E1656" s="4" t="s">
        <v>35</v>
      </c>
      <c r="F1656" s="4" t="s">
        <v>24</v>
      </c>
      <c r="G1656" s="4" t="s">
        <v>19</v>
      </c>
      <c r="H1656" s="4" t="s">
        <v>20</v>
      </c>
      <c r="I1656" s="4">
        <v>58</v>
      </c>
      <c r="J1656" s="5">
        <v>83.5</v>
      </c>
      <c r="K1656" s="6">
        <v>1.69</v>
      </c>
      <c r="L1656" s="4">
        <v>1</v>
      </c>
      <c r="M1656" s="4">
        <v>114</v>
      </c>
      <c r="N1656" s="4">
        <v>77</v>
      </c>
      <c r="O1656" s="4" t="s">
        <v>26</v>
      </c>
      <c r="P1656" s="7" t="s">
        <v>19</v>
      </c>
    </row>
    <row r="1657" spans="2:16" x14ac:dyDescent="0.45">
      <c r="B1657" s="4">
        <v>1656</v>
      </c>
      <c r="C1657" s="4" t="s">
        <v>43</v>
      </c>
      <c r="D1657" s="4" t="s">
        <v>16</v>
      </c>
      <c r="E1657" s="4" t="s">
        <v>35</v>
      </c>
      <c r="F1657" s="4" t="s">
        <v>24</v>
      </c>
      <c r="G1657" s="4" t="s">
        <v>19</v>
      </c>
      <c r="H1657" s="4" t="s">
        <v>28</v>
      </c>
      <c r="I1657" s="4">
        <v>15</v>
      </c>
      <c r="J1657" s="5">
        <v>60.1</v>
      </c>
      <c r="K1657" s="6">
        <v>1.63</v>
      </c>
      <c r="L1657" s="4">
        <v>4</v>
      </c>
      <c r="M1657" s="4">
        <v>107</v>
      </c>
      <c r="N1657" s="4">
        <v>97</v>
      </c>
      <c r="O1657" s="4" t="s">
        <v>26</v>
      </c>
      <c r="P1657" s="7" t="s">
        <v>19</v>
      </c>
    </row>
    <row r="1658" spans="2:16" x14ac:dyDescent="0.45">
      <c r="B1658" s="4">
        <v>1657</v>
      </c>
      <c r="C1658" s="4" t="s">
        <v>27</v>
      </c>
      <c r="D1658" s="4" t="s">
        <v>16</v>
      </c>
      <c r="E1658" s="4" t="s">
        <v>17</v>
      </c>
      <c r="F1658" s="4" t="s">
        <v>42</v>
      </c>
      <c r="G1658" s="4" t="s">
        <v>19</v>
      </c>
      <c r="H1658" s="4" t="s">
        <v>34</v>
      </c>
      <c r="I1658" s="4">
        <v>52</v>
      </c>
      <c r="J1658" s="5">
        <v>62.5</v>
      </c>
      <c r="K1658" s="6">
        <v>1.56</v>
      </c>
      <c r="L1658" s="4">
        <v>3</v>
      </c>
      <c r="M1658" s="4">
        <v>125</v>
      </c>
      <c r="N1658" s="4">
        <v>90</v>
      </c>
      <c r="O1658" s="4" t="s">
        <v>26</v>
      </c>
      <c r="P1658" s="7" t="s">
        <v>19</v>
      </c>
    </row>
    <row r="1659" spans="2:16" x14ac:dyDescent="0.45">
      <c r="B1659" s="4">
        <v>1658</v>
      </c>
      <c r="C1659" s="4" t="s">
        <v>22</v>
      </c>
      <c r="D1659" s="4" t="s">
        <v>16</v>
      </c>
      <c r="E1659" s="4" t="s">
        <v>17</v>
      </c>
      <c r="F1659" s="4" t="s">
        <v>24</v>
      </c>
      <c r="G1659" s="4" t="s">
        <v>19</v>
      </c>
      <c r="H1659" s="4" t="s">
        <v>28</v>
      </c>
      <c r="I1659" s="4">
        <v>29</v>
      </c>
      <c r="J1659" s="5">
        <v>50.1</v>
      </c>
      <c r="K1659" s="6">
        <v>1.89</v>
      </c>
      <c r="L1659" s="4">
        <v>2</v>
      </c>
      <c r="M1659" s="4">
        <v>112</v>
      </c>
      <c r="N1659" s="4">
        <v>71</v>
      </c>
      <c r="O1659" s="4" t="s">
        <v>26</v>
      </c>
      <c r="P1659" s="7" t="s">
        <v>19</v>
      </c>
    </row>
    <row r="1660" spans="2:16" x14ac:dyDescent="0.45">
      <c r="B1660" s="4">
        <v>1659</v>
      </c>
      <c r="C1660" s="4" t="s">
        <v>41</v>
      </c>
      <c r="D1660" s="4" t="s">
        <v>16</v>
      </c>
      <c r="E1660" s="4" t="s">
        <v>35</v>
      </c>
      <c r="F1660" s="4" t="s">
        <v>24</v>
      </c>
      <c r="G1660" s="4" t="s">
        <v>19</v>
      </c>
      <c r="H1660" s="4" t="s">
        <v>34</v>
      </c>
      <c r="I1660" s="4">
        <v>3</v>
      </c>
      <c r="J1660" s="5">
        <v>10.3</v>
      </c>
      <c r="K1660" s="6">
        <v>0.89</v>
      </c>
      <c r="L1660" s="4">
        <v>2</v>
      </c>
      <c r="M1660" s="4">
        <v>92</v>
      </c>
      <c r="N1660" s="4">
        <v>72</v>
      </c>
      <c r="O1660" s="4" t="s">
        <v>21</v>
      </c>
      <c r="P1660" s="7" t="s">
        <v>19</v>
      </c>
    </row>
    <row r="1661" spans="2:16" x14ac:dyDescent="0.45">
      <c r="B1661" s="4">
        <v>1660</v>
      </c>
      <c r="C1661" s="4" t="s">
        <v>33</v>
      </c>
      <c r="D1661" s="4" t="s">
        <v>16</v>
      </c>
      <c r="E1661" s="4" t="s">
        <v>35</v>
      </c>
      <c r="F1661" s="4" t="s">
        <v>24</v>
      </c>
      <c r="G1661" s="4" t="s">
        <v>30</v>
      </c>
      <c r="H1661" s="4" t="s">
        <v>20</v>
      </c>
      <c r="I1661" s="4">
        <v>30</v>
      </c>
      <c r="J1661" s="5">
        <v>58.4</v>
      </c>
      <c r="K1661" s="6">
        <v>1.49</v>
      </c>
      <c r="L1661" s="4">
        <v>4</v>
      </c>
      <c r="M1661" s="4">
        <v>127</v>
      </c>
      <c r="N1661" s="4">
        <v>96</v>
      </c>
      <c r="O1661" s="4" t="s">
        <v>21</v>
      </c>
      <c r="P1661" s="7" t="s">
        <v>30</v>
      </c>
    </row>
    <row r="1662" spans="2:16" x14ac:dyDescent="0.45">
      <c r="B1662" s="4">
        <v>1661</v>
      </c>
      <c r="C1662" s="4" t="s">
        <v>45</v>
      </c>
      <c r="D1662" s="4" t="s">
        <v>16</v>
      </c>
      <c r="E1662" s="4" t="s">
        <v>17</v>
      </c>
      <c r="F1662" s="4" t="s">
        <v>28</v>
      </c>
      <c r="G1662" s="4" t="s">
        <v>30</v>
      </c>
      <c r="H1662" s="4" t="s">
        <v>20</v>
      </c>
      <c r="I1662" s="4">
        <v>35</v>
      </c>
      <c r="J1662" s="5">
        <v>51.6</v>
      </c>
      <c r="K1662" s="6">
        <v>1.61</v>
      </c>
      <c r="L1662" s="4">
        <v>2</v>
      </c>
      <c r="M1662" s="4">
        <v>112</v>
      </c>
      <c r="N1662" s="4">
        <v>88</v>
      </c>
      <c r="O1662" s="4" t="s">
        <v>26</v>
      </c>
      <c r="P1662" s="7" t="s">
        <v>19</v>
      </c>
    </row>
    <row r="1663" spans="2:16" x14ac:dyDescent="0.45">
      <c r="B1663" s="4">
        <v>1662</v>
      </c>
      <c r="C1663" s="4" t="s">
        <v>22</v>
      </c>
      <c r="D1663" s="4" t="s">
        <v>16</v>
      </c>
      <c r="E1663" s="4" t="s">
        <v>17</v>
      </c>
      <c r="F1663" s="4" t="s">
        <v>24</v>
      </c>
      <c r="G1663" s="4" t="s">
        <v>19</v>
      </c>
      <c r="H1663" s="4" t="s">
        <v>36</v>
      </c>
      <c r="I1663" s="4">
        <v>5</v>
      </c>
      <c r="J1663" s="5">
        <v>18.3</v>
      </c>
      <c r="K1663" s="6">
        <v>1.07</v>
      </c>
      <c r="L1663" s="4">
        <v>0</v>
      </c>
      <c r="M1663" s="4">
        <v>133</v>
      </c>
      <c r="N1663" s="4">
        <v>93</v>
      </c>
      <c r="O1663" s="4" t="s">
        <v>26</v>
      </c>
      <c r="P1663" s="7" t="s">
        <v>19</v>
      </c>
    </row>
    <row r="1664" spans="2:16" x14ac:dyDescent="0.45">
      <c r="B1664" s="4">
        <v>1663</v>
      </c>
      <c r="C1664" s="4" t="s">
        <v>43</v>
      </c>
      <c r="D1664" s="4" t="s">
        <v>23</v>
      </c>
      <c r="E1664" s="4" t="s">
        <v>17</v>
      </c>
      <c r="F1664" s="4" t="s">
        <v>24</v>
      </c>
      <c r="G1664" s="4" t="s">
        <v>19</v>
      </c>
      <c r="H1664" s="4" t="s">
        <v>25</v>
      </c>
      <c r="I1664" s="4">
        <v>5</v>
      </c>
      <c r="J1664" s="5">
        <v>20</v>
      </c>
      <c r="K1664" s="6">
        <v>1.33</v>
      </c>
      <c r="L1664" s="4">
        <v>7</v>
      </c>
      <c r="M1664" s="4">
        <v>96</v>
      </c>
      <c r="N1664" s="4">
        <v>104</v>
      </c>
      <c r="O1664" s="4" t="s">
        <v>21</v>
      </c>
      <c r="P1664" s="7" t="s">
        <v>19</v>
      </c>
    </row>
    <row r="1665" spans="2:16" x14ac:dyDescent="0.45">
      <c r="B1665" s="4">
        <v>1664</v>
      </c>
      <c r="C1665" s="4" t="s">
        <v>31</v>
      </c>
      <c r="D1665" s="4" t="s">
        <v>23</v>
      </c>
      <c r="E1665" s="4" t="s">
        <v>35</v>
      </c>
      <c r="F1665" s="4" t="s">
        <v>18</v>
      </c>
      <c r="G1665" s="4" t="s">
        <v>30</v>
      </c>
      <c r="H1665" s="4" t="s">
        <v>36</v>
      </c>
      <c r="I1665" s="4">
        <v>60</v>
      </c>
      <c r="J1665" s="5">
        <v>64.5</v>
      </c>
      <c r="K1665" s="6">
        <v>1.64</v>
      </c>
      <c r="L1665" s="4">
        <v>4</v>
      </c>
      <c r="M1665" s="4">
        <v>152</v>
      </c>
      <c r="N1665" s="4">
        <v>82</v>
      </c>
      <c r="O1665" s="4" t="s">
        <v>26</v>
      </c>
      <c r="P1665" s="7" t="s">
        <v>19</v>
      </c>
    </row>
    <row r="1666" spans="2:16" x14ac:dyDescent="0.45">
      <c r="B1666" s="4">
        <v>1665</v>
      </c>
      <c r="C1666" s="4" t="s">
        <v>15</v>
      </c>
      <c r="D1666" s="4" t="s">
        <v>23</v>
      </c>
      <c r="E1666" s="4" t="s">
        <v>44</v>
      </c>
      <c r="F1666" s="4" t="s">
        <v>28</v>
      </c>
      <c r="G1666" s="4" t="s">
        <v>19</v>
      </c>
      <c r="H1666" s="4" t="s">
        <v>28</v>
      </c>
      <c r="I1666" s="4">
        <v>8</v>
      </c>
      <c r="J1666" s="5">
        <v>32.6</v>
      </c>
      <c r="K1666" s="6">
        <v>1.31</v>
      </c>
      <c r="L1666" s="4">
        <v>2</v>
      </c>
      <c r="M1666" s="4">
        <v>114</v>
      </c>
      <c r="N1666" s="4">
        <v>77</v>
      </c>
      <c r="O1666" s="4" t="s">
        <v>21</v>
      </c>
      <c r="P1666" s="7" t="s">
        <v>30</v>
      </c>
    </row>
    <row r="1667" spans="2:16" x14ac:dyDescent="0.45">
      <c r="B1667" s="4">
        <v>1666</v>
      </c>
      <c r="C1667" s="4" t="s">
        <v>45</v>
      </c>
      <c r="D1667" s="4" t="s">
        <v>23</v>
      </c>
      <c r="E1667" s="4" t="s">
        <v>17</v>
      </c>
      <c r="F1667" s="4" t="s">
        <v>18</v>
      </c>
      <c r="G1667" s="4" t="s">
        <v>30</v>
      </c>
      <c r="H1667" s="4" t="s">
        <v>20</v>
      </c>
      <c r="I1667" s="4">
        <v>4</v>
      </c>
      <c r="J1667" s="5">
        <v>11.3</v>
      </c>
      <c r="K1667" s="6">
        <v>0.72</v>
      </c>
      <c r="L1667" s="4">
        <v>5</v>
      </c>
      <c r="M1667" s="4">
        <v>109</v>
      </c>
      <c r="N1667" s="4">
        <v>78</v>
      </c>
      <c r="O1667" s="4" t="s">
        <v>21</v>
      </c>
      <c r="P1667" s="7" t="s">
        <v>19</v>
      </c>
    </row>
    <row r="1668" spans="2:16" x14ac:dyDescent="0.45">
      <c r="B1668" s="4">
        <v>1667</v>
      </c>
      <c r="C1668" s="4" t="s">
        <v>41</v>
      </c>
      <c r="D1668" s="4" t="s">
        <v>23</v>
      </c>
      <c r="E1668" s="4" t="s">
        <v>35</v>
      </c>
      <c r="F1668" s="4" t="s">
        <v>24</v>
      </c>
      <c r="G1668" s="4" t="s">
        <v>19</v>
      </c>
      <c r="H1668" s="4" t="s">
        <v>36</v>
      </c>
      <c r="I1668" s="4">
        <v>62</v>
      </c>
      <c r="J1668" s="5">
        <v>60.3</v>
      </c>
      <c r="K1668" s="6">
        <v>1.66</v>
      </c>
      <c r="L1668" s="4">
        <v>3</v>
      </c>
      <c r="M1668" s="4">
        <v>139</v>
      </c>
      <c r="N1668" s="4">
        <v>94</v>
      </c>
      <c r="O1668" s="4" t="s">
        <v>21</v>
      </c>
      <c r="P1668" s="7" t="s">
        <v>19</v>
      </c>
    </row>
    <row r="1669" spans="2:16" x14ac:dyDescent="0.45">
      <c r="B1669" s="4">
        <v>1668</v>
      </c>
      <c r="C1669" s="4" t="s">
        <v>41</v>
      </c>
      <c r="D1669" s="4" t="s">
        <v>23</v>
      </c>
      <c r="E1669" s="4" t="s">
        <v>17</v>
      </c>
      <c r="F1669" s="4" t="s">
        <v>24</v>
      </c>
      <c r="G1669" s="4" t="s">
        <v>19</v>
      </c>
      <c r="H1669" s="4" t="s">
        <v>20</v>
      </c>
      <c r="I1669" s="4">
        <v>8</v>
      </c>
      <c r="J1669" s="5">
        <v>20.3</v>
      </c>
      <c r="K1669" s="6">
        <v>1.28</v>
      </c>
      <c r="L1669" s="4">
        <v>3</v>
      </c>
      <c r="M1669" s="4">
        <v>103</v>
      </c>
      <c r="N1669" s="4">
        <v>95</v>
      </c>
      <c r="O1669" s="4" t="s">
        <v>26</v>
      </c>
      <c r="P1669" s="7" t="s">
        <v>19</v>
      </c>
    </row>
    <row r="1670" spans="2:16" x14ac:dyDescent="0.45">
      <c r="B1670" s="4">
        <v>1669</v>
      </c>
      <c r="C1670" s="4" t="s">
        <v>27</v>
      </c>
      <c r="D1670" s="4" t="s">
        <v>16</v>
      </c>
      <c r="E1670" s="4" t="s">
        <v>17</v>
      </c>
      <c r="F1670" s="4" t="s">
        <v>18</v>
      </c>
      <c r="G1670" s="4" t="s">
        <v>19</v>
      </c>
      <c r="H1670" s="4" t="s">
        <v>36</v>
      </c>
      <c r="I1670" s="4">
        <v>22</v>
      </c>
      <c r="J1670" s="5">
        <v>86.9</v>
      </c>
      <c r="K1670" s="6">
        <v>1.55</v>
      </c>
      <c r="L1670" s="4">
        <v>8</v>
      </c>
      <c r="M1670" s="4">
        <v>138</v>
      </c>
      <c r="N1670" s="4">
        <v>83</v>
      </c>
      <c r="O1670" s="4" t="s">
        <v>26</v>
      </c>
      <c r="P1670" s="7" t="s">
        <v>19</v>
      </c>
    </row>
    <row r="1671" spans="2:16" x14ac:dyDescent="0.45">
      <c r="B1671" s="4">
        <v>1670</v>
      </c>
      <c r="C1671" s="4" t="s">
        <v>41</v>
      </c>
      <c r="D1671" s="4" t="s">
        <v>16</v>
      </c>
      <c r="E1671" s="4" t="s">
        <v>35</v>
      </c>
      <c r="F1671" s="4" t="s">
        <v>24</v>
      </c>
      <c r="G1671" s="4" t="s">
        <v>19</v>
      </c>
      <c r="H1671" s="4" t="s">
        <v>25</v>
      </c>
      <c r="I1671" s="4">
        <v>37</v>
      </c>
      <c r="J1671" s="5">
        <v>85.6</v>
      </c>
      <c r="K1671" s="6">
        <v>1.53</v>
      </c>
      <c r="L1671" s="4">
        <v>7</v>
      </c>
      <c r="M1671" s="4">
        <v>117</v>
      </c>
      <c r="N1671" s="4">
        <v>100</v>
      </c>
      <c r="O1671" s="4" t="s">
        <v>26</v>
      </c>
      <c r="P1671" s="7" t="s">
        <v>19</v>
      </c>
    </row>
    <row r="1672" spans="2:16" x14ac:dyDescent="0.45">
      <c r="B1672" s="4">
        <v>1671</v>
      </c>
      <c r="C1672" s="4" t="s">
        <v>43</v>
      </c>
      <c r="D1672" s="4" t="s">
        <v>23</v>
      </c>
      <c r="E1672" s="4" t="s">
        <v>17</v>
      </c>
      <c r="F1672" s="4" t="s">
        <v>28</v>
      </c>
      <c r="G1672" s="4" t="s">
        <v>19</v>
      </c>
      <c r="H1672" s="4" t="s">
        <v>25</v>
      </c>
      <c r="I1672" s="4">
        <v>4</v>
      </c>
      <c r="J1672" s="5">
        <v>11.4</v>
      </c>
      <c r="K1672" s="6">
        <v>0.63</v>
      </c>
      <c r="L1672" s="4">
        <v>0</v>
      </c>
      <c r="M1672" s="4">
        <v>115</v>
      </c>
      <c r="N1672" s="4">
        <v>103</v>
      </c>
      <c r="O1672" s="4" t="s">
        <v>26</v>
      </c>
      <c r="P1672" s="7" t="s">
        <v>19</v>
      </c>
    </row>
    <row r="1673" spans="2:16" x14ac:dyDescent="0.45">
      <c r="B1673" s="4">
        <v>1672</v>
      </c>
      <c r="C1673" s="4" t="s">
        <v>27</v>
      </c>
      <c r="D1673" s="4" t="s">
        <v>23</v>
      </c>
      <c r="E1673" s="4" t="s">
        <v>35</v>
      </c>
      <c r="F1673" s="4" t="s">
        <v>24</v>
      </c>
      <c r="G1673" s="4" t="s">
        <v>19</v>
      </c>
      <c r="H1673" s="4" t="s">
        <v>28</v>
      </c>
      <c r="I1673" s="4">
        <v>3</v>
      </c>
      <c r="J1673" s="5">
        <v>9</v>
      </c>
      <c r="K1673" s="6">
        <v>0.75</v>
      </c>
      <c r="L1673" s="4">
        <v>8</v>
      </c>
      <c r="M1673" s="4">
        <v>106</v>
      </c>
      <c r="N1673" s="4">
        <v>94</v>
      </c>
      <c r="O1673" s="4" t="s">
        <v>26</v>
      </c>
      <c r="P1673" s="7" t="s">
        <v>19</v>
      </c>
    </row>
    <row r="1674" spans="2:16" x14ac:dyDescent="0.45">
      <c r="B1674" s="4">
        <v>1673</v>
      </c>
      <c r="C1674" s="4" t="s">
        <v>40</v>
      </c>
      <c r="D1674" s="4" t="s">
        <v>16</v>
      </c>
      <c r="E1674" s="4" t="s">
        <v>37</v>
      </c>
      <c r="F1674" s="4" t="s">
        <v>18</v>
      </c>
      <c r="G1674" s="4" t="s">
        <v>19</v>
      </c>
      <c r="H1674" s="4" t="s">
        <v>20</v>
      </c>
      <c r="I1674" s="4">
        <v>1</v>
      </c>
      <c r="J1674" s="5">
        <v>15.8</v>
      </c>
      <c r="K1674" s="6">
        <v>0.78</v>
      </c>
      <c r="L1674" s="4">
        <v>1</v>
      </c>
      <c r="M1674" s="4">
        <v>111</v>
      </c>
      <c r="N1674" s="4">
        <v>78</v>
      </c>
      <c r="O1674" s="4" t="s">
        <v>26</v>
      </c>
      <c r="P1674" s="7" t="s">
        <v>19</v>
      </c>
    </row>
    <row r="1675" spans="2:16" x14ac:dyDescent="0.45">
      <c r="B1675" s="4">
        <v>1674</v>
      </c>
      <c r="C1675" s="4" t="s">
        <v>15</v>
      </c>
      <c r="D1675" s="4" t="s">
        <v>16</v>
      </c>
      <c r="E1675" s="4" t="s">
        <v>37</v>
      </c>
      <c r="F1675" s="4" t="s">
        <v>18</v>
      </c>
      <c r="G1675" s="4" t="s">
        <v>19</v>
      </c>
      <c r="H1675" s="4" t="s">
        <v>36</v>
      </c>
      <c r="I1675" s="4">
        <v>33</v>
      </c>
      <c r="J1675" s="5">
        <v>88.2</v>
      </c>
      <c r="K1675" s="6">
        <v>1.66</v>
      </c>
      <c r="L1675" s="4">
        <v>7</v>
      </c>
      <c r="M1675" s="4">
        <v>127</v>
      </c>
      <c r="N1675" s="4">
        <v>88</v>
      </c>
      <c r="O1675" s="4" t="s">
        <v>26</v>
      </c>
      <c r="P1675" s="7" t="s">
        <v>19</v>
      </c>
    </row>
    <row r="1676" spans="2:16" x14ac:dyDescent="0.45">
      <c r="B1676" s="4">
        <v>1675</v>
      </c>
      <c r="C1676" s="4" t="s">
        <v>43</v>
      </c>
      <c r="D1676" s="4" t="s">
        <v>23</v>
      </c>
      <c r="E1676" s="4" t="s">
        <v>17</v>
      </c>
      <c r="F1676" s="4" t="s">
        <v>24</v>
      </c>
      <c r="G1676" s="4" t="s">
        <v>19</v>
      </c>
      <c r="H1676" s="4" t="s">
        <v>20</v>
      </c>
      <c r="I1676" s="4">
        <v>35</v>
      </c>
      <c r="J1676" s="5">
        <v>93.7</v>
      </c>
      <c r="K1676" s="6">
        <v>1.5</v>
      </c>
      <c r="L1676" s="4">
        <v>8</v>
      </c>
      <c r="M1676" s="4">
        <v>107</v>
      </c>
      <c r="N1676" s="4">
        <v>77</v>
      </c>
      <c r="O1676" s="4" t="s">
        <v>21</v>
      </c>
      <c r="P1676" s="7" t="s">
        <v>19</v>
      </c>
    </row>
    <row r="1677" spans="2:16" x14ac:dyDescent="0.45">
      <c r="B1677" s="4">
        <v>1676</v>
      </c>
      <c r="C1677" s="4" t="s">
        <v>27</v>
      </c>
      <c r="D1677" s="4" t="s">
        <v>23</v>
      </c>
      <c r="E1677" s="4" t="s">
        <v>17</v>
      </c>
      <c r="F1677" s="4" t="s">
        <v>24</v>
      </c>
      <c r="G1677" s="4" t="s">
        <v>19</v>
      </c>
      <c r="H1677" s="4" t="s">
        <v>38</v>
      </c>
      <c r="I1677" s="4">
        <v>16</v>
      </c>
      <c r="J1677" s="5">
        <v>54.1</v>
      </c>
      <c r="K1677" s="6">
        <v>1.46</v>
      </c>
      <c r="L1677" s="4">
        <v>1</v>
      </c>
      <c r="M1677" s="4">
        <v>106</v>
      </c>
      <c r="N1677" s="4">
        <v>89</v>
      </c>
      <c r="O1677" s="4" t="s">
        <v>21</v>
      </c>
      <c r="P1677" s="7" t="s">
        <v>19</v>
      </c>
    </row>
    <row r="1678" spans="2:16" x14ac:dyDescent="0.45">
      <c r="B1678" s="4">
        <v>1677</v>
      </c>
      <c r="C1678" s="4" t="s">
        <v>41</v>
      </c>
      <c r="D1678" s="4" t="s">
        <v>23</v>
      </c>
      <c r="E1678" s="4" t="s">
        <v>44</v>
      </c>
      <c r="F1678" s="4" t="s">
        <v>18</v>
      </c>
      <c r="G1678" s="4" t="s">
        <v>19</v>
      </c>
      <c r="H1678" s="4" t="s">
        <v>34</v>
      </c>
      <c r="I1678" s="4">
        <v>8</v>
      </c>
      <c r="J1678" s="5">
        <v>30.7</v>
      </c>
      <c r="K1678" s="6">
        <v>1.35</v>
      </c>
      <c r="L1678" s="4">
        <v>5</v>
      </c>
      <c r="M1678" s="4">
        <v>105</v>
      </c>
      <c r="N1678" s="4">
        <v>99</v>
      </c>
      <c r="O1678" s="4" t="s">
        <v>26</v>
      </c>
      <c r="P1678" s="7" t="s">
        <v>19</v>
      </c>
    </row>
    <row r="1679" spans="2:16" x14ac:dyDescent="0.45">
      <c r="B1679" s="4">
        <v>1678</v>
      </c>
      <c r="C1679" s="4" t="s">
        <v>41</v>
      </c>
      <c r="D1679" s="4" t="s">
        <v>23</v>
      </c>
      <c r="E1679" s="4" t="s">
        <v>17</v>
      </c>
      <c r="F1679" s="4" t="s">
        <v>28</v>
      </c>
      <c r="G1679" s="4" t="s">
        <v>19</v>
      </c>
      <c r="H1679" s="4" t="s">
        <v>20</v>
      </c>
      <c r="I1679" s="4">
        <v>29</v>
      </c>
      <c r="J1679" s="5">
        <v>54.7</v>
      </c>
      <c r="K1679" s="6">
        <v>1.79</v>
      </c>
      <c r="L1679" s="4">
        <v>1</v>
      </c>
      <c r="M1679" s="4">
        <v>105</v>
      </c>
      <c r="N1679" s="4">
        <v>103</v>
      </c>
      <c r="O1679" s="4" t="s">
        <v>26</v>
      </c>
      <c r="P1679" s="7" t="s">
        <v>19</v>
      </c>
    </row>
    <row r="1680" spans="2:16" x14ac:dyDescent="0.45">
      <c r="B1680" s="4">
        <v>1679</v>
      </c>
      <c r="C1680" s="4" t="s">
        <v>27</v>
      </c>
      <c r="D1680" s="4" t="s">
        <v>23</v>
      </c>
      <c r="E1680" s="4" t="s">
        <v>37</v>
      </c>
      <c r="F1680" s="4" t="s">
        <v>24</v>
      </c>
      <c r="G1680" s="4" t="s">
        <v>19</v>
      </c>
      <c r="H1680" s="4" t="s">
        <v>32</v>
      </c>
      <c r="I1680" s="4">
        <v>41</v>
      </c>
      <c r="J1680" s="5">
        <v>89.4</v>
      </c>
      <c r="K1680" s="6">
        <v>1.49</v>
      </c>
      <c r="L1680" s="4">
        <v>8</v>
      </c>
      <c r="M1680" s="4">
        <v>110</v>
      </c>
      <c r="N1680" s="4">
        <v>149</v>
      </c>
      <c r="O1680" s="4" t="s">
        <v>21</v>
      </c>
      <c r="P1680" s="7" t="s">
        <v>19</v>
      </c>
    </row>
    <row r="1681" spans="2:16" x14ac:dyDescent="0.45">
      <c r="B1681" s="4">
        <v>1680</v>
      </c>
      <c r="C1681" s="4" t="s">
        <v>27</v>
      </c>
      <c r="D1681" s="4" t="s">
        <v>23</v>
      </c>
      <c r="E1681" s="4" t="s">
        <v>17</v>
      </c>
      <c r="F1681" s="4" t="s">
        <v>28</v>
      </c>
      <c r="G1681" s="4" t="s">
        <v>19</v>
      </c>
      <c r="H1681" s="4" t="s">
        <v>25</v>
      </c>
      <c r="I1681" s="4">
        <v>31</v>
      </c>
      <c r="J1681" s="5">
        <v>84.4</v>
      </c>
      <c r="K1681" s="6">
        <v>1.67</v>
      </c>
      <c r="L1681" s="4">
        <v>6</v>
      </c>
      <c r="M1681" s="4">
        <v>132</v>
      </c>
      <c r="N1681" s="4">
        <v>98</v>
      </c>
      <c r="O1681" s="4" t="s">
        <v>21</v>
      </c>
      <c r="P1681" s="7" t="s">
        <v>30</v>
      </c>
    </row>
    <row r="1682" spans="2:16" x14ac:dyDescent="0.45">
      <c r="B1682" s="4">
        <v>1681</v>
      </c>
      <c r="C1682" s="4" t="s">
        <v>33</v>
      </c>
      <c r="D1682" s="4" t="s">
        <v>16</v>
      </c>
      <c r="E1682" s="4" t="s">
        <v>35</v>
      </c>
      <c r="F1682" s="4" t="s">
        <v>28</v>
      </c>
      <c r="G1682" s="4" t="s">
        <v>19</v>
      </c>
      <c r="H1682" s="4" t="s">
        <v>34</v>
      </c>
      <c r="I1682" s="4">
        <v>12</v>
      </c>
      <c r="J1682" s="5">
        <v>42.5</v>
      </c>
      <c r="K1682" s="6">
        <v>1.71</v>
      </c>
      <c r="L1682" s="4">
        <v>5</v>
      </c>
      <c r="M1682" s="4">
        <v>113</v>
      </c>
      <c r="N1682" s="4">
        <v>87</v>
      </c>
      <c r="O1682" s="4" t="s">
        <v>21</v>
      </c>
      <c r="P1682" s="7" t="s">
        <v>19</v>
      </c>
    </row>
    <row r="1683" spans="2:16" x14ac:dyDescent="0.45">
      <c r="B1683" s="4">
        <v>1682</v>
      </c>
      <c r="C1683" s="4" t="s">
        <v>39</v>
      </c>
      <c r="D1683" s="4" t="s">
        <v>16</v>
      </c>
      <c r="E1683" s="4" t="s">
        <v>17</v>
      </c>
      <c r="F1683" s="4" t="s">
        <v>18</v>
      </c>
      <c r="G1683" s="4" t="s">
        <v>19</v>
      </c>
      <c r="H1683" s="4" t="s">
        <v>20</v>
      </c>
      <c r="I1683" s="4">
        <v>34</v>
      </c>
      <c r="J1683" s="5">
        <v>51.3</v>
      </c>
      <c r="K1683" s="6">
        <v>1.65</v>
      </c>
      <c r="L1683" s="4">
        <v>3</v>
      </c>
      <c r="M1683" s="4">
        <v>107</v>
      </c>
      <c r="N1683" s="4">
        <v>82</v>
      </c>
      <c r="O1683" s="4" t="s">
        <v>26</v>
      </c>
      <c r="P1683" s="7" t="s">
        <v>19</v>
      </c>
    </row>
    <row r="1684" spans="2:16" x14ac:dyDescent="0.45">
      <c r="B1684" s="4">
        <v>1683</v>
      </c>
      <c r="C1684" s="4" t="s">
        <v>33</v>
      </c>
      <c r="D1684" s="4" t="s">
        <v>16</v>
      </c>
      <c r="E1684" s="4" t="s">
        <v>35</v>
      </c>
      <c r="F1684" s="4" t="s">
        <v>24</v>
      </c>
      <c r="G1684" s="4" t="s">
        <v>19</v>
      </c>
      <c r="H1684" s="4" t="s">
        <v>28</v>
      </c>
      <c r="I1684" s="4">
        <v>27</v>
      </c>
      <c r="J1684" s="5">
        <v>76.7</v>
      </c>
      <c r="K1684" s="6">
        <v>1.55</v>
      </c>
      <c r="L1684" s="4">
        <v>3</v>
      </c>
      <c r="M1684" s="4">
        <v>110</v>
      </c>
      <c r="N1684" s="4">
        <v>90</v>
      </c>
      <c r="O1684" s="4" t="s">
        <v>21</v>
      </c>
      <c r="P1684" s="7" t="s">
        <v>19</v>
      </c>
    </row>
    <row r="1685" spans="2:16" x14ac:dyDescent="0.45">
      <c r="B1685" s="4">
        <v>1684</v>
      </c>
      <c r="C1685" s="4" t="s">
        <v>27</v>
      </c>
      <c r="D1685" s="4" t="s">
        <v>16</v>
      </c>
      <c r="E1685" s="4" t="s">
        <v>44</v>
      </c>
      <c r="F1685" s="4" t="s">
        <v>28</v>
      </c>
      <c r="G1685" s="4" t="s">
        <v>19</v>
      </c>
      <c r="H1685" s="4" t="s">
        <v>36</v>
      </c>
      <c r="I1685" s="4">
        <v>18</v>
      </c>
      <c r="J1685" s="5">
        <v>62.5</v>
      </c>
      <c r="K1685" s="6">
        <v>1.64</v>
      </c>
      <c r="L1685" s="4">
        <v>5</v>
      </c>
      <c r="M1685" s="4">
        <v>137</v>
      </c>
      <c r="N1685" s="4">
        <v>88</v>
      </c>
      <c r="O1685" s="4" t="s">
        <v>21</v>
      </c>
      <c r="P1685" s="7" t="s">
        <v>19</v>
      </c>
    </row>
    <row r="1686" spans="2:16" x14ac:dyDescent="0.45">
      <c r="B1686" s="4">
        <v>1685</v>
      </c>
      <c r="C1686" s="4" t="s">
        <v>45</v>
      </c>
      <c r="D1686" s="4" t="s">
        <v>23</v>
      </c>
      <c r="E1686" s="4" t="s">
        <v>37</v>
      </c>
      <c r="F1686" s="4" t="s">
        <v>28</v>
      </c>
      <c r="G1686" s="4" t="s">
        <v>19</v>
      </c>
      <c r="H1686" s="4" t="s">
        <v>36</v>
      </c>
      <c r="I1686" s="4">
        <v>27</v>
      </c>
      <c r="J1686" s="5">
        <v>93.5</v>
      </c>
      <c r="K1686" s="6">
        <v>1.86</v>
      </c>
      <c r="L1686" s="4">
        <v>1</v>
      </c>
      <c r="M1686" s="4">
        <v>147</v>
      </c>
      <c r="N1686" s="4">
        <v>85</v>
      </c>
      <c r="O1686" s="4" t="s">
        <v>26</v>
      </c>
      <c r="P1686" s="7" t="s">
        <v>19</v>
      </c>
    </row>
    <row r="1687" spans="2:16" x14ac:dyDescent="0.45">
      <c r="B1687" s="4">
        <v>1686</v>
      </c>
      <c r="C1687" s="4" t="s">
        <v>31</v>
      </c>
      <c r="D1687" s="4" t="s">
        <v>16</v>
      </c>
      <c r="E1687" s="4" t="s">
        <v>37</v>
      </c>
      <c r="F1687" s="4" t="s">
        <v>18</v>
      </c>
      <c r="G1687" s="4" t="s">
        <v>19</v>
      </c>
      <c r="H1687" s="4" t="s">
        <v>34</v>
      </c>
      <c r="I1687" s="4">
        <v>2</v>
      </c>
      <c r="J1687" s="5">
        <v>12.5</v>
      </c>
      <c r="K1687" s="6">
        <v>0.9</v>
      </c>
      <c r="L1687" s="4">
        <v>1</v>
      </c>
      <c r="M1687" s="4">
        <v>104</v>
      </c>
      <c r="N1687" s="4">
        <v>89</v>
      </c>
      <c r="O1687" s="4" t="s">
        <v>21</v>
      </c>
      <c r="P1687" s="7" t="s">
        <v>19</v>
      </c>
    </row>
    <row r="1688" spans="2:16" x14ac:dyDescent="0.45">
      <c r="B1688" s="4">
        <v>1687</v>
      </c>
      <c r="C1688" s="4" t="s">
        <v>22</v>
      </c>
      <c r="D1688" s="4" t="s">
        <v>16</v>
      </c>
      <c r="E1688" s="4" t="s">
        <v>17</v>
      </c>
      <c r="F1688" s="4" t="s">
        <v>18</v>
      </c>
      <c r="G1688" s="4" t="s">
        <v>30</v>
      </c>
      <c r="H1688" s="4" t="s">
        <v>28</v>
      </c>
      <c r="I1688" s="4">
        <v>18</v>
      </c>
      <c r="J1688" s="5">
        <v>47</v>
      </c>
      <c r="K1688" s="6">
        <v>1.52</v>
      </c>
      <c r="L1688" s="4">
        <v>0</v>
      </c>
      <c r="M1688" s="4">
        <v>96</v>
      </c>
      <c r="N1688" s="4">
        <v>91</v>
      </c>
      <c r="O1688" s="4" t="s">
        <v>21</v>
      </c>
      <c r="P1688" s="7" t="s">
        <v>19</v>
      </c>
    </row>
    <row r="1689" spans="2:16" x14ac:dyDescent="0.45">
      <c r="B1689" s="4">
        <v>1688</v>
      </c>
      <c r="C1689" s="4" t="s">
        <v>27</v>
      </c>
      <c r="D1689" s="4" t="s">
        <v>23</v>
      </c>
      <c r="E1689" s="4" t="s">
        <v>17</v>
      </c>
      <c r="F1689" s="4" t="s">
        <v>24</v>
      </c>
      <c r="G1689" s="4" t="s">
        <v>19</v>
      </c>
      <c r="H1689" s="4" t="s">
        <v>20</v>
      </c>
      <c r="I1689" s="4">
        <v>28</v>
      </c>
      <c r="J1689" s="5">
        <v>49.4</v>
      </c>
      <c r="K1689" s="6">
        <v>1.58</v>
      </c>
      <c r="L1689" s="4">
        <v>1</v>
      </c>
      <c r="M1689" s="4">
        <v>109</v>
      </c>
      <c r="N1689" s="4">
        <v>91</v>
      </c>
      <c r="O1689" s="4" t="s">
        <v>26</v>
      </c>
      <c r="P1689" s="7" t="s">
        <v>19</v>
      </c>
    </row>
    <row r="1690" spans="2:16" x14ac:dyDescent="0.45">
      <c r="B1690" s="4">
        <v>1689</v>
      </c>
      <c r="C1690" s="4" t="s">
        <v>22</v>
      </c>
      <c r="D1690" s="4" t="s">
        <v>23</v>
      </c>
      <c r="E1690" s="4" t="s">
        <v>35</v>
      </c>
      <c r="F1690" s="4" t="s">
        <v>42</v>
      </c>
      <c r="G1690" s="4" t="s">
        <v>30</v>
      </c>
      <c r="H1690" s="4" t="s">
        <v>46</v>
      </c>
      <c r="I1690" s="4">
        <v>17</v>
      </c>
      <c r="J1690" s="5">
        <v>63.4</v>
      </c>
      <c r="K1690" s="6">
        <v>1.66</v>
      </c>
      <c r="L1690" s="4">
        <v>3</v>
      </c>
      <c r="M1690" s="4">
        <v>106</v>
      </c>
      <c r="N1690" s="4">
        <v>87</v>
      </c>
      <c r="O1690" s="4" t="s">
        <v>21</v>
      </c>
      <c r="P1690" s="7" t="s">
        <v>19</v>
      </c>
    </row>
    <row r="1691" spans="2:16" x14ac:dyDescent="0.45">
      <c r="B1691" s="4">
        <v>1690</v>
      </c>
      <c r="C1691" s="4" t="s">
        <v>22</v>
      </c>
      <c r="D1691" s="4" t="s">
        <v>16</v>
      </c>
      <c r="E1691" s="4" t="s">
        <v>35</v>
      </c>
      <c r="F1691" s="4" t="s">
        <v>24</v>
      </c>
      <c r="G1691" s="4" t="s">
        <v>30</v>
      </c>
      <c r="H1691" s="4" t="s">
        <v>28</v>
      </c>
      <c r="I1691" s="4">
        <v>10</v>
      </c>
      <c r="J1691" s="5">
        <v>21.6</v>
      </c>
      <c r="K1691" s="6">
        <v>1.35</v>
      </c>
      <c r="L1691" s="4">
        <v>3</v>
      </c>
      <c r="M1691" s="4">
        <v>108</v>
      </c>
      <c r="N1691" s="4">
        <v>98</v>
      </c>
      <c r="O1691" s="4" t="s">
        <v>26</v>
      </c>
      <c r="P1691" s="7" t="s">
        <v>30</v>
      </c>
    </row>
    <row r="1692" spans="2:16" x14ac:dyDescent="0.45">
      <c r="B1692" s="4">
        <v>1691</v>
      </c>
      <c r="C1692" s="4" t="s">
        <v>45</v>
      </c>
      <c r="D1692" s="4" t="s">
        <v>16</v>
      </c>
      <c r="E1692" s="4" t="s">
        <v>17</v>
      </c>
      <c r="F1692" s="4" t="s">
        <v>24</v>
      </c>
      <c r="G1692" s="4" t="s">
        <v>19</v>
      </c>
      <c r="H1692" s="4" t="s">
        <v>28</v>
      </c>
      <c r="I1692" s="4">
        <v>1</v>
      </c>
      <c r="J1692" s="5">
        <v>14.6</v>
      </c>
      <c r="K1692" s="6">
        <v>0.96</v>
      </c>
      <c r="L1692" s="4">
        <v>0</v>
      </c>
      <c r="M1692" s="4">
        <v>102</v>
      </c>
      <c r="N1692" s="4">
        <v>100</v>
      </c>
      <c r="O1692" s="4" t="s">
        <v>26</v>
      </c>
      <c r="P1692" s="7" t="s">
        <v>19</v>
      </c>
    </row>
    <row r="1693" spans="2:16" x14ac:dyDescent="0.45">
      <c r="B1693" s="4">
        <v>1692</v>
      </c>
      <c r="C1693" s="4" t="s">
        <v>31</v>
      </c>
      <c r="D1693" s="4" t="s">
        <v>23</v>
      </c>
      <c r="E1693" s="4" t="s">
        <v>17</v>
      </c>
      <c r="F1693" s="4" t="s">
        <v>28</v>
      </c>
      <c r="G1693" s="4" t="s">
        <v>19</v>
      </c>
      <c r="H1693" s="4" t="s">
        <v>28</v>
      </c>
      <c r="I1693" s="4">
        <v>2</v>
      </c>
      <c r="J1693" s="5">
        <v>15.4</v>
      </c>
      <c r="K1693" s="6">
        <v>0.64</v>
      </c>
      <c r="L1693" s="4">
        <v>2</v>
      </c>
      <c r="M1693" s="4">
        <v>112</v>
      </c>
      <c r="N1693" s="4">
        <v>98</v>
      </c>
      <c r="O1693" s="4" t="s">
        <v>26</v>
      </c>
      <c r="P1693" s="7" t="s">
        <v>19</v>
      </c>
    </row>
    <row r="1694" spans="2:16" x14ac:dyDescent="0.45">
      <c r="B1694" s="4">
        <v>1693</v>
      </c>
      <c r="C1694" s="4" t="s">
        <v>45</v>
      </c>
      <c r="D1694" s="4" t="s">
        <v>16</v>
      </c>
      <c r="E1694" s="4" t="s">
        <v>37</v>
      </c>
      <c r="F1694" s="4" t="s">
        <v>18</v>
      </c>
      <c r="G1694" s="4" t="s">
        <v>19</v>
      </c>
      <c r="H1694" s="4" t="s">
        <v>28</v>
      </c>
      <c r="I1694" s="4">
        <v>17</v>
      </c>
      <c r="J1694" s="5">
        <v>44.9</v>
      </c>
      <c r="K1694" s="6">
        <v>1.65</v>
      </c>
      <c r="L1694" s="4">
        <v>6</v>
      </c>
      <c r="M1694" s="4">
        <v>97</v>
      </c>
      <c r="N1694" s="4">
        <v>87</v>
      </c>
      <c r="O1694" s="4" t="s">
        <v>26</v>
      </c>
      <c r="P1694" s="7" t="s">
        <v>19</v>
      </c>
    </row>
    <row r="1695" spans="2:16" x14ac:dyDescent="0.45">
      <c r="B1695" s="4">
        <v>1694</v>
      </c>
      <c r="C1695" s="4" t="s">
        <v>15</v>
      </c>
      <c r="D1695" s="4" t="s">
        <v>23</v>
      </c>
      <c r="E1695" s="4" t="s">
        <v>35</v>
      </c>
      <c r="F1695" s="4" t="s">
        <v>18</v>
      </c>
      <c r="G1695" s="4" t="s">
        <v>19</v>
      </c>
      <c r="H1695" s="4" t="s">
        <v>20</v>
      </c>
      <c r="I1695" s="4">
        <v>69</v>
      </c>
      <c r="J1695" s="5">
        <v>64.7</v>
      </c>
      <c r="K1695" s="6">
        <v>1.84</v>
      </c>
      <c r="L1695" s="4">
        <v>2</v>
      </c>
      <c r="M1695" s="4">
        <v>116</v>
      </c>
      <c r="N1695" s="4">
        <v>96</v>
      </c>
      <c r="O1695" s="4" t="s">
        <v>26</v>
      </c>
      <c r="P1695" s="7" t="s">
        <v>19</v>
      </c>
    </row>
    <row r="1696" spans="2:16" x14ac:dyDescent="0.45">
      <c r="B1696" s="4">
        <v>1695</v>
      </c>
      <c r="C1696" s="4" t="s">
        <v>33</v>
      </c>
      <c r="D1696" s="4" t="s">
        <v>16</v>
      </c>
      <c r="E1696" s="4" t="s">
        <v>37</v>
      </c>
      <c r="F1696" s="4" t="s">
        <v>18</v>
      </c>
      <c r="G1696" s="4" t="s">
        <v>19</v>
      </c>
      <c r="H1696" s="4" t="s">
        <v>20</v>
      </c>
      <c r="I1696" s="4">
        <v>36</v>
      </c>
      <c r="J1696" s="5">
        <v>75.099999999999994</v>
      </c>
      <c r="K1696" s="6">
        <v>1.73</v>
      </c>
      <c r="L1696" s="4">
        <v>0</v>
      </c>
      <c r="M1696" s="4">
        <v>121</v>
      </c>
      <c r="N1696" s="4">
        <v>99</v>
      </c>
      <c r="O1696" s="4" t="s">
        <v>21</v>
      </c>
      <c r="P1696" s="7" t="s">
        <v>19</v>
      </c>
    </row>
    <row r="1697" spans="2:16" x14ac:dyDescent="0.45">
      <c r="B1697" s="4">
        <v>1696</v>
      </c>
      <c r="C1697" s="4" t="s">
        <v>45</v>
      </c>
      <c r="D1697" s="4" t="s">
        <v>16</v>
      </c>
      <c r="E1697" s="4" t="s">
        <v>35</v>
      </c>
      <c r="F1697" s="4" t="s">
        <v>24</v>
      </c>
      <c r="G1697" s="4" t="s">
        <v>19</v>
      </c>
      <c r="H1697" s="4" t="s">
        <v>36</v>
      </c>
      <c r="I1697" s="4">
        <v>49</v>
      </c>
      <c r="J1697" s="5">
        <v>83.7</v>
      </c>
      <c r="K1697" s="6">
        <v>1.78</v>
      </c>
      <c r="L1697" s="4">
        <v>4</v>
      </c>
      <c r="M1697" s="4">
        <v>135</v>
      </c>
      <c r="N1697" s="4">
        <v>98</v>
      </c>
      <c r="O1697" s="4" t="s">
        <v>21</v>
      </c>
      <c r="P1697" s="7" t="s">
        <v>19</v>
      </c>
    </row>
    <row r="1698" spans="2:16" x14ac:dyDescent="0.45">
      <c r="B1698" s="4">
        <v>1697</v>
      </c>
      <c r="C1698" s="4" t="s">
        <v>22</v>
      </c>
      <c r="D1698" s="4" t="s">
        <v>16</v>
      </c>
      <c r="E1698" s="4" t="s">
        <v>17</v>
      </c>
      <c r="F1698" s="4" t="s">
        <v>24</v>
      </c>
      <c r="G1698" s="4" t="s">
        <v>19</v>
      </c>
      <c r="H1698" s="4" t="s">
        <v>32</v>
      </c>
      <c r="I1698" s="4">
        <v>42</v>
      </c>
      <c r="J1698" s="5">
        <v>76</v>
      </c>
      <c r="K1698" s="6">
        <v>1.7</v>
      </c>
      <c r="L1698" s="4">
        <v>2</v>
      </c>
      <c r="M1698" s="4">
        <v>103</v>
      </c>
      <c r="N1698" s="4">
        <v>170</v>
      </c>
      <c r="O1698" s="4" t="s">
        <v>26</v>
      </c>
      <c r="P1698" s="7" t="s">
        <v>19</v>
      </c>
    </row>
    <row r="1699" spans="2:16" x14ac:dyDescent="0.45">
      <c r="B1699" s="4">
        <v>1698</v>
      </c>
      <c r="C1699" s="4" t="s">
        <v>27</v>
      </c>
      <c r="D1699" s="4" t="s">
        <v>16</v>
      </c>
      <c r="E1699" s="4" t="s">
        <v>35</v>
      </c>
      <c r="F1699" s="4" t="s">
        <v>24</v>
      </c>
      <c r="G1699" s="4" t="s">
        <v>30</v>
      </c>
      <c r="H1699" s="4" t="s">
        <v>20</v>
      </c>
      <c r="I1699" s="4">
        <v>39</v>
      </c>
      <c r="J1699" s="5">
        <v>58</v>
      </c>
      <c r="K1699" s="6">
        <v>1.79</v>
      </c>
      <c r="L1699" s="4">
        <v>4</v>
      </c>
      <c r="M1699" s="4">
        <v>114</v>
      </c>
      <c r="N1699" s="4">
        <v>103</v>
      </c>
      <c r="O1699" s="4" t="s">
        <v>26</v>
      </c>
      <c r="P1699" s="7" t="s">
        <v>30</v>
      </c>
    </row>
    <row r="1700" spans="2:16" x14ac:dyDescent="0.45">
      <c r="B1700" s="4">
        <v>1699</v>
      </c>
      <c r="C1700" s="4" t="s">
        <v>22</v>
      </c>
      <c r="D1700" s="4" t="s">
        <v>23</v>
      </c>
      <c r="E1700" s="4" t="s">
        <v>17</v>
      </c>
      <c r="F1700" s="4" t="s">
        <v>24</v>
      </c>
      <c r="G1700" s="4" t="s">
        <v>30</v>
      </c>
      <c r="H1700" s="4" t="s">
        <v>36</v>
      </c>
      <c r="I1700" s="4">
        <v>32</v>
      </c>
      <c r="J1700" s="5">
        <v>57.9</v>
      </c>
      <c r="K1700" s="6">
        <v>1.81</v>
      </c>
      <c r="L1700" s="4">
        <v>1</v>
      </c>
      <c r="M1700" s="4">
        <v>126</v>
      </c>
      <c r="N1700" s="4">
        <v>91</v>
      </c>
      <c r="O1700" s="4" t="s">
        <v>21</v>
      </c>
      <c r="P1700" s="7" t="s">
        <v>19</v>
      </c>
    </row>
    <row r="1701" spans="2:16" x14ac:dyDescent="0.45">
      <c r="B1701" s="4">
        <v>1700</v>
      </c>
      <c r="C1701" s="4" t="s">
        <v>40</v>
      </c>
      <c r="D1701" s="4" t="s">
        <v>23</v>
      </c>
      <c r="E1701" s="4" t="s">
        <v>35</v>
      </c>
      <c r="F1701" s="4" t="s">
        <v>24</v>
      </c>
      <c r="G1701" s="4" t="s">
        <v>30</v>
      </c>
      <c r="H1701" s="4" t="s">
        <v>20</v>
      </c>
      <c r="I1701" s="4">
        <v>6</v>
      </c>
      <c r="J1701" s="5">
        <v>36.1</v>
      </c>
      <c r="K1701" s="6">
        <v>1.26</v>
      </c>
      <c r="L1701" s="4">
        <v>0</v>
      </c>
      <c r="M1701" s="4">
        <v>99</v>
      </c>
      <c r="N1701" s="4">
        <v>89</v>
      </c>
      <c r="O1701" s="4" t="s">
        <v>21</v>
      </c>
      <c r="P1701" s="7" t="s">
        <v>19</v>
      </c>
    </row>
    <row r="1702" spans="2:16" x14ac:dyDescent="0.45">
      <c r="B1702" s="4">
        <v>1701</v>
      </c>
      <c r="C1702" s="4" t="s">
        <v>39</v>
      </c>
      <c r="D1702" s="4" t="s">
        <v>16</v>
      </c>
      <c r="E1702" s="4" t="s">
        <v>17</v>
      </c>
      <c r="F1702" s="4" t="s">
        <v>18</v>
      </c>
      <c r="G1702" s="4" t="s">
        <v>19</v>
      </c>
      <c r="H1702" s="4" t="s">
        <v>28</v>
      </c>
      <c r="I1702" s="4">
        <v>44</v>
      </c>
      <c r="J1702" s="5">
        <v>93.8</v>
      </c>
      <c r="K1702" s="6">
        <v>1.89</v>
      </c>
      <c r="L1702" s="4">
        <v>1</v>
      </c>
      <c r="M1702" s="4">
        <v>125</v>
      </c>
      <c r="N1702" s="4">
        <v>75</v>
      </c>
      <c r="O1702" s="4" t="s">
        <v>26</v>
      </c>
      <c r="P1702" s="7" t="s">
        <v>30</v>
      </c>
    </row>
    <row r="1703" spans="2:16" x14ac:dyDescent="0.45">
      <c r="B1703" s="4">
        <v>1702</v>
      </c>
      <c r="C1703" s="4" t="s">
        <v>31</v>
      </c>
      <c r="D1703" s="4" t="s">
        <v>16</v>
      </c>
      <c r="E1703" s="4" t="s">
        <v>17</v>
      </c>
      <c r="F1703" s="4" t="s">
        <v>28</v>
      </c>
      <c r="G1703" s="4" t="s">
        <v>19</v>
      </c>
      <c r="H1703" s="4" t="s">
        <v>20</v>
      </c>
      <c r="I1703" s="4">
        <v>15</v>
      </c>
      <c r="J1703" s="5">
        <v>46.8</v>
      </c>
      <c r="K1703" s="6">
        <v>1.49</v>
      </c>
      <c r="L1703" s="4">
        <v>5</v>
      </c>
      <c r="M1703" s="4">
        <v>114</v>
      </c>
      <c r="N1703" s="4">
        <v>88</v>
      </c>
      <c r="O1703" s="4" t="s">
        <v>26</v>
      </c>
      <c r="P1703" s="7" t="s">
        <v>19</v>
      </c>
    </row>
    <row r="1704" spans="2:16" x14ac:dyDescent="0.45">
      <c r="B1704" s="4">
        <v>1703</v>
      </c>
      <c r="C1704" s="4" t="s">
        <v>31</v>
      </c>
      <c r="D1704" s="4" t="s">
        <v>16</v>
      </c>
      <c r="E1704" s="4" t="s">
        <v>35</v>
      </c>
      <c r="F1704" s="4" t="s">
        <v>24</v>
      </c>
      <c r="G1704" s="4" t="s">
        <v>30</v>
      </c>
      <c r="H1704" s="4" t="s">
        <v>20</v>
      </c>
      <c r="I1704" s="4">
        <v>9</v>
      </c>
      <c r="J1704" s="5">
        <v>32</v>
      </c>
      <c r="K1704" s="6">
        <v>1.28</v>
      </c>
      <c r="L1704" s="4">
        <v>8</v>
      </c>
      <c r="M1704" s="4">
        <v>117</v>
      </c>
      <c r="N1704" s="4">
        <v>82</v>
      </c>
      <c r="O1704" s="4" t="s">
        <v>26</v>
      </c>
      <c r="P1704" s="7" t="s">
        <v>19</v>
      </c>
    </row>
    <row r="1705" spans="2:16" x14ac:dyDescent="0.45">
      <c r="B1705" s="4">
        <v>1704</v>
      </c>
      <c r="C1705" s="4" t="s">
        <v>39</v>
      </c>
      <c r="D1705" s="4" t="s">
        <v>16</v>
      </c>
      <c r="E1705" s="4" t="s">
        <v>17</v>
      </c>
      <c r="F1705" s="4" t="s">
        <v>24</v>
      </c>
      <c r="G1705" s="4" t="s">
        <v>19</v>
      </c>
      <c r="H1705" s="4" t="s">
        <v>20</v>
      </c>
      <c r="I1705" s="4">
        <v>60</v>
      </c>
      <c r="J1705" s="5">
        <v>53.4</v>
      </c>
      <c r="K1705" s="6">
        <v>1.56</v>
      </c>
      <c r="L1705" s="4">
        <v>2</v>
      </c>
      <c r="M1705" s="4">
        <v>118</v>
      </c>
      <c r="N1705" s="4">
        <v>103</v>
      </c>
      <c r="O1705" s="4" t="s">
        <v>21</v>
      </c>
      <c r="P1705" s="7" t="s">
        <v>19</v>
      </c>
    </row>
    <row r="1706" spans="2:16" x14ac:dyDescent="0.45">
      <c r="B1706" s="4">
        <v>1705</v>
      </c>
      <c r="C1706" s="4" t="s">
        <v>45</v>
      </c>
      <c r="D1706" s="4" t="s">
        <v>23</v>
      </c>
      <c r="E1706" s="4" t="s">
        <v>44</v>
      </c>
      <c r="F1706" s="4" t="s">
        <v>18</v>
      </c>
      <c r="G1706" s="4" t="s">
        <v>30</v>
      </c>
      <c r="H1706" s="4" t="s">
        <v>20</v>
      </c>
      <c r="I1706" s="4">
        <v>21</v>
      </c>
      <c r="J1706" s="5">
        <v>65.2</v>
      </c>
      <c r="K1706" s="6">
        <v>1.87</v>
      </c>
      <c r="L1706" s="4">
        <v>0</v>
      </c>
      <c r="M1706" s="4">
        <v>119</v>
      </c>
      <c r="N1706" s="4">
        <v>70</v>
      </c>
      <c r="O1706" s="4" t="s">
        <v>21</v>
      </c>
      <c r="P1706" s="7" t="s">
        <v>30</v>
      </c>
    </row>
    <row r="1707" spans="2:16" x14ac:dyDescent="0.45">
      <c r="B1707" s="4">
        <v>1706</v>
      </c>
      <c r="C1707" s="4" t="s">
        <v>40</v>
      </c>
      <c r="D1707" s="4" t="s">
        <v>16</v>
      </c>
      <c r="E1707" s="4" t="s">
        <v>17</v>
      </c>
      <c r="F1707" s="4" t="s">
        <v>18</v>
      </c>
      <c r="G1707" s="4" t="s">
        <v>19</v>
      </c>
      <c r="H1707" s="4" t="s">
        <v>46</v>
      </c>
      <c r="I1707" s="4">
        <v>41</v>
      </c>
      <c r="J1707" s="5">
        <v>63.1</v>
      </c>
      <c r="K1707" s="6">
        <v>1.6</v>
      </c>
      <c r="L1707" s="4">
        <v>4</v>
      </c>
      <c r="M1707" s="4">
        <v>118</v>
      </c>
      <c r="N1707" s="4">
        <v>77</v>
      </c>
      <c r="O1707" s="4" t="s">
        <v>26</v>
      </c>
      <c r="P1707" s="7" t="s">
        <v>19</v>
      </c>
    </row>
    <row r="1708" spans="2:16" x14ac:dyDescent="0.45">
      <c r="B1708" s="4">
        <v>1707</v>
      </c>
      <c r="C1708" s="4" t="s">
        <v>45</v>
      </c>
      <c r="D1708" s="4" t="s">
        <v>23</v>
      </c>
      <c r="E1708" s="4" t="s">
        <v>37</v>
      </c>
      <c r="F1708" s="4" t="s">
        <v>24</v>
      </c>
      <c r="G1708" s="4" t="s">
        <v>19</v>
      </c>
      <c r="H1708" s="4" t="s">
        <v>20</v>
      </c>
      <c r="I1708" s="4">
        <v>38</v>
      </c>
      <c r="J1708" s="5">
        <v>58.9</v>
      </c>
      <c r="K1708" s="6">
        <v>1.7</v>
      </c>
      <c r="L1708" s="4">
        <v>2</v>
      </c>
      <c r="M1708" s="4">
        <v>109</v>
      </c>
      <c r="N1708" s="4">
        <v>97</v>
      </c>
      <c r="O1708" s="4" t="s">
        <v>21</v>
      </c>
      <c r="P1708" s="7" t="s">
        <v>19</v>
      </c>
    </row>
    <row r="1709" spans="2:16" x14ac:dyDescent="0.45">
      <c r="B1709" s="4">
        <v>1708</v>
      </c>
      <c r="C1709" s="4" t="s">
        <v>15</v>
      </c>
      <c r="D1709" s="4" t="s">
        <v>23</v>
      </c>
      <c r="E1709" s="4" t="s">
        <v>17</v>
      </c>
      <c r="F1709" s="4" t="s">
        <v>28</v>
      </c>
      <c r="G1709" s="4" t="s">
        <v>19</v>
      </c>
      <c r="H1709" s="4" t="s">
        <v>25</v>
      </c>
      <c r="I1709" s="4">
        <v>36</v>
      </c>
      <c r="J1709" s="5">
        <v>86.3</v>
      </c>
      <c r="K1709" s="6">
        <v>1.64</v>
      </c>
      <c r="L1709" s="4">
        <v>0</v>
      </c>
      <c r="M1709" s="4">
        <v>117</v>
      </c>
      <c r="N1709" s="4">
        <v>88</v>
      </c>
      <c r="O1709" s="4" t="s">
        <v>26</v>
      </c>
      <c r="P1709" s="7" t="s">
        <v>30</v>
      </c>
    </row>
    <row r="1710" spans="2:16" x14ac:dyDescent="0.45">
      <c r="B1710" s="4">
        <v>1709</v>
      </c>
      <c r="C1710" s="4" t="s">
        <v>31</v>
      </c>
      <c r="D1710" s="4" t="s">
        <v>23</v>
      </c>
      <c r="E1710" s="4" t="s">
        <v>17</v>
      </c>
      <c r="F1710" s="4" t="s">
        <v>18</v>
      </c>
      <c r="G1710" s="4" t="s">
        <v>19</v>
      </c>
      <c r="H1710" s="4" t="s">
        <v>36</v>
      </c>
      <c r="I1710" s="4">
        <v>22</v>
      </c>
      <c r="J1710" s="5">
        <v>91.7</v>
      </c>
      <c r="K1710" s="6">
        <v>1.79</v>
      </c>
      <c r="L1710" s="4">
        <v>5</v>
      </c>
      <c r="M1710" s="4">
        <v>124</v>
      </c>
      <c r="N1710" s="4">
        <v>105</v>
      </c>
      <c r="O1710" s="4" t="s">
        <v>26</v>
      </c>
      <c r="P1710" s="7" t="s">
        <v>19</v>
      </c>
    </row>
    <row r="1711" spans="2:16" x14ac:dyDescent="0.45">
      <c r="B1711" s="4">
        <v>1710</v>
      </c>
      <c r="C1711" s="4" t="s">
        <v>27</v>
      </c>
      <c r="D1711" s="4" t="s">
        <v>16</v>
      </c>
      <c r="E1711" s="4" t="s">
        <v>35</v>
      </c>
      <c r="F1711" s="4" t="s">
        <v>18</v>
      </c>
      <c r="G1711" s="4" t="s">
        <v>30</v>
      </c>
      <c r="H1711" s="4" t="s">
        <v>34</v>
      </c>
      <c r="I1711" s="4">
        <v>55</v>
      </c>
      <c r="J1711" s="5">
        <v>64.7</v>
      </c>
      <c r="K1711" s="6">
        <v>1.52</v>
      </c>
      <c r="L1711" s="4">
        <v>6</v>
      </c>
      <c r="M1711" s="4">
        <v>136</v>
      </c>
      <c r="N1711" s="4">
        <v>94</v>
      </c>
      <c r="O1711" s="4" t="s">
        <v>26</v>
      </c>
      <c r="P1711" s="7" t="s">
        <v>30</v>
      </c>
    </row>
    <row r="1712" spans="2:16" x14ac:dyDescent="0.45">
      <c r="B1712" s="4">
        <v>1711</v>
      </c>
      <c r="C1712" s="4" t="s">
        <v>27</v>
      </c>
      <c r="D1712" s="4" t="s">
        <v>23</v>
      </c>
      <c r="E1712" s="4" t="s">
        <v>37</v>
      </c>
      <c r="F1712" s="4" t="s">
        <v>24</v>
      </c>
      <c r="G1712" s="4" t="s">
        <v>19</v>
      </c>
      <c r="H1712" s="4" t="s">
        <v>20</v>
      </c>
      <c r="I1712" s="4">
        <v>25</v>
      </c>
      <c r="J1712" s="5">
        <v>88</v>
      </c>
      <c r="K1712" s="6">
        <v>1.52</v>
      </c>
      <c r="L1712" s="4">
        <v>2</v>
      </c>
      <c r="M1712" s="4">
        <v>122</v>
      </c>
      <c r="N1712" s="4">
        <v>92</v>
      </c>
      <c r="O1712" s="4" t="s">
        <v>21</v>
      </c>
      <c r="P1712" s="7" t="s">
        <v>19</v>
      </c>
    </row>
    <row r="1713" spans="2:16" x14ac:dyDescent="0.45">
      <c r="B1713" s="4">
        <v>1712</v>
      </c>
      <c r="C1713" s="4" t="s">
        <v>40</v>
      </c>
      <c r="D1713" s="4" t="s">
        <v>23</v>
      </c>
      <c r="E1713" s="4" t="s">
        <v>17</v>
      </c>
      <c r="F1713" s="4" t="s">
        <v>28</v>
      </c>
      <c r="G1713" s="4" t="s">
        <v>19</v>
      </c>
      <c r="H1713" s="4" t="s">
        <v>20</v>
      </c>
      <c r="I1713" s="4">
        <v>5</v>
      </c>
      <c r="J1713" s="5">
        <v>24</v>
      </c>
      <c r="K1713" s="6">
        <v>1.17</v>
      </c>
      <c r="L1713" s="4">
        <v>2</v>
      </c>
      <c r="M1713" s="4">
        <v>95</v>
      </c>
      <c r="N1713" s="4">
        <v>75</v>
      </c>
      <c r="O1713" s="4" t="s">
        <v>21</v>
      </c>
      <c r="P1713" s="7" t="s">
        <v>19</v>
      </c>
    </row>
    <row r="1714" spans="2:16" x14ac:dyDescent="0.45">
      <c r="B1714" s="4">
        <v>1713</v>
      </c>
      <c r="C1714" s="4" t="s">
        <v>39</v>
      </c>
      <c r="D1714" s="4" t="s">
        <v>16</v>
      </c>
      <c r="E1714" s="4" t="s">
        <v>35</v>
      </c>
      <c r="F1714" s="4" t="s">
        <v>24</v>
      </c>
      <c r="G1714" s="4" t="s">
        <v>30</v>
      </c>
      <c r="H1714" s="4" t="s">
        <v>28</v>
      </c>
      <c r="I1714" s="4">
        <v>33</v>
      </c>
      <c r="J1714" s="5">
        <v>74.7</v>
      </c>
      <c r="K1714" s="6">
        <v>1.64</v>
      </c>
      <c r="L1714" s="4">
        <v>8</v>
      </c>
      <c r="M1714" s="4">
        <v>105</v>
      </c>
      <c r="N1714" s="4">
        <v>95</v>
      </c>
      <c r="O1714" s="4" t="s">
        <v>21</v>
      </c>
      <c r="P1714" s="7" t="s">
        <v>30</v>
      </c>
    </row>
    <row r="1715" spans="2:16" x14ac:dyDescent="0.45">
      <c r="B1715" s="4">
        <v>1714</v>
      </c>
      <c r="C1715" s="4" t="s">
        <v>22</v>
      </c>
      <c r="D1715" s="4" t="s">
        <v>23</v>
      </c>
      <c r="E1715" s="4" t="s">
        <v>17</v>
      </c>
      <c r="F1715" s="4" t="s">
        <v>18</v>
      </c>
      <c r="G1715" s="4" t="s">
        <v>19</v>
      </c>
      <c r="H1715" s="4" t="s">
        <v>38</v>
      </c>
      <c r="I1715" s="4">
        <v>13</v>
      </c>
      <c r="J1715" s="5">
        <v>63.5</v>
      </c>
      <c r="K1715" s="6">
        <v>1.59</v>
      </c>
      <c r="L1715" s="4">
        <v>0</v>
      </c>
      <c r="M1715" s="4">
        <v>114</v>
      </c>
      <c r="N1715" s="4">
        <v>73</v>
      </c>
      <c r="O1715" s="4" t="s">
        <v>21</v>
      </c>
      <c r="P1715" s="7" t="s">
        <v>19</v>
      </c>
    </row>
    <row r="1716" spans="2:16" x14ac:dyDescent="0.45">
      <c r="B1716" s="4">
        <v>1715</v>
      </c>
      <c r="C1716" s="4" t="s">
        <v>22</v>
      </c>
      <c r="D1716" s="4" t="s">
        <v>23</v>
      </c>
      <c r="E1716" s="4" t="s">
        <v>17</v>
      </c>
      <c r="F1716" s="4" t="s">
        <v>18</v>
      </c>
      <c r="G1716" s="4" t="s">
        <v>19</v>
      </c>
      <c r="H1716" s="4" t="s">
        <v>36</v>
      </c>
      <c r="I1716" s="4">
        <v>67</v>
      </c>
      <c r="J1716" s="5">
        <v>89.9</v>
      </c>
      <c r="K1716" s="6">
        <v>1.85</v>
      </c>
      <c r="L1716" s="4">
        <v>3</v>
      </c>
      <c r="M1716" s="4">
        <v>147</v>
      </c>
      <c r="N1716" s="4">
        <v>78</v>
      </c>
      <c r="O1716" s="4" t="s">
        <v>26</v>
      </c>
      <c r="P1716" s="7" t="s">
        <v>19</v>
      </c>
    </row>
    <row r="1717" spans="2:16" x14ac:dyDescent="0.45">
      <c r="B1717" s="4">
        <v>1716</v>
      </c>
      <c r="C1717" s="4" t="s">
        <v>45</v>
      </c>
      <c r="D1717" s="4" t="s">
        <v>23</v>
      </c>
      <c r="E1717" s="4" t="s">
        <v>17</v>
      </c>
      <c r="F1717" s="4" t="s">
        <v>28</v>
      </c>
      <c r="G1717" s="4" t="s">
        <v>19</v>
      </c>
      <c r="H1717" s="4" t="s">
        <v>20</v>
      </c>
      <c r="I1717" s="4">
        <v>3</v>
      </c>
      <c r="J1717" s="5">
        <v>8.1</v>
      </c>
      <c r="K1717" s="6">
        <v>0.75</v>
      </c>
      <c r="L1717" s="4">
        <v>4</v>
      </c>
      <c r="M1717" s="4">
        <v>106</v>
      </c>
      <c r="N1717" s="4">
        <v>98</v>
      </c>
      <c r="O1717" s="4" t="s">
        <v>26</v>
      </c>
      <c r="P1717" s="7" t="s">
        <v>19</v>
      </c>
    </row>
    <row r="1718" spans="2:16" x14ac:dyDescent="0.45">
      <c r="B1718" s="4">
        <v>1717</v>
      </c>
      <c r="C1718" s="4" t="s">
        <v>43</v>
      </c>
      <c r="D1718" s="4" t="s">
        <v>16</v>
      </c>
      <c r="E1718" s="4" t="s">
        <v>35</v>
      </c>
      <c r="F1718" s="4" t="s">
        <v>24</v>
      </c>
      <c r="G1718" s="4" t="s">
        <v>19</v>
      </c>
      <c r="H1718" s="4" t="s">
        <v>32</v>
      </c>
      <c r="I1718" s="4">
        <v>55</v>
      </c>
      <c r="J1718" s="5">
        <v>49.7</v>
      </c>
      <c r="K1718" s="6">
        <v>1.55</v>
      </c>
      <c r="L1718" s="4">
        <v>6</v>
      </c>
      <c r="M1718" s="4">
        <v>116</v>
      </c>
      <c r="N1718" s="4">
        <v>154</v>
      </c>
      <c r="O1718" s="4" t="s">
        <v>26</v>
      </c>
      <c r="P1718" s="7" t="s">
        <v>19</v>
      </c>
    </row>
    <row r="1719" spans="2:16" x14ac:dyDescent="0.45">
      <c r="B1719" s="4">
        <v>1718</v>
      </c>
      <c r="C1719" s="4" t="s">
        <v>22</v>
      </c>
      <c r="D1719" s="4" t="s">
        <v>23</v>
      </c>
      <c r="E1719" s="4" t="s">
        <v>17</v>
      </c>
      <c r="F1719" s="4" t="s">
        <v>24</v>
      </c>
      <c r="G1719" s="4" t="s">
        <v>19</v>
      </c>
      <c r="H1719" s="4" t="s">
        <v>38</v>
      </c>
      <c r="I1719" s="4">
        <v>12</v>
      </c>
      <c r="J1719" s="5">
        <v>54.6</v>
      </c>
      <c r="K1719" s="6">
        <v>1.6</v>
      </c>
      <c r="L1719" s="4">
        <v>6</v>
      </c>
      <c r="M1719" s="4">
        <v>99</v>
      </c>
      <c r="N1719" s="4">
        <v>98</v>
      </c>
      <c r="O1719" s="4" t="s">
        <v>26</v>
      </c>
      <c r="P1719" s="7" t="s">
        <v>30</v>
      </c>
    </row>
    <row r="1720" spans="2:16" x14ac:dyDescent="0.45">
      <c r="B1720" s="4">
        <v>1719</v>
      </c>
      <c r="C1720" s="4" t="s">
        <v>27</v>
      </c>
      <c r="D1720" s="4" t="s">
        <v>16</v>
      </c>
      <c r="E1720" s="4" t="s">
        <v>17</v>
      </c>
      <c r="F1720" s="4" t="s">
        <v>24</v>
      </c>
      <c r="G1720" s="4" t="s">
        <v>19</v>
      </c>
      <c r="H1720" s="4" t="s">
        <v>38</v>
      </c>
      <c r="I1720" s="4">
        <v>34</v>
      </c>
      <c r="J1720" s="5">
        <v>51</v>
      </c>
      <c r="K1720" s="6">
        <v>1.9</v>
      </c>
      <c r="L1720" s="4">
        <v>9</v>
      </c>
      <c r="M1720" s="4">
        <v>124</v>
      </c>
      <c r="N1720" s="4">
        <v>102</v>
      </c>
      <c r="O1720" s="4" t="s">
        <v>21</v>
      </c>
      <c r="P1720" s="7" t="s">
        <v>19</v>
      </c>
    </row>
    <row r="1721" spans="2:16" x14ac:dyDescent="0.45">
      <c r="B1721" s="4">
        <v>1720</v>
      </c>
      <c r="C1721" s="4" t="s">
        <v>22</v>
      </c>
      <c r="D1721" s="4" t="s">
        <v>16</v>
      </c>
      <c r="E1721" s="4" t="s">
        <v>17</v>
      </c>
      <c r="F1721" s="4" t="s">
        <v>24</v>
      </c>
      <c r="G1721" s="4" t="s">
        <v>19</v>
      </c>
      <c r="H1721" s="4" t="s">
        <v>46</v>
      </c>
      <c r="I1721" s="4">
        <v>5</v>
      </c>
      <c r="J1721" s="5">
        <v>28.2</v>
      </c>
      <c r="K1721" s="6">
        <v>1.1000000000000001</v>
      </c>
      <c r="L1721" s="4">
        <v>1</v>
      </c>
      <c r="M1721" s="4">
        <v>100</v>
      </c>
      <c r="N1721" s="4">
        <v>74</v>
      </c>
      <c r="O1721" s="4" t="s">
        <v>26</v>
      </c>
      <c r="P1721" s="7" t="s">
        <v>19</v>
      </c>
    </row>
    <row r="1722" spans="2:16" x14ac:dyDescent="0.45">
      <c r="B1722" s="4">
        <v>1721</v>
      </c>
      <c r="C1722" s="4" t="s">
        <v>15</v>
      </c>
      <c r="D1722" s="4" t="s">
        <v>16</v>
      </c>
      <c r="E1722" s="4" t="s">
        <v>17</v>
      </c>
      <c r="F1722" s="4" t="s">
        <v>24</v>
      </c>
      <c r="G1722" s="4" t="s">
        <v>19</v>
      </c>
      <c r="H1722" s="4" t="s">
        <v>28</v>
      </c>
      <c r="I1722" s="4">
        <v>1</v>
      </c>
      <c r="J1722" s="5">
        <v>10</v>
      </c>
      <c r="K1722" s="6">
        <v>0.97</v>
      </c>
      <c r="L1722" s="4">
        <v>5</v>
      </c>
      <c r="M1722" s="4">
        <v>107</v>
      </c>
      <c r="N1722" s="4">
        <v>74</v>
      </c>
      <c r="O1722" s="4" t="s">
        <v>26</v>
      </c>
      <c r="P1722" s="7" t="s">
        <v>19</v>
      </c>
    </row>
    <row r="1723" spans="2:16" x14ac:dyDescent="0.45">
      <c r="B1723" s="4">
        <v>1722</v>
      </c>
      <c r="C1723" s="4" t="s">
        <v>15</v>
      </c>
      <c r="D1723" s="4" t="s">
        <v>16</v>
      </c>
      <c r="E1723" s="4" t="s">
        <v>35</v>
      </c>
      <c r="F1723" s="4" t="s">
        <v>24</v>
      </c>
      <c r="G1723" s="4" t="s">
        <v>19</v>
      </c>
      <c r="H1723" s="4" t="s">
        <v>28</v>
      </c>
      <c r="I1723" s="4">
        <v>11</v>
      </c>
      <c r="J1723" s="5">
        <v>24.9</v>
      </c>
      <c r="K1723" s="6">
        <v>1.38</v>
      </c>
      <c r="L1723" s="4">
        <v>9</v>
      </c>
      <c r="M1723" s="4">
        <v>95</v>
      </c>
      <c r="N1723" s="4">
        <v>83</v>
      </c>
      <c r="O1723" s="4" t="s">
        <v>26</v>
      </c>
      <c r="P1723" s="7" t="s">
        <v>19</v>
      </c>
    </row>
    <row r="1724" spans="2:16" x14ac:dyDescent="0.45">
      <c r="B1724" s="4">
        <v>1723</v>
      </c>
      <c r="C1724" s="4" t="s">
        <v>27</v>
      </c>
      <c r="D1724" s="4" t="s">
        <v>23</v>
      </c>
      <c r="E1724" s="4" t="s">
        <v>17</v>
      </c>
      <c r="F1724" s="4" t="s">
        <v>42</v>
      </c>
      <c r="G1724" s="4" t="s">
        <v>19</v>
      </c>
      <c r="H1724" s="4" t="s">
        <v>20</v>
      </c>
      <c r="I1724" s="4">
        <v>41</v>
      </c>
      <c r="J1724" s="5">
        <v>86.3</v>
      </c>
      <c r="K1724" s="6">
        <v>1.82</v>
      </c>
      <c r="L1724" s="4">
        <v>6</v>
      </c>
      <c r="M1724" s="4">
        <v>108</v>
      </c>
      <c r="N1724" s="4">
        <v>83</v>
      </c>
      <c r="O1724" s="4" t="s">
        <v>26</v>
      </c>
      <c r="P1724" s="7" t="s">
        <v>19</v>
      </c>
    </row>
    <row r="1725" spans="2:16" x14ac:dyDescent="0.45">
      <c r="B1725" s="4">
        <v>1724</v>
      </c>
      <c r="C1725" s="4" t="s">
        <v>27</v>
      </c>
      <c r="D1725" s="4" t="s">
        <v>23</v>
      </c>
      <c r="E1725" s="4" t="s">
        <v>35</v>
      </c>
      <c r="F1725" s="4" t="s">
        <v>18</v>
      </c>
      <c r="G1725" s="4" t="s">
        <v>30</v>
      </c>
      <c r="H1725" s="4" t="s">
        <v>20</v>
      </c>
      <c r="I1725" s="4">
        <v>54</v>
      </c>
      <c r="J1725" s="5">
        <v>60.8</v>
      </c>
      <c r="K1725" s="6">
        <v>1.87</v>
      </c>
      <c r="L1725" s="4">
        <v>8</v>
      </c>
      <c r="M1725" s="4">
        <v>128</v>
      </c>
      <c r="N1725" s="4">
        <v>100</v>
      </c>
      <c r="O1725" s="4" t="s">
        <v>21</v>
      </c>
      <c r="P1725" s="7" t="s">
        <v>19</v>
      </c>
    </row>
    <row r="1726" spans="2:16" x14ac:dyDescent="0.45">
      <c r="B1726" s="4">
        <v>1725</v>
      </c>
      <c r="C1726" s="4" t="s">
        <v>29</v>
      </c>
      <c r="D1726" s="4" t="s">
        <v>23</v>
      </c>
      <c r="E1726" s="4" t="s">
        <v>35</v>
      </c>
      <c r="F1726" s="4" t="s">
        <v>24</v>
      </c>
      <c r="G1726" s="4" t="s">
        <v>19</v>
      </c>
      <c r="H1726" s="4" t="s">
        <v>34</v>
      </c>
      <c r="I1726" s="4">
        <v>77</v>
      </c>
      <c r="J1726" s="5">
        <v>93.8</v>
      </c>
      <c r="K1726" s="6">
        <v>1.72</v>
      </c>
      <c r="L1726" s="4">
        <v>7</v>
      </c>
      <c r="M1726" s="4">
        <v>114</v>
      </c>
      <c r="N1726" s="4">
        <v>72</v>
      </c>
      <c r="O1726" s="4" t="s">
        <v>26</v>
      </c>
      <c r="P1726" s="7" t="s">
        <v>19</v>
      </c>
    </row>
    <row r="1727" spans="2:16" x14ac:dyDescent="0.45">
      <c r="B1727" s="4">
        <v>1726</v>
      </c>
      <c r="C1727" s="4" t="s">
        <v>22</v>
      </c>
      <c r="D1727" s="4" t="s">
        <v>16</v>
      </c>
      <c r="E1727" s="4" t="s">
        <v>17</v>
      </c>
      <c r="F1727" s="4" t="s">
        <v>42</v>
      </c>
      <c r="G1727" s="4" t="s">
        <v>19</v>
      </c>
      <c r="H1727" s="4" t="s">
        <v>28</v>
      </c>
      <c r="I1727" s="4">
        <v>42</v>
      </c>
      <c r="J1727" s="5">
        <v>50.9</v>
      </c>
      <c r="K1727" s="6">
        <v>1.9</v>
      </c>
      <c r="L1727" s="4">
        <v>1</v>
      </c>
      <c r="M1727" s="4">
        <v>111</v>
      </c>
      <c r="N1727" s="4">
        <v>97</v>
      </c>
      <c r="O1727" s="4" t="s">
        <v>21</v>
      </c>
      <c r="P1727" s="7" t="s">
        <v>19</v>
      </c>
    </row>
    <row r="1728" spans="2:16" x14ac:dyDescent="0.45">
      <c r="B1728" s="4">
        <v>1727</v>
      </c>
      <c r="C1728" s="4" t="s">
        <v>45</v>
      </c>
      <c r="D1728" s="4" t="s">
        <v>16</v>
      </c>
      <c r="E1728" s="4" t="s">
        <v>17</v>
      </c>
      <c r="F1728" s="4" t="s">
        <v>24</v>
      </c>
      <c r="G1728" s="4" t="s">
        <v>30</v>
      </c>
      <c r="H1728" s="4" t="s">
        <v>25</v>
      </c>
      <c r="I1728" s="4">
        <v>58</v>
      </c>
      <c r="J1728" s="5">
        <v>59.2</v>
      </c>
      <c r="K1728" s="6">
        <v>1.52</v>
      </c>
      <c r="L1728" s="4">
        <v>3</v>
      </c>
      <c r="M1728" s="4">
        <v>119</v>
      </c>
      <c r="N1728" s="4">
        <v>74</v>
      </c>
      <c r="O1728" s="4" t="s">
        <v>26</v>
      </c>
      <c r="P1728" s="7" t="s">
        <v>19</v>
      </c>
    </row>
    <row r="1729" spans="2:16" x14ac:dyDescent="0.45">
      <c r="B1729" s="4">
        <v>1728</v>
      </c>
      <c r="C1729" s="4" t="s">
        <v>27</v>
      </c>
      <c r="D1729" s="4" t="s">
        <v>23</v>
      </c>
      <c r="E1729" s="4" t="s">
        <v>35</v>
      </c>
      <c r="F1729" s="4" t="s">
        <v>18</v>
      </c>
      <c r="G1729" s="4" t="s">
        <v>19</v>
      </c>
      <c r="H1729" s="4" t="s">
        <v>20</v>
      </c>
      <c r="I1729" s="4">
        <v>39</v>
      </c>
      <c r="J1729" s="5">
        <v>46.8</v>
      </c>
      <c r="K1729" s="6">
        <v>1.53</v>
      </c>
      <c r="L1729" s="4">
        <v>0</v>
      </c>
      <c r="M1729" s="4">
        <v>106</v>
      </c>
      <c r="N1729" s="4">
        <v>101</v>
      </c>
      <c r="O1729" s="4" t="s">
        <v>26</v>
      </c>
      <c r="P1729" s="7" t="s">
        <v>19</v>
      </c>
    </row>
    <row r="1730" spans="2:16" x14ac:dyDescent="0.45">
      <c r="B1730" s="4">
        <v>1729</v>
      </c>
      <c r="C1730" s="4" t="s">
        <v>31</v>
      </c>
      <c r="D1730" s="4" t="s">
        <v>16</v>
      </c>
      <c r="E1730" s="4" t="s">
        <v>17</v>
      </c>
      <c r="F1730" s="4" t="s">
        <v>42</v>
      </c>
      <c r="G1730" s="4" t="s">
        <v>19</v>
      </c>
      <c r="H1730" s="4" t="s">
        <v>28</v>
      </c>
      <c r="I1730" s="4">
        <v>46</v>
      </c>
      <c r="J1730" s="5">
        <v>81.400000000000006</v>
      </c>
      <c r="K1730" s="6">
        <v>1.77</v>
      </c>
      <c r="L1730" s="4">
        <v>3</v>
      </c>
      <c r="M1730" s="4">
        <v>104</v>
      </c>
      <c r="N1730" s="4">
        <v>104</v>
      </c>
      <c r="O1730" s="4" t="s">
        <v>21</v>
      </c>
      <c r="P1730" s="7" t="s">
        <v>19</v>
      </c>
    </row>
    <row r="1731" spans="2:16" x14ac:dyDescent="0.45">
      <c r="B1731" s="4">
        <v>1730</v>
      </c>
      <c r="C1731" s="4" t="s">
        <v>27</v>
      </c>
      <c r="D1731" s="4" t="s">
        <v>16</v>
      </c>
      <c r="E1731" s="4" t="s">
        <v>44</v>
      </c>
      <c r="F1731" s="4" t="s">
        <v>42</v>
      </c>
      <c r="G1731" s="4" t="s">
        <v>19</v>
      </c>
      <c r="H1731" s="4" t="s">
        <v>32</v>
      </c>
      <c r="I1731" s="4">
        <v>11</v>
      </c>
      <c r="J1731" s="5">
        <v>19.100000000000001</v>
      </c>
      <c r="K1731" s="6">
        <v>1.2</v>
      </c>
      <c r="L1731" s="4">
        <v>10</v>
      </c>
      <c r="M1731" s="4">
        <v>107</v>
      </c>
      <c r="N1731" s="4">
        <v>171</v>
      </c>
      <c r="O1731" s="4" t="s">
        <v>21</v>
      </c>
      <c r="P1731" s="7" t="s">
        <v>19</v>
      </c>
    </row>
    <row r="1732" spans="2:16" x14ac:dyDescent="0.45">
      <c r="B1732" s="4">
        <v>1731</v>
      </c>
      <c r="C1732" s="4" t="s">
        <v>27</v>
      </c>
      <c r="D1732" s="4" t="s">
        <v>16</v>
      </c>
      <c r="E1732" s="4" t="s">
        <v>17</v>
      </c>
      <c r="F1732" s="4" t="s">
        <v>18</v>
      </c>
      <c r="G1732" s="4" t="s">
        <v>30</v>
      </c>
      <c r="H1732" s="4" t="s">
        <v>46</v>
      </c>
      <c r="I1732" s="4">
        <v>23</v>
      </c>
      <c r="J1732" s="5">
        <v>62.3</v>
      </c>
      <c r="K1732" s="6">
        <v>1.65</v>
      </c>
      <c r="L1732" s="4">
        <v>5</v>
      </c>
      <c r="M1732" s="4">
        <v>115</v>
      </c>
      <c r="N1732" s="4">
        <v>92</v>
      </c>
      <c r="O1732" s="4" t="s">
        <v>21</v>
      </c>
      <c r="P1732" s="7" t="s">
        <v>19</v>
      </c>
    </row>
    <row r="1733" spans="2:16" x14ac:dyDescent="0.45">
      <c r="B1733" s="4">
        <v>1732</v>
      </c>
      <c r="C1733" s="4" t="s">
        <v>15</v>
      </c>
      <c r="D1733" s="4" t="s">
        <v>23</v>
      </c>
      <c r="E1733" s="4" t="s">
        <v>17</v>
      </c>
      <c r="F1733" s="4" t="s">
        <v>24</v>
      </c>
      <c r="G1733" s="4" t="s">
        <v>30</v>
      </c>
      <c r="H1733" s="4" t="s">
        <v>20</v>
      </c>
      <c r="I1733" s="4">
        <v>14</v>
      </c>
      <c r="J1733" s="5">
        <v>48.2</v>
      </c>
      <c r="K1733" s="6">
        <v>1.48</v>
      </c>
      <c r="L1733" s="4">
        <v>3</v>
      </c>
      <c r="M1733" s="4">
        <v>101</v>
      </c>
      <c r="N1733" s="4">
        <v>102</v>
      </c>
      <c r="O1733" s="4" t="s">
        <v>21</v>
      </c>
      <c r="P1733" s="7" t="s">
        <v>19</v>
      </c>
    </row>
    <row r="1734" spans="2:16" x14ac:dyDescent="0.45">
      <c r="B1734" s="4">
        <v>1733</v>
      </c>
      <c r="C1734" s="4" t="s">
        <v>15</v>
      </c>
      <c r="D1734" s="4" t="s">
        <v>16</v>
      </c>
      <c r="E1734" s="4" t="s">
        <v>44</v>
      </c>
      <c r="F1734" s="4" t="s">
        <v>18</v>
      </c>
      <c r="G1734" s="4" t="s">
        <v>19</v>
      </c>
      <c r="H1734" s="4" t="s">
        <v>36</v>
      </c>
      <c r="I1734" s="4">
        <v>14</v>
      </c>
      <c r="J1734" s="5">
        <v>48.4</v>
      </c>
      <c r="K1734" s="6">
        <v>1.58</v>
      </c>
      <c r="L1734" s="4">
        <v>2</v>
      </c>
      <c r="M1734" s="4">
        <v>114</v>
      </c>
      <c r="N1734" s="4">
        <v>82</v>
      </c>
      <c r="O1734" s="4" t="s">
        <v>21</v>
      </c>
      <c r="P1734" s="7" t="s">
        <v>19</v>
      </c>
    </row>
    <row r="1735" spans="2:16" x14ac:dyDescent="0.45">
      <c r="B1735" s="4">
        <v>1734</v>
      </c>
      <c r="C1735" s="4" t="s">
        <v>43</v>
      </c>
      <c r="D1735" s="4" t="s">
        <v>16</v>
      </c>
      <c r="E1735" s="4" t="s">
        <v>35</v>
      </c>
      <c r="F1735" s="4" t="s">
        <v>28</v>
      </c>
      <c r="G1735" s="4" t="s">
        <v>19</v>
      </c>
      <c r="H1735" s="4" t="s">
        <v>20</v>
      </c>
      <c r="I1735" s="4">
        <v>5</v>
      </c>
      <c r="J1735" s="5">
        <v>31</v>
      </c>
      <c r="K1735" s="6">
        <v>1.22</v>
      </c>
      <c r="L1735" s="4">
        <v>6</v>
      </c>
      <c r="M1735" s="4">
        <v>104</v>
      </c>
      <c r="N1735" s="4">
        <v>81</v>
      </c>
      <c r="O1735" s="4" t="s">
        <v>26</v>
      </c>
      <c r="P1735" s="7" t="s">
        <v>19</v>
      </c>
    </row>
    <row r="1736" spans="2:16" x14ac:dyDescent="0.45">
      <c r="B1736" s="4">
        <v>1735</v>
      </c>
      <c r="C1736" s="4" t="s">
        <v>22</v>
      </c>
      <c r="D1736" s="4" t="s">
        <v>16</v>
      </c>
      <c r="E1736" s="4" t="s">
        <v>35</v>
      </c>
      <c r="F1736" s="4" t="s">
        <v>42</v>
      </c>
      <c r="G1736" s="4" t="s">
        <v>19</v>
      </c>
      <c r="H1736" s="4" t="s">
        <v>20</v>
      </c>
      <c r="I1736" s="4">
        <v>33</v>
      </c>
      <c r="J1736" s="5">
        <v>54.4</v>
      </c>
      <c r="K1736" s="6">
        <v>1.85</v>
      </c>
      <c r="L1736" s="4">
        <v>2</v>
      </c>
      <c r="M1736" s="4">
        <v>111</v>
      </c>
      <c r="N1736" s="4">
        <v>89</v>
      </c>
      <c r="O1736" s="4" t="s">
        <v>26</v>
      </c>
      <c r="P1736" s="7" t="s">
        <v>19</v>
      </c>
    </row>
    <row r="1737" spans="2:16" x14ac:dyDescent="0.45">
      <c r="B1737" s="4">
        <v>1736</v>
      </c>
      <c r="C1737" s="4" t="s">
        <v>41</v>
      </c>
      <c r="D1737" s="4" t="s">
        <v>16</v>
      </c>
      <c r="E1737" s="4" t="s">
        <v>17</v>
      </c>
      <c r="F1737" s="4" t="s">
        <v>18</v>
      </c>
      <c r="G1737" s="4" t="s">
        <v>19</v>
      </c>
      <c r="H1737" s="4" t="s">
        <v>28</v>
      </c>
      <c r="I1737" s="4">
        <v>19</v>
      </c>
      <c r="J1737" s="5">
        <v>80.2</v>
      </c>
      <c r="K1737" s="6">
        <v>1.63</v>
      </c>
      <c r="L1737" s="4">
        <v>2</v>
      </c>
      <c r="M1737" s="4">
        <v>107</v>
      </c>
      <c r="N1737" s="4">
        <v>104</v>
      </c>
      <c r="O1737" s="4" t="s">
        <v>26</v>
      </c>
      <c r="P1737" s="7" t="s">
        <v>19</v>
      </c>
    </row>
    <row r="1738" spans="2:16" x14ac:dyDescent="0.45">
      <c r="B1738" s="4">
        <v>1737</v>
      </c>
      <c r="C1738" s="4" t="s">
        <v>41</v>
      </c>
      <c r="D1738" s="4" t="s">
        <v>16</v>
      </c>
      <c r="E1738" s="4" t="s">
        <v>17</v>
      </c>
      <c r="F1738" s="4" t="s">
        <v>24</v>
      </c>
      <c r="G1738" s="4" t="s">
        <v>19</v>
      </c>
      <c r="H1738" s="4" t="s">
        <v>28</v>
      </c>
      <c r="I1738" s="4">
        <v>23</v>
      </c>
      <c r="J1738" s="5">
        <v>60.7</v>
      </c>
      <c r="K1738" s="6">
        <v>1.88</v>
      </c>
      <c r="L1738" s="4">
        <v>10</v>
      </c>
      <c r="M1738" s="4">
        <v>108</v>
      </c>
      <c r="N1738" s="4">
        <v>76</v>
      </c>
      <c r="O1738" s="4" t="s">
        <v>21</v>
      </c>
      <c r="P1738" s="7" t="s">
        <v>19</v>
      </c>
    </row>
    <row r="1739" spans="2:16" x14ac:dyDescent="0.45">
      <c r="B1739" s="4">
        <v>1738</v>
      </c>
      <c r="C1739" s="4" t="s">
        <v>27</v>
      </c>
      <c r="D1739" s="4" t="s">
        <v>16</v>
      </c>
      <c r="E1739" s="4" t="s">
        <v>17</v>
      </c>
      <c r="F1739" s="4" t="s">
        <v>42</v>
      </c>
      <c r="G1739" s="4" t="s">
        <v>19</v>
      </c>
      <c r="H1739" s="4" t="s">
        <v>20</v>
      </c>
      <c r="I1739" s="4">
        <v>24</v>
      </c>
      <c r="J1739" s="5">
        <v>50.2</v>
      </c>
      <c r="K1739" s="6">
        <v>1.52</v>
      </c>
      <c r="L1739" s="4">
        <v>3</v>
      </c>
      <c r="M1739" s="4">
        <v>122</v>
      </c>
      <c r="N1739" s="4">
        <v>103</v>
      </c>
      <c r="O1739" s="4" t="s">
        <v>26</v>
      </c>
      <c r="P1739" s="7" t="s">
        <v>19</v>
      </c>
    </row>
    <row r="1740" spans="2:16" x14ac:dyDescent="0.45">
      <c r="B1740" s="4">
        <v>1739</v>
      </c>
      <c r="C1740" s="4" t="s">
        <v>40</v>
      </c>
      <c r="D1740" s="4" t="s">
        <v>16</v>
      </c>
      <c r="E1740" s="4" t="s">
        <v>17</v>
      </c>
      <c r="F1740" s="4" t="s">
        <v>18</v>
      </c>
      <c r="G1740" s="4" t="s">
        <v>19</v>
      </c>
      <c r="H1740" s="4" t="s">
        <v>20</v>
      </c>
      <c r="I1740" s="4">
        <v>19</v>
      </c>
      <c r="J1740" s="5">
        <v>64.2</v>
      </c>
      <c r="K1740" s="6">
        <v>1.73</v>
      </c>
      <c r="L1740" s="4">
        <v>5</v>
      </c>
      <c r="M1740" s="4">
        <v>104</v>
      </c>
      <c r="N1740" s="4">
        <v>92</v>
      </c>
      <c r="O1740" s="4" t="s">
        <v>26</v>
      </c>
      <c r="P1740" s="7" t="s">
        <v>19</v>
      </c>
    </row>
    <row r="1741" spans="2:16" x14ac:dyDescent="0.45">
      <c r="B1741" s="4">
        <v>1740</v>
      </c>
      <c r="C1741" s="4" t="s">
        <v>27</v>
      </c>
      <c r="D1741" s="4" t="s">
        <v>23</v>
      </c>
      <c r="E1741" s="4" t="s">
        <v>17</v>
      </c>
      <c r="F1741" s="4" t="s">
        <v>42</v>
      </c>
      <c r="G1741" s="4" t="s">
        <v>30</v>
      </c>
      <c r="H1741" s="4" t="s">
        <v>32</v>
      </c>
      <c r="I1741" s="4">
        <v>37</v>
      </c>
      <c r="J1741" s="5">
        <v>88.3</v>
      </c>
      <c r="K1741" s="6">
        <v>1.74</v>
      </c>
      <c r="L1741" s="4">
        <v>3</v>
      </c>
      <c r="M1741" s="4">
        <v>112</v>
      </c>
      <c r="N1741" s="4">
        <v>154</v>
      </c>
      <c r="O1741" s="4" t="s">
        <v>21</v>
      </c>
      <c r="P1741" s="7" t="s">
        <v>19</v>
      </c>
    </row>
    <row r="1742" spans="2:16" x14ac:dyDescent="0.45">
      <c r="B1742" s="4">
        <v>1741</v>
      </c>
      <c r="C1742" s="4" t="s">
        <v>29</v>
      </c>
      <c r="D1742" s="4" t="s">
        <v>16</v>
      </c>
      <c r="E1742" s="4" t="s">
        <v>35</v>
      </c>
      <c r="F1742" s="4" t="s">
        <v>24</v>
      </c>
      <c r="G1742" s="4" t="s">
        <v>19</v>
      </c>
      <c r="H1742" s="4" t="s">
        <v>36</v>
      </c>
      <c r="I1742" s="4">
        <v>60</v>
      </c>
      <c r="J1742" s="5">
        <v>64.400000000000006</v>
      </c>
      <c r="K1742" s="6">
        <v>1.57</v>
      </c>
      <c r="L1742" s="4">
        <v>3</v>
      </c>
      <c r="M1742" s="4">
        <v>136</v>
      </c>
      <c r="N1742" s="4">
        <v>72</v>
      </c>
      <c r="O1742" s="4" t="s">
        <v>26</v>
      </c>
      <c r="P1742" s="7" t="s">
        <v>19</v>
      </c>
    </row>
    <row r="1743" spans="2:16" x14ac:dyDescent="0.45">
      <c r="B1743" s="4">
        <v>1742</v>
      </c>
      <c r="C1743" s="4" t="s">
        <v>41</v>
      </c>
      <c r="D1743" s="4" t="s">
        <v>23</v>
      </c>
      <c r="E1743" s="4" t="s">
        <v>35</v>
      </c>
      <c r="F1743" s="4" t="s">
        <v>42</v>
      </c>
      <c r="G1743" s="4" t="s">
        <v>19</v>
      </c>
      <c r="H1743" s="4" t="s">
        <v>36</v>
      </c>
      <c r="I1743" s="4">
        <v>14</v>
      </c>
      <c r="J1743" s="5">
        <v>57.4</v>
      </c>
      <c r="K1743" s="6">
        <v>1.53</v>
      </c>
      <c r="L1743" s="4">
        <v>1</v>
      </c>
      <c r="M1743" s="4">
        <v>142</v>
      </c>
      <c r="N1743" s="4">
        <v>91</v>
      </c>
      <c r="O1743" s="4" t="s">
        <v>26</v>
      </c>
      <c r="P1743" s="7" t="s">
        <v>19</v>
      </c>
    </row>
    <row r="1744" spans="2:16" x14ac:dyDescent="0.45">
      <c r="B1744" s="4">
        <v>1743</v>
      </c>
      <c r="C1744" s="4" t="s">
        <v>41</v>
      </c>
      <c r="D1744" s="4" t="s">
        <v>23</v>
      </c>
      <c r="E1744" s="4" t="s">
        <v>44</v>
      </c>
      <c r="F1744" s="4" t="s">
        <v>18</v>
      </c>
      <c r="G1744" s="4" t="s">
        <v>19</v>
      </c>
      <c r="H1744" s="4" t="s">
        <v>34</v>
      </c>
      <c r="I1744" s="4">
        <v>15</v>
      </c>
      <c r="J1744" s="5">
        <v>40.299999999999997</v>
      </c>
      <c r="K1744" s="6">
        <v>1.5</v>
      </c>
      <c r="L1744" s="4">
        <v>7</v>
      </c>
      <c r="M1744" s="4">
        <v>109</v>
      </c>
      <c r="N1744" s="4">
        <v>103</v>
      </c>
      <c r="O1744" s="4" t="s">
        <v>26</v>
      </c>
      <c r="P1744" s="7" t="s">
        <v>19</v>
      </c>
    </row>
    <row r="1745" spans="2:16" x14ac:dyDescent="0.45">
      <c r="B1745" s="4">
        <v>1744</v>
      </c>
      <c r="C1745" s="4" t="s">
        <v>22</v>
      </c>
      <c r="D1745" s="4" t="s">
        <v>23</v>
      </c>
      <c r="E1745" s="4" t="s">
        <v>17</v>
      </c>
      <c r="F1745" s="4" t="s">
        <v>24</v>
      </c>
      <c r="G1745" s="4" t="s">
        <v>19</v>
      </c>
      <c r="H1745" s="4" t="s">
        <v>28</v>
      </c>
      <c r="I1745" s="4">
        <v>38</v>
      </c>
      <c r="J1745" s="5">
        <v>62.3</v>
      </c>
      <c r="K1745" s="6">
        <v>1.66</v>
      </c>
      <c r="L1745" s="4">
        <v>3</v>
      </c>
      <c r="M1745" s="4">
        <v>108</v>
      </c>
      <c r="N1745" s="4">
        <v>93</v>
      </c>
      <c r="O1745" s="4" t="s">
        <v>26</v>
      </c>
      <c r="P1745" s="7" t="s">
        <v>30</v>
      </c>
    </row>
    <row r="1746" spans="2:16" x14ac:dyDescent="0.45">
      <c r="B1746" s="4">
        <v>1745</v>
      </c>
      <c r="C1746" s="4" t="s">
        <v>29</v>
      </c>
      <c r="D1746" s="4" t="s">
        <v>16</v>
      </c>
      <c r="E1746" s="4" t="s">
        <v>35</v>
      </c>
      <c r="F1746" s="4" t="s">
        <v>28</v>
      </c>
      <c r="G1746" s="4" t="s">
        <v>30</v>
      </c>
      <c r="H1746" s="4" t="s">
        <v>36</v>
      </c>
      <c r="I1746" s="4">
        <v>11</v>
      </c>
      <c r="J1746" s="5">
        <v>34.799999999999997</v>
      </c>
      <c r="K1746" s="6">
        <v>1.06</v>
      </c>
      <c r="L1746" s="4">
        <v>4</v>
      </c>
      <c r="M1746" s="4">
        <v>118</v>
      </c>
      <c r="N1746" s="4">
        <v>82</v>
      </c>
      <c r="O1746" s="4" t="s">
        <v>21</v>
      </c>
      <c r="P1746" s="7" t="s">
        <v>19</v>
      </c>
    </row>
    <row r="1747" spans="2:16" x14ac:dyDescent="0.45">
      <c r="B1747" s="4">
        <v>1746</v>
      </c>
      <c r="C1747" s="4" t="s">
        <v>43</v>
      </c>
      <c r="D1747" s="4" t="s">
        <v>23</v>
      </c>
      <c r="E1747" s="4" t="s">
        <v>37</v>
      </c>
      <c r="F1747" s="4" t="s">
        <v>18</v>
      </c>
      <c r="G1747" s="4" t="s">
        <v>19</v>
      </c>
      <c r="H1747" s="4" t="s">
        <v>46</v>
      </c>
      <c r="I1747" s="4">
        <v>58</v>
      </c>
      <c r="J1747" s="5">
        <v>80.900000000000006</v>
      </c>
      <c r="K1747" s="6">
        <v>1.68</v>
      </c>
      <c r="L1747" s="4">
        <v>4</v>
      </c>
      <c r="M1747" s="4">
        <v>131</v>
      </c>
      <c r="N1747" s="4">
        <v>97</v>
      </c>
      <c r="O1747" s="4" t="s">
        <v>26</v>
      </c>
      <c r="P1747" s="7" t="s">
        <v>19</v>
      </c>
    </row>
    <row r="1748" spans="2:16" x14ac:dyDescent="0.45">
      <c r="B1748" s="4">
        <v>1747</v>
      </c>
      <c r="C1748" s="4" t="s">
        <v>27</v>
      </c>
      <c r="D1748" s="4" t="s">
        <v>23</v>
      </c>
      <c r="E1748" s="4" t="s">
        <v>17</v>
      </c>
      <c r="F1748" s="4" t="s">
        <v>18</v>
      </c>
      <c r="G1748" s="4" t="s">
        <v>19</v>
      </c>
      <c r="H1748" s="4" t="s">
        <v>28</v>
      </c>
      <c r="I1748" s="4">
        <v>28</v>
      </c>
      <c r="J1748" s="5">
        <v>46.4</v>
      </c>
      <c r="K1748" s="6">
        <v>1.75</v>
      </c>
      <c r="L1748" s="4">
        <v>3</v>
      </c>
      <c r="M1748" s="4">
        <v>100</v>
      </c>
      <c r="N1748" s="4">
        <v>102</v>
      </c>
      <c r="O1748" s="4" t="s">
        <v>26</v>
      </c>
      <c r="P1748" s="7" t="s">
        <v>19</v>
      </c>
    </row>
    <row r="1749" spans="2:16" x14ac:dyDescent="0.45">
      <c r="B1749" s="4">
        <v>1748</v>
      </c>
      <c r="C1749" s="4" t="s">
        <v>27</v>
      </c>
      <c r="D1749" s="4" t="s">
        <v>16</v>
      </c>
      <c r="E1749" s="4" t="s">
        <v>17</v>
      </c>
      <c r="F1749" s="4" t="s">
        <v>24</v>
      </c>
      <c r="G1749" s="4" t="s">
        <v>19</v>
      </c>
      <c r="H1749" s="4" t="s">
        <v>32</v>
      </c>
      <c r="I1749" s="4">
        <v>16</v>
      </c>
      <c r="J1749" s="5">
        <v>61.2</v>
      </c>
      <c r="K1749" s="6">
        <v>1.52</v>
      </c>
      <c r="L1749" s="4">
        <v>6</v>
      </c>
      <c r="M1749" s="4">
        <v>113</v>
      </c>
      <c r="N1749" s="4">
        <v>141</v>
      </c>
      <c r="O1749" s="4" t="s">
        <v>26</v>
      </c>
      <c r="P1749" s="7" t="s">
        <v>19</v>
      </c>
    </row>
    <row r="1750" spans="2:16" x14ac:dyDescent="0.45">
      <c r="B1750" s="4">
        <v>1749</v>
      </c>
      <c r="C1750" s="4" t="s">
        <v>41</v>
      </c>
      <c r="D1750" s="4" t="s">
        <v>23</v>
      </c>
      <c r="E1750" s="4" t="s">
        <v>35</v>
      </c>
      <c r="F1750" s="4" t="s">
        <v>24</v>
      </c>
      <c r="G1750" s="4" t="s">
        <v>19</v>
      </c>
      <c r="H1750" s="4" t="s">
        <v>32</v>
      </c>
      <c r="I1750" s="4">
        <v>0</v>
      </c>
      <c r="J1750" s="5">
        <v>12.7</v>
      </c>
      <c r="K1750" s="6">
        <v>1.03</v>
      </c>
      <c r="L1750" s="4">
        <v>2</v>
      </c>
      <c r="M1750" s="4">
        <v>92</v>
      </c>
      <c r="N1750" s="4">
        <v>162</v>
      </c>
      <c r="O1750" s="4" t="s">
        <v>21</v>
      </c>
      <c r="P1750" s="7" t="s">
        <v>19</v>
      </c>
    </row>
    <row r="1751" spans="2:16" x14ac:dyDescent="0.45">
      <c r="B1751" s="4">
        <v>1750</v>
      </c>
      <c r="C1751" s="4" t="s">
        <v>43</v>
      </c>
      <c r="D1751" s="4" t="s">
        <v>16</v>
      </c>
      <c r="E1751" s="4" t="s">
        <v>17</v>
      </c>
      <c r="F1751" s="4" t="s">
        <v>24</v>
      </c>
      <c r="G1751" s="4" t="s">
        <v>19</v>
      </c>
      <c r="H1751" s="4" t="s">
        <v>46</v>
      </c>
      <c r="I1751" s="4">
        <v>19</v>
      </c>
      <c r="J1751" s="5">
        <v>84</v>
      </c>
      <c r="K1751" s="6">
        <v>1.51</v>
      </c>
      <c r="L1751" s="4">
        <v>1</v>
      </c>
      <c r="M1751" s="4">
        <v>99</v>
      </c>
      <c r="N1751" s="4">
        <v>78</v>
      </c>
      <c r="O1751" s="4" t="s">
        <v>21</v>
      </c>
      <c r="P1751" s="7" t="s">
        <v>19</v>
      </c>
    </row>
    <row r="1752" spans="2:16" x14ac:dyDescent="0.45">
      <c r="B1752" s="4">
        <v>1751</v>
      </c>
      <c r="C1752" s="4" t="s">
        <v>29</v>
      </c>
      <c r="D1752" s="4" t="s">
        <v>23</v>
      </c>
      <c r="E1752" s="4" t="s">
        <v>17</v>
      </c>
      <c r="F1752" s="4" t="s">
        <v>24</v>
      </c>
      <c r="G1752" s="4" t="s">
        <v>19</v>
      </c>
      <c r="H1752" s="4" t="s">
        <v>28</v>
      </c>
      <c r="I1752" s="4">
        <v>28</v>
      </c>
      <c r="J1752" s="5">
        <v>68.5</v>
      </c>
      <c r="K1752" s="6">
        <v>1.54</v>
      </c>
      <c r="L1752" s="4">
        <v>2</v>
      </c>
      <c r="M1752" s="4">
        <v>121</v>
      </c>
      <c r="N1752" s="4">
        <v>75</v>
      </c>
      <c r="O1752" s="4" t="s">
        <v>21</v>
      </c>
      <c r="P1752" s="7" t="s">
        <v>19</v>
      </c>
    </row>
    <row r="1753" spans="2:16" x14ac:dyDescent="0.45">
      <c r="B1753" s="4">
        <v>1752</v>
      </c>
      <c r="C1753" s="4" t="s">
        <v>27</v>
      </c>
      <c r="D1753" s="4" t="s">
        <v>23</v>
      </c>
      <c r="E1753" s="4" t="s">
        <v>17</v>
      </c>
      <c r="F1753" s="4" t="s">
        <v>18</v>
      </c>
      <c r="G1753" s="4" t="s">
        <v>19</v>
      </c>
      <c r="H1753" s="4" t="s">
        <v>34</v>
      </c>
      <c r="I1753" s="4">
        <v>10</v>
      </c>
      <c r="J1753" s="5">
        <v>26.5</v>
      </c>
      <c r="K1753" s="6">
        <v>1.22</v>
      </c>
      <c r="L1753" s="4">
        <v>2</v>
      </c>
      <c r="M1753" s="4">
        <v>106</v>
      </c>
      <c r="N1753" s="4">
        <v>75</v>
      </c>
      <c r="O1753" s="4" t="s">
        <v>21</v>
      </c>
      <c r="P1753" s="7" t="s">
        <v>19</v>
      </c>
    </row>
    <row r="1754" spans="2:16" x14ac:dyDescent="0.45">
      <c r="B1754" s="4">
        <v>1753</v>
      </c>
      <c r="C1754" s="4" t="s">
        <v>29</v>
      </c>
      <c r="D1754" s="4" t="s">
        <v>23</v>
      </c>
      <c r="E1754" s="4" t="s">
        <v>17</v>
      </c>
      <c r="F1754" s="4" t="s">
        <v>18</v>
      </c>
      <c r="G1754" s="4" t="s">
        <v>30</v>
      </c>
      <c r="H1754" s="4" t="s">
        <v>28</v>
      </c>
      <c r="I1754" s="4">
        <v>39</v>
      </c>
      <c r="J1754" s="5">
        <v>69.599999999999994</v>
      </c>
      <c r="K1754" s="6">
        <v>1.79</v>
      </c>
      <c r="L1754" s="4">
        <v>1</v>
      </c>
      <c r="M1754" s="4">
        <v>117</v>
      </c>
      <c r="N1754" s="4">
        <v>105</v>
      </c>
      <c r="O1754" s="4" t="s">
        <v>21</v>
      </c>
      <c r="P1754" s="7" t="s">
        <v>19</v>
      </c>
    </row>
    <row r="1755" spans="2:16" x14ac:dyDescent="0.45">
      <c r="B1755" s="4">
        <v>1754</v>
      </c>
      <c r="C1755" s="4" t="s">
        <v>22</v>
      </c>
      <c r="D1755" s="4" t="s">
        <v>16</v>
      </c>
      <c r="E1755" s="4" t="s">
        <v>35</v>
      </c>
      <c r="F1755" s="4" t="s">
        <v>18</v>
      </c>
      <c r="G1755" s="4" t="s">
        <v>19</v>
      </c>
      <c r="H1755" s="4" t="s">
        <v>20</v>
      </c>
      <c r="I1755" s="4">
        <v>21</v>
      </c>
      <c r="J1755" s="5">
        <v>56.4</v>
      </c>
      <c r="K1755" s="6">
        <v>1.83</v>
      </c>
      <c r="L1755" s="4">
        <v>5</v>
      </c>
      <c r="M1755" s="4">
        <v>99</v>
      </c>
      <c r="N1755" s="4">
        <v>103</v>
      </c>
      <c r="O1755" s="4" t="s">
        <v>26</v>
      </c>
      <c r="P1755" s="7" t="s">
        <v>19</v>
      </c>
    </row>
    <row r="1756" spans="2:16" x14ac:dyDescent="0.45">
      <c r="B1756" s="4">
        <v>1755</v>
      </c>
      <c r="C1756" s="4" t="s">
        <v>39</v>
      </c>
      <c r="D1756" s="4" t="s">
        <v>23</v>
      </c>
      <c r="E1756" s="4" t="s">
        <v>35</v>
      </c>
      <c r="F1756" s="4" t="s">
        <v>18</v>
      </c>
      <c r="G1756" s="4" t="s">
        <v>30</v>
      </c>
      <c r="H1756" s="4" t="s">
        <v>32</v>
      </c>
      <c r="I1756" s="4">
        <v>41</v>
      </c>
      <c r="J1756" s="5">
        <v>81.7</v>
      </c>
      <c r="K1756" s="6">
        <v>1.64</v>
      </c>
      <c r="L1756" s="4">
        <v>5</v>
      </c>
      <c r="M1756" s="4">
        <v>110</v>
      </c>
      <c r="N1756" s="4">
        <v>165</v>
      </c>
      <c r="O1756" s="4" t="s">
        <v>21</v>
      </c>
      <c r="P1756" s="7" t="s">
        <v>19</v>
      </c>
    </row>
    <row r="1757" spans="2:16" x14ac:dyDescent="0.45">
      <c r="B1757" s="4">
        <v>1756</v>
      </c>
      <c r="C1757" s="4" t="s">
        <v>22</v>
      </c>
      <c r="D1757" s="4" t="s">
        <v>23</v>
      </c>
      <c r="E1757" s="4" t="s">
        <v>17</v>
      </c>
      <c r="F1757" s="4" t="s">
        <v>28</v>
      </c>
      <c r="G1757" s="4" t="s">
        <v>30</v>
      </c>
      <c r="H1757" s="4" t="s">
        <v>28</v>
      </c>
      <c r="I1757" s="4">
        <v>3</v>
      </c>
      <c r="J1757" s="5">
        <v>14.9</v>
      </c>
      <c r="K1757" s="6">
        <v>0.81</v>
      </c>
      <c r="L1757" s="4">
        <v>1</v>
      </c>
      <c r="M1757" s="4">
        <v>91</v>
      </c>
      <c r="N1757" s="4">
        <v>74</v>
      </c>
      <c r="O1757" s="4" t="s">
        <v>26</v>
      </c>
      <c r="P1757" s="7" t="s">
        <v>19</v>
      </c>
    </row>
    <row r="1758" spans="2:16" x14ac:dyDescent="0.45">
      <c r="B1758" s="4">
        <v>1757</v>
      </c>
      <c r="C1758" s="4" t="s">
        <v>31</v>
      </c>
      <c r="D1758" s="4" t="s">
        <v>23</v>
      </c>
      <c r="E1758" s="4" t="s">
        <v>17</v>
      </c>
      <c r="F1758" s="4" t="s">
        <v>18</v>
      </c>
      <c r="G1758" s="4" t="s">
        <v>19</v>
      </c>
      <c r="H1758" s="4" t="s">
        <v>34</v>
      </c>
      <c r="I1758" s="4">
        <v>64</v>
      </c>
      <c r="J1758" s="5">
        <v>50.6</v>
      </c>
      <c r="K1758" s="6">
        <v>1.88</v>
      </c>
      <c r="L1758" s="4">
        <v>0</v>
      </c>
      <c r="M1758" s="4">
        <v>130</v>
      </c>
      <c r="N1758" s="4">
        <v>75</v>
      </c>
      <c r="O1758" s="4" t="s">
        <v>26</v>
      </c>
      <c r="P1758" s="7" t="s">
        <v>30</v>
      </c>
    </row>
    <row r="1759" spans="2:16" x14ac:dyDescent="0.45">
      <c r="B1759" s="4">
        <v>1758</v>
      </c>
      <c r="C1759" s="4" t="s">
        <v>40</v>
      </c>
      <c r="D1759" s="4" t="s">
        <v>16</v>
      </c>
      <c r="E1759" s="4" t="s">
        <v>35</v>
      </c>
      <c r="F1759" s="4" t="s">
        <v>24</v>
      </c>
      <c r="G1759" s="4" t="s">
        <v>19</v>
      </c>
      <c r="H1759" s="4" t="s">
        <v>38</v>
      </c>
      <c r="I1759" s="4">
        <v>12</v>
      </c>
      <c r="J1759" s="5">
        <v>62.2</v>
      </c>
      <c r="K1759" s="6">
        <v>1.61</v>
      </c>
      <c r="L1759" s="4">
        <v>1</v>
      </c>
      <c r="M1759" s="4">
        <v>107</v>
      </c>
      <c r="N1759" s="4">
        <v>87</v>
      </c>
      <c r="O1759" s="4" t="s">
        <v>26</v>
      </c>
      <c r="P1759" s="7" t="s">
        <v>30</v>
      </c>
    </row>
    <row r="1760" spans="2:16" x14ac:dyDescent="0.45">
      <c r="B1760" s="4">
        <v>1759</v>
      </c>
      <c r="C1760" s="4" t="s">
        <v>15</v>
      </c>
      <c r="D1760" s="4" t="s">
        <v>23</v>
      </c>
      <c r="E1760" s="4" t="s">
        <v>17</v>
      </c>
      <c r="F1760" s="4" t="s">
        <v>18</v>
      </c>
      <c r="G1760" s="4" t="s">
        <v>19</v>
      </c>
      <c r="H1760" s="4" t="s">
        <v>38</v>
      </c>
      <c r="I1760" s="4">
        <v>9</v>
      </c>
      <c r="J1760" s="5">
        <v>19.399999999999999</v>
      </c>
      <c r="K1760" s="6">
        <v>1.07</v>
      </c>
      <c r="L1760" s="4">
        <v>3</v>
      </c>
      <c r="M1760" s="4">
        <v>116</v>
      </c>
      <c r="N1760" s="4">
        <v>103</v>
      </c>
      <c r="O1760" s="4" t="s">
        <v>26</v>
      </c>
      <c r="P1760" s="7" t="s">
        <v>19</v>
      </c>
    </row>
    <row r="1761" spans="2:16" x14ac:dyDescent="0.45">
      <c r="B1761" s="4">
        <v>1760</v>
      </c>
      <c r="C1761" s="4" t="s">
        <v>31</v>
      </c>
      <c r="D1761" s="4" t="s">
        <v>23</v>
      </c>
      <c r="E1761" s="4" t="s">
        <v>17</v>
      </c>
      <c r="F1761" s="4" t="s">
        <v>18</v>
      </c>
      <c r="G1761" s="4" t="s">
        <v>19</v>
      </c>
      <c r="H1761" s="4" t="s">
        <v>32</v>
      </c>
      <c r="I1761" s="4">
        <v>0</v>
      </c>
      <c r="J1761" s="5">
        <v>10.1</v>
      </c>
      <c r="K1761" s="6">
        <v>0.95</v>
      </c>
      <c r="L1761" s="4">
        <v>2</v>
      </c>
      <c r="M1761" s="4">
        <v>91</v>
      </c>
      <c r="N1761" s="4">
        <v>129</v>
      </c>
      <c r="O1761" s="4" t="s">
        <v>26</v>
      </c>
      <c r="P1761" s="7" t="s">
        <v>19</v>
      </c>
    </row>
    <row r="1762" spans="2:16" x14ac:dyDescent="0.45">
      <c r="B1762" s="4">
        <v>1761</v>
      </c>
      <c r="C1762" s="4" t="s">
        <v>43</v>
      </c>
      <c r="D1762" s="4" t="s">
        <v>23</v>
      </c>
      <c r="E1762" s="4" t="s">
        <v>35</v>
      </c>
      <c r="F1762" s="4" t="s">
        <v>28</v>
      </c>
      <c r="G1762" s="4" t="s">
        <v>19</v>
      </c>
      <c r="H1762" s="4" t="s">
        <v>25</v>
      </c>
      <c r="I1762" s="4">
        <v>81</v>
      </c>
      <c r="J1762" s="5">
        <v>65.2</v>
      </c>
      <c r="K1762" s="6">
        <v>1.58</v>
      </c>
      <c r="L1762" s="4">
        <v>2</v>
      </c>
      <c r="M1762" s="4">
        <v>133</v>
      </c>
      <c r="N1762" s="4">
        <v>98</v>
      </c>
      <c r="O1762" s="4" t="s">
        <v>26</v>
      </c>
      <c r="P1762" s="7" t="s">
        <v>30</v>
      </c>
    </row>
    <row r="1763" spans="2:16" x14ac:dyDescent="0.45">
      <c r="B1763" s="4">
        <v>1762</v>
      </c>
      <c r="C1763" s="4" t="s">
        <v>22</v>
      </c>
      <c r="D1763" s="4" t="s">
        <v>16</v>
      </c>
      <c r="E1763" s="4" t="s">
        <v>17</v>
      </c>
      <c r="F1763" s="4" t="s">
        <v>24</v>
      </c>
      <c r="G1763" s="4" t="s">
        <v>19</v>
      </c>
      <c r="H1763" s="4" t="s">
        <v>20</v>
      </c>
      <c r="I1763" s="4">
        <v>53</v>
      </c>
      <c r="J1763" s="5">
        <v>81.3</v>
      </c>
      <c r="K1763" s="6">
        <v>1.57</v>
      </c>
      <c r="L1763" s="4">
        <v>0</v>
      </c>
      <c r="M1763" s="4">
        <v>120</v>
      </c>
      <c r="N1763" s="4">
        <v>97</v>
      </c>
      <c r="O1763" s="4" t="s">
        <v>26</v>
      </c>
      <c r="P1763" s="7" t="s">
        <v>19</v>
      </c>
    </row>
    <row r="1764" spans="2:16" x14ac:dyDescent="0.45">
      <c r="B1764" s="4">
        <v>1763</v>
      </c>
      <c r="C1764" s="4" t="s">
        <v>40</v>
      </c>
      <c r="D1764" s="4" t="s">
        <v>16</v>
      </c>
      <c r="E1764" s="4" t="s">
        <v>35</v>
      </c>
      <c r="F1764" s="4" t="s">
        <v>18</v>
      </c>
      <c r="G1764" s="4" t="s">
        <v>19</v>
      </c>
      <c r="H1764" s="4" t="s">
        <v>28</v>
      </c>
      <c r="I1764" s="4">
        <v>1</v>
      </c>
      <c r="J1764" s="5">
        <v>13.3</v>
      </c>
      <c r="K1764" s="6">
        <v>0.99</v>
      </c>
      <c r="L1764" s="4">
        <v>5</v>
      </c>
      <c r="M1764" s="4">
        <v>97</v>
      </c>
      <c r="N1764" s="4">
        <v>84</v>
      </c>
      <c r="O1764" s="4" t="s">
        <v>21</v>
      </c>
      <c r="P1764" s="7" t="s">
        <v>19</v>
      </c>
    </row>
    <row r="1765" spans="2:16" x14ac:dyDescent="0.45">
      <c r="B1765" s="4">
        <v>1764</v>
      </c>
      <c r="C1765" s="4" t="s">
        <v>31</v>
      </c>
      <c r="D1765" s="4" t="s">
        <v>16</v>
      </c>
      <c r="E1765" s="4" t="s">
        <v>17</v>
      </c>
      <c r="F1765" s="4" t="s">
        <v>42</v>
      </c>
      <c r="G1765" s="4" t="s">
        <v>19</v>
      </c>
      <c r="H1765" s="4" t="s">
        <v>20</v>
      </c>
      <c r="I1765" s="4">
        <v>16</v>
      </c>
      <c r="J1765" s="5">
        <v>43.2</v>
      </c>
      <c r="K1765" s="6">
        <v>1.47</v>
      </c>
      <c r="L1765" s="4">
        <v>1</v>
      </c>
      <c r="M1765" s="4">
        <v>105</v>
      </c>
      <c r="N1765" s="4">
        <v>104</v>
      </c>
      <c r="O1765" s="4" t="s">
        <v>26</v>
      </c>
      <c r="P1765" s="7" t="s">
        <v>19</v>
      </c>
    </row>
    <row r="1766" spans="2:16" x14ac:dyDescent="0.45">
      <c r="B1766" s="4">
        <v>1765</v>
      </c>
      <c r="C1766" s="4" t="s">
        <v>43</v>
      </c>
      <c r="D1766" s="4" t="s">
        <v>23</v>
      </c>
      <c r="E1766" s="4" t="s">
        <v>17</v>
      </c>
      <c r="F1766" s="4" t="s">
        <v>18</v>
      </c>
      <c r="G1766" s="4" t="s">
        <v>30</v>
      </c>
      <c r="H1766" s="4" t="s">
        <v>36</v>
      </c>
      <c r="I1766" s="4">
        <v>9</v>
      </c>
      <c r="J1766" s="5">
        <v>21.5</v>
      </c>
      <c r="K1766" s="6">
        <v>1.38</v>
      </c>
      <c r="L1766" s="4">
        <v>9</v>
      </c>
      <c r="M1766" s="4">
        <v>118</v>
      </c>
      <c r="N1766" s="4">
        <v>97</v>
      </c>
      <c r="O1766" s="4" t="s">
        <v>26</v>
      </c>
      <c r="P1766" s="7" t="s">
        <v>19</v>
      </c>
    </row>
    <row r="1767" spans="2:16" x14ac:dyDescent="0.45">
      <c r="B1767" s="4">
        <v>1766</v>
      </c>
      <c r="C1767" s="4" t="s">
        <v>45</v>
      </c>
      <c r="D1767" s="4" t="s">
        <v>23</v>
      </c>
      <c r="E1767" s="4" t="s">
        <v>35</v>
      </c>
      <c r="F1767" s="4" t="s">
        <v>24</v>
      </c>
      <c r="G1767" s="4" t="s">
        <v>19</v>
      </c>
      <c r="H1767" s="4" t="s">
        <v>25</v>
      </c>
      <c r="I1767" s="4">
        <v>2</v>
      </c>
      <c r="J1767" s="5">
        <v>15.2</v>
      </c>
      <c r="K1767" s="6">
        <v>1.01</v>
      </c>
      <c r="L1767" s="4">
        <v>3</v>
      </c>
      <c r="M1767" s="4">
        <v>110</v>
      </c>
      <c r="N1767" s="4">
        <v>102</v>
      </c>
      <c r="O1767" s="4" t="s">
        <v>21</v>
      </c>
      <c r="P1767" s="7" t="s">
        <v>19</v>
      </c>
    </row>
    <row r="1768" spans="2:16" x14ac:dyDescent="0.45">
      <c r="B1768" s="4">
        <v>1767</v>
      </c>
      <c r="C1768" s="4" t="s">
        <v>31</v>
      </c>
      <c r="D1768" s="4" t="s">
        <v>23</v>
      </c>
      <c r="E1768" s="4" t="s">
        <v>37</v>
      </c>
      <c r="F1768" s="4" t="s">
        <v>18</v>
      </c>
      <c r="G1768" s="4" t="s">
        <v>19</v>
      </c>
      <c r="H1768" s="4" t="s">
        <v>34</v>
      </c>
      <c r="I1768" s="4">
        <v>83</v>
      </c>
      <c r="J1768" s="5">
        <v>50.2</v>
      </c>
      <c r="K1768" s="6">
        <v>1.78</v>
      </c>
      <c r="L1768" s="4">
        <v>6</v>
      </c>
      <c r="M1768" s="4">
        <v>120</v>
      </c>
      <c r="N1768" s="4">
        <v>75</v>
      </c>
      <c r="O1768" s="4" t="s">
        <v>26</v>
      </c>
      <c r="P1768" s="7" t="s">
        <v>19</v>
      </c>
    </row>
    <row r="1769" spans="2:16" x14ac:dyDescent="0.45">
      <c r="B1769" s="4">
        <v>1768</v>
      </c>
      <c r="C1769" s="4" t="s">
        <v>43</v>
      </c>
      <c r="D1769" s="4" t="s">
        <v>23</v>
      </c>
      <c r="E1769" s="4" t="s">
        <v>17</v>
      </c>
      <c r="F1769" s="4" t="s">
        <v>24</v>
      </c>
      <c r="G1769" s="4" t="s">
        <v>19</v>
      </c>
      <c r="H1769" s="4" t="s">
        <v>38</v>
      </c>
      <c r="I1769" s="4">
        <v>18</v>
      </c>
      <c r="J1769" s="5">
        <v>82.9</v>
      </c>
      <c r="K1769" s="6">
        <v>1.75</v>
      </c>
      <c r="L1769" s="4">
        <v>3</v>
      </c>
      <c r="M1769" s="4">
        <v>110</v>
      </c>
      <c r="N1769" s="4">
        <v>81</v>
      </c>
      <c r="O1769" s="4" t="s">
        <v>26</v>
      </c>
      <c r="P1769" s="7" t="s">
        <v>19</v>
      </c>
    </row>
    <row r="1770" spans="2:16" x14ac:dyDescent="0.45">
      <c r="B1770" s="4">
        <v>1769</v>
      </c>
      <c r="C1770" s="4" t="s">
        <v>22</v>
      </c>
      <c r="D1770" s="4" t="s">
        <v>23</v>
      </c>
      <c r="E1770" s="4" t="s">
        <v>17</v>
      </c>
      <c r="F1770" s="4" t="s">
        <v>42</v>
      </c>
      <c r="G1770" s="4" t="s">
        <v>30</v>
      </c>
      <c r="H1770" s="4" t="s">
        <v>38</v>
      </c>
      <c r="I1770" s="4">
        <v>16</v>
      </c>
      <c r="J1770" s="5">
        <v>50.5</v>
      </c>
      <c r="K1770" s="6">
        <v>1.54</v>
      </c>
      <c r="L1770" s="4">
        <v>4</v>
      </c>
      <c r="M1770" s="4">
        <v>113</v>
      </c>
      <c r="N1770" s="4">
        <v>98</v>
      </c>
      <c r="O1770" s="4" t="s">
        <v>21</v>
      </c>
      <c r="P1770" s="7" t="s">
        <v>19</v>
      </c>
    </row>
    <row r="1771" spans="2:16" x14ac:dyDescent="0.45">
      <c r="B1771" s="4">
        <v>1770</v>
      </c>
      <c r="C1771" s="4" t="s">
        <v>27</v>
      </c>
      <c r="D1771" s="4" t="s">
        <v>23</v>
      </c>
      <c r="E1771" s="4" t="s">
        <v>17</v>
      </c>
      <c r="F1771" s="4" t="s">
        <v>42</v>
      </c>
      <c r="G1771" s="4" t="s">
        <v>30</v>
      </c>
      <c r="H1771" s="4" t="s">
        <v>34</v>
      </c>
      <c r="I1771" s="4">
        <v>29</v>
      </c>
      <c r="J1771" s="5">
        <v>93.4</v>
      </c>
      <c r="K1771" s="6">
        <v>1.88</v>
      </c>
      <c r="L1771" s="4">
        <v>7</v>
      </c>
      <c r="M1771" s="4">
        <v>113</v>
      </c>
      <c r="N1771" s="4">
        <v>85</v>
      </c>
      <c r="O1771" s="4" t="s">
        <v>26</v>
      </c>
      <c r="P1771" s="7" t="s">
        <v>30</v>
      </c>
    </row>
    <row r="1772" spans="2:16" x14ac:dyDescent="0.45">
      <c r="B1772" s="4">
        <v>1771</v>
      </c>
      <c r="C1772" s="4" t="s">
        <v>27</v>
      </c>
      <c r="D1772" s="4" t="s">
        <v>16</v>
      </c>
      <c r="E1772" s="4" t="s">
        <v>35</v>
      </c>
      <c r="F1772" s="4" t="s">
        <v>18</v>
      </c>
      <c r="G1772" s="4" t="s">
        <v>19</v>
      </c>
      <c r="H1772" s="4" t="s">
        <v>20</v>
      </c>
      <c r="I1772" s="4">
        <v>24</v>
      </c>
      <c r="J1772" s="5">
        <v>50.9</v>
      </c>
      <c r="K1772" s="6">
        <v>1.74</v>
      </c>
      <c r="L1772" s="4">
        <v>1</v>
      </c>
      <c r="M1772" s="4">
        <v>111</v>
      </c>
      <c r="N1772" s="4">
        <v>80</v>
      </c>
      <c r="O1772" s="4" t="s">
        <v>26</v>
      </c>
      <c r="P1772" s="7" t="s">
        <v>19</v>
      </c>
    </row>
    <row r="1773" spans="2:16" x14ac:dyDescent="0.45">
      <c r="B1773" s="4">
        <v>1772</v>
      </c>
      <c r="C1773" s="4" t="s">
        <v>33</v>
      </c>
      <c r="D1773" s="4" t="s">
        <v>16</v>
      </c>
      <c r="E1773" s="4" t="s">
        <v>37</v>
      </c>
      <c r="F1773" s="4" t="s">
        <v>18</v>
      </c>
      <c r="G1773" s="4" t="s">
        <v>30</v>
      </c>
      <c r="H1773" s="4" t="s">
        <v>20</v>
      </c>
      <c r="I1773" s="4">
        <v>19</v>
      </c>
      <c r="J1773" s="5">
        <v>61.9</v>
      </c>
      <c r="K1773" s="6">
        <v>1.8</v>
      </c>
      <c r="L1773" s="4">
        <v>0</v>
      </c>
      <c r="M1773" s="4">
        <v>103</v>
      </c>
      <c r="N1773" s="4">
        <v>87</v>
      </c>
      <c r="O1773" s="4" t="s">
        <v>21</v>
      </c>
      <c r="P1773" s="7" t="s">
        <v>19</v>
      </c>
    </row>
    <row r="1774" spans="2:16" x14ac:dyDescent="0.45">
      <c r="B1774" s="4">
        <v>1773</v>
      </c>
      <c r="C1774" s="4" t="s">
        <v>31</v>
      </c>
      <c r="D1774" s="4" t="s">
        <v>23</v>
      </c>
      <c r="E1774" s="4" t="s">
        <v>37</v>
      </c>
      <c r="F1774" s="4" t="s">
        <v>28</v>
      </c>
      <c r="G1774" s="4" t="s">
        <v>19</v>
      </c>
      <c r="H1774" s="4" t="s">
        <v>28</v>
      </c>
      <c r="I1774" s="4">
        <v>75</v>
      </c>
      <c r="J1774" s="5">
        <v>89.2</v>
      </c>
      <c r="K1774" s="6">
        <v>1.72</v>
      </c>
      <c r="L1774" s="4">
        <v>3</v>
      </c>
      <c r="M1774" s="4">
        <v>133</v>
      </c>
      <c r="N1774" s="4">
        <v>89</v>
      </c>
      <c r="O1774" s="4" t="s">
        <v>26</v>
      </c>
      <c r="P1774" s="7" t="s">
        <v>30</v>
      </c>
    </row>
    <row r="1775" spans="2:16" x14ac:dyDescent="0.45">
      <c r="B1775" s="4">
        <v>1774</v>
      </c>
      <c r="C1775" s="4" t="s">
        <v>41</v>
      </c>
      <c r="D1775" s="4" t="s">
        <v>16</v>
      </c>
      <c r="E1775" s="4" t="s">
        <v>17</v>
      </c>
      <c r="F1775" s="4" t="s">
        <v>24</v>
      </c>
      <c r="G1775" s="4" t="s">
        <v>19</v>
      </c>
      <c r="H1775" s="4" t="s">
        <v>28</v>
      </c>
      <c r="I1775" s="4">
        <v>1</v>
      </c>
      <c r="J1775" s="5">
        <v>8.5</v>
      </c>
      <c r="K1775" s="6">
        <v>0.69</v>
      </c>
      <c r="L1775" s="4">
        <v>4</v>
      </c>
      <c r="M1775" s="4">
        <v>99</v>
      </c>
      <c r="N1775" s="4">
        <v>75</v>
      </c>
      <c r="O1775" s="4" t="s">
        <v>26</v>
      </c>
      <c r="P1775" s="7" t="s">
        <v>19</v>
      </c>
    </row>
    <row r="1776" spans="2:16" x14ac:dyDescent="0.45">
      <c r="B1776" s="4">
        <v>1775</v>
      </c>
      <c r="C1776" s="4" t="s">
        <v>22</v>
      </c>
      <c r="D1776" s="4" t="s">
        <v>16</v>
      </c>
      <c r="E1776" s="4" t="s">
        <v>35</v>
      </c>
      <c r="F1776" s="4" t="s">
        <v>18</v>
      </c>
      <c r="G1776" s="4" t="s">
        <v>19</v>
      </c>
      <c r="H1776" s="4" t="s">
        <v>28</v>
      </c>
      <c r="I1776" s="4">
        <v>54</v>
      </c>
      <c r="J1776" s="5">
        <v>69.8</v>
      </c>
      <c r="K1776" s="6">
        <v>1.49</v>
      </c>
      <c r="L1776" s="4">
        <v>3</v>
      </c>
      <c r="M1776" s="4">
        <v>115</v>
      </c>
      <c r="N1776" s="4">
        <v>70</v>
      </c>
      <c r="O1776" s="4" t="s">
        <v>26</v>
      </c>
      <c r="P1776" s="7" t="s">
        <v>30</v>
      </c>
    </row>
    <row r="1777" spans="2:16" x14ac:dyDescent="0.45">
      <c r="B1777" s="4">
        <v>1776</v>
      </c>
      <c r="C1777" s="4" t="s">
        <v>33</v>
      </c>
      <c r="D1777" s="4" t="s">
        <v>16</v>
      </c>
      <c r="E1777" s="4" t="s">
        <v>17</v>
      </c>
      <c r="F1777" s="4" t="s">
        <v>24</v>
      </c>
      <c r="G1777" s="4" t="s">
        <v>19</v>
      </c>
      <c r="H1777" s="4" t="s">
        <v>20</v>
      </c>
      <c r="I1777" s="4">
        <v>8</v>
      </c>
      <c r="J1777" s="5">
        <v>29.7</v>
      </c>
      <c r="K1777" s="6">
        <v>1.41</v>
      </c>
      <c r="L1777" s="4">
        <v>0</v>
      </c>
      <c r="M1777" s="4">
        <v>108</v>
      </c>
      <c r="N1777" s="4">
        <v>83</v>
      </c>
      <c r="O1777" s="4" t="s">
        <v>26</v>
      </c>
      <c r="P1777" s="7" t="s">
        <v>19</v>
      </c>
    </row>
    <row r="1778" spans="2:16" x14ac:dyDescent="0.45">
      <c r="B1778" s="4">
        <v>1777</v>
      </c>
      <c r="C1778" s="4" t="s">
        <v>43</v>
      </c>
      <c r="D1778" s="4" t="s">
        <v>16</v>
      </c>
      <c r="E1778" s="4" t="s">
        <v>17</v>
      </c>
      <c r="F1778" s="4" t="s">
        <v>28</v>
      </c>
      <c r="G1778" s="4" t="s">
        <v>19</v>
      </c>
      <c r="H1778" s="4" t="s">
        <v>36</v>
      </c>
      <c r="I1778" s="4">
        <v>24</v>
      </c>
      <c r="J1778" s="5">
        <v>90.8</v>
      </c>
      <c r="K1778" s="6">
        <v>1.71</v>
      </c>
      <c r="L1778" s="4">
        <v>1</v>
      </c>
      <c r="M1778" s="4">
        <v>127</v>
      </c>
      <c r="N1778" s="4">
        <v>78</v>
      </c>
      <c r="O1778" s="4" t="s">
        <v>21</v>
      </c>
      <c r="P1778" s="7" t="s">
        <v>19</v>
      </c>
    </row>
    <row r="1779" spans="2:16" x14ac:dyDescent="0.45">
      <c r="B1779" s="4">
        <v>1778</v>
      </c>
      <c r="C1779" s="4" t="s">
        <v>39</v>
      </c>
      <c r="D1779" s="4" t="s">
        <v>16</v>
      </c>
      <c r="E1779" s="4" t="s">
        <v>35</v>
      </c>
      <c r="F1779" s="4" t="s">
        <v>18</v>
      </c>
      <c r="G1779" s="4" t="s">
        <v>19</v>
      </c>
      <c r="H1779" s="4" t="s">
        <v>20</v>
      </c>
      <c r="I1779" s="4">
        <v>38</v>
      </c>
      <c r="J1779" s="5">
        <v>61.9</v>
      </c>
      <c r="K1779" s="6">
        <v>1.72</v>
      </c>
      <c r="L1779" s="4">
        <v>3</v>
      </c>
      <c r="M1779" s="4">
        <v>116</v>
      </c>
      <c r="N1779" s="4">
        <v>74</v>
      </c>
      <c r="O1779" s="4" t="s">
        <v>26</v>
      </c>
      <c r="P1779" s="7" t="s">
        <v>19</v>
      </c>
    </row>
    <row r="1780" spans="2:16" x14ac:dyDescent="0.45">
      <c r="B1780" s="4">
        <v>1779</v>
      </c>
      <c r="C1780" s="4" t="s">
        <v>29</v>
      </c>
      <c r="D1780" s="4" t="s">
        <v>16</v>
      </c>
      <c r="E1780" s="4" t="s">
        <v>44</v>
      </c>
      <c r="F1780" s="4" t="s">
        <v>24</v>
      </c>
      <c r="G1780" s="4" t="s">
        <v>19</v>
      </c>
      <c r="H1780" s="4" t="s">
        <v>38</v>
      </c>
      <c r="I1780" s="4">
        <v>52</v>
      </c>
      <c r="J1780" s="5">
        <v>66.900000000000006</v>
      </c>
      <c r="K1780" s="6">
        <v>1.56</v>
      </c>
      <c r="L1780" s="4">
        <v>4</v>
      </c>
      <c r="M1780" s="4">
        <v>121</v>
      </c>
      <c r="N1780" s="4">
        <v>84</v>
      </c>
      <c r="O1780" s="4" t="s">
        <v>26</v>
      </c>
      <c r="P1780" s="7" t="s">
        <v>19</v>
      </c>
    </row>
    <row r="1781" spans="2:16" x14ac:dyDescent="0.45">
      <c r="B1781" s="4">
        <v>1780</v>
      </c>
      <c r="C1781" s="4" t="s">
        <v>43</v>
      </c>
      <c r="D1781" s="4" t="s">
        <v>23</v>
      </c>
      <c r="E1781" s="4" t="s">
        <v>35</v>
      </c>
      <c r="F1781" s="4" t="s">
        <v>24</v>
      </c>
      <c r="G1781" s="4" t="s">
        <v>19</v>
      </c>
      <c r="H1781" s="4" t="s">
        <v>25</v>
      </c>
      <c r="I1781" s="4">
        <v>58</v>
      </c>
      <c r="J1781" s="5">
        <v>68.2</v>
      </c>
      <c r="K1781" s="6">
        <v>1.88</v>
      </c>
      <c r="L1781" s="4">
        <v>3</v>
      </c>
      <c r="M1781" s="4">
        <v>118</v>
      </c>
      <c r="N1781" s="4">
        <v>73</v>
      </c>
      <c r="O1781" s="4" t="s">
        <v>26</v>
      </c>
      <c r="P1781" s="7" t="s">
        <v>19</v>
      </c>
    </row>
    <row r="1782" spans="2:16" x14ac:dyDescent="0.45">
      <c r="B1782" s="4">
        <v>1781</v>
      </c>
      <c r="C1782" s="4" t="s">
        <v>45</v>
      </c>
      <c r="D1782" s="4" t="s">
        <v>16</v>
      </c>
      <c r="E1782" s="4" t="s">
        <v>44</v>
      </c>
      <c r="F1782" s="4" t="s">
        <v>24</v>
      </c>
      <c r="G1782" s="4" t="s">
        <v>19</v>
      </c>
      <c r="H1782" s="4" t="s">
        <v>28</v>
      </c>
      <c r="I1782" s="4">
        <v>30</v>
      </c>
      <c r="J1782" s="5">
        <v>62.3</v>
      </c>
      <c r="K1782" s="6">
        <v>1.79</v>
      </c>
      <c r="L1782" s="4">
        <v>0</v>
      </c>
      <c r="M1782" s="4">
        <v>112</v>
      </c>
      <c r="N1782" s="4">
        <v>99</v>
      </c>
      <c r="O1782" s="4" t="s">
        <v>26</v>
      </c>
      <c r="P1782" s="7" t="s">
        <v>19</v>
      </c>
    </row>
    <row r="1783" spans="2:16" x14ac:dyDescent="0.45">
      <c r="B1783" s="4">
        <v>1782</v>
      </c>
      <c r="C1783" s="4" t="s">
        <v>41</v>
      </c>
      <c r="D1783" s="4" t="s">
        <v>16</v>
      </c>
      <c r="E1783" s="4" t="s">
        <v>17</v>
      </c>
      <c r="F1783" s="4" t="s">
        <v>24</v>
      </c>
      <c r="G1783" s="4" t="s">
        <v>19</v>
      </c>
      <c r="H1783" s="4" t="s">
        <v>46</v>
      </c>
      <c r="I1783" s="4">
        <v>19</v>
      </c>
      <c r="J1783" s="5">
        <v>74.099999999999994</v>
      </c>
      <c r="K1783" s="6">
        <v>1.75</v>
      </c>
      <c r="L1783" s="4">
        <v>1</v>
      </c>
      <c r="M1783" s="4">
        <v>111</v>
      </c>
      <c r="N1783" s="4">
        <v>86</v>
      </c>
      <c r="O1783" s="4" t="s">
        <v>26</v>
      </c>
      <c r="P1783" s="7" t="s">
        <v>19</v>
      </c>
    </row>
    <row r="1784" spans="2:16" x14ac:dyDescent="0.45">
      <c r="B1784" s="4">
        <v>1783</v>
      </c>
      <c r="C1784" s="4" t="s">
        <v>27</v>
      </c>
      <c r="D1784" s="4" t="s">
        <v>23</v>
      </c>
      <c r="E1784" s="4" t="s">
        <v>35</v>
      </c>
      <c r="F1784" s="4" t="s">
        <v>18</v>
      </c>
      <c r="G1784" s="4" t="s">
        <v>30</v>
      </c>
      <c r="H1784" s="4" t="s">
        <v>46</v>
      </c>
      <c r="I1784" s="4">
        <v>17</v>
      </c>
      <c r="J1784" s="5">
        <v>63.2</v>
      </c>
      <c r="K1784" s="6">
        <v>1.73</v>
      </c>
      <c r="L1784" s="4">
        <v>5</v>
      </c>
      <c r="M1784" s="4">
        <v>114</v>
      </c>
      <c r="N1784" s="4">
        <v>103</v>
      </c>
      <c r="O1784" s="4" t="s">
        <v>21</v>
      </c>
      <c r="P1784" s="7" t="s">
        <v>19</v>
      </c>
    </row>
    <row r="1785" spans="2:16" x14ac:dyDescent="0.45">
      <c r="B1785" s="4">
        <v>1784</v>
      </c>
      <c r="C1785" s="4" t="s">
        <v>22</v>
      </c>
      <c r="D1785" s="4" t="s">
        <v>16</v>
      </c>
      <c r="E1785" s="4" t="s">
        <v>17</v>
      </c>
      <c r="F1785" s="4" t="s">
        <v>18</v>
      </c>
      <c r="G1785" s="4" t="s">
        <v>19</v>
      </c>
      <c r="H1785" s="4" t="s">
        <v>46</v>
      </c>
      <c r="I1785" s="4">
        <v>12</v>
      </c>
      <c r="J1785" s="5">
        <v>52.8</v>
      </c>
      <c r="K1785" s="6">
        <v>1.6</v>
      </c>
      <c r="L1785" s="4">
        <v>6</v>
      </c>
      <c r="M1785" s="4">
        <v>117</v>
      </c>
      <c r="N1785" s="4">
        <v>93</v>
      </c>
      <c r="O1785" s="4" t="s">
        <v>26</v>
      </c>
      <c r="P1785" s="7" t="s">
        <v>19</v>
      </c>
    </row>
    <row r="1786" spans="2:16" x14ac:dyDescent="0.45">
      <c r="B1786" s="4">
        <v>1785</v>
      </c>
      <c r="C1786" s="4" t="s">
        <v>39</v>
      </c>
      <c r="D1786" s="4" t="s">
        <v>23</v>
      </c>
      <c r="E1786" s="4" t="s">
        <v>17</v>
      </c>
      <c r="F1786" s="4" t="s">
        <v>18</v>
      </c>
      <c r="G1786" s="4" t="s">
        <v>19</v>
      </c>
      <c r="H1786" s="4" t="s">
        <v>20</v>
      </c>
      <c r="I1786" s="4">
        <v>31</v>
      </c>
      <c r="J1786" s="5">
        <v>67.7</v>
      </c>
      <c r="K1786" s="6">
        <v>1.52</v>
      </c>
      <c r="L1786" s="4">
        <v>3</v>
      </c>
      <c r="M1786" s="4">
        <v>111</v>
      </c>
      <c r="N1786" s="4">
        <v>99</v>
      </c>
      <c r="O1786" s="4" t="s">
        <v>21</v>
      </c>
      <c r="P1786" s="7" t="s">
        <v>30</v>
      </c>
    </row>
    <row r="1787" spans="2:16" x14ac:dyDescent="0.45">
      <c r="B1787" s="4">
        <v>1786</v>
      </c>
      <c r="C1787" s="4" t="s">
        <v>15</v>
      </c>
      <c r="D1787" s="4" t="s">
        <v>16</v>
      </c>
      <c r="E1787" s="4" t="s">
        <v>17</v>
      </c>
      <c r="F1787" s="4" t="s">
        <v>24</v>
      </c>
      <c r="G1787" s="4" t="s">
        <v>19</v>
      </c>
      <c r="H1787" s="4" t="s">
        <v>46</v>
      </c>
      <c r="I1787" s="4">
        <v>23</v>
      </c>
      <c r="J1787" s="5">
        <v>84.4</v>
      </c>
      <c r="K1787" s="6">
        <v>1.78</v>
      </c>
      <c r="L1787" s="4">
        <v>0</v>
      </c>
      <c r="M1787" s="4">
        <v>122</v>
      </c>
      <c r="N1787" s="4">
        <v>78</v>
      </c>
      <c r="O1787" s="4" t="s">
        <v>26</v>
      </c>
      <c r="P1787" s="7" t="s">
        <v>19</v>
      </c>
    </row>
    <row r="1788" spans="2:16" x14ac:dyDescent="0.45">
      <c r="B1788" s="4">
        <v>1787</v>
      </c>
      <c r="C1788" s="4" t="s">
        <v>27</v>
      </c>
      <c r="D1788" s="4" t="s">
        <v>16</v>
      </c>
      <c r="E1788" s="4" t="s">
        <v>17</v>
      </c>
      <c r="F1788" s="4" t="s">
        <v>24</v>
      </c>
      <c r="G1788" s="4" t="s">
        <v>30</v>
      </c>
      <c r="H1788" s="4" t="s">
        <v>36</v>
      </c>
      <c r="I1788" s="4">
        <v>32</v>
      </c>
      <c r="J1788" s="5">
        <v>84.7</v>
      </c>
      <c r="K1788" s="6">
        <v>1.86</v>
      </c>
      <c r="L1788" s="4">
        <v>1</v>
      </c>
      <c r="M1788" s="4">
        <v>137</v>
      </c>
      <c r="N1788" s="4">
        <v>98</v>
      </c>
      <c r="O1788" s="4" t="s">
        <v>26</v>
      </c>
      <c r="P1788" s="7" t="s">
        <v>19</v>
      </c>
    </row>
    <row r="1789" spans="2:16" x14ac:dyDescent="0.45">
      <c r="B1789" s="4">
        <v>1788</v>
      </c>
      <c r="C1789" s="4" t="s">
        <v>31</v>
      </c>
      <c r="D1789" s="4" t="s">
        <v>16</v>
      </c>
      <c r="E1789" s="4" t="s">
        <v>35</v>
      </c>
      <c r="F1789" s="4" t="s">
        <v>42</v>
      </c>
      <c r="G1789" s="4" t="s">
        <v>19</v>
      </c>
      <c r="H1789" s="4" t="s">
        <v>28</v>
      </c>
      <c r="I1789" s="4">
        <v>61</v>
      </c>
      <c r="J1789" s="5">
        <v>81.900000000000006</v>
      </c>
      <c r="K1789" s="6">
        <v>1.63</v>
      </c>
      <c r="L1789" s="4">
        <v>1</v>
      </c>
      <c r="M1789" s="4">
        <v>126</v>
      </c>
      <c r="N1789" s="4">
        <v>81</v>
      </c>
      <c r="O1789" s="4" t="s">
        <v>26</v>
      </c>
      <c r="P1789" s="7" t="s">
        <v>19</v>
      </c>
    </row>
    <row r="1790" spans="2:16" x14ac:dyDescent="0.45">
      <c r="B1790" s="4">
        <v>1789</v>
      </c>
      <c r="C1790" s="4" t="s">
        <v>27</v>
      </c>
      <c r="D1790" s="4" t="s">
        <v>16</v>
      </c>
      <c r="E1790" s="4" t="s">
        <v>35</v>
      </c>
      <c r="F1790" s="4" t="s">
        <v>18</v>
      </c>
      <c r="G1790" s="4" t="s">
        <v>30</v>
      </c>
      <c r="H1790" s="4" t="s">
        <v>20</v>
      </c>
      <c r="I1790" s="4">
        <v>21</v>
      </c>
      <c r="J1790" s="5">
        <v>66.3</v>
      </c>
      <c r="K1790" s="6">
        <v>1.86</v>
      </c>
      <c r="L1790" s="4">
        <v>0</v>
      </c>
      <c r="M1790" s="4">
        <v>102</v>
      </c>
      <c r="N1790" s="4">
        <v>90</v>
      </c>
      <c r="O1790" s="4" t="s">
        <v>26</v>
      </c>
      <c r="P1790" s="7" t="s">
        <v>19</v>
      </c>
    </row>
    <row r="1791" spans="2:16" x14ac:dyDescent="0.45">
      <c r="B1791" s="4">
        <v>1790</v>
      </c>
      <c r="C1791" s="4" t="s">
        <v>15</v>
      </c>
      <c r="D1791" s="4" t="s">
        <v>23</v>
      </c>
      <c r="E1791" s="4" t="s">
        <v>35</v>
      </c>
      <c r="F1791" s="4" t="s">
        <v>24</v>
      </c>
      <c r="G1791" s="4" t="s">
        <v>19</v>
      </c>
      <c r="H1791" s="4" t="s">
        <v>32</v>
      </c>
      <c r="I1791" s="4">
        <v>47</v>
      </c>
      <c r="J1791" s="5">
        <v>54.2</v>
      </c>
      <c r="K1791" s="6">
        <v>1.9</v>
      </c>
      <c r="L1791" s="4">
        <v>1</v>
      </c>
      <c r="M1791" s="4">
        <v>110</v>
      </c>
      <c r="N1791" s="4">
        <v>151</v>
      </c>
      <c r="O1791" s="4" t="s">
        <v>21</v>
      </c>
      <c r="P1791" s="7" t="s">
        <v>19</v>
      </c>
    </row>
    <row r="1792" spans="2:16" x14ac:dyDescent="0.45">
      <c r="B1792" s="4">
        <v>1791</v>
      </c>
      <c r="C1792" s="4" t="s">
        <v>22</v>
      </c>
      <c r="D1792" s="4" t="s">
        <v>23</v>
      </c>
      <c r="E1792" s="4" t="s">
        <v>17</v>
      </c>
      <c r="F1792" s="4" t="s">
        <v>28</v>
      </c>
      <c r="G1792" s="4" t="s">
        <v>19</v>
      </c>
      <c r="H1792" s="4" t="s">
        <v>34</v>
      </c>
      <c r="I1792" s="4">
        <v>53</v>
      </c>
      <c r="J1792" s="5">
        <v>63.2</v>
      </c>
      <c r="K1792" s="6">
        <v>1.6</v>
      </c>
      <c r="L1792" s="4">
        <v>2</v>
      </c>
      <c r="M1792" s="4">
        <v>122</v>
      </c>
      <c r="N1792" s="4">
        <v>86</v>
      </c>
      <c r="O1792" s="4" t="s">
        <v>21</v>
      </c>
      <c r="P1792" s="7" t="s">
        <v>30</v>
      </c>
    </row>
    <row r="1793" spans="2:16" x14ac:dyDescent="0.45">
      <c r="B1793" s="4">
        <v>1792</v>
      </c>
      <c r="C1793" s="4" t="s">
        <v>41</v>
      </c>
      <c r="D1793" s="4" t="s">
        <v>23</v>
      </c>
      <c r="E1793" s="4" t="s">
        <v>17</v>
      </c>
      <c r="F1793" s="4" t="s">
        <v>18</v>
      </c>
      <c r="G1793" s="4" t="s">
        <v>19</v>
      </c>
      <c r="H1793" s="4" t="s">
        <v>34</v>
      </c>
      <c r="I1793" s="4">
        <v>18</v>
      </c>
      <c r="J1793" s="5">
        <v>88.2</v>
      </c>
      <c r="K1793" s="6">
        <v>1.9</v>
      </c>
      <c r="L1793" s="4">
        <v>3</v>
      </c>
      <c r="M1793" s="4">
        <v>120</v>
      </c>
      <c r="N1793" s="4">
        <v>105</v>
      </c>
      <c r="O1793" s="4" t="s">
        <v>26</v>
      </c>
      <c r="P1793" s="7" t="s">
        <v>30</v>
      </c>
    </row>
    <row r="1794" spans="2:16" x14ac:dyDescent="0.45">
      <c r="B1794" s="4">
        <v>1793</v>
      </c>
      <c r="C1794" s="4" t="s">
        <v>41</v>
      </c>
      <c r="D1794" s="4" t="s">
        <v>23</v>
      </c>
      <c r="E1794" s="4" t="s">
        <v>35</v>
      </c>
      <c r="F1794" s="4" t="s">
        <v>28</v>
      </c>
      <c r="G1794" s="4" t="s">
        <v>19</v>
      </c>
      <c r="H1794" s="4" t="s">
        <v>28</v>
      </c>
      <c r="I1794" s="4">
        <v>53</v>
      </c>
      <c r="J1794" s="5">
        <v>63</v>
      </c>
      <c r="K1794" s="6">
        <v>1.5</v>
      </c>
      <c r="L1794" s="4">
        <v>2</v>
      </c>
      <c r="M1794" s="4">
        <v>109</v>
      </c>
      <c r="N1794" s="4">
        <v>99</v>
      </c>
      <c r="O1794" s="4" t="s">
        <v>26</v>
      </c>
      <c r="P1794" s="7" t="s">
        <v>19</v>
      </c>
    </row>
    <row r="1795" spans="2:16" x14ac:dyDescent="0.45">
      <c r="B1795" s="4">
        <v>1794</v>
      </c>
      <c r="C1795" s="4" t="s">
        <v>22</v>
      </c>
      <c r="D1795" s="4" t="s">
        <v>23</v>
      </c>
      <c r="E1795" s="4" t="s">
        <v>35</v>
      </c>
      <c r="F1795" s="4" t="s">
        <v>18</v>
      </c>
      <c r="G1795" s="4" t="s">
        <v>19</v>
      </c>
      <c r="H1795" s="4" t="s">
        <v>34</v>
      </c>
      <c r="I1795" s="4">
        <v>11</v>
      </c>
      <c r="J1795" s="5">
        <v>23.8</v>
      </c>
      <c r="K1795" s="6">
        <v>1.37</v>
      </c>
      <c r="L1795" s="4">
        <v>1</v>
      </c>
      <c r="M1795" s="4">
        <v>110</v>
      </c>
      <c r="N1795" s="4">
        <v>93</v>
      </c>
      <c r="O1795" s="4" t="s">
        <v>26</v>
      </c>
      <c r="P1795" s="7" t="s">
        <v>19</v>
      </c>
    </row>
    <row r="1796" spans="2:16" x14ac:dyDescent="0.45">
      <c r="B1796" s="4">
        <v>1795</v>
      </c>
      <c r="C1796" s="4" t="s">
        <v>29</v>
      </c>
      <c r="D1796" s="4" t="s">
        <v>16</v>
      </c>
      <c r="E1796" s="4" t="s">
        <v>44</v>
      </c>
      <c r="F1796" s="4" t="s">
        <v>18</v>
      </c>
      <c r="G1796" s="4" t="s">
        <v>30</v>
      </c>
      <c r="H1796" s="4" t="s">
        <v>34</v>
      </c>
      <c r="I1796" s="4">
        <v>58</v>
      </c>
      <c r="J1796" s="5">
        <v>67.599999999999994</v>
      </c>
      <c r="K1796" s="6">
        <v>1.58</v>
      </c>
      <c r="L1796" s="4">
        <v>3</v>
      </c>
      <c r="M1796" s="4">
        <v>127</v>
      </c>
      <c r="N1796" s="4">
        <v>100</v>
      </c>
      <c r="O1796" s="4" t="s">
        <v>21</v>
      </c>
      <c r="P1796" s="7" t="s">
        <v>19</v>
      </c>
    </row>
    <row r="1797" spans="2:16" x14ac:dyDescent="0.45">
      <c r="B1797" s="4">
        <v>1796</v>
      </c>
      <c r="C1797" s="4" t="s">
        <v>27</v>
      </c>
      <c r="D1797" s="4" t="s">
        <v>23</v>
      </c>
      <c r="E1797" s="4" t="s">
        <v>35</v>
      </c>
      <c r="F1797" s="4" t="s">
        <v>18</v>
      </c>
      <c r="G1797" s="4" t="s">
        <v>19</v>
      </c>
      <c r="H1797" s="4" t="s">
        <v>38</v>
      </c>
      <c r="I1797" s="4">
        <v>33</v>
      </c>
      <c r="J1797" s="5">
        <v>84</v>
      </c>
      <c r="K1797" s="6">
        <v>1.48</v>
      </c>
      <c r="L1797" s="4">
        <v>1</v>
      </c>
      <c r="M1797" s="4">
        <v>132</v>
      </c>
      <c r="N1797" s="4">
        <v>105</v>
      </c>
      <c r="O1797" s="4" t="s">
        <v>26</v>
      </c>
      <c r="P1797" s="7" t="s">
        <v>30</v>
      </c>
    </row>
    <row r="1798" spans="2:16" x14ac:dyDescent="0.45">
      <c r="B1798" s="4">
        <v>1797</v>
      </c>
      <c r="C1798" s="4" t="s">
        <v>29</v>
      </c>
      <c r="D1798" s="4" t="s">
        <v>16</v>
      </c>
      <c r="E1798" s="4" t="s">
        <v>17</v>
      </c>
      <c r="F1798" s="4" t="s">
        <v>18</v>
      </c>
      <c r="G1798" s="4" t="s">
        <v>30</v>
      </c>
      <c r="H1798" s="4" t="s">
        <v>36</v>
      </c>
      <c r="I1798" s="4">
        <v>10</v>
      </c>
      <c r="J1798" s="5">
        <v>23.8</v>
      </c>
      <c r="K1798" s="6">
        <v>1.1399999999999999</v>
      </c>
      <c r="L1798" s="4">
        <v>8</v>
      </c>
      <c r="M1798" s="4">
        <v>142</v>
      </c>
      <c r="N1798" s="4">
        <v>100</v>
      </c>
      <c r="O1798" s="4" t="s">
        <v>21</v>
      </c>
      <c r="P1798" s="7" t="s">
        <v>30</v>
      </c>
    </row>
    <row r="1799" spans="2:16" x14ac:dyDescent="0.45">
      <c r="B1799" s="4">
        <v>1798</v>
      </c>
      <c r="C1799" s="4" t="s">
        <v>29</v>
      </c>
      <c r="D1799" s="4" t="s">
        <v>23</v>
      </c>
      <c r="E1799" s="4" t="s">
        <v>17</v>
      </c>
      <c r="F1799" s="4" t="s">
        <v>24</v>
      </c>
      <c r="G1799" s="4" t="s">
        <v>19</v>
      </c>
      <c r="H1799" s="4" t="s">
        <v>34</v>
      </c>
      <c r="I1799" s="4">
        <v>14</v>
      </c>
      <c r="J1799" s="5">
        <v>55.6</v>
      </c>
      <c r="K1799" s="6">
        <v>1.67</v>
      </c>
      <c r="L1799" s="4">
        <v>2</v>
      </c>
      <c r="M1799" s="4">
        <v>110</v>
      </c>
      <c r="N1799" s="4">
        <v>104</v>
      </c>
      <c r="O1799" s="4" t="s">
        <v>26</v>
      </c>
      <c r="P1799" s="7" t="s">
        <v>19</v>
      </c>
    </row>
    <row r="1800" spans="2:16" x14ac:dyDescent="0.45">
      <c r="B1800" s="4">
        <v>1799</v>
      </c>
      <c r="C1800" s="4" t="s">
        <v>27</v>
      </c>
      <c r="D1800" s="4" t="s">
        <v>23</v>
      </c>
      <c r="E1800" s="4" t="s">
        <v>37</v>
      </c>
      <c r="F1800" s="4" t="s">
        <v>18</v>
      </c>
      <c r="G1800" s="4" t="s">
        <v>30</v>
      </c>
      <c r="H1800" s="4" t="s">
        <v>46</v>
      </c>
      <c r="I1800" s="4">
        <v>24</v>
      </c>
      <c r="J1800" s="5">
        <v>51.9</v>
      </c>
      <c r="K1800" s="6">
        <v>1.66</v>
      </c>
      <c r="L1800" s="4">
        <v>6</v>
      </c>
      <c r="M1800" s="4">
        <v>100</v>
      </c>
      <c r="N1800" s="4">
        <v>79</v>
      </c>
      <c r="O1800" s="4" t="s">
        <v>21</v>
      </c>
      <c r="P1800" s="7" t="s">
        <v>19</v>
      </c>
    </row>
    <row r="1801" spans="2:16" x14ac:dyDescent="0.45">
      <c r="B1801" s="4">
        <v>1800</v>
      </c>
      <c r="C1801" s="4" t="s">
        <v>39</v>
      </c>
      <c r="D1801" s="4" t="s">
        <v>16</v>
      </c>
      <c r="E1801" s="4" t="s">
        <v>35</v>
      </c>
      <c r="F1801" s="4" t="s">
        <v>18</v>
      </c>
      <c r="G1801" s="4" t="s">
        <v>19</v>
      </c>
      <c r="H1801" s="4" t="s">
        <v>20</v>
      </c>
      <c r="I1801" s="4">
        <v>21</v>
      </c>
      <c r="J1801" s="5">
        <v>77.3</v>
      </c>
      <c r="K1801" s="6">
        <v>1.76</v>
      </c>
      <c r="L1801" s="4">
        <v>4</v>
      </c>
      <c r="M1801" s="4">
        <v>102</v>
      </c>
      <c r="N1801" s="4">
        <v>103</v>
      </c>
      <c r="O1801" s="4" t="s">
        <v>21</v>
      </c>
      <c r="P1801" s="7" t="s">
        <v>19</v>
      </c>
    </row>
    <row r="1802" spans="2:16" x14ac:dyDescent="0.45">
      <c r="B1802" s="4">
        <v>1801</v>
      </c>
      <c r="C1802" s="4" t="s">
        <v>41</v>
      </c>
      <c r="D1802" s="4" t="s">
        <v>23</v>
      </c>
      <c r="E1802" s="4" t="s">
        <v>17</v>
      </c>
      <c r="F1802" s="4" t="s">
        <v>24</v>
      </c>
      <c r="G1802" s="4" t="s">
        <v>19</v>
      </c>
      <c r="H1802" s="4" t="s">
        <v>32</v>
      </c>
      <c r="I1802" s="4">
        <v>4</v>
      </c>
      <c r="J1802" s="5">
        <v>10.1</v>
      </c>
      <c r="K1802" s="6">
        <v>0.75</v>
      </c>
      <c r="L1802" s="4">
        <v>3</v>
      </c>
      <c r="M1802" s="4">
        <v>99</v>
      </c>
      <c r="N1802" s="4">
        <v>157</v>
      </c>
      <c r="O1802" s="4" t="s">
        <v>21</v>
      </c>
      <c r="P1802" s="7" t="s">
        <v>19</v>
      </c>
    </row>
    <row r="1803" spans="2:16" x14ac:dyDescent="0.45">
      <c r="B1803" s="4">
        <v>1802</v>
      </c>
      <c r="C1803" s="4" t="s">
        <v>15</v>
      </c>
      <c r="D1803" s="4" t="s">
        <v>16</v>
      </c>
      <c r="E1803" s="4" t="s">
        <v>17</v>
      </c>
      <c r="F1803" s="4" t="s">
        <v>24</v>
      </c>
      <c r="G1803" s="4" t="s">
        <v>19</v>
      </c>
      <c r="H1803" s="4" t="s">
        <v>34</v>
      </c>
      <c r="I1803" s="4">
        <v>8</v>
      </c>
      <c r="J1803" s="5">
        <v>24.5</v>
      </c>
      <c r="K1803" s="6">
        <v>1.05</v>
      </c>
      <c r="L1803" s="4">
        <v>1</v>
      </c>
      <c r="M1803" s="4">
        <v>94</v>
      </c>
      <c r="N1803" s="4">
        <v>99</v>
      </c>
      <c r="O1803" s="4" t="s">
        <v>26</v>
      </c>
      <c r="P1803" s="7" t="s">
        <v>19</v>
      </c>
    </row>
    <row r="1804" spans="2:16" x14ac:dyDescent="0.45">
      <c r="B1804" s="4">
        <v>1803</v>
      </c>
      <c r="C1804" s="4" t="s">
        <v>15</v>
      </c>
      <c r="D1804" s="4" t="s">
        <v>23</v>
      </c>
      <c r="E1804" s="4" t="s">
        <v>17</v>
      </c>
      <c r="F1804" s="4" t="s">
        <v>24</v>
      </c>
      <c r="G1804" s="4" t="s">
        <v>19</v>
      </c>
      <c r="H1804" s="4" t="s">
        <v>28</v>
      </c>
      <c r="I1804" s="4">
        <v>6</v>
      </c>
      <c r="J1804" s="5">
        <v>36.5</v>
      </c>
      <c r="K1804" s="6">
        <v>1.38</v>
      </c>
      <c r="L1804" s="4">
        <v>7</v>
      </c>
      <c r="M1804" s="4">
        <v>105</v>
      </c>
      <c r="N1804" s="4">
        <v>93</v>
      </c>
      <c r="O1804" s="4" t="s">
        <v>26</v>
      </c>
      <c r="P1804" s="7" t="s">
        <v>19</v>
      </c>
    </row>
    <row r="1805" spans="2:16" x14ac:dyDescent="0.45">
      <c r="B1805" s="4">
        <v>1804</v>
      </c>
      <c r="C1805" s="4" t="s">
        <v>43</v>
      </c>
      <c r="D1805" s="4" t="s">
        <v>16</v>
      </c>
      <c r="E1805" s="4" t="s">
        <v>17</v>
      </c>
      <c r="F1805" s="4" t="s">
        <v>24</v>
      </c>
      <c r="G1805" s="4" t="s">
        <v>19</v>
      </c>
      <c r="H1805" s="4" t="s">
        <v>32</v>
      </c>
      <c r="I1805" s="4">
        <v>76</v>
      </c>
      <c r="J1805" s="5">
        <v>86.4</v>
      </c>
      <c r="K1805" s="6">
        <v>1.64</v>
      </c>
      <c r="L1805" s="4">
        <v>5</v>
      </c>
      <c r="M1805" s="4">
        <v>122</v>
      </c>
      <c r="N1805" s="4">
        <v>163</v>
      </c>
      <c r="O1805" s="4" t="s">
        <v>26</v>
      </c>
      <c r="P1805" s="7" t="s">
        <v>19</v>
      </c>
    </row>
    <row r="1806" spans="2:16" x14ac:dyDescent="0.45">
      <c r="B1806" s="4">
        <v>1805</v>
      </c>
      <c r="C1806" s="4" t="s">
        <v>45</v>
      </c>
      <c r="D1806" s="4" t="s">
        <v>23</v>
      </c>
      <c r="E1806" s="4" t="s">
        <v>17</v>
      </c>
      <c r="F1806" s="4" t="s">
        <v>24</v>
      </c>
      <c r="G1806" s="4" t="s">
        <v>19</v>
      </c>
      <c r="H1806" s="4" t="s">
        <v>38</v>
      </c>
      <c r="I1806" s="4">
        <v>62</v>
      </c>
      <c r="J1806" s="5">
        <v>59.6</v>
      </c>
      <c r="K1806" s="6">
        <v>1.7</v>
      </c>
      <c r="L1806" s="4">
        <v>2</v>
      </c>
      <c r="M1806" s="4">
        <v>139</v>
      </c>
      <c r="N1806" s="4">
        <v>90</v>
      </c>
      <c r="O1806" s="4" t="s">
        <v>26</v>
      </c>
      <c r="P1806" s="7" t="s">
        <v>30</v>
      </c>
    </row>
    <row r="1807" spans="2:16" x14ac:dyDescent="0.45">
      <c r="B1807" s="4">
        <v>1806</v>
      </c>
      <c r="C1807" s="4" t="s">
        <v>31</v>
      </c>
      <c r="D1807" s="4" t="s">
        <v>23</v>
      </c>
      <c r="E1807" s="4" t="s">
        <v>35</v>
      </c>
      <c r="F1807" s="4" t="s">
        <v>24</v>
      </c>
      <c r="G1807" s="4" t="s">
        <v>30</v>
      </c>
      <c r="H1807" s="4" t="s">
        <v>20</v>
      </c>
      <c r="I1807" s="4">
        <v>11</v>
      </c>
      <c r="J1807" s="5">
        <v>21.5</v>
      </c>
      <c r="K1807" s="6">
        <v>1.19</v>
      </c>
      <c r="L1807" s="4">
        <v>1</v>
      </c>
      <c r="M1807" s="4">
        <v>99</v>
      </c>
      <c r="N1807" s="4">
        <v>97</v>
      </c>
      <c r="O1807" s="4" t="s">
        <v>21</v>
      </c>
      <c r="P1807" s="7" t="s">
        <v>19</v>
      </c>
    </row>
    <row r="1808" spans="2:16" x14ac:dyDescent="0.45">
      <c r="B1808" s="4">
        <v>1807</v>
      </c>
      <c r="C1808" s="4" t="s">
        <v>15</v>
      </c>
      <c r="D1808" s="4" t="s">
        <v>16</v>
      </c>
      <c r="E1808" s="4" t="s">
        <v>17</v>
      </c>
      <c r="F1808" s="4" t="s">
        <v>18</v>
      </c>
      <c r="G1808" s="4" t="s">
        <v>30</v>
      </c>
      <c r="H1808" s="4" t="s">
        <v>36</v>
      </c>
      <c r="I1808" s="4">
        <v>27</v>
      </c>
      <c r="J1808" s="5">
        <v>63.6</v>
      </c>
      <c r="K1808" s="6">
        <v>1.71</v>
      </c>
      <c r="L1808" s="4">
        <v>1</v>
      </c>
      <c r="M1808" s="4">
        <v>122</v>
      </c>
      <c r="N1808" s="4">
        <v>71</v>
      </c>
      <c r="O1808" s="4" t="s">
        <v>21</v>
      </c>
      <c r="P1808" s="7" t="s">
        <v>19</v>
      </c>
    </row>
    <row r="1809" spans="2:16" x14ac:dyDescent="0.45">
      <c r="B1809" s="4">
        <v>1808</v>
      </c>
      <c r="C1809" s="4" t="s">
        <v>45</v>
      </c>
      <c r="D1809" s="4" t="s">
        <v>23</v>
      </c>
      <c r="E1809" s="4" t="s">
        <v>44</v>
      </c>
      <c r="F1809" s="4" t="s">
        <v>24</v>
      </c>
      <c r="G1809" s="4" t="s">
        <v>19</v>
      </c>
      <c r="H1809" s="4" t="s">
        <v>36</v>
      </c>
      <c r="I1809" s="4">
        <v>36</v>
      </c>
      <c r="J1809" s="5">
        <v>80.7</v>
      </c>
      <c r="K1809" s="6">
        <v>1.83</v>
      </c>
      <c r="L1809" s="4">
        <v>4</v>
      </c>
      <c r="M1809" s="4">
        <v>131</v>
      </c>
      <c r="N1809" s="4">
        <v>92</v>
      </c>
      <c r="O1809" s="4" t="s">
        <v>26</v>
      </c>
      <c r="P1809" s="7" t="s">
        <v>19</v>
      </c>
    </row>
    <row r="1810" spans="2:16" x14ac:dyDescent="0.45">
      <c r="B1810" s="4">
        <v>1809</v>
      </c>
      <c r="C1810" s="4" t="s">
        <v>15</v>
      </c>
      <c r="D1810" s="4" t="s">
        <v>23</v>
      </c>
      <c r="E1810" s="4" t="s">
        <v>37</v>
      </c>
      <c r="F1810" s="4" t="s">
        <v>28</v>
      </c>
      <c r="G1810" s="4" t="s">
        <v>19</v>
      </c>
      <c r="H1810" s="4" t="s">
        <v>20</v>
      </c>
      <c r="I1810" s="4">
        <v>30</v>
      </c>
      <c r="J1810" s="5">
        <v>68</v>
      </c>
      <c r="K1810" s="6">
        <v>1.52</v>
      </c>
      <c r="L1810" s="4">
        <v>3</v>
      </c>
      <c r="M1810" s="4">
        <v>120</v>
      </c>
      <c r="N1810" s="4">
        <v>100</v>
      </c>
      <c r="O1810" s="4" t="s">
        <v>21</v>
      </c>
      <c r="P1810" s="7" t="s">
        <v>19</v>
      </c>
    </row>
    <row r="1811" spans="2:16" x14ac:dyDescent="0.45">
      <c r="B1811" s="4">
        <v>1810</v>
      </c>
      <c r="C1811" s="4" t="s">
        <v>40</v>
      </c>
      <c r="D1811" s="4" t="s">
        <v>16</v>
      </c>
      <c r="E1811" s="4" t="s">
        <v>35</v>
      </c>
      <c r="F1811" s="4" t="s">
        <v>24</v>
      </c>
      <c r="G1811" s="4" t="s">
        <v>19</v>
      </c>
      <c r="H1811" s="4" t="s">
        <v>38</v>
      </c>
      <c r="I1811" s="4">
        <v>48</v>
      </c>
      <c r="J1811" s="5">
        <v>86.5</v>
      </c>
      <c r="K1811" s="6">
        <v>1.53</v>
      </c>
      <c r="L1811" s="4">
        <v>2</v>
      </c>
      <c r="M1811" s="4">
        <v>129</v>
      </c>
      <c r="N1811" s="4">
        <v>90</v>
      </c>
      <c r="O1811" s="4" t="s">
        <v>21</v>
      </c>
      <c r="P1811" s="7" t="s">
        <v>19</v>
      </c>
    </row>
    <row r="1812" spans="2:16" x14ac:dyDescent="0.45">
      <c r="B1812" s="4">
        <v>1811</v>
      </c>
      <c r="C1812" s="4" t="s">
        <v>27</v>
      </c>
      <c r="D1812" s="4" t="s">
        <v>16</v>
      </c>
      <c r="E1812" s="4" t="s">
        <v>37</v>
      </c>
      <c r="F1812" s="4" t="s">
        <v>24</v>
      </c>
      <c r="G1812" s="4" t="s">
        <v>19</v>
      </c>
      <c r="H1812" s="4" t="s">
        <v>25</v>
      </c>
      <c r="I1812" s="4">
        <v>32</v>
      </c>
      <c r="J1812" s="5">
        <v>92.3</v>
      </c>
      <c r="K1812" s="6">
        <v>1.58</v>
      </c>
      <c r="L1812" s="4">
        <v>3</v>
      </c>
      <c r="M1812" s="4">
        <v>118</v>
      </c>
      <c r="N1812" s="4">
        <v>95</v>
      </c>
      <c r="O1812" s="4" t="s">
        <v>21</v>
      </c>
      <c r="P1812" s="7" t="s">
        <v>19</v>
      </c>
    </row>
    <row r="1813" spans="2:16" x14ac:dyDescent="0.45">
      <c r="B1813" s="4">
        <v>1812</v>
      </c>
      <c r="C1813" s="4" t="s">
        <v>45</v>
      </c>
      <c r="D1813" s="4" t="s">
        <v>16</v>
      </c>
      <c r="E1813" s="4" t="s">
        <v>37</v>
      </c>
      <c r="F1813" s="4" t="s">
        <v>28</v>
      </c>
      <c r="G1813" s="4" t="s">
        <v>19</v>
      </c>
      <c r="H1813" s="4" t="s">
        <v>25</v>
      </c>
      <c r="I1813" s="4">
        <v>17</v>
      </c>
      <c r="J1813" s="5">
        <v>56.1</v>
      </c>
      <c r="K1813" s="6">
        <v>1.54</v>
      </c>
      <c r="L1813" s="4">
        <v>3</v>
      </c>
      <c r="M1813" s="4">
        <v>116</v>
      </c>
      <c r="N1813" s="4">
        <v>84</v>
      </c>
      <c r="O1813" s="4" t="s">
        <v>21</v>
      </c>
      <c r="P1813" s="7" t="s">
        <v>19</v>
      </c>
    </row>
    <row r="1814" spans="2:16" x14ac:dyDescent="0.45">
      <c r="B1814" s="4">
        <v>1813</v>
      </c>
      <c r="C1814" s="4" t="s">
        <v>41</v>
      </c>
      <c r="D1814" s="4" t="s">
        <v>16</v>
      </c>
      <c r="E1814" s="4" t="s">
        <v>35</v>
      </c>
      <c r="F1814" s="4" t="s">
        <v>18</v>
      </c>
      <c r="G1814" s="4" t="s">
        <v>19</v>
      </c>
      <c r="H1814" s="4" t="s">
        <v>34</v>
      </c>
      <c r="I1814" s="4">
        <v>7</v>
      </c>
      <c r="J1814" s="5">
        <v>29</v>
      </c>
      <c r="K1814" s="6">
        <v>1.39</v>
      </c>
      <c r="L1814" s="4">
        <v>2</v>
      </c>
      <c r="M1814" s="4">
        <v>96</v>
      </c>
      <c r="N1814" s="4">
        <v>72</v>
      </c>
      <c r="O1814" s="4" t="s">
        <v>21</v>
      </c>
      <c r="P1814" s="7" t="s">
        <v>19</v>
      </c>
    </row>
    <row r="1815" spans="2:16" x14ac:dyDescent="0.45">
      <c r="B1815" s="4">
        <v>1814</v>
      </c>
      <c r="C1815" s="4" t="s">
        <v>39</v>
      </c>
      <c r="D1815" s="4" t="s">
        <v>16</v>
      </c>
      <c r="E1815" s="4" t="s">
        <v>17</v>
      </c>
      <c r="F1815" s="4" t="s">
        <v>24</v>
      </c>
      <c r="G1815" s="4" t="s">
        <v>19</v>
      </c>
      <c r="H1815" s="4" t="s">
        <v>34</v>
      </c>
      <c r="I1815" s="4">
        <v>10</v>
      </c>
      <c r="J1815" s="5">
        <v>24.6</v>
      </c>
      <c r="K1815" s="6">
        <v>1.1000000000000001</v>
      </c>
      <c r="L1815" s="4">
        <v>2</v>
      </c>
      <c r="M1815" s="4">
        <v>109</v>
      </c>
      <c r="N1815" s="4">
        <v>82</v>
      </c>
      <c r="O1815" s="4" t="s">
        <v>21</v>
      </c>
      <c r="P1815" s="7" t="s">
        <v>19</v>
      </c>
    </row>
    <row r="1816" spans="2:16" x14ac:dyDescent="0.45">
      <c r="B1816" s="4">
        <v>1815</v>
      </c>
      <c r="C1816" s="4" t="s">
        <v>40</v>
      </c>
      <c r="D1816" s="4" t="s">
        <v>16</v>
      </c>
      <c r="E1816" s="4" t="s">
        <v>17</v>
      </c>
      <c r="F1816" s="4" t="s">
        <v>18</v>
      </c>
      <c r="G1816" s="4" t="s">
        <v>19</v>
      </c>
      <c r="H1816" s="4" t="s">
        <v>34</v>
      </c>
      <c r="I1816" s="4">
        <v>17</v>
      </c>
      <c r="J1816" s="5">
        <v>60.4</v>
      </c>
      <c r="K1816" s="6">
        <v>1.71</v>
      </c>
      <c r="L1816" s="4">
        <v>1</v>
      </c>
      <c r="M1816" s="4">
        <v>114</v>
      </c>
      <c r="N1816" s="4">
        <v>92</v>
      </c>
      <c r="O1816" s="4" t="s">
        <v>26</v>
      </c>
      <c r="P1816" s="7" t="s">
        <v>19</v>
      </c>
    </row>
    <row r="1817" spans="2:16" x14ac:dyDescent="0.45">
      <c r="B1817" s="4">
        <v>1816</v>
      </c>
      <c r="C1817" s="4" t="s">
        <v>41</v>
      </c>
      <c r="D1817" s="4" t="s">
        <v>16</v>
      </c>
      <c r="E1817" s="4" t="s">
        <v>17</v>
      </c>
      <c r="F1817" s="4" t="s">
        <v>24</v>
      </c>
      <c r="G1817" s="4" t="s">
        <v>19</v>
      </c>
      <c r="H1817" s="4" t="s">
        <v>36</v>
      </c>
      <c r="I1817" s="4">
        <v>57</v>
      </c>
      <c r="J1817" s="5">
        <v>83.3</v>
      </c>
      <c r="K1817" s="6">
        <v>1.54</v>
      </c>
      <c r="L1817" s="4">
        <v>1</v>
      </c>
      <c r="M1817" s="4">
        <v>142</v>
      </c>
      <c r="N1817" s="4">
        <v>103</v>
      </c>
      <c r="O1817" s="4" t="s">
        <v>26</v>
      </c>
      <c r="P1817" s="7" t="s">
        <v>19</v>
      </c>
    </row>
    <row r="1818" spans="2:16" x14ac:dyDescent="0.45">
      <c r="B1818" s="4">
        <v>1817</v>
      </c>
      <c r="C1818" s="4" t="s">
        <v>31</v>
      </c>
      <c r="D1818" s="4" t="s">
        <v>23</v>
      </c>
      <c r="E1818" s="4" t="s">
        <v>37</v>
      </c>
      <c r="F1818" s="4" t="s">
        <v>24</v>
      </c>
      <c r="G1818" s="4" t="s">
        <v>19</v>
      </c>
      <c r="H1818" s="4" t="s">
        <v>25</v>
      </c>
      <c r="I1818" s="4">
        <v>6</v>
      </c>
      <c r="J1818" s="5">
        <v>22.5</v>
      </c>
      <c r="K1818" s="6">
        <v>1.42</v>
      </c>
      <c r="L1818" s="4">
        <v>8</v>
      </c>
      <c r="M1818" s="4">
        <v>115</v>
      </c>
      <c r="N1818" s="4">
        <v>72</v>
      </c>
      <c r="O1818" s="4" t="s">
        <v>26</v>
      </c>
      <c r="P1818" s="7" t="s">
        <v>19</v>
      </c>
    </row>
    <row r="1819" spans="2:16" x14ac:dyDescent="0.45">
      <c r="B1819" s="4">
        <v>1818</v>
      </c>
      <c r="C1819" s="4" t="s">
        <v>15</v>
      </c>
      <c r="D1819" s="4" t="s">
        <v>16</v>
      </c>
      <c r="E1819" s="4" t="s">
        <v>17</v>
      </c>
      <c r="F1819" s="4" t="s">
        <v>42</v>
      </c>
      <c r="G1819" s="4" t="s">
        <v>30</v>
      </c>
      <c r="H1819" s="4" t="s">
        <v>28</v>
      </c>
      <c r="I1819" s="4">
        <v>42</v>
      </c>
      <c r="J1819" s="5">
        <v>87</v>
      </c>
      <c r="K1819" s="6">
        <v>1.85</v>
      </c>
      <c r="L1819" s="4">
        <v>2</v>
      </c>
      <c r="M1819" s="4">
        <v>124</v>
      </c>
      <c r="N1819" s="4">
        <v>99</v>
      </c>
      <c r="O1819" s="4" t="s">
        <v>21</v>
      </c>
      <c r="P1819" s="7" t="s">
        <v>19</v>
      </c>
    </row>
    <row r="1820" spans="2:16" x14ac:dyDescent="0.45">
      <c r="B1820" s="4">
        <v>1819</v>
      </c>
      <c r="C1820" s="4" t="s">
        <v>40</v>
      </c>
      <c r="D1820" s="4" t="s">
        <v>16</v>
      </c>
      <c r="E1820" s="4" t="s">
        <v>35</v>
      </c>
      <c r="F1820" s="4" t="s">
        <v>24</v>
      </c>
      <c r="G1820" s="4" t="s">
        <v>19</v>
      </c>
      <c r="H1820" s="4" t="s">
        <v>20</v>
      </c>
      <c r="I1820" s="4">
        <v>12</v>
      </c>
      <c r="J1820" s="5">
        <v>38.700000000000003</v>
      </c>
      <c r="K1820" s="6">
        <v>1.72</v>
      </c>
      <c r="L1820" s="4">
        <v>2</v>
      </c>
      <c r="M1820" s="4">
        <v>117</v>
      </c>
      <c r="N1820" s="4">
        <v>86</v>
      </c>
      <c r="O1820" s="4" t="s">
        <v>21</v>
      </c>
      <c r="P1820" s="7" t="s">
        <v>19</v>
      </c>
    </row>
    <row r="1821" spans="2:16" x14ac:dyDescent="0.45">
      <c r="B1821" s="4">
        <v>1820</v>
      </c>
      <c r="C1821" s="4" t="s">
        <v>29</v>
      </c>
      <c r="D1821" s="4" t="s">
        <v>16</v>
      </c>
      <c r="E1821" s="4" t="s">
        <v>37</v>
      </c>
      <c r="F1821" s="4" t="s">
        <v>18</v>
      </c>
      <c r="G1821" s="4" t="s">
        <v>30</v>
      </c>
      <c r="H1821" s="4" t="s">
        <v>25</v>
      </c>
      <c r="I1821" s="4">
        <v>11</v>
      </c>
      <c r="J1821" s="5">
        <v>30.5</v>
      </c>
      <c r="K1821" s="6">
        <v>1.18</v>
      </c>
      <c r="L1821" s="4">
        <v>7</v>
      </c>
      <c r="M1821" s="4">
        <v>118</v>
      </c>
      <c r="N1821" s="4">
        <v>103</v>
      </c>
      <c r="O1821" s="4" t="s">
        <v>21</v>
      </c>
      <c r="P1821" s="7" t="s">
        <v>19</v>
      </c>
    </row>
    <row r="1822" spans="2:16" x14ac:dyDescent="0.45">
      <c r="B1822" s="4">
        <v>1821</v>
      </c>
      <c r="C1822" s="4" t="s">
        <v>29</v>
      </c>
      <c r="D1822" s="4" t="s">
        <v>16</v>
      </c>
      <c r="E1822" s="4" t="s">
        <v>17</v>
      </c>
      <c r="F1822" s="4" t="s">
        <v>28</v>
      </c>
      <c r="G1822" s="4" t="s">
        <v>19</v>
      </c>
      <c r="H1822" s="4" t="s">
        <v>32</v>
      </c>
      <c r="I1822" s="4">
        <v>8</v>
      </c>
      <c r="J1822" s="5">
        <v>19.100000000000001</v>
      </c>
      <c r="K1822" s="6">
        <v>1.23</v>
      </c>
      <c r="L1822" s="4">
        <v>0</v>
      </c>
      <c r="M1822" s="4">
        <v>109</v>
      </c>
      <c r="N1822" s="4">
        <v>127</v>
      </c>
      <c r="O1822" s="4" t="s">
        <v>21</v>
      </c>
      <c r="P1822" s="7" t="s">
        <v>19</v>
      </c>
    </row>
    <row r="1823" spans="2:16" x14ac:dyDescent="0.45">
      <c r="B1823" s="4">
        <v>1822</v>
      </c>
      <c r="C1823" s="4" t="s">
        <v>15</v>
      </c>
      <c r="D1823" s="4" t="s">
        <v>16</v>
      </c>
      <c r="E1823" s="4" t="s">
        <v>17</v>
      </c>
      <c r="F1823" s="4" t="s">
        <v>28</v>
      </c>
      <c r="G1823" s="4" t="s">
        <v>30</v>
      </c>
      <c r="H1823" s="4" t="s">
        <v>32</v>
      </c>
      <c r="I1823" s="4">
        <v>55</v>
      </c>
      <c r="J1823" s="5">
        <v>65.3</v>
      </c>
      <c r="K1823" s="6">
        <v>1.75</v>
      </c>
      <c r="L1823" s="4">
        <v>5</v>
      </c>
      <c r="M1823" s="4">
        <v>112</v>
      </c>
      <c r="N1823" s="4">
        <v>131</v>
      </c>
      <c r="O1823" s="4" t="s">
        <v>21</v>
      </c>
      <c r="P1823" s="7" t="s">
        <v>19</v>
      </c>
    </row>
    <row r="1824" spans="2:16" x14ac:dyDescent="0.45">
      <c r="B1824" s="4">
        <v>1823</v>
      </c>
      <c r="C1824" s="4" t="s">
        <v>29</v>
      </c>
      <c r="D1824" s="4" t="s">
        <v>16</v>
      </c>
      <c r="E1824" s="4" t="s">
        <v>37</v>
      </c>
      <c r="F1824" s="4" t="s">
        <v>18</v>
      </c>
      <c r="G1824" s="4" t="s">
        <v>19</v>
      </c>
      <c r="H1824" s="4" t="s">
        <v>36</v>
      </c>
      <c r="I1824" s="4">
        <v>72</v>
      </c>
      <c r="J1824" s="5">
        <v>54.7</v>
      </c>
      <c r="K1824" s="6">
        <v>1.56</v>
      </c>
      <c r="L1824" s="4">
        <v>4</v>
      </c>
      <c r="M1824" s="4">
        <v>144</v>
      </c>
      <c r="N1824" s="4">
        <v>105</v>
      </c>
      <c r="O1824" s="4" t="s">
        <v>21</v>
      </c>
      <c r="P1824" s="7" t="s">
        <v>19</v>
      </c>
    </row>
    <row r="1825" spans="2:16" x14ac:dyDescent="0.45">
      <c r="B1825" s="4">
        <v>1824</v>
      </c>
      <c r="C1825" s="4" t="s">
        <v>15</v>
      </c>
      <c r="D1825" s="4" t="s">
        <v>23</v>
      </c>
      <c r="E1825" s="4" t="s">
        <v>44</v>
      </c>
      <c r="F1825" s="4" t="s">
        <v>28</v>
      </c>
      <c r="G1825" s="4" t="s">
        <v>19</v>
      </c>
      <c r="H1825" s="4" t="s">
        <v>46</v>
      </c>
      <c r="I1825" s="4">
        <v>22</v>
      </c>
      <c r="J1825" s="5">
        <v>92.5</v>
      </c>
      <c r="K1825" s="6">
        <v>1.53</v>
      </c>
      <c r="L1825" s="4">
        <v>10</v>
      </c>
      <c r="M1825" s="4">
        <v>112</v>
      </c>
      <c r="N1825" s="4">
        <v>91</v>
      </c>
      <c r="O1825" s="4" t="s">
        <v>26</v>
      </c>
      <c r="P1825" s="7" t="s">
        <v>19</v>
      </c>
    </row>
    <row r="1826" spans="2:16" x14ac:dyDescent="0.45">
      <c r="B1826" s="4">
        <v>1825</v>
      </c>
      <c r="C1826" s="4" t="s">
        <v>41</v>
      </c>
      <c r="D1826" s="4" t="s">
        <v>16</v>
      </c>
      <c r="E1826" s="4" t="s">
        <v>35</v>
      </c>
      <c r="F1826" s="4" t="s">
        <v>28</v>
      </c>
      <c r="G1826" s="4" t="s">
        <v>19</v>
      </c>
      <c r="H1826" s="4" t="s">
        <v>38</v>
      </c>
      <c r="I1826" s="4">
        <v>14</v>
      </c>
      <c r="J1826" s="5">
        <v>45.7</v>
      </c>
      <c r="K1826" s="6">
        <v>1.51</v>
      </c>
      <c r="L1826" s="4">
        <v>4</v>
      </c>
      <c r="M1826" s="4">
        <v>95</v>
      </c>
      <c r="N1826" s="4">
        <v>94</v>
      </c>
      <c r="O1826" s="4" t="s">
        <v>26</v>
      </c>
      <c r="P1826" s="7" t="s">
        <v>19</v>
      </c>
    </row>
    <row r="1827" spans="2:16" x14ac:dyDescent="0.45">
      <c r="B1827" s="4">
        <v>1826</v>
      </c>
      <c r="C1827" s="4" t="s">
        <v>15</v>
      </c>
      <c r="D1827" s="4" t="s">
        <v>16</v>
      </c>
      <c r="E1827" s="4" t="s">
        <v>35</v>
      </c>
      <c r="F1827" s="4" t="s">
        <v>24</v>
      </c>
      <c r="G1827" s="4" t="s">
        <v>19</v>
      </c>
      <c r="H1827" s="4" t="s">
        <v>20</v>
      </c>
      <c r="I1827" s="4">
        <v>47</v>
      </c>
      <c r="J1827" s="5">
        <v>63.6</v>
      </c>
      <c r="K1827" s="6">
        <v>1.82</v>
      </c>
      <c r="L1827" s="4">
        <v>1</v>
      </c>
      <c r="M1827" s="4">
        <v>106</v>
      </c>
      <c r="N1827" s="4">
        <v>74</v>
      </c>
      <c r="O1827" s="4" t="s">
        <v>26</v>
      </c>
      <c r="P1827" s="7" t="s">
        <v>19</v>
      </c>
    </row>
    <row r="1828" spans="2:16" x14ac:dyDescent="0.45">
      <c r="B1828" s="4">
        <v>1827</v>
      </c>
      <c r="C1828" s="4" t="s">
        <v>39</v>
      </c>
      <c r="D1828" s="4" t="s">
        <v>23</v>
      </c>
      <c r="E1828" s="4" t="s">
        <v>17</v>
      </c>
      <c r="F1828" s="4" t="s">
        <v>24</v>
      </c>
      <c r="G1828" s="4" t="s">
        <v>19</v>
      </c>
      <c r="H1828" s="4" t="s">
        <v>46</v>
      </c>
      <c r="I1828" s="4">
        <v>32</v>
      </c>
      <c r="J1828" s="5">
        <v>69</v>
      </c>
      <c r="K1828" s="6">
        <v>1.85</v>
      </c>
      <c r="L1828" s="4">
        <v>2</v>
      </c>
      <c r="M1828" s="4">
        <v>113</v>
      </c>
      <c r="N1828" s="4">
        <v>73</v>
      </c>
      <c r="O1828" s="4" t="s">
        <v>26</v>
      </c>
      <c r="P1828" s="7" t="s">
        <v>19</v>
      </c>
    </row>
    <row r="1829" spans="2:16" x14ac:dyDescent="0.45">
      <c r="B1829" s="4">
        <v>1828</v>
      </c>
      <c r="C1829" s="4" t="s">
        <v>43</v>
      </c>
      <c r="D1829" s="4" t="s">
        <v>16</v>
      </c>
      <c r="E1829" s="4" t="s">
        <v>44</v>
      </c>
      <c r="F1829" s="4" t="s">
        <v>18</v>
      </c>
      <c r="G1829" s="4" t="s">
        <v>19</v>
      </c>
      <c r="H1829" s="4" t="s">
        <v>28</v>
      </c>
      <c r="I1829" s="4">
        <v>23</v>
      </c>
      <c r="J1829" s="5">
        <v>81.599999999999994</v>
      </c>
      <c r="K1829" s="6">
        <v>1.64</v>
      </c>
      <c r="L1829" s="4">
        <v>2</v>
      </c>
      <c r="M1829" s="4">
        <v>116</v>
      </c>
      <c r="N1829" s="4">
        <v>101</v>
      </c>
      <c r="O1829" s="4" t="s">
        <v>26</v>
      </c>
      <c r="P1829" s="7" t="s">
        <v>19</v>
      </c>
    </row>
    <row r="1830" spans="2:16" x14ac:dyDescent="0.45">
      <c r="B1830" s="4">
        <v>1829</v>
      </c>
      <c r="C1830" s="4" t="s">
        <v>41</v>
      </c>
      <c r="D1830" s="4" t="s">
        <v>23</v>
      </c>
      <c r="E1830" s="4" t="s">
        <v>17</v>
      </c>
      <c r="F1830" s="4" t="s">
        <v>24</v>
      </c>
      <c r="G1830" s="4" t="s">
        <v>30</v>
      </c>
      <c r="H1830" s="4" t="s">
        <v>20</v>
      </c>
      <c r="I1830" s="4">
        <v>78</v>
      </c>
      <c r="J1830" s="5">
        <v>73.099999999999994</v>
      </c>
      <c r="K1830" s="6">
        <v>1.83</v>
      </c>
      <c r="L1830" s="4">
        <v>1</v>
      </c>
      <c r="M1830" s="4">
        <v>133</v>
      </c>
      <c r="N1830" s="4">
        <v>78</v>
      </c>
      <c r="O1830" s="4" t="s">
        <v>26</v>
      </c>
      <c r="P1830" s="7" t="s">
        <v>19</v>
      </c>
    </row>
    <row r="1831" spans="2:16" x14ac:dyDescent="0.45">
      <c r="B1831" s="4">
        <v>1830</v>
      </c>
      <c r="C1831" s="4" t="s">
        <v>22</v>
      </c>
      <c r="D1831" s="4" t="s">
        <v>23</v>
      </c>
      <c r="E1831" s="4" t="s">
        <v>37</v>
      </c>
      <c r="F1831" s="4" t="s">
        <v>28</v>
      </c>
      <c r="G1831" s="4" t="s">
        <v>19</v>
      </c>
      <c r="H1831" s="4" t="s">
        <v>20</v>
      </c>
      <c r="I1831" s="4">
        <v>6</v>
      </c>
      <c r="J1831" s="5">
        <v>35.1</v>
      </c>
      <c r="K1831" s="6">
        <v>1.19</v>
      </c>
      <c r="L1831" s="4">
        <v>5</v>
      </c>
      <c r="M1831" s="4">
        <v>92</v>
      </c>
      <c r="N1831" s="4">
        <v>77</v>
      </c>
      <c r="O1831" s="4" t="s">
        <v>26</v>
      </c>
      <c r="P1831" s="7" t="s">
        <v>19</v>
      </c>
    </row>
    <row r="1832" spans="2:16" x14ac:dyDescent="0.45">
      <c r="B1832" s="4">
        <v>1831</v>
      </c>
      <c r="C1832" s="4" t="s">
        <v>33</v>
      </c>
      <c r="D1832" s="4" t="s">
        <v>16</v>
      </c>
      <c r="E1832" s="4" t="s">
        <v>17</v>
      </c>
      <c r="F1832" s="4" t="s">
        <v>24</v>
      </c>
      <c r="G1832" s="4" t="s">
        <v>19</v>
      </c>
      <c r="H1832" s="4" t="s">
        <v>20</v>
      </c>
      <c r="I1832" s="4">
        <v>10</v>
      </c>
      <c r="J1832" s="5">
        <v>30.7</v>
      </c>
      <c r="K1832" s="6">
        <v>1.2</v>
      </c>
      <c r="L1832" s="4">
        <v>3</v>
      </c>
      <c r="M1832" s="4">
        <v>109</v>
      </c>
      <c r="N1832" s="4">
        <v>88</v>
      </c>
      <c r="O1832" s="4" t="s">
        <v>26</v>
      </c>
      <c r="P1832" s="7" t="s">
        <v>19</v>
      </c>
    </row>
    <row r="1833" spans="2:16" x14ac:dyDescent="0.45">
      <c r="B1833" s="4">
        <v>1832</v>
      </c>
      <c r="C1833" s="4" t="s">
        <v>41</v>
      </c>
      <c r="D1833" s="4" t="s">
        <v>16</v>
      </c>
      <c r="E1833" s="4" t="s">
        <v>17</v>
      </c>
      <c r="F1833" s="4" t="s">
        <v>24</v>
      </c>
      <c r="G1833" s="4" t="s">
        <v>19</v>
      </c>
      <c r="H1833" s="4" t="s">
        <v>20</v>
      </c>
      <c r="I1833" s="4">
        <v>17</v>
      </c>
      <c r="J1833" s="5">
        <v>47.1</v>
      </c>
      <c r="K1833" s="6">
        <v>1.69</v>
      </c>
      <c r="L1833" s="4">
        <v>2</v>
      </c>
      <c r="M1833" s="4">
        <v>99</v>
      </c>
      <c r="N1833" s="4">
        <v>76</v>
      </c>
      <c r="O1833" s="4" t="s">
        <v>21</v>
      </c>
      <c r="P1833" s="7" t="s">
        <v>19</v>
      </c>
    </row>
    <row r="1834" spans="2:16" x14ac:dyDescent="0.45">
      <c r="B1834" s="4">
        <v>1833</v>
      </c>
      <c r="C1834" s="4" t="s">
        <v>22</v>
      </c>
      <c r="D1834" s="4" t="s">
        <v>23</v>
      </c>
      <c r="E1834" s="4" t="s">
        <v>44</v>
      </c>
      <c r="F1834" s="4" t="s">
        <v>42</v>
      </c>
      <c r="G1834" s="4" t="s">
        <v>19</v>
      </c>
      <c r="H1834" s="4" t="s">
        <v>20</v>
      </c>
      <c r="I1834" s="4">
        <v>5</v>
      </c>
      <c r="J1834" s="5">
        <v>25.5</v>
      </c>
      <c r="K1834" s="6">
        <v>1.31</v>
      </c>
      <c r="L1834" s="4">
        <v>3</v>
      </c>
      <c r="M1834" s="4">
        <v>110</v>
      </c>
      <c r="N1834" s="4">
        <v>98</v>
      </c>
      <c r="O1834" s="4" t="s">
        <v>21</v>
      </c>
      <c r="P1834" s="7" t="s">
        <v>19</v>
      </c>
    </row>
    <row r="1835" spans="2:16" x14ac:dyDescent="0.45">
      <c r="B1835" s="4">
        <v>1834</v>
      </c>
      <c r="C1835" s="4" t="s">
        <v>22</v>
      </c>
      <c r="D1835" s="4" t="s">
        <v>16</v>
      </c>
      <c r="E1835" s="4" t="s">
        <v>17</v>
      </c>
      <c r="F1835" s="4" t="s">
        <v>24</v>
      </c>
      <c r="G1835" s="4" t="s">
        <v>19</v>
      </c>
      <c r="H1835" s="4" t="s">
        <v>25</v>
      </c>
      <c r="I1835" s="4">
        <v>11</v>
      </c>
      <c r="J1835" s="5">
        <v>29.8</v>
      </c>
      <c r="K1835" s="6">
        <v>1.3</v>
      </c>
      <c r="L1835" s="4">
        <v>3</v>
      </c>
      <c r="M1835" s="4">
        <v>116</v>
      </c>
      <c r="N1835" s="4">
        <v>89</v>
      </c>
      <c r="O1835" s="4" t="s">
        <v>21</v>
      </c>
      <c r="P1835" s="7" t="s">
        <v>19</v>
      </c>
    </row>
    <row r="1836" spans="2:16" x14ac:dyDescent="0.45">
      <c r="B1836" s="4">
        <v>1835</v>
      </c>
      <c r="C1836" s="4" t="s">
        <v>22</v>
      </c>
      <c r="D1836" s="4" t="s">
        <v>16</v>
      </c>
      <c r="E1836" s="4" t="s">
        <v>44</v>
      </c>
      <c r="F1836" s="4" t="s">
        <v>18</v>
      </c>
      <c r="G1836" s="4" t="s">
        <v>19</v>
      </c>
      <c r="H1836" s="4" t="s">
        <v>20</v>
      </c>
      <c r="I1836" s="4">
        <v>30</v>
      </c>
      <c r="J1836" s="5">
        <v>65.8</v>
      </c>
      <c r="K1836" s="6">
        <v>1.52</v>
      </c>
      <c r="L1836" s="4">
        <v>8</v>
      </c>
      <c r="M1836" s="4">
        <v>110</v>
      </c>
      <c r="N1836" s="4">
        <v>76</v>
      </c>
      <c r="O1836" s="4" t="s">
        <v>21</v>
      </c>
      <c r="P1836" s="7" t="s">
        <v>30</v>
      </c>
    </row>
    <row r="1837" spans="2:16" x14ac:dyDescent="0.45">
      <c r="B1837" s="4">
        <v>1836</v>
      </c>
      <c r="C1837" s="4" t="s">
        <v>39</v>
      </c>
      <c r="D1837" s="4" t="s">
        <v>23</v>
      </c>
      <c r="E1837" s="4" t="s">
        <v>17</v>
      </c>
      <c r="F1837" s="4" t="s">
        <v>24</v>
      </c>
      <c r="G1837" s="4" t="s">
        <v>19</v>
      </c>
      <c r="H1837" s="4" t="s">
        <v>38</v>
      </c>
      <c r="I1837" s="4">
        <v>41</v>
      </c>
      <c r="J1837" s="5">
        <v>69.099999999999994</v>
      </c>
      <c r="K1837" s="6">
        <v>1.51</v>
      </c>
      <c r="L1837" s="4">
        <v>3</v>
      </c>
      <c r="M1837" s="4">
        <v>109</v>
      </c>
      <c r="N1837" s="4">
        <v>77</v>
      </c>
      <c r="O1837" s="4" t="s">
        <v>26</v>
      </c>
      <c r="P1837" s="7" t="s">
        <v>19</v>
      </c>
    </row>
    <row r="1838" spans="2:16" x14ac:dyDescent="0.45">
      <c r="B1838" s="4">
        <v>1837</v>
      </c>
      <c r="C1838" s="4" t="s">
        <v>27</v>
      </c>
      <c r="D1838" s="4" t="s">
        <v>23</v>
      </c>
      <c r="E1838" s="4" t="s">
        <v>17</v>
      </c>
      <c r="F1838" s="4" t="s">
        <v>18</v>
      </c>
      <c r="G1838" s="4" t="s">
        <v>19</v>
      </c>
      <c r="H1838" s="4" t="s">
        <v>46</v>
      </c>
      <c r="I1838" s="4">
        <v>17</v>
      </c>
      <c r="J1838" s="5">
        <v>40.4</v>
      </c>
      <c r="K1838" s="6">
        <v>1.47</v>
      </c>
      <c r="L1838" s="4">
        <v>0</v>
      </c>
      <c r="M1838" s="4">
        <v>111</v>
      </c>
      <c r="N1838" s="4">
        <v>101</v>
      </c>
      <c r="O1838" s="4" t="s">
        <v>21</v>
      </c>
      <c r="P1838" s="7" t="s">
        <v>19</v>
      </c>
    </row>
    <row r="1839" spans="2:16" x14ac:dyDescent="0.45">
      <c r="B1839" s="4">
        <v>1838</v>
      </c>
      <c r="C1839" s="4" t="s">
        <v>22</v>
      </c>
      <c r="D1839" s="4" t="s">
        <v>16</v>
      </c>
      <c r="E1839" s="4" t="s">
        <v>17</v>
      </c>
      <c r="F1839" s="4" t="s">
        <v>24</v>
      </c>
      <c r="G1839" s="4" t="s">
        <v>19</v>
      </c>
      <c r="H1839" s="4" t="s">
        <v>38</v>
      </c>
      <c r="I1839" s="4">
        <v>50</v>
      </c>
      <c r="J1839" s="5">
        <v>68.099999999999994</v>
      </c>
      <c r="K1839" s="6">
        <v>1.57</v>
      </c>
      <c r="L1839" s="4">
        <v>0</v>
      </c>
      <c r="M1839" s="4">
        <v>114</v>
      </c>
      <c r="N1839" s="4">
        <v>102</v>
      </c>
      <c r="O1839" s="4" t="s">
        <v>26</v>
      </c>
      <c r="P1839" s="7" t="s">
        <v>19</v>
      </c>
    </row>
    <row r="1840" spans="2:16" x14ac:dyDescent="0.45">
      <c r="B1840" s="4">
        <v>1839</v>
      </c>
      <c r="C1840" s="4" t="s">
        <v>43</v>
      </c>
      <c r="D1840" s="4" t="s">
        <v>16</v>
      </c>
      <c r="E1840" s="4" t="s">
        <v>17</v>
      </c>
      <c r="F1840" s="4" t="s">
        <v>42</v>
      </c>
      <c r="G1840" s="4" t="s">
        <v>30</v>
      </c>
      <c r="H1840" s="4" t="s">
        <v>20</v>
      </c>
      <c r="I1840" s="4">
        <v>48</v>
      </c>
      <c r="J1840" s="5">
        <v>66.8</v>
      </c>
      <c r="K1840" s="6">
        <v>1.87</v>
      </c>
      <c r="L1840" s="4">
        <v>4</v>
      </c>
      <c r="M1840" s="4">
        <v>106</v>
      </c>
      <c r="N1840" s="4">
        <v>95</v>
      </c>
      <c r="O1840" s="4" t="s">
        <v>21</v>
      </c>
      <c r="P1840" s="7" t="s">
        <v>19</v>
      </c>
    </row>
    <row r="1841" spans="2:16" x14ac:dyDescent="0.45">
      <c r="B1841" s="4">
        <v>1840</v>
      </c>
      <c r="C1841" s="4" t="s">
        <v>27</v>
      </c>
      <c r="D1841" s="4" t="s">
        <v>16</v>
      </c>
      <c r="E1841" s="4" t="s">
        <v>17</v>
      </c>
      <c r="F1841" s="4" t="s">
        <v>28</v>
      </c>
      <c r="G1841" s="4" t="s">
        <v>19</v>
      </c>
      <c r="H1841" s="4" t="s">
        <v>36</v>
      </c>
      <c r="I1841" s="4">
        <v>21</v>
      </c>
      <c r="J1841" s="5">
        <v>76.400000000000006</v>
      </c>
      <c r="K1841" s="6">
        <v>1.84</v>
      </c>
      <c r="L1841" s="4">
        <v>0</v>
      </c>
      <c r="M1841" s="4">
        <v>139</v>
      </c>
      <c r="N1841" s="4">
        <v>85</v>
      </c>
      <c r="O1841" s="4" t="s">
        <v>26</v>
      </c>
      <c r="P1841" s="7" t="s">
        <v>19</v>
      </c>
    </row>
    <row r="1842" spans="2:16" x14ac:dyDescent="0.45">
      <c r="B1842" s="4">
        <v>1841</v>
      </c>
      <c r="C1842" s="4" t="s">
        <v>22</v>
      </c>
      <c r="D1842" s="4" t="s">
        <v>16</v>
      </c>
      <c r="E1842" s="4" t="s">
        <v>35</v>
      </c>
      <c r="F1842" s="4" t="s">
        <v>28</v>
      </c>
      <c r="G1842" s="4" t="s">
        <v>19</v>
      </c>
      <c r="H1842" s="4" t="s">
        <v>34</v>
      </c>
      <c r="I1842" s="4">
        <v>52</v>
      </c>
      <c r="J1842" s="5">
        <v>85.4</v>
      </c>
      <c r="K1842" s="6">
        <v>1.81</v>
      </c>
      <c r="L1842" s="4">
        <v>6</v>
      </c>
      <c r="M1842" s="4">
        <v>106</v>
      </c>
      <c r="N1842" s="4">
        <v>94</v>
      </c>
      <c r="O1842" s="4" t="s">
        <v>21</v>
      </c>
      <c r="P1842" s="7" t="s">
        <v>19</v>
      </c>
    </row>
    <row r="1843" spans="2:16" x14ac:dyDescent="0.45">
      <c r="B1843" s="4">
        <v>1842</v>
      </c>
      <c r="C1843" s="4" t="s">
        <v>22</v>
      </c>
      <c r="D1843" s="4" t="s">
        <v>23</v>
      </c>
      <c r="E1843" s="4" t="s">
        <v>44</v>
      </c>
      <c r="F1843" s="4" t="s">
        <v>18</v>
      </c>
      <c r="G1843" s="4" t="s">
        <v>19</v>
      </c>
      <c r="H1843" s="4" t="s">
        <v>28</v>
      </c>
      <c r="I1843" s="4">
        <v>55</v>
      </c>
      <c r="J1843" s="5">
        <v>83.5</v>
      </c>
      <c r="K1843" s="6">
        <v>1.78</v>
      </c>
      <c r="L1843" s="4">
        <v>0</v>
      </c>
      <c r="M1843" s="4">
        <v>112</v>
      </c>
      <c r="N1843" s="4">
        <v>90</v>
      </c>
      <c r="O1843" s="4" t="s">
        <v>26</v>
      </c>
      <c r="P1843" s="7" t="s">
        <v>19</v>
      </c>
    </row>
    <row r="1844" spans="2:16" x14ac:dyDescent="0.45">
      <c r="B1844" s="4">
        <v>1843</v>
      </c>
      <c r="C1844" s="4" t="s">
        <v>33</v>
      </c>
      <c r="D1844" s="4" t="s">
        <v>23</v>
      </c>
      <c r="E1844" s="4" t="s">
        <v>17</v>
      </c>
      <c r="F1844" s="4" t="s">
        <v>18</v>
      </c>
      <c r="G1844" s="4" t="s">
        <v>19</v>
      </c>
      <c r="H1844" s="4" t="s">
        <v>20</v>
      </c>
      <c r="I1844" s="4">
        <v>61</v>
      </c>
      <c r="J1844" s="5">
        <v>91.3</v>
      </c>
      <c r="K1844" s="6">
        <v>1.62</v>
      </c>
      <c r="L1844" s="4">
        <v>1</v>
      </c>
      <c r="M1844" s="4">
        <v>127</v>
      </c>
      <c r="N1844" s="4">
        <v>77</v>
      </c>
      <c r="O1844" s="4" t="s">
        <v>21</v>
      </c>
      <c r="P1844" s="7" t="s">
        <v>19</v>
      </c>
    </row>
    <row r="1845" spans="2:16" x14ac:dyDescent="0.45">
      <c r="B1845" s="4">
        <v>1844</v>
      </c>
      <c r="C1845" s="4" t="s">
        <v>29</v>
      </c>
      <c r="D1845" s="4" t="s">
        <v>23</v>
      </c>
      <c r="E1845" s="4" t="s">
        <v>35</v>
      </c>
      <c r="F1845" s="4" t="s">
        <v>24</v>
      </c>
      <c r="G1845" s="4" t="s">
        <v>19</v>
      </c>
      <c r="H1845" s="4" t="s">
        <v>46</v>
      </c>
      <c r="I1845" s="4">
        <v>24</v>
      </c>
      <c r="J1845" s="5">
        <v>79.900000000000006</v>
      </c>
      <c r="K1845" s="6">
        <v>1.75</v>
      </c>
      <c r="L1845" s="4">
        <v>5</v>
      </c>
      <c r="M1845" s="4">
        <v>111</v>
      </c>
      <c r="N1845" s="4">
        <v>80</v>
      </c>
      <c r="O1845" s="4" t="s">
        <v>26</v>
      </c>
      <c r="P1845" s="7" t="s">
        <v>19</v>
      </c>
    </row>
    <row r="1846" spans="2:16" x14ac:dyDescent="0.45">
      <c r="B1846" s="4">
        <v>1845</v>
      </c>
      <c r="C1846" s="4" t="s">
        <v>22</v>
      </c>
      <c r="D1846" s="4" t="s">
        <v>16</v>
      </c>
      <c r="E1846" s="4" t="s">
        <v>17</v>
      </c>
      <c r="F1846" s="4" t="s">
        <v>28</v>
      </c>
      <c r="G1846" s="4" t="s">
        <v>19</v>
      </c>
      <c r="H1846" s="4" t="s">
        <v>20</v>
      </c>
      <c r="I1846" s="4">
        <v>25</v>
      </c>
      <c r="J1846" s="5">
        <v>88.8</v>
      </c>
      <c r="K1846" s="6">
        <v>1.72</v>
      </c>
      <c r="L1846" s="4">
        <v>0</v>
      </c>
      <c r="M1846" s="4">
        <v>103</v>
      </c>
      <c r="N1846" s="4">
        <v>85</v>
      </c>
      <c r="O1846" s="4" t="s">
        <v>26</v>
      </c>
      <c r="P1846" s="7" t="s">
        <v>19</v>
      </c>
    </row>
    <row r="1847" spans="2:16" x14ac:dyDescent="0.45">
      <c r="B1847" s="4">
        <v>1846</v>
      </c>
      <c r="C1847" s="4" t="s">
        <v>27</v>
      </c>
      <c r="D1847" s="4" t="s">
        <v>23</v>
      </c>
      <c r="E1847" s="4" t="s">
        <v>17</v>
      </c>
      <c r="F1847" s="4" t="s">
        <v>24</v>
      </c>
      <c r="G1847" s="4" t="s">
        <v>30</v>
      </c>
      <c r="H1847" s="4" t="s">
        <v>32</v>
      </c>
      <c r="I1847" s="4">
        <v>7</v>
      </c>
      <c r="J1847" s="5">
        <v>22.3</v>
      </c>
      <c r="K1847" s="6">
        <v>1.26</v>
      </c>
      <c r="L1847" s="4">
        <v>0</v>
      </c>
      <c r="M1847" s="4">
        <v>94</v>
      </c>
      <c r="N1847" s="4">
        <v>174</v>
      </c>
      <c r="O1847" s="4" t="s">
        <v>21</v>
      </c>
      <c r="P1847" s="7" t="s">
        <v>19</v>
      </c>
    </row>
    <row r="1848" spans="2:16" x14ac:dyDescent="0.45">
      <c r="B1848" s="4">
        <v>1847</v>
      </c>
      <c r="C1848" s="4" t="s">
        <v>41</v>
      </c>
      <c r="D1848" s="4" t="s">
        <v>16</v>
      </c>
      <c r="E1848" s="4" t="s">
        <v>35</v>
      </c>
      <c r="F1848" s="4" t="s">
        <v>18</v>
      </c>
      <c r="G1848" s="4" t="s">
        <v>19</v>
      </c>
      <c r="H1848" s="4" t="s">
        <v>46</v>
      </c>
      <c r="I1848" s="4">
        <v>35</v>
      </c>
      <c r="J1848" s="5">
        <v>69.2</v>
      </c>
      <c r="K1848" s="6">
        <v>1.74</v>
      </c>
      <c r="L1848" s="4">
        <v>3</v>
      </c>
      <c r="M1848" s="4">
        <v>107</v>
      </c>
      <c r="N1848" s="4">
        <v>100</v>
      </c>
      <c r="O1848" s="4" t="s">
        <v>21</v>
      </c>
      <c r="P1848" s="7" t="s">
        <v>19</v>
      </c>
    </row>
    <row r="1849" spans="2:16" x14ac:dyDescent="0.45">
      <c r="B1849" s="4">
        <v>1848</v>
      </c>
      <c r="C1849" s="4" t="s">
        <v>45</v>
      </c>
      <c r="D1849" s="4" t="s">
        <v>23</v>
      </c>
      <c r="E1849" s="4" t="s">
        <v>17</v>
      </c>
      <c r="F1849" s="4" t="s">
        <v>42</v>
      </c>
      <c r="G1849" s="4" t="s">
        <v>19</v>
      </c>
      <c r="H1849" s="4" t="s">
        <v>34</v>
      </c>
      <c r="I1849" s="4">
        <v>4</v>
      </c>
      <c r="J1849" s="5">
        <v>12.9</v>
      </c>
      <c r="K1849" s="6">
        <v>0.84</v>
      </c>
      <c r="L1849" s="4">
        <v>3</v>
      </c>
      <c r="M1849" s="4">
        <v>99</v>
      </c>
      <c r="N1849" s="4">
        <v>72</v>
      </c>
      <c r="O1849" s="4" t="s">
        <v>21</v>
      </c>
      <c r="P1849" s="7" t="s">
        <v>19</v>
      </c>
    </row>
    <row r="1850" spans="2:16" x14ac:dyDescent="0.45">
      <c r="B1850" s="4">
        <v>1849</v>
      </c>
      <c r="C1850" s="4" t="s">
        <v>22</v>
      </c>
      <c r="D1850" s="4" t="s">
        <v>23</v>
      </c>
      <c r="E1850" s="4" t="s">
        <v>17</v>
      </c>
      <c r="F1850" s="4" t="s">
        <v>24</v>
      </c>
      <c r="G1850" s="4" t="s">
        <v>30</v>
      </c>
      <c r="H1850" s="4" t="s">
        <v>28</v>
      </c>
      <c r="I1850" s="4">
        <v>27</v>
      </c>
      <c r="J1850" s="5">
        <v>69.7</v>
      </c>
      <c r="K1850" s="6">
        <v>1.83</v>
      </c>
      <c r="L1850" s="4">
        <v>1</v>
      </c>
      <c r="M1850" s="4">
        <v>111</v>
      </c>
      <c r="N1850" s="4">
        <v>74</v>
      </c>
      <c r="O1850" s="4" t="s">
        <v>21</v>
      </c>
      <c r="P1850" s="7" t="s">
        <v>30</v>
      </c>
    </row>
    <row r="1851" spans="2:16" x14ac:dyDescent="0.45">
      <c r="B1851" s="4">
        <v>1850</v>
      </c>
      <c r="C1851" s="4" t="s">
        <v>15</v>
      </c>
      <c r="D1851" s="4" t="s">
        <v>16</v>
      </c>
      <c r="E1851" s="4" t="s">
        <v>17</v>
      </c>
      <c r="F1851" s="4" t="s">
        <v>18</v>
      </c>
      <c r="G1851" s="4" t="s">
        <v>19</v>
      </c>
      <c r="H1851" s="4" t="s">
        <v>25</v>
      </c>
      <c r="I1851" s="4">
        <v>46</v>
      </c>
      <c r="J1851" s="5">
        <v>70.900000000000006</v>
      </c>
      <c r="K1851" s="6">
        <v>1.83</v>
      </c>
      <c r="L1851" s="4">
        <v>6</v>
      </c>
      <c r="M1851" s="4">
        <v>115</v>
      </c>
      <c r="N1851" s="4">
        <v>78</v>
      </c>
      <c r="O1851" s="4" t="s">
        <v>21</v>
      </c>
      <c r="P1851" s="7" t="s">
        <v>19</v>
      </c>
    </row>
    <row r="1852" spans="2:16" x14ac:dyDescent="0.45">
      <c r="B1852" s="4">
        <v>1851</v>
      </c>
      <c r="C1852" s="4" t="s">
        <v>29</v>
      </c>
      <c r="D1852" s="4" t="s">
        <v>23</v>
      </c>
      <c r="E1852" s="4" t="s">
        <v>35</v>
      </c>
      <c r="F1852" s="4" t="s">
        <v>24</v>
      </c>
      <c r="G1852" s="4" t="s">
        <v>19</v>
      </c>
      <c r="H1852" s="4" t="s">
        <v>46</v>
      </c>
      <c r="I1852" s="4">
        <v>61</v>
      </c>
      <c r="J1852" s="5">
        <v>49.2</v>
      </c>
      <c r="K1852" s="6">
        <v>1.57</v>
      </c>
      <c r="L1852" s="4">
        <v>5</v>
      </c>
      <c r="M1852" s="4">
        <v>127</v>
      </c>
      <c r="N1852" s="4">
        <v>71</v>
      </c>
      <c r="O1852" s="4" t="s">
        <v>26</v>
      </c>
      <c r="P1852" s="7" t="s">
        <v>19</v>
      </c>
    </row>
    <row r="1853" spans="2:16" x14ac:dyDescent="0.45">
      <c r="B1853" s="4">
        <v>1852</v>
      </c>
      <c r="C1853" s="4" t="s">
        <v>27</v>
      </c>
      <c r="D1853" s="4" t="s">
        <v>23</v>
      </c>
      <c r="E1853" s="4" t="s">
        <v>35</v>
      </c>
      <c r="F1853" s="4" t="s">
        <v>24</v>
      </c>
      <c r="G1853" s="4" t="s">
        <v>19</v>
      </c>
      <c r="H1853" s="4" t="s">
        <v>28</v>
      </c>
      <c r="I1853" s="4">
        <v>3</v>
      </c>
      <c r="J1853" s="5">
        <v>12</v>
      </c>
      <c r="K1853" s="6">
        <v>0.84</v>
      </c>
      <c r="L1853" s="4">
        <v>1</v>
      </c>
      <c r="M1853" s="4">
        <v>99</v>
      </c>
      <c r="N1853" s="4">
        <v>78</v>
      </c>
      <c r="O1853" s="4" t="s">
        <v>26</v>
      </c>
      <c r="P1853" s="7" t="s">
        <v>30</v>
      </c>
    </row>
    <row r="1854" spans="2:16" x14ac:dyDescent="0.45">
      <c r="B1854" s="4">
        <v>1853</v>
      </c>
      <c r="C1854" s="4" t="s">
        <v>40</v>
      </c>
      <c r="D1854" s="4" t="s">
        <v>16</v>
      </c>
      <c r="E1854" s="4" t="s">
        <v>17</v>
      </c>
      <c r="F1854" s="4" t="s">
        <v>24</v>
      </c>
      <c r="G1854" s="4" t="s">
        <v>19</v>
      </c>
      <c r="H1854" s="4" t="s">
        <v>28</v>
      </c>
      <c r="I1854" s="4">
        <v>5</v>
      </c>
      <c r="J1854" s="5">
        <v>36.200000000000003</v>
      </c>
      <c r="K1854" s="6">
        <v>1.0900000000000001</v>
      </c>
      <c r="L1854" s="4">
        <v>4</v>
      </c>
      <c r="M1854" s="4">
        <v>109</v>
      </c>
      <c r="N1854" s="4">
        <v>79</v>
      </c>
      <c r="O1854" s="4" t="s">
        <v>26</v>
      </c>
      <c r="P1854" s="7" t="s">
        <v>19</v>
      </c>
    </row>
    <row r="1855" spans="2:16" x14ac:dyDescent="0.45">
      <c r="B1855" s="4">
        <v>1854</v>
      </c>
      <c r="C1855" s="4" t="s">
        <v>45</v>
      </c>
      <c r="D1855" s="4" t="s">
        <v>23</v>
      </c>
      <c r="E1855" s="4" t="s">
        <v>17</v>
      </c>
      <c r="F1855" s="4" t="s">
        <v>24</v>
      </c>
      <c r="G1855" s="4" t="s">
        <v>19</v>
      </c>
      <c r="H1855" s="4" t="s">
        <v>28</v>
      </c>
      <c r="I1855" s="4">
        <v>20</v>
      </c>
      <c r="J1855" s="5">
        <v>56.3</v>
      </c>
      <c r="K1855" s="6">
        <v>1.6</v>
      </c>
      <c r="L1855" s="4">
        <v>6</v>
      </c>
      <c r="M1855" s="4">
        <v>121</v>
      </c>
      <c r="N1855" s="4">
        <v>81</v>
      </c>
      <c r="O1855" s="4" t="s">
        <v>21</v>
      </c>
      <c r="P1855" s="7" t="s">
        <v>19</v>
      </c>
    </row>
    <row r="1856" spans="2:16" x14ac:dyDescent="0.45">
      <c r="B1856" s="4">
        <v>1855</v>
      </c>
      <c r="C1856" s="4" t="s">
        <v>31</v>
      </c>
      <c r="D1856" s="4" t="s">
        <v>23</v>
      </c>
      <c r="E1856" s="4" t="s">
        <v>35</v>
      </c>
      <c r="F1856" s="4" t="s">
        <v>28</v>
      </c>
      <c r="G1856" s="4" t="s">
        <v>19</v>
      </c>
      <c r="H1856" s="4" t="s">
        <v>20</v>
      </c>
      <c r="I1856" s="4">
        <v>20</v>
      </c>
      <c r="J1856" s="5">
        <v>86.7</v>
      </c>
      <c r="K1856" s="6">
        <v>1.82</v>
      </c>
      <c r="L1856" s="4">
        <v>9</v>
      </c>
      <c r="M1856" s="4">
        <v>102</v>
      </c>
      <c r="N1856" s="4">
        <v>97</v>
      </c>
      <c r="O1856" s="4" t="s">
        <v>26</v>
      </c>
      <c r="P1856" s="7" t="s">
        <v>19</v>
      </c>
    </row>
    <row r="1857" spans="2:16" x14ac:dyDescent="0.45">
      <c r="B1857" s="4">
        <v>1856</v>
      </c>
      <c r="C1857" s="4" t="s">
        <v>27</v>
      </c>
      <c r="D1857" s="4" t="s">
        <v>16</v>
      </c>
      <c r="E1857" s="4" t="s">
        <v>35</v>
      </c>
      <c r="F1857" s="4" t="s">
        <v>24</v>
      </c>
      <c r="G1857" s="4" t="s">
        <v>19</v>
      </c>
      <c r="H1857" s="4" t="s">
        <v>34</v>
      </c>
      <c r="I1857" s="4">
        <v>19</v>
      </c>
      <c r="J1857" s="5">
        <v>65.8</v>
      </c>
      <c r="K1857" s="6">
        <v>1.88</v>
      </c>
      <c r="L1857" s="4">
        <v>3</v>
      </c>
      <c r="M1857" s="4">
        <v>109</v>
      </c>
      <c r="N1857" s="4">
        <v>97</v>
      </c>
      <c r="O1857" s="4" t="s">
        <v>26</v>
      </c>
      <c r="P1857" s="7" t="s">
        <v>19</v>
      </c>
    </row>
    <row r="1858" spans="2:16" x14ac:dyDescent="0.45">
      <c r="B1858" s="4">
        <v>1857</v>
      </c>
      <c r="C1858" s="4" t="s">
        <v>39</v>
      </c>
      <c r="D1858" s="4" t="s">
        <v>16</v>
      </c>
      <c r="E1858" s="4" t="s">
        <v>17</v>
      </c>
      <c r="F1858" s="4" t="s">
        <v>24</v>
      </c>
      <c r="G1858" s="4" t="s">
        <v>30</v>
      </c>
      <c r="H1858" s="4" t="s">
        <v>34</v>
      </c>
      <c r="I1858" s="4">
        <v>34</v>
      </c>
      <c r="J1858" s="5">
        <v>47.1</v>
      </c>
      <c r="K1858" s="6">
        <v>1.49</v>
      </c>
      <c r="L1858" s="4">
        <v>8</v>
      </c>
      <c r="M1858" s="4">
        <v>113</v>
      </c>
      <c r="N1858" s="4">
        <v>78</v>
      </c>
      <c r="O1858" s="4" t="s">
        <v>26</v>
      </c>
      <c r="P1858" s="7" t="s">
        <v>19</v>
      </c>
    </row>
    <row r="1859" spans="2:16" x14ac:dyDescent="0.45">
      <c r="B1859" s="4">
        <v>1858</v>
      </c>
      <c r="C1859" s="4" t="s">
        <v>31</v>
      </c>
      <c r="D1859" s="4" t="s">
        <v>23</v>
      </c>
      <c r="E1859" s="4" t="s">
        <v>17</v>
      </c>
      <c r="F1859" s="4" t="s">
        <v>24</v>
      </c>
      <c r="G1859" s="4" t="s">
        <v>19</v>
      </c>
      <c r="H1859" s="4" t="s">
        <v>36</v>
      </c>
      <c r="I1859" s="4">
        <v>7</v>
      </c>
      <c r="J1859" s="5">
        <v>25.6</v>
      </c>
      <c r="K1859" s="6">
        <v>1.1399999999999999</v>
      </c>
      <c r="L1859" s="4">
        <v>4</v>
      </c>
      <c r="M1859" s="4">
        <v>138</v>
      </c>
      <c r="N1859" s="4">
        <v>101</v>
      </c>
      <c r="O1859" s="4" t="s">
        <v>26</v>
      </c>
      <c r="P1859" s="7" t="s">
        <v>19</v>
      </c>
    </row>
    <row r="1860" spans="2:16" x14ac:dyDescent="0.45">
      <c r="B1860" s="4">
        <v>1859</v>
      </c>
      <c r="C1860" s="4" t="s">
        <v>40</v>
      </c>
      <c r="D1860" s="4" t="s">
        <v>16</v>
      </c>
      <c r="E1860" s="4" t="s">
        <v>17</v>
      </c>
      <c r="F1860" s="4" t="s">
        <v>18</v>
      </c>
      <c r="G1860" s="4" t="s">
        <v>30</v>
      </c>
      <c r="H1860" s="4" t="s">
        <v>38</v>
      </c>
      <c r="I1860" s="4">
        <v>54</v>
      </c>
      <c r="J1860" s="5">
        <v>83.6</v>
      </c>
      <c r="K1860" s="6">
        <v>1.5</v>
      </c>
      <c r="L1860" s="4">
        <v>1</v>
      </c>
      <c r="M1860" s="4">
        <v>120</v>
      </c>
      <c r="N1860" s="4">
        <v>75</v>
      </c>
      <c r="O1860" s="4" t="s">
        <v>26</v>
      </c>
      <c r="P1860" s="7" t="s">
        <v>19</v>
      </c>
    </row>
    <row r="1861" spans="2:16" x14ac:dyDescent="0.45">
      <c r="B1861" s="4">
        <v>1860</v>
      </c>
      <c r="C1861" s="4" t="s">
        <v>39</v>
      </c>
      <c r="D1861" s="4" t="s">
        <v>23</v>
      </c>
      <c r="E1861" s="4" t="s">
        <v>35</v>
      </c>
      <c r="F1861" s="4" t="s">
        <v>24</v>
      </c>
      <c r="G1861" s="4" t="s">
        <v>19</v>
      </c>
      <c r="H1861" s="4" t="s">
        <v>36</v>
      </c>
      <c r="I1861" s="4">
        <v>5</v>
      </c>
      <c r="J1861" s="5">
        <v>21.6</v>
      </c>
      <c r="K1861" s="6">
        <v>1.37</v>
      </c>
      <c r="L1861" s="4">
        <v>6</v>
      </c>
      <c r="M1861" s="4">
        <v>117</v>
      </c>
      <c r="N1861" s="4">
        <v>88</v>
      </c>
      <c r="O1861" s="4" t="s">
        <v>21</v>
      </c>
      <c r="P1861" s="7" t="s">
        <v>19</v>
      </c>
    </row>
    <row r="1862" spans="2:16" x14ac:dyDescent="0.45">
      <c r="B1862" s="4">
        <v>1861</v>
      </c>
      <c r="C1862" s="4" t="s">
        <v>33</v>
      </c>
      <c r="D1862" s="4" t="s">
        <v>23</v>
      </c>
      <c r="E1862" s="4" t="s">
        <v>35</v>
      </c>
      <c r="F1862" s="4" t="s">
        <v>28</v>
      </c>
      <c r="G1862" s="4" t="s">
        <v>30</v>
      </c>
      <c r="H1862" s="4" t="s">
        <v>28</v>
      </c>
      <c r="I1862" s="4">
        <v>9</v>
      </c>
      <c r="J1862" s="5">
        <v>33.799999999999997</v>
      </c>
      <c r="K1862" s="6">
        <v>1.1200000000000001</v>
      </c>
      <c r="L1862" s="4">
        <v>1</v>
      </c>
      <c r="M1862" s="4">
        <v>110</v>
      </c>
      <c r="N1862" s="4">
        <v>85</v>
      </c>
      <c r="O1862" s="4" t="s">
        <v>26</v>
      </c>
      <c r="P1862" s="7" t="s">
        <v>19</v>
      </c>
    </row>
    <row r="1863" spans="2:16" x14ac:dyDescent="0.45">
      <c r="B1863" s="4">
        <v>1862</v>
      </c>
      <c r="C1863" s="4" t="s">
        <v>22</v>
      </c>
      <c r="D1863" s="4" t="s">
        <v>23</v>
      </c>
      <c r="E1863" s="4" t="s">
        <v>44</v>
      </c>
      <c r="F1863" s="4" t="s">
        <v>24</v>
      </c>
      <c r="G1863" s="4" t="s">
        <v>19</v>
      </c>
      <c r="H1863" s="4" t="s">
        <v>28</v>
      </c>
      <c r="I1863" s="4">
        <v>25</v>
      </c>
      <c r="J1863" s="5">
        <v>48.7</v>
      </c>
      <c r="K1863" s="6">
        <v>1.86</v>
      </c>
      <c r="L1863" s="4">
        <v>0</v>
      </c>
      <c r="M1863" s="4">
        <v>109</v>
      </c>
      <c r="N1863" s="4">
        <v>92</v>
      </c>
      <c r="O1863" s="4" t="s">
        <v>26</v>
      </c>
      <c r="P1863" s="7" t="s">
        <v>30</v>
      </c>
    </row>
    <row r="1864" spans="2:16" x14ac:dyDescent="0.45">
      <c r="B1864" s="4">
        <v>1863</v>
      </c>
      <c r="C1864" s="4" t="s">
        <v>45</v>
      </c>
      <c r="D1864" s="4" t="s">
        <v>16</v>
      </c>
      <c r="E1864" s="4" t="s">
        <v>35</v>
      </c>
      <c r="F1864" s="4" t="s">
        <v>24</v>
      </c>
      <c r="G1864" s="4" t="s">
        <v>19</v>
      </c>
      <c r="H1864" s="4" t="s">
        <v>34</v>
      </c>
      <c r="I1864" s="4">
        <v>40</v>
      </c>
      <c r="J1864" s="5">
        <v>47.6</v>
      </c>
      <c r="K1864" s="6">
        <v>1.52</v>
      </c>
      <c r="L1864" s="4">
        <v>4</v>
      </c>
      <c r="M1864" s="4">
        <v>102</v>
      </c>
      <c r="N1864" s="4">
        <v>98</v>
      </c>
      <c r="O1864" s="4" t="s">
        <v>26</v>
      </c>
      <c r="P1864" s="7" t="s">
        <v>19</v>
      </c>
    </row>
    <row r="1865" spans="2:16" x14ac:dyDescent="0.45">
      <c r="B1865" s="4">
        <v>1864</v>
      </c>
      <c r="C1865" s="4" t="s">
        <v>39</v>
      </c>
      <c r="D1865" s="4" t="s">
        <v>16</v>
      </c>
      <c r="E1865" s="4" t="s">
        <v>35</v>
      </c>
      <c r="F1865" s="4" t="s">
        <v>28</v>
      </c>
      <c r="G1865" s="4" t="s">
        <v>19</v>
      </c>
      <c r="H1865" s="4" t="s">
        <v>20</v>
      </c>
      <c r="I1865" s="4">
        <v>38</v>
      </c>
      <c r="J1865" s="5">
        <v>53.3</v>
      </c>
      <c r="K1865" s="6">
        <v>1.79</v>
      </c>
      <c r="L1865" s="4">
        <v>2</v>
      </c>
      <c r="M1865" s="4">
        <v>112</v>
      </c>
      <c r="N1865" s="4">
        <v>86</v>
      </c>
      <c r="O1865" s="4" t="s">
        <v>26</v>
      </c>
      <c r="P1865" s="7" t="s">
        <v>30</v>
      </c>
    </row>
    <row r="1866" spans="2:16" x14ac:dyDescent="0.45">
      <c r="B1866" s="4">
        <v>1865</v>
      </c>
      <c r="C1866" s="4" t="s">
        <v>45</v>
      </c>
      <c r="D1866" s="4" t="s">
        <v>16</v>
      </c>
      <c r="E1866" s="4" t="s">
        <v>17</v>
      </c>
      <c r="F1866" s="4" t="s">
        <v>28</v>
      </c>
      <c r="G1866" s="4" t="s">
        <v>30</v>
      </c>
      <c r="H1866" s="4" t="s">
        <v>34</v>
      </c>
      <c r="I1866" s="4">
        <v>10</v>
      </c>
      <c r="J1866" s="5">
        <v>30.3</v>
      </c>
      <c r="K1866" s="6">
        <v>1.1299999999999999</v>
      </c>
      <c r="L1866" s="4">
        <v>1</v>
      </c>
      <c r="M1866" s="4">
        <v>107</v>
      </c>
      <c r="N1866" s="4">
        <v>93</v>
      </c>
      <c r="O1866" s="4" t="s">
        <v>21</v>
      </c>
      <c r="P1866" s="7" t="s">
        <v>19</v>
      </c>
    </row>
    <row r="1867" spans="2:16" x14ac:dyDescent="0.45">
      <c r="B1867" s="4">
        <v>1866</v>
      </c>
      <c r="C1867" s="4" t="s">
        <v>40</v>
      </c>
      <c r="D1867" s="4" t="s">
        <v>16</v>
      </c>
      <c r="E1867" s="4" t="s">
        <v>17</v>
      </c>
      <c r="F1867" s="4" t="s">
        <v>18</v>
      </c>
      <c r="G1867" s="4" t="s">
        <v>19</v>
      </c>
      <c r="H1867" s="4" t="s">
        <v>25</v>
      </c>
      <c r="I1867" s="4">
        <v>32</v>
      </c>
      <c r="J1867" s="5">
        <v>77.099999999999994</v>
      </c>
      <c r="K1867" s="6">
        <v>1.67</v>
      </c>
      <c r="L1867" s="4">
        <v>4</v>
      </c>
      <c r="M1867" s="4">
        <v>106</v>
      </c>
      <c r="N1867" s="4">
        <v>80</v>
      </c>
      <c r="O1867" s="4" t="s">
        <v>26</v>
      </c>
      <c r="P1867" s="7" t="s">
        <v>19</v>
      </c>
    </row>
    <row r="1868" spans="2:16" x14ac:dyDescent="0.45">
      <c r="B1868" s="4">
        <v>1867</v>
      </c>
      <c r="C1868" s="4" t="s">
        <v>43</v>
      </c>
      <c r="D1868" s="4" t="s">
        <v>16</v>
      </c>
      <c r="E1868" s="4" t="s">
        <v>44</v>
      </c>
      <c r="F1868" s="4" t="s">
        <v>28</v>
      </c>
      <c r="G1868" s="4" t="s">
        <v>19</v>
      </c>
      <c r="H1868" s="4" t="s">
        <v>36</v>
      </c>
      <c r="I1868" s="4">
        <v>42</v>
      </c>
      <c r="J1868" s="5">
        <v>86.7</v>
      </c>
      <c r="K1868" s="6">
        <v>1.89</v>
      </c>
      <c r="L1868" s="4">
        <v>1</v>
      </c>
      <c r="M1868" s="4">
        <v>136</v>
      </c>
      <c r="N1868" s="4">
        <v>76</v>
      </c>
      <c r="O1868" s="4" t="s">
        <v>26</v>
      </c>
      <c r="P1868" s="7" t="s">
        <v>19</v>
      </c>
    </row>
    <row r="1869" spans="2:16" x14ac:dyDescent="0.45">
      <c r="B1869" s="4">
        <v>1868</v>
      </c>
      <c r="C1869" s="4" t="s">
        <v>27</v>
      </c>
      <c r="D1869" s="4" t="s">
        <v>16</v>
      </c>
      <c r="E1869" s="4" t="s">
        <v>35</v>
      </c>
      <c r="F1869" s="4" t="s">
        <v>28</v>
      </c>
      <c r="G1869" s="4" t="s">
        <v>19</v>
      </c>
      <c r="H1869" s="4" t="s">
        <v>28</v>
      </c>
      <c r="I1869" s="4">
        <v>62</v>
      </c>
      <c r="J1869" s="5">
        <v>93.1</v>
      </c>
      <c r="K1869" s="6">
        <v>1.53</v>
      </c>
      <c r="L1869" s="4">
        <v>2</v>
      </c>
      <c r="M1869" s="4">
        <v>127</v>
      </c>
      <c r="N1869" s="4">
        <v>104</v>
      </c>
      <c r="O1869" s="4" t="s">
        <v>26</v>
      </c>
      <c r="P1869" s="7" t="s">
        <v>19</v>
      </c>
    </row>
    <row r="1870" spans="2:16" x14ac:dyDescent="0.45">
      <c r="B1870" s="4">
        <v>1869</v>
      </c>
      <c r="C1870" s="4" t="s">
        <v>45</v>
      </c>
      <c r="D1870" s="4" t="s">
        <v>23</v>
      </c>
      <c r="E1870" s="4" t="s">
        <v>17</v>
      </c>
      <c r="F1870" s="4" t="s">
        <v>24</v>
      </c>
      <c r="G1870" s="4" t="s">
        <v>19</v>
      </c>
      <c r="H1870" s="4" t="s">
        <v>20</v>
      </c>
      <c r="I1870" s="4">
        <v>42</v>
      </c>
      <c r="J1870" s="5">
        <v>71.400000000000006</v>
      </c>
      <c r="K1870" s="6">
        <v>1.85</v>
      </c>
      <c r="L1870" s="4">
        <v>2</v>
      </c>
      <c r="M1870" s="4">
        <v>134</v>
      </c>
      <c r="N1870" s="4">
        <v>104</v>
      </c>
      <c r="O1870" s="4" t="s">
        <v>21</v>
      </c>
      <c r="P1870" s="7" t="s">
        <v>30</v>
      </c>
    </row>
    <row r="1871" spans="2:16" x14ac:dyDescent="0.45">
      <c r="B1871" s="4">
        <v>1870</v>
      </c>
      <c r="C1871" s="4" t="s">
        <v>45</v>
      </c>
      <c r="D1871" s="4" t="s">
        <v>23</v>
      </c>
      <c r="E1871" s="4" t="s">
        <v>17</v>
      </c>
      <c r="F1871" s="4" t="s">
        <v>28</v>
      </c>
      <c r="G1871" s="4" t="s">
        <v>19</v>
      </c>
      <c r="H1871" s="4" t="s">
        <v>32</v>
      </c>
      <c r="I1871" s="4">
        <v>16</v>
      </c>
      <c r="J1871" s="5">
        <v>64.099999999999994</v>
      </c>
      <c r="K1871" s="6">
        <v>1.52</v>
      </c>
      <c r="L1871" s="4">
        <v>5</v>
      </c>
      <c r="M1871" s="4">
        <v>106</v>
      </c>
      <c r="N1871" s="4">
        <v>133</v>
      </c>
      <c r="O1871" s="4" t="s">
        <v>21</v>
      </c>
      <c r="P1871" s="7" t="s">
        <v>19</v>
      </c>
    </row>
    <row r="1872" spans="2:16" x14ac:dyDescent="0.45">
      <c r="B1872" s="4">
        <v>1871</v>
      </c>
      <c r="C1872" s="4" t="s">
        <v>40</v>
      </c>
      <c r="D1872" s="4" t="s">
        <v>23</v>
      </c>
      <c r="E1872" s="4" t="s">
        <v>17</v>
      </c>
      <c r="F1872" s="4" t="s">
        <v>18</v>
      </c>
      <c r="G1872" s="4" t="s">
        <v>19</v>
      </c>
      <c r="H1872" s="4" t="s">
        <v>20</v>
      </c>
      <c r="I1872" s="4">
        <v>26</v>
      </c>
      <c r="J1872" s="5">
        <v>48.4</v>
      </c>
      <c r="K1872" s="6">
        <v>1.62</v>
      </c>
      <c r="L1872" s="4">
        <v>1</v>
      </c>
      <c r="M1872" s="4">
        <v>117</v>
      </c>
      <c r="N1872" s="4">
        <v>99</v>
      </c>
      <c r="O1872" s="4" t="s">
        <v>21</v>
      </c>
      <c r="P1872" s="7" t="s">
        <v>30</v>
      </c>
    </row>
    <row r="1873" spans="2:16" x14ac:dyDescent="0.45">
      <c r="B1873" s="4">
        <v>1872</v>
      </c>
      <c r="C1873" s="4" t="s">
        <v>15</v>
      </c>
      <c r="D1873" s="4" t="s">
        <v>16</v>
      </c>
      <c r="E1873" s="4" t="s">
        <v>35</v>
      </c>
      <c r="F1873" s="4" t="s">
        <v>18</v>
      </c>
      <c r="G1873" s="4" t="s">
        <v>19</v>
      </c>
      <c r="H1873" s="4" t="s">
        <v>38</v>
      </c>
      <c r="I1873" s="4">
        <v>2</v>
      </c>
      <c r="J1873" s="5">
        <v>17.899999999999999</v>
      </c>
      <c r="K1873" s="6">
        <v>0.87</v>
      </c>
      <c r="L1873" s="4">
        <v>4</v>
      </c>
      <c r="M1873" s="4">
        <v>113</v>
      </c>
      <c r="N1873" s="4">
        <v>86</v>
      </c>
      <c r="O1873" s="4" t="s">
        <v>21</v>
      </c>
      <c r="P1873" s="7" t="s">
        <v>19</v>
      </c>
    </row>
    <row r="1874" spans="2:16" x14ac:dyDescent="0.45">
      <c r="B1874" s="4">
        <v>1873</v>
      </c>
      <c r="C1874" s="4" t="s">
        <v>22</v>
      </c>
      <c r="D1874" s="4" t="s">
        <v>16</v>
      </c>
      <c r="E1874" s="4" t="s">
        <v>35</v>
      </c>
      <c r="F1874" s="4" t="s">
        <v>18</v>
      </c>
      <c r="G1874" s="4" t="s">
        <v>19</v>
      </c>
      <c r="H1874" s="4" t="s">
        <v>20</v>
      </c>
      <c r="I1874" s="4">
        <v>16</v>
      </c>
      <c r="J1874" s="5">
        <v>46.9</v>
      </c>
      <c r="K1874" s="6">
        <v>1.56</v>
      </c>
      <c r="L1874" s="4">
        <v>8</v>
      </c>
      <c r="M1874" s="4">
        <v>97</v>
      </c>
      <c r="N1874" s="4">
        <v>97</v>
      </c>
      <c r="O1874" s="4" t="s">
        <v>21</v>
      </c>
      <c r="P1874" s="7" t="s">
        <v>19</v>
      </c>
    </row>
    <row r="1875" spans="2:16" x14ac:dyDescent="0.45">
      <c r="B1875" s="4">
        <v>1874</v>
      </c>
      <c r="C1875" s="4" t="s">
        <v>39</v>
      </c>
      <c r="D1875" s="4" t="s">
        <v>16</v>
      </c>
      <c r="E1875" s="4" t="s">
        <v>35</v>
      </c>
      <c r="F1875" s="4" t="s">
        <v>24</v>
      </c>
      <c r="G1875" s="4" t="s">
        <v>30</v>
      </c>
      <c r="H1875" s="4" t="s">
        <v>46</v>
      </c>
      <c r="I1875" s="4">
        <v>12</v>
      </c>
      <c r="J1875" s="5">
        <v>60.1</v>
      </c>
      <c r="K1875" s="6">
        <v>1.73</v>
      </c>
      <c r="L1875" s="4">
        <v>1</v>
      </c>
      <c r="M1875" s="4">
        <v>110</v>
      </c>
      <c r="N1875" s="4">
        <v>92</v>
      </c>
      <c r="O1875" s="4" t="s">
        <v>21</v>
      </c>
      <c r="P1875" s="7" t="s">
        <v>19</v>
      </c>
    </row>
    <row r="1876" spans="2:16" x14ac:dyDescent="0.45">
      <c r="B1876" s="4">
        <v>1875</v>
      </c>
      <c r="C1876" s="4" t="s">
        <v>33</v>
      </c>
      <c r="D1876" s="4" t="s">
        <v>23</v>
      </c>
      <c r="E1876" s="4" t="s">
        <v>35</v>
      </c>
      <c r="F1876" s="4" t="s">
        <v>24</v>
      </c>
      <c r="G1876" s="4" t="s">
        <v>30</v>
      </c>
      <c r="H1876" s="4" t="s">
        <v>20</v>
      </c>
      <c r="I1876" s="4">
        <v>37</v>
      </c>
      <c r="J1876" s="5">
        <v>58</v>
      </c>
      <c r="K1876" s="6">
        <v>1.73</v>
      </c>
      <c r="L1876" s="4">
        <v>7</v>
      </c>
      <c r="M1876" s="4">
        <v>102</v>
      </c>
      <c r="N1876" s="4">
        <v>97</v>
      </c>
      <c r="O1876" s="4" t="s">
        <v>21</v>
      </c>
      <c r="P1876" s="7" t="s">
        <v>19</v>
      </c>
    </row>
    <row r="1877" spans="2:16" x14ac:dyDescent="0.45">
      <c r="B1877" s="4">
        <v>1876</v>
      </c>
      <c r="C1877" s="4" t="s">
        <v>41</v>
      </c>
      <c r="D1877" s="4" t="s">
        <v>16</v>
      </c>
      <c r="E1877" s="4" t="s">
        <v>37</v>
      </c>
      <c r="F1877" s="4" t="s">
        <v>24</v>
      </c>
      <c r="G1877" s="4" t="s">
        <v>19</v>
      </c>
      <c r="H1877" s="4" t="s">
        <v>20</v>
      </c>
      <c r="I1877" s="4">
        <v>1</v>
      </c>
      <c r="J1877" s="5">
        <v>10.9</v>
      </c>
      <c r="K1877" s="6">
        <v>0.64</v>
      </c>
      <c r="L1877" s="4">
        <v>6</v>
      </c>
      <c r="M1877" s="4">
        <v>102</v>
      </c>
      <c r="N1877" s="4">
        <v>85</v>
      </c>
      <c r="O1877" s="4" t="s">
        <v>26</v>
      </c>
      <c r="P1877" s="7" t="s">
        <v>19</v>
      </c>
    </row>
    <row r="1878" spans="2:16" x14ac:dyDescent="0.45">
      <c r="B1878" s="4">
        <v>1877</v>
      </c>
      <c r="C1878" s="4" t="s">
        <v>43</v>
      </c>
      <c r="D1878" s="4" t="s">
        <v>16</v>
      </c>
      <c r="E1878" s="4" t="s">
        <v>35</v>
      </c>
      <c r="F1878" s="4" t="s">
        <v>18</v>
      </c>
      <c r="G1878" s="4" t="s">
        <v>19</v>
      </c>
      <c r="H1878" s="4" t="s">
        <v>28</v>
      </c>
      <c r="I1878" s="4">
        <v>29</v>
      </c>
      <c r="J1878" s="5">
        <v>63.3</v>
      </c>
      <c r="K1878" s="6">
        <v>1.48</v>
      </c>
      <c r="L1878" s="4">
        <v>3</v>
      </c>
      <c r="M1878" s="4">
        <v>112</v>
      </c>
      <c r="N1878" s="4">
        <v>79</v>
      </c>
      <c r="O1878" s="4" t="s">
        <v>26</v>
      </c>
      <c r="P1878" s="7" t="s">
        <v>30</v>
      </c>
    </row>
    <row r="1879" spans="2:16" x14ac:dyDescent="0.45">
      <c r="B1879" s="4">
        <v>1878</v>
      </c>
      <c r="C1879" s="4" t="s">
        <v>27</v>
      </c>
      <c r="D1879" s="4" t="s">
        <v>16</v>
      </c>
      <c r="E1879" s="4" t="s">
        <v>35</v>
      </c>
      <c r="F1879" s="4" t="s">
        <v>24</v>
      </c>
      <c r="G1879" s="4" t="s">
        <v>19</v>
      </c>
      <c r="H1879" s="4" t="s">
        <v>36</v>
      </c>
      <c r="I1879" s="4">
        <v>3</v>
      </c>
      <c r="J1879" s="5">
        <v>7.5</v>
      </c>
      <c r="K1879" s="6">
        <v>0.87</v>
      </c>
      <c r="L1879" s="4">
        <v>4</v>
      </c>
      <c r="M1879" s="4">
        <v>131</v>
      </c>
      <c r="N1879" s="4">
        <v>105</v>
      </c>
      <c r="O1879" s="4" t="s">
        <v>26</v>
      </c>
      <c r="P1879" s="7" t="s">
        <v>19</v>
      </c>
    </row>
    <row r="1880" spans="2:16" x14ac:dyDescent="0.45">
      <c r="B1880" s="4">
        <v>1879</v>
      </c>
      <c r="C1880" s="4" t="s">
        <v>15</v>
      </c>
      <c r="D1880" s="4" t="s">
        <v>16</v>
      </c>
      <c r="E1880" s="4" t="s">
        <v>17</v>
      </c>
      <c r="F1880" s="4" t="s">
        <v>24</v>
      </c>
      <c r="G1880" s="4" t="s">
        <v>19</v>
      </c>
      <c r="H1880" s="4" t="s">
        <v>25</v>
      </c>
      <c r="I1880" s="4">
        <v>10</v>
      </c>
      <c r="J1880" s="5">
        <v>36.5</v>
      </c>
      <c r="K1880" s="6">
        <v>1.4</v>
      </c>
      <c r="L1880" s="4">
        <v>1</v>
      </c>
      <c r="M1880" s="4">
        <v>99</v>
      </c>
      <c r="N1880" s="4">
        <v>95</v>
      </c>
      <c r="O1880" s="4" t="s">
        <v>26</v>
      </c>
      <c r="P1880" s="7" t="s">
        <v>19</v>
      </c>
    </row>
    <row r="1881" spans="2:16" x14ac:dyDescent="0.45">
      <c r="B1881" s="4">
        <v>1880</v>
      </c>
      <c r="C1881" s="4" t="s">
        <v>27</v>
      </c>
      <c r="D1881" s="4" t="s">
        <v>16</v>
      </c>
      <c r="E1881" s="4" t="s">
        <v>35</v>
      </c>
      <c r="F1881" s="4" t="s">
        <v>18</v>
      </c>
      <c r="G1881" s="4" t="s">
        <v>19</v>
      </c>
      <c r="H1881" s="4" t="s">
        <v>28</v>
      </c>
      <c r="I1881" s="4">
        <v>4</v>
      </c>
      <c r="J1881" s="5">
        <v>14.4</v>
      </c>
      <c r="K1881" s="6">
        <v>0.84</v>
      </c>
      <c r="L1881" s="4">
        <v>3</v>
      </c>
      <c r="M1881" s="4">
        <v>98</v>
      </c>
      <c r="N1881" s="4">
        <v>89</v>
      </c>
      <c r="O1881" s="4" t="s">
        <v>26</v>
      </c>
      <c r="P1881" s="7" t="s">
        <v>19</v>
      </c>
    </row>
    <row r="1882" spans="2:16" x14ac:dyDescent="0.45">
      <c r="B1882" s="4">
        <v>1881</v>
      </c>
      <c r="C1882" s="4" t="s">
        <v>27</v>
      </c>
      <c r="D1882" s="4" t="s">
        <v>23</v>
      </c>
      <c r="E1882" s="4" t="s">
        <v>37</v>
      </c>
      <c r="F1882" s="4" t="s">
        <v>28</v>
      </c>
      <c r="G1882" s="4" t="s">
        <v>19</v>
      </c>
      <c r="H1882" s="4" t="s">
        <v>34</v>
      </c>
      <c r="I1882" s="4">
        <v>61</v>
      </c>
      <c r="J1882" s="5">
        <v>52.9</v>
      </c>
      <c r="K1882" s="6">
        <v>1.88</v>
      </c>
      <c r="L1882" s="4">
        <v>5</v>
      </c>
      <c r="M1882" s="4">
        <v>130</v>
      </c>
      <c r="N1882" s="4">
        <v>100</v>
      </c>
      <c r="O1882" s="4" t="s">
        <v>26</v>
      </c>
      <c r="P1882" s="7" t="s">
        <v>19</v>
      </c>
    </row>
    <row r="1883" spans="2:16" x14ac:dyDescent="0.45">
      <c r="B1883" s="4">
        <v>1882</v>
      </c>
      <c r="C1883" s="4" t="s">
        <v>43</v>
      </c>
      <c r="D1883" s="4" t="s">
        <v>16</v>
      </c>
      <c r="E1883" s="4" t="s">
        <v>17</v>
      </c>
      <c r="F1883" s="4" t="s">
        <v>24</v>
      </c>
      <c r="G1883" s="4" t="s">
        <v>19</v>
      </c>
      <c r="H1883" s="4" t="s">
        <v>28</v>
      </c>
      <c r="I1883" s="4">
        <v>1</v>
      </c>
      <c r="J1883" s="5">
        <v>12.6</v>
      </c>
      <c r="K1883" s="6">
        <v>0.69</v>
      </c>
      <c r="L1883" s="4">
        <v>4</v>
      </c>
      <c r="M1883" s="4">
        <v>98</v>
      </c>
      <c r="N1883" s="4">
        <v>103</v>
      </c>
      <c r="O1883" s="4" t="s">
        <v>26</v>
      </c>
      <c r="P1883" s="7" t="s">
        <v>19</v>
      </c>
    </row>
    <row r="1884" spans="2:16" x14ac:dyDescent="0.45">
      <c r="B1884" s="4">
        <v>1883</v>
      </c>
      <c r="C1884" s="4" t="s">
        <v>41</v>
      </c>
      <c r="D1884" s="4" t="s">
        <v>16</v>
      </c>
      <c r="E1884" s="4" t="s">
        <v>44</v>
      </c>
      <c r="F1884" s="4" t="s">
        <v>28</v>
      </c>
      <c r="G1884" s="4" t="s">
        <v>19</v>
      </c>
      <c r="H1884" s="4" t="s">
        <v>25</v>
      </c>
      <c r="I1884" s="4">
        <v>77</v>
      </c>
      <c r="J1884" s="5">
        <v>50.9</v>
      </c>
      <c r="K1884" s="6">
        <v>1.8</v>
      </c>
      <c r="L1884" s="4">
        <v>2</v>
      </c>
      <c r="M1884" s="4">
        <v>122</v>
      </c>
      <c r="N1884" s="4">
        <v>83</v>
      </c>
      <c r="O1884" s="4" t="s">
        <v>26</v>
      </c>
      <c r="P1884" s="7" t="s">
        <v>19</v>
      </c>
    </row>
    <row r="1885" spans="2:16" x14ac:dyDescent="0.45">
      <c r="B1885" s="4">
        <v>1884</v>
      </c>
      <c r="C1885" s="4" t="s">
        <v>22</v>
      </c>
      <c r="D1885" s="4" t="s">
        <v>23</v>
      </c>
      <c r="E1885" s="4" t="s">
        <v>37</v>
      </c>
      <c r="F1885" s="4" t="s">
        <v>28</v>
      </c>
      <c r="G1885" s="4" t="s">
        <v>30</v>
      </c>
      <c r="H1885" s="4" t="s">
        <v>46</v>
      </c>
      <c r="I1885" s="4">
        <v>2</v>
      </c>
      <c r="J1885" s="5">
        <v>6.1</v>
      </c>
      <c r="K1885" s="6">
        <v>0.63</v>
      </c>
      <c r="L1885" s="4">
        <v>8</v>
      </c>
      <c r="M1885" s="4">
        <v>112</v>
      </c>
      <c r="N1885" s="4">
        <v>96</v>
      </c>
      <c r="O1885" s="4" t="s">
        <v>21</v>
      </c>
      <c r="P1885" s="7" t="s">
        <v>30</v>
      </c>
    </row>
    <row r="1886" spans="2:16" x14ac:dyDescent="0.45">
      <c r="B1886" s="4">
        <v>1885</v>
      </c>
      <c r="C1886" s="4" t="s">
        <v>15</v>
      </c>
      <c r="D1886" s="4" t="s">
        <v>16</v>
      </c>
      <c r="E1886" s="4" t="s">
        <v>35</v>
      </c>
      <c r="F1886" s="4" t="s">
        <v>24</v>
      </c>
      <c r="G1886" s="4" t="s">
        <v>30</v>
      </c>
      <c r="H1886" s="4" t="s">
        <v>36</v>
      </c>
      <c r="I1886" s="4">
        <v>12</v>
      </c>
      <c r="J1886" s="5">
        <v>60.5</v>
      </c>
      <c r="K1886" s="6">
        <v>1.52</v>
      </c>
      <c r="L1886" s="4">
        <v>5</v>
      </c>
      <c r="M1886" s="4">
        <v>130</v>
      </c>
      <c r="N1886" s="4">
        <v>104</v>
      </c>
      <c r="O1886" s="4" t="s">
        <v>26</v>
      </c>
      <c r="P1886" s="7" t="s">
        <v>19</v>
      </c>
    </row>
    <row r="1887" spans="2:16" x14ac:dyDescent="0.45">
      <c r="B1887" s="4">
        <v>1886</v>
      </c>
      <c r="C1887" s="4" t="s">
        <v>22</v>
      </c>
      <c r="D1887" s="4" t="s">
        <v>16</v>
      </c>
      <c r="E1887" s="4" t="s">
        <v>17</v>
      </c>
      <c r="F1887" s="4" t="s">
        <v>24</v>
      </c>
      <c r="G1887" s="4" t="s">
        <v>19</v>
      </c>
      <c r="H1887" s="4" t="s">
        <v>20</v>
      </c>
      <c r="I1887" s="4">
        <v>54</v>
      </c>
      <c r="J1887" s="5">
        <v>48.7</v>
      </c>
      <c r="K1887" s="6">
        <v>1.74</v>
      </c>
      <c r="L1887" s="4">
        <v>6</v>
      </c>
      <c r="M1887" s="4">
        <v>110</v>
      </c>
      <c r="N1887" s="4">
        <v>78</v>
      </c>
      <c r="O1887" s="4" t="s">
        <v>26</v>
      </c>
      <c r="P1887" s="7" t="s">
        <v>19</v>
      </c>
    </row>
    <row r="1888" spans="2:16" x14ac:dyDescent="0.45">
      <c r="B1888" s="4">
        <v>1887</v>
      </c>
      <c r="C1888" s="4" t="s">
        <v>41</v>
      </c>
      <c r="D1888" s="4" t="s">
        <v>16</v>
      </c>
      <c r="E1888" s="4" t="s">
        <v>37</v>
      </c>
      <c r="F1888" s="4" t="s">
        <v>18</v>
      </c>
      <c r="G1888" s="4" t="s">
        <v>19</v>
      </c>
      <c r="H1888" s="4" t="s">
        <v>34</v>
      </c>
      <c r="I1888" s="4">
        <v>13</v>
      </c>
      <c r="J1888" s="5">
        <v>58</v>
      </c>
      <c r="K1888" s="6">
        <v>1.46</v>
      </c>
      <c r="L1888" s="4">
        <v>1</v>
      </c>
      <c r="M1888" s="4">
        <v>104</v>
      </c>
      <c r="N1888" s="4">
        <v>99</v>
      </c>
      <c r="O1888" s="4" t="s">
        <v>21</v>
      </c>
      <c r="P1888" s="7" t="s">
        <v>19</v>
      </c>
    </row>
    <row r="1889" spans="2:16" x14ac:dyDescent="0.45">
      <c r="B1889" s="4">
        <v>1888</v>
      </c>
      <c r="C1889" s="4" t="s">
        <v>27</v>
      </c>
      <c r="D1889" s="4" t="s">
        <v>16</v>
      </c>
      <c r="E1889" s="4" t="s">
        <v>35</v>
      </c>
      <c r="F1889" s="4" t="s">
        <v>24</v>
      </c>
      <c r="G1889" s="4" t="s">
        <v>19</v>
      </c>
      <c r="H1889" s="4" t="s">
        <v>34</v>
      </c>
      <c r="I1889" s="4">
        <v>3</v>
      </c>
      <c r="J1889" s="5">
        <v>9.4</v>
      </c>
      <c r="K1889" s="6">
        <v>0.92</v>
      </c>
      <c r="L1889" s="4">
        <v>4</v>
      </c>
      <c r="M1889" s="4">
        <v>100</v>
      </c>
      <c r="N1889" s="4">
        <v>91</v>
      </c>
      <c r="O1889" s="4" t="s">
        <v>26</v>
      </c>
      <c r="P1889" s="7" t="s">
        <v>19</v>
      </c>
    </row>
    <row r="1890" spans="2:16" x14ac:dyDescent="0.45">
      <c r="B1890" s="4">
        <v>1889</v>
      </c>
      <c r="C1890" s="4" t="s">
        <v>45</v>
      </c>
      <c r="D1890" s="4" t="s">
        <v>16</v>
      </c>
      <c r="E1890" s="4" t="s">
        <v>35</v>
      </c>
      <c r="F1890" s="4" t="s">
        <v>18</v>
      </c>
      <c r="G1890" s="4" t="s">
        <v>19</v>
      </c>
      <c r="H1890" s="4" t="s">
        <v>25</v>
      </c>
      <c r="I1890" s="4">
        <v>86</v>
      </c>
      <c r="J1890" s="5">
        <v>61.5</v>
      </c>
      <c r="K1890" s="6">
        <v>1.9</v>
      </c>
      <c r="L1890" s="4">
        <v>2</v>
      </c>
      <c r="M1890" s="4">
        <v>121</v>
      </c>
      <c r="N1890" s="4">
        <v>72</v>
      </c>
      <c r="O1890" s="4" t="s">
        <v>21</v>
      </c>
      <c r="P1890" s="7" t="s">
        <v>19</v>
      </c>
    </row>
    <row r="1891" spans="2:16" x14ac:dyDescent="0.45">
      <c r="B1891" s="4">
        <v>1890</v>
      </c>
      <c r="C1891" s="4" t="s">
        <v>29</v>
      </c>
      <c r="D1891" s="4" t="s">
        <v>23</v>
      </c>
      <c r="E1891" s="4" t="s">
        <v>37</v>
      </c>
      <c r="F1891" s="4" t="s">
        <v>24</v>
      </c>
      <c r="G1891" s="4" t="s">
        <v>30</v>
      </c>
      <c r="H1891" s="4" t="s">
        <v>34</v>
      </c>
      <c r="I1891" s="4">
        <v>6</v>
      </c>
      <c r="J1891" s="5">
        <v>36.1</v>
      </c>
      <c r="K1891" s="6">
        <v>1.05</v>
      </c>
      <c r="L1891" s="4">
        <v>3</v>
      </c>
      <c r="M1891" s="4">
        <v>106</v>
      </c>
      <c r="N1891" s="4">
        <v>74</v>
      </c>
      <c r="O1891" s="4" t="s">
        <v>21</v>
      </c>
      <c r="P1891" s="7" t="s">
        <v>19</v>
      </c>
    </row>
    <row r="1892" spans="2:16" x14ac:dyDescent="0.45">
      <c r="B1892" s="4">
        <v>1891</v>
      </c>
      <c r="C1892" s="4" t="s">
        <v>41</v>
      </c>
      <c r="D1892" s="4" t="s">
        <v>16</v>
      </c>
      <c r="E1892" s="4" t="s">
        <v>17</v>
      </c>
      <c r="F1892" s="4" t="s">
        <v>18</v>
      </c>
      <c r="G1892" s="4" t="s">
        <v>30</v>
      </c>
      <c r="H1892" s="4" t="s">
        <v>20</v>
      </c>
      <c r="I1892" s="4">
        <v>64</v>
      </c>
      <c r="J1892" s="5">
        <v>84.6</v>
      </c>
      <c r="K1892" s="6">
        <v>1.62</v>
      </c>
      <c r="L1892" s="4">
        <v>3</v>
      </c>
      <c r="M1892" s="4">
        <v>118</v>
      </c>
      <c r="N1892" s="4">
        <v>80</v>
      </c>
      <c r="O1892" s="4" t="s">
        <v>26</v>
      </c>
      <c r="P1892" s="7" t="s">
        <v>19</v>
      </c>
    </row>
    <row r="1893" spans="2:16" x14ac:dyDescent="0.45">
      <c r="B1893" s="4">
        <v>1892</v>
      </c>
      <c r="C1893" s="4" t="s">
        <v>45</v>
      </c>
      <c r="D1893" s="4" t="s">
        <v>16</v>
      </c>
      <c r="E1893" s="4" t="s">
        <v>35</v>
      </c>
      <c r="F1893" s="4" t="s">
        <v>28</v>
      </c>
      <c r="G1893" s="4" t="s">
        <v>19</v>
      </c>
      <c r="H1893" s="4" t="s">
        <v>20</v>
      </c>
      <c r="I1893" s="4">
        <v>38</v>
      </c>
      <c r="J1893" s="5">
        <v>50.6</v>
      </c>
      <c r="K1893" s="6">
        <v>1.7</v>
      </c>
      <c r="L1893" s="4">
        <v>1</v>
      </c>
      <c r="M1893" s="4">
        <v>115</v>
      </c>
      <c r="N1893" s="4">
        <v>71</v>
      </c>
      <c r="O1893" s="4" t="s">
        <v>21</v>
      </c>
      <c r="P1893" s="7" t="s">
        <v>19</v>
      </c>
    </row>
    <row r="1894" spans="2:16" x14ac:dyDescent="0.45">
      <c r="B1894" s="4">
        <v>1893</v>
      </c>
      <c r="C1894" s="4" t="s">
        <v>15</v>
      </c>
      <c r="D1894" s="4" t="s">
        <v>23</v>
      </c>
      <c r="E1894" s="4" t="s">
        <v>35</v>
      </c>
      <c r="F1894" s="4" t="s">
        <v>28</v>
      </c>
      <c r="G1894" s="4" t="s">
        <v>19</v>
      </c>
      <c r="H1894" s="4" t="s">
        <v>34</v>
      </c>
      <c r="I1894" s="4">
        <v>57</v>
      </c>
      <c r="J1894" s="5">
        <v>48.9</v>
      </c>
      <c r="K1894" s="6">
        <v>1.68</v>
      </c>
      <c r="L1894" s="4">
        <v>3</v>
      </c>
      <c r="M1894" s="4">
        <v>129</v>
      </c>
      <c r="N1894" s="4">
        <v>75</v>
      </c>
      <c r="O1894" s="4" t="s">
        <v>21</v>
      </c>
      <c r="P1894" s="7" t="s">
        <v>30</v>
      </c>
    </row>
    <row r="1895" spans="2:16" x14ac:dyDescent="0.45">
      <c r="B1895" s="4">
        <v>1894</v>
      </c>
      <c r="C1895" s="4" t="s">
        <v>22</v>
      </c>
      <c r="D1895" s="4" t="s">
        <v>16</v>
      </c>
      <c r="E1895" s="4" t="s">
        <v>35</v>
      </c>
      <c r="F1895" s="4" t="s">
        <v>24</v>
      </c>
      <c r="G1895" s="4" t="s">
        <v>19</v>
      </c>
      <c r="H1895" s="4" t="s">
        <v>20</v>
      </c>
      <c r="I1895" s="4">
        <v>89</v>
      </c>
      <c r="J1895" s="5">
        <v>53.8</v>
      </c>
      <c r="K1895" s="6">
        <v>1.72</v>
      </c>
      <c r="L1895" s="4">
        <v>3</v>
      </c>
      <c r="M1895" s="4">
        <v>137</v>
      </c>
      <c r="N1895" s="4">
        <v>70</v>
      </c>
      <c r="O1895" s="4" t="s">
        <v>26</v>
      </c>
      <c r="P1895" s="7" t="s">
        <v>30</v>
      </c>
    </row>
    <row r="1896" spans="2:16" x14ac:dyDescent="0.45">
      <c r="B1896" s="4">
        <v>1895</v>
      </c>
      <c r="C1896" s="4" t="s">
        <v>40</v>
      </c>
      <c r="D1896" s="4" t="s">
        <v>16</v>
      </c>
      <c r="E1896" s="4" t="s">
        <v>35</v>
      </c>
      <c r="F1896" s="4" t="s">
        <v>24</v>
      </c>
      <c r="G1896" s="4" t="s">
        <v>19</v>
      </c>
      <c r="H1896" s="4" t="s">
        <v>36</v>
      </c>
      <c r="I1896" s="4">
        <v>70</v>
      </c>
      <c r="J1896" s="5">
        <v>62.2</v>
      </c>
      <c r="K1896" s="6">
        <v>1.58</v>
      </c>
      <c r="L1896" s="4">
        <v>2</v>
      </c>
      <c r="M1896" s="4">
        <v>132</v>
      </c>
      <c r="N1896" s="4">
        <v>89</v>
      </c>
      <c r="O1896" s="4" t="s">
        <v>26</v>
      </c>
      <c r="P1896" s="7" t="s">
        <v>19</v>
      </c>
    </row>
    <row r="1897" spans="2:16" x14ac:dyDescent="0.45">
      <c r="B1897" s="4">
        <v>1896</v>
      </c>
      <c r="C1897" s="4" t="s">
        <v>39</v>
      </c>
      <c r="D1897" s="4" t="s">
        <v>16</v>
      </c>
      <c r="E1897" s="4" t="s">
        <v>17</v>
      </c>
      <c r="F1897" s="4" t="s">
        <v>18</v>
      </c>
      <c r="G1897" s="4" t="s">
        <v>19</v>
      </c>
      <c r="H1897" s="4" t="s">
        <v>32</v>
      </c>
      <c r="I1897" s="4">
        <v>31</v>
      </c>
      <c r="J1897" s="5">
        <v>67.099999999999994</v>
      </c>
      <c r="K1897" s="6">
        <v>1.72</v>
      </c>
      <c r="L1897" s="4">
        <v>8</v>
      </c>
      <c r="M1897" s="4">
        <v>123</v>
      </c>
      <c r="N1897" s="4">
        <v>123</v>
      </c>
      <c r="O1897" s="4" t="s">
        <v>26</v>
      </c>
      <c r="P1897" s="7" t="s">
        <v>19</v>
      </c>
    </row>
    <row r="1898" spans="2:16" x14ac:dyDescent="0.45">
      <c r="B1898" s="4">
        <v>1897</v>
      </c>
      <c r="C1898" s="4" t="s">
        <v>27</v>
      </c>
      <c r="D1898" s="4" t="s">
        <v>23</v>
      </c>
      <c r="E1898" s="4" t="s">
        <v>35</v>
      </c>
      <c r="F1898" s="4" t="s">
        <v>28</v>
      </c>
      <c r="G1898" s="4" t="s">
        <v>30</v>
      </c>
      <c r="H1898" s="4" t="s">
        <v>20</v>
      </c>
      <c r="I1898" s="4">
        <v>58</v>
      </c>
      <c r="J1898" s="5">
        <v>45.1</v>
      </c>
      <c r="K1898" s="6">
        <v>1.88</v>
      </c>
      <c r="L1898" s="4">
        <v>5</v>
      </c>
      <c r="M1898" s="4">
        <v>123</v>
      </c>
      <c r="N1898" s="4">
        <v>72</v>
      </c>
      <c r="O1898" s="4" t="s">
        <v>26</v>
      </c>
      <c r="P1898" s="7" t="s">
        <v>30</v>
      </c>
    </row>
    <row r="1899" spans="2:16" x14ac:dyDescent="0.45">
      <c r="B1899" s="4">
        <v>1898</v>
      </c>
      <c r="C1899" s="4" t="s">
        <v>22</v>
      </c>
      <c r="D1899" s="4" t="s">
        <v>23</v>
      </c>
      <c r="E1899" s="4" t="s">
        <v>44</v>
      </c>
      <c r="F1899" s="4" t="s">
        <v>28</v>
      </c>
      <c r="G1899" s="4" t="s">
        <v>19</v>
      </c>
      <c r="H1899" s="4" t="s">
        <v>34</v>
      </c>
      <c r="I1899" s="4">
        <v>19</v>
      </c>
      <c r="J1899" s="5">
        <v>52.4</v>
      </c>
      <c r="K1899" s="6">
        <v>1.59</v>
      </c>
      <c r="L1899" s="4">
        <v>3</v>
      </c>
      <c r="M1899" s="4">
        <v>113</v>
      </c>
      <c r="N1899" s="4">
        <v>100</v>
      </c>
      <c r="O1899" s="4" t="s">
        <v>21</v>
      </c>
      <c r="P1899" s="7" t="s">
        <v>19</v>
      </c>
    </row>
    <row r="1900" spans="2:16" x14ac:dyDescent="0.45">
      <c r="B1900" s="4">
        <v>1899</v>
      </c>
      <c r="C1900" s="4" t="s">
        <v>43</v>
      </c>
      <c r="D1900" s="4" t="s">
        <v>23</v>
      </c>
      <c r="E1900" s="4" t="s">
        <v>17</v>
      </c>
      <c r="F1900" s="4" t="s">
        <v>18</v>
      </c>
      <c r="G1900" s="4" t="s">
        <v>30</v>
      </c>
      <c r="H1900" s="4" t="s">
        <v>34</v>
      </c>
      <c r="I1900" s="4">
        <v>1</v>
      </c>
      <c r="J1900" s="5">
        <v>6.8</v>
      </c>
      <c r="K1900" s="6">
        <v>0.9</v>
      </c>
      <c r="L1900" s="4">
        <v>6</v>
      </c>
      <c r="M1900" s="4">
        <v>112</v>
      </c>
      <c r="N1900" s="4">
        <v>80</v>
      </c>
      <c r="O1900" s="4" t="s">
        <v>21</v>
      </c>
      <c r="P1900" s="7" t="s">
        <v>19</v>
      </c>
    </row>
    <row r="1901" spans="2:16" x14ac:dyDescent="0.45">
      <c r="B1901" s="4">
        <v>1900</v>
      </c>
      <c r="C1901" s="4" t="s">
        <v>31</v>
      </c>
      <c r="D1901" s="4" t="s">
        <v>23</v>
      </c>
      <c r="E1901" s="4" t="s">
        <v>35</v>
      </c>
      <c r="F1901" s="4" t="s">
        <v>28</v>
      </c>
      <c r="G1901" s="4" t="s">
        <v>19</v>
      </c>
      <c r="H1901" s="4" t="s">
        <v>28</v>
      </c>
      <c r="I1901" s="4">
        <v>16</v>
      </c>
      <c r="J1901" s="5">
        <v>63.3</v>
      </c>
      <c r="K1901" s="6">
        <v>1.69</v>
      </c>
      <c r="L1901" s="4">
        <v>5</v>
      </c>
      <c r="M1901" s="4">
        <v>112</v>
      </c>
      <c r="N1901" s="4">
        <v>98</v>
      </c>
      <c r="O1901" s="4" t="s">
        <v>21</v>
      </c>
      <c r="P1901" s="7" t="s">
        <v>19</v>
      </c>
    </row>
    <row r="1902" spans="2:16" x14ac:dyDescent="0.45">
      <c r="B1902" s="4">
        <v>1901</v>
      </c>
      <c r="C1902" s="4" t="s">
        <v>31</v>
      </c>
      <c r="D1902" s="4" t="s">
        <v>16</v>
      </c>
      <c r="E1902" s="4" t="s">
        <v>17</v>
      </c>
      <c r="F1902" s="4" t="s">
        <v>24</v>
      </c>
      <c r="G1902" s="4" t="s">
        <v>19</v>
      </c>
      <c r="H1902" s="4" t="s">
        <v>25</v>
      </c>
      <c r="I1902" s="4">
        <v>14</v>
      </c>
      <c r="J1902" s="5">
        <v>61.2</v>
      </c>
      <c r="K1902" s="6">
        <v>1.52</v>
      </c>
      <c r="L1902" s="4">
        <v>5</v>
      </c>
      <c r="M1902" s="4">
        <v>103</v>
      </c>
      <c r="N1902" s="4">
        <v>84</v>
      </c>
      <c r="O1902" s="4" t="s">
        <v>26</v>
      </c>
      <c r="P1902" s="7" t="s">
        <v>19</v>
      </c>
    </row>
    <row r="1903" spans="2:16" x14ac:dyDescent="0.45">
      <c r="B1903" s="4">
        <v>1902</v>
      </c>
      <c r="C1903" s="4" t="s">
        <v>29</v>
      </c>
      <c r="D1903" s="4" t="s">
        <v>16</v>
      </c>
      <c r="E1903" s="4" t="s">
        <v>35</v>
      </c>
      <c r="F1903" s="4" t="s">
        <v>24</v>
      </c>
      <c r="G1903" s="4" t="s">
        <v>19</v>
      </c>
      <c r="H1903" s="4" t="s">
        <v>20</v>
      </c>
      <c r="I1903" s="4">
        <v>18</v>
      </c>
      <c r="J1903" s="5">
        <v>65.599999999999994</v>
      </c>
      <c r="K1903" s="6">
        <v>1.51</v>
      </c>
      <c r="L1903" s="4">
        <v>4</v>
      </c>
      <c r="M1903" s="4">
        <v>105</v>
      </c>
      <c r="N1903" s="4">
        <v>72</v>
      </c>
      <c r="O1903" s="4" t="s">
        <v>21</v>
      </c>
      <c r="P1903" s="7" t="s">
        <v>19</v>
      </c>
    </row>
    <row r="1904" spans="2:16" x14ac:dyDescent="0.45">
      <c r="B1904" s="4">
        <v>1903</v>
      </c>
      <c r="C1904" s="4" t="s">
        <v>22</v>
      </c>
      <c r="D1904" s="4" t="s">
        <v>16</v>
      </c>
      <c r="E1904" s="4" t="s">
        <v>35</v>
      </c>
      <c r="F1904" s="4" t="s">
        <v>18</v>
      </c>
      <c r="G1904" s="4" t="s">
        <v>19</v>
      </c>
      <c r="H1904" s="4" t="s">
        <v>32</v>
      </c>
      <c r="I1904" s="4">
        <v>23</v>
      </c>
      <c r="J1904" s="5">
        <v>55.2</v>
      </c>
      <c r="K1904" s="6">
        <v>1.68</v>
      </c>
      <c r="L1904" s="4">
        <v>1</v>
      </c>
      <c r="M1904" s="4">
        <v>107</v>
      </c>
      <c r="N1904" s="4">
        <v>145</v>
      </c>
      <c r="O1904" s="4" t="s">
        <v>26</v>
      </c>
      <c r="P1904" s="7" t="s">
        <v>19</v>
      </c>
    </row>
    <row r="1905" spans="2:16" x14ac:dyDescent="0.45">
      <c r="B1905" s="4">
        <v>1904</v>
      </c>
      <c r="C1905" s="4" t="s">
        <v>27</v>
      </c>
      <c r="D1905" s="4" t="s">
        <v>23</v>
      </c>
      <c r="E1905" s="4" t="s">
        <v>35</v>
      </c>
      <c r="F1905" s="4" t="s">
        <v>24</v>
      </c>
      <c r="G1905" s="4" t="s">
        <v>19</v>
      </c>
      <c r="H1905" s="4" t="s">
        <v>20</v>
      </c>
      <c r="I1905" s="4">
        <v>79</v>
      </c>
      <c r="J1905" s="5">
        <v>62.3</v>
      </c>
      <c r="K1905" s="6">
        <v>1.76</v>
      </c>
      <c r="L1905" s="4">
        <v>8</v>
      </c>
      <c r="M1905" s="4">
        <v>137</v>
      </c>
      <c r="N1905" s="4">
        <v>81</v>
      </c>
      <c r="O1905" s="4" t="s">
        <v>26</v>
      </c>
      <c r="P1905" s="7" t="s">
        <v>19</v>
      </c>
    </row>
    <row r="1906" spans="2:16" x14ac:dyDescent="0.45">
      <c r="B1906" s="4">
        <v>1905</v>
      </c>
      <c r="C1906" s="4" t="s">
        <v>40</v>
      </c>
      <c r="D1906" s="4" t="s">
        <v>23</v>
      </c>
      <c r="E1906" s="4" t="s">
        <v>17</v>
      </c>
      <c r="F1906" s="4" t="s">
        <v>18</v>
      </c>
      <c r="G1906" s="4" t="s">
        <v>19</v>
      </c>
      <c r="H1906" s="4" t="s">
        <v>32</v>
      </c>
      <c r="I1906" s="4">
        <v>11</v>
      </c>
      <c r="J1906" s="5">
        <v>26.4</v>
      </c>
      <c r="K1906" s="6">
        <v>1.1200000000000001</v>
      </c>
      <c r="L1906" s="4">
        <v>6</v>
      </c>
      <c r="M1906" s="4">
        <v>96</v>
      </c>
      <c r="N1906" s="4">
        <v>134</v>
      </c>
      <c r="O1906" s="4" t="s">
        <v>26</v>
      </c>
      <c r="P1906" s="7" t="s">
        <v>19</v>
      </c>
    </row>
    <row r="1907" spans="2:16" x14ac:dyDescent="0.45">
      <c r="B1907" s="4">
        <v>1906</v>
      </c>
      <c r="C1907" s="4" t="s">
        <v>15</v>
      </c>
      <c r="D1907" s="4" t="s">
        <v>23</v>
      </c>
      <c r="E1907" s="4" t="s">
        <v>17</v>
      </c>
      <c r="F1907" s="4" t="s">
        <v>18</v>
      </c>
      <c r="G1907" s="4" t="s">
        <v>19</v>
      </c>
      <c r="H1907" s="4" t="s">
        <v>28</v>
      </c>
      <c r="I1907" s="4">
        <v>46</v>
      </c>
      <c r="J1907" s="5">
        <v>46.5</v>
      </c>
      <c r="K1907" s="6">
        <v>1.56</v>
      </c>
      <c r="L1907" s="4">
        <v>10</v>
      </c>
      <c r="M1907" s="4">
        <v>111</v>
      </c>
      <c r="N1907" s="4">
        <v>78</v>
      </c>
      <c r="O1907" s="4" t="s">
        <v>21</v>
      </c>
      <c r="P1907" s="7" t="s">
        <v>30</v>
      </c>
    </row>
    <row r="1908" spans="2:16" x14ac:dyDescent="0.45">
      <c r="B1908" s="4">
        <v>1907</v>
      </c>
      <c r="C1908" s="4" t="s">
        <v>43</v>
      </c>
      <c r="D1908" s="4" t="s">
        <v>23</v>
      </c>
      <c r="E1908" s="4" t="s">
        <v>44</v>
      </c>
      <c r="F1908" s="4" t="s">
        <v>24</v>
      </c>
      <c r="G1908" s="4" t="s">
        <v>19</v>
      </c>
      <c r="H1908" s="4" t="s">
        <v>25</v>
      </c>
      <c r="I1908" s="4">
        <v>62</v>
      </c>
      <c r="J1908" s="5">
        <v>82.4</v>
      </c>
      <c r="K1908" s="6">
        <v>1.7</v>
      </c>
      <c r="L1908" s="4">
        <v>6</v>
      </c>
      <c r="M1908" s="4">
        <v>136</v>
      </c>
      <c r="N1908" s="4">
        <v>71</v>
      </c>
      <c r="O1908" s="4" t="s">
        <v>26</v>
      </c>
      <c r="P1908" s="7" t="s">
        <v>30</v>
      </c>
    </row>
    <row r="1909" spans="2:16" x14ac:dyDescent="0.45">
      <c r="B1909" s="4">
        <v>1908</v>
      </c>
      <c r="C1909" s="4" t="s">
        <v>15</v>
      </c>
      <c r="D1909" s="4" t="s">
        <v>23</v>
      </c>
      <c r="E1909" s="4" t="s">
        <v>17</v>
      </c>
      <c r="F1909" s="4" t="s">
        <v>24</v>
      </c>
      <c r="G1909" s="4" t="s">
        <v>19</v>
      </c>
      <c r="H1909" s="4" t="s">
        <v>28</v>
      </c>
      <c r="I1909" s="4">
        <v>32</v>
      </c>
      <c r="J1909" s="5">
        <v>65.7</v>
      </c>
      <c r="K1909" s="6">
        <v>1.68</v>
      </c>
      <c r="L1909" s="4">
        <v>5</v>
      </c>
      <c r="M1909" s="4">
        <v>113</v>
      </c>
      <c r="N1909" s="4">
        <v>73</v>
      </c>
      <c r="O1909" s="4" t="s">
        <v>21</v>
      </c>
      <c r="P1909" s="7" t="s">
        <v>30</v>
      </c>
    </row>
    <row r="1910" spans="2:16" x14ac:dyDescent="0.45">
      <c r="B1910" s="4">
        <v>1909</v>
      </c>
      <c r="C1910" s="4" t="s">
        <v>41</v>
      </c>
      <c r="D1910" s="4" t="s">
        <v>23</v>
      </c>
      <c r="E1910" s="4" t="s">
        <v>35</v>
      </c>
      <c r="F1910" s="4" t="s">
        <v>42</v>
      </c>
      <c r="G1910" s="4" t="s">
        <v>19</v>
      </c>
      <c r="H1910" s="4" t="s">
        <v>36</v>
      </c>
      <c r="I1910" s="4">
        <v>8</v>
      </c>
      <c r="J1910" s="5">
        <v>34.799999999999997</v>
      </c>
      <c r="K1910" s="6">
        <v>1.29</v>
      </c>
      <c r="L1910" s="4">
        <v>0</v>
      </c>
      <c r="M1910" s="4">
        <v>139</v>
      </c>
      <c r="N1910" s="4">
        <v>103</v>
      </c>
      <c r="O1910" s="4" t="s">
        <v>21</v>
      </c>
      <c r="P1910" s="7" t="s">
        <v>19</v>
      </c>
    </row>
    <row r="1911" spans="2:16" x14ac:dyDescent="0.45">
      <c r="B1911" s="4">
        <v>1910</v>
      </c>
      <c r="C1911" s="4" t="s">
        <v>43</v>
      </c>
      <c r="D1911" s="4" t="s">
        <v>16</v>
      </c>
      <c r="E1911" s="4" t="s">
        <v>35</v>
      </c>
      <c r="F1911" s="4" t="s">
        <v>18</v>
      </c>
      <c r="G1911" s="4" t="s">
        <v>19</v>
      </c>
      <c r="H1911" s="4" t="s">
        <v>28</v>
      </c>
      <c r="I1911" s="4">
        <v>34</v>
      </c>
      <c r="J1911" s="5">
        <v>46.3</v>
      </c>
      <c r="K1911" s="6">
        <v>1.86</v>
      </c>
      <c r="L1911" s="4">
        <v>3</v>
      </c>
      <c r="M1911" s="4">
        <v>114</v>
      </c>
      <c r="N1911" s="4">
        <v>88</v>
      </c>
      <c r="O1911" s="4" t="s">
        <v>26</v>
      </c>
      <c r="P1911" s="7" t="s">
        <v>19</v>
      </c>
    </row>
    <row r="1912" spans="2:16" x14ac:dyDescent="0.45">
      <c r="B1912" s="4">
        <v>1911</v>
      </c>
      <c r="C1912" s="4" t="s">
        <v>33</v>
      </c>
      <c r="D1912" s="4" t="s">
        <v>16</v>
      </c>
      <c r="E1912" s="4" t="s">
        <v>35</v>
      </c>
      <c r="F1912" s="4" t="s">
        <v>18</v>
      </c>
      <c r="G1912" s="4" t="s">
        <v>19</v>
      </c>
      <c r="H1912" s="4" t="s">
        <v>32</v>
      </c>
      <c r="I1912" s="4">
        <v>6</v>
      </c>
      <c r="J1912" s="5">
        <v>28.4</v>
      </c>
      <c r="K1912" s="6">
        <v>1.31</v>
      </c>
      <c r="L1912" s="4">
        <v>5</v>
      </c>
      <c r="M1912" s="4">
        <v>108</v>
      </c>
      <c r="N1912" s="4">
        <v>140</v>
      </c>
      <c r="O1912" s="4" t="s">
        <v>26</v>
      </c>
      <c r="P1912" s="7" t="s">
        <v>19</v>
      </c>
    </row>
    <row r="1913" spans="2:16" x14ac:dyDescent="0.45">
      <c r="B1913" s="4">
        <v>1912</v>
      </c>
      <c r="C1913" s="4" t="s">
        <v>39</v>
      </c>
      <c r="D1913" s="4" t="s">
        <v>16</v>
      </c>
      <c r="E1913" s="4" t="s">
        <v>17</v>
      </c>
      <c r="F1913" s="4" t="s">
        <v>18</v>
      </c>
      <c r="G1913" s="4" t="s">
        <v>30</v>
      </c>
      <c r="H1913" s="4" t="s">
        <v>28</v>
      </c>
      <c r="I1913" s="4">
        <v>11</v>
      </c>
      <c r="J1913" s="5">
        <v>33.4</v>
      </c>
      <c r="K1913" s="6">
        <v>1.41</v>
      </c>
      <c r="L1913" s="4">
        <v>0</v>
      </c>
      <c r="M1913" s="4">
        <v>97</v>
      </c>
      <c r="N1913" s="4">
        <v>101</v>
      </c>
      <c r="O1913" s="4" t="s">
        <v>26</v>
      </c>
      <c r="P1913" s="7" t="s">
        <v>19</v>
      </c>
    </row>
    <row r="1914" spans="2:16" x14ac:dyDescent="0.45">
      <c r="B1914" s="4">
        <v>1913</v>
      </c>
      <c r="C1914" s="4" t="s">
        <v>43</v>
      </c>
      <c r="D1914" s="4" t="s">
        <v>23</v>
      </c>
      <c r="E1914" s="4" t="s">
        <v>17</v>
      </c>
      <c r="F1914" s="4" t="s">
        <v>42</v>
      </c>
      <c r="G1914" s="4" t="s">
        <v>30</v>
      </c>
      <c r="H1914" s="4" t="s">
        <v>46</v>
      </c>
      <c r="I1914" s="4">
        <v>40</v>
      </c>
      <c r="J1914" s="5">
        <v>75.3</v>
      </c>
      <c r="K1914" s="6">
        <v>1.67</v>
      </c>
      <c r="L1914" s="4">
        <v>2</v>
      </c>
      <c r="M1914" s="4">
        <v>133</v>
      </c>
      <c r="N1914" s="4">
        <v>93</v>
      </c>
      <c r="O1914" s="4" t="s">
        <v>26</v>
      </c>
      <c r="P1914" s="7" t="s">
        <v>30</v>
      </c>
    </row>
    <row r="1915" spans="2:16" x14ac:dyDescent="0.45">
      <c r="B1915" s="4">
        <v>1914</v>
      </c>
      <c r="C1915" s="4" t="s">
        <v>22</v>
      </c>
      <c r="D1915" s="4" t="s">
        <v>23</v>
      </c>
      <c r="E1915" s="4" t="s">
        <v>35</v>
      </c>
      <c r="F1915" s="4" t="s">
        <v>28</v>
      </c>
      <c r="G1915" s="4" t="s">
        <v>19</v>
      </c>
      <c r="H1915" s="4" t="s">
        <v>38</v>
      </c>
      <c r="I1915" s="4">
        <v>36</v>
      </c>
      <c r="J1915" s="5">
        <v>94.4</v>
      </c>
      <c r="K1915" s="6">
        <v>1.68</v>
      </c>
      <c r="L1915" s="4">
        <v>1</v>
      </c>
      <c r="M1915" s="4">
        <v>122</v>
      </c>
      <c r="N1915" s="4">
        <v>82</v>
      </c>
      <c r="O1915" s="4" t="s">
        <v>21</v>
      </c>
      <c r="P1915" s="7" t="s">
        <v>19</v>
      </c>
    </row>
    <row r="1916" spans="2:16" x14ac:dyDescent="0.45">
      <c r="B1916" s="4">
        <v>1915</v>
      </c>
      <c r="C1916" s="4" t="s">
        <v>27</v>
      </c>
      <c r="D1916" s="4" t="s">
        <v>23</v>
      </c>
      <c r="E1916" s="4" t="s">
        <v>17</v>
      </c>
      <c r="F1916" s="4" t="s">
        <v>24</v>
      </c>
      <c r="G1916" s="4" t="s">
        <v>19</v>
      </c>
      <c r="H1916" s="4" t="s">
        <v>34</v>
      </c>
      <c r="I1916" s="4">
        <v>0</v>
      </c>
      <c r="J1916" s="5">
        <v>14</v>
      </c>
      <c r="K1916" s="6">
        <v>1.02</v>
      </c>
      <c r="L1916" s="4">
        <v>2</v>
      </c>
      <c r="M1916" s="4">
        <v>114</v>
      </c>
      <c r="N1916" s="4">
        <v>93</v>
      </c>
      <c r="O1916" s="4" t="s">
        <v>26</v>
      </c>
      <c r="P1916" s="7" t="s">
        <v>19</v>
      </c>
    </row>
    <row r="1917" spans="2:16" x14ac:dyDescent="0.45">
      <c r="B1917" s="4">
        <v>1916</v>
      </c>
      <c r="C1917" s="4" t="s">
        <v>22</v>
      </c>
      <c r="D1917" s="4" t="s">
        <v>16</v>
      </c>
      <c r="E1917" s="4" t="s">
        <v>17</v>
      </c>
      <c r="F1917" s="4" t="s">
        <v>24</v>
      </c>
      <c r="G1917" s="4" t="s">
        <v>19</v>
      </c>
      <c r="H1917" s="4" t="s">
        <v>28</v>
      </c>
      <c r="I1917" s="4">
        <v>9</v>
      </c>
      <c r="J1917" s="5">
        <v>30.9</v>
      </c>
      <c r="K1917" s="6">
        <v>1.26</v>
      </c>
      <c r="L1917" s="4">
        <v>2</v>
      </c>
      <c r="M1917" s="4">
        <v>103</v>
      </c>
      <c r="N1917" s="4">
        <v>79</v>
      </c>
      <c r="O1917" s="4" t="s">
        <v>26</v>
      </c>
      <c r="P1917" s="7" t="s">
        <v>19</v>
      </c>
    </row>
    <row r="1918" spans="2:16" x14ac:dyDescent="0.45">
      <c r="B1918" s="4">
        <v>1917</v>
      </c>
      <c r="C1918" s="4" t="s">
        <v>45</v>
      </c>
      <c r="D1918" s="4" t="s">
        <v>23</v>
      </c>
      <c r="E1918" s="4" t="s">
        <v>17</v>
      </c>
      <c r="F1918" s="4" t="s">
        <v>28</v>
      </c>
      <c r="G1918" s="4" t="s">
        <v>30</v>
      </c>
      <c r="H1918" s="4" t="s">
        <v>28</v>
      </c>
      <c r="I1918" s="4">
        <v>1</v>
      </c>
      <c r="J1918" s="5">
        <v>7.7</v>
      </c>
      <c r="K1918" s="6">
        <v>0.77</v>
      </c>
      <c r="L1918" s="4">
        <v>5</v>
      </c>
      <c r="M1918" s="4">
        <v>111</v>
      </c>
      <c r="N1918" s="4">
        <v>78</v>
      </c>
      <c r="O1918" s="4" t="s">
        <v>26</v>
      </c>
      <c r="P1918" s="7" t="s">
        <v>19</v>
      </c>
    </row>
    <row r="1919" spans="2:16" x14ac:dyDescent="0.45">
      <c r="B1919" s="4">
        <v>1918</v>
      </c>
      <c r="C1919" s="4" t="s">
        <v>39</v>
      </c>
      <c r="D1919" s="4" t="s">
        <v>23</v>
      </c>
      <c r="E1919" s="4" t="s">
        <v>35</v>
      </c>
      <c r="F1919" s="4" t="s">
        <v>24</v>
      </c>
      <c r="G1919" s="4" t="s">
        <v>19</v>
      </c>
      <c r="H1919" s="4" t="s">
        <v>20</v>
      </c>
      <c r="I1919" s="4">
        <v>21</v>
      </c>
      <c r="J1919" s="5">
        <v>75.8</v>
      </c>
      <c r="K1919" s="6">
        <v>1.83</v>
      </c>
      <c r="L1919" s="4">
        <v>2</v>
      </c>
      <c r="M1919" s="4">
        <v>121</v>
      </c>
      <c r="N1919" s="4">
        <v>84</v>
      </c>
      <c r="O1919" s="4" t="s">
        <v>26</v>
      </c>
      <c r="P1919" s="7" t="s">
        <v>30</v>
      </c>
    </row>
    <row r="1920" spans="2:16" x14ac:dyDescent="0.45">
      <c r="B1920" s="4">
        <v>1919</v>
      </c>
      <c r="C1920" s="4" t="s">
        <v>29</v>
      </c>
      <c r="D1920" s="4" t="s">
        <v>23</v>
      </c>
      <c r="E1920" s="4" t="s">
        <v>35</v>
      </c>
      <c r="F1920" s="4" t="s">
        <v>28</v>
      </c>
      <c r="G1920" s="4" t="s">
        <v>19</v>
      </c>
      <c r="H1920" s="4" t="s">
        <v>28</v>
      </c>
      <c r="I1920" s="4">
        <v>15</v>
      </c>
      <c r="J1920" s="5">
        <v>53.7</v>
      </c>
      <c r="K1920" s="6">
        <v>1.5</v>
      </c>
      <c r="L1920" s="4">
        <v>10</v>
      </c>
      <c r="M1920" s="4">
        <v>109</v>
      </c>
      <c r="N1920" s="4">
        <v>85</v>
      </c>
      <c r="O1920" s="4" t="s">
        <v>21</v>
      </c>
      <c r="P1920" s="7" t="s">
        <v>19</v>
      </c>
    </row>
    <row r="1921" spans="2:16" x14ac:dyDescent="0.45">
      <c r="B1921" s="4">
        <v>1920</v>
      </c>
      <c r="C1921" s="4" t="s">
        <v>31</v>
      </c>
      <c r="D1921" s="4" t="s">
        <v>16</v>
      </c>
      <c r="E1921" s="4" t="s">
        <v>35</v>
      </c>
      <c r="F1921" s="4" t="s">
        <v>24</v>
      </c>
      <c r="G1921" s="4" t="s">
        <v>19</v>
      </c>
      <c r="H1921" s="4" t="s">
        <v>36</v>
      </c>
      <c r="I1921" s="4">
        <v>8</v>
      </c>
      <c r="J1921" s="5">
        <v>28.8</v>
      </c>
      <c r="K1921" s="6">
        <v>1.37</v>
      </c>
      <c r="L1921" s="4">
        <v>7</v>
      </c>
      <c r="M1921" s="4">
        <v>133</v>
      </c>
      <c r="N1921" s="4">
        <v>87</v>
      </c>
      <c r="O1921" s="4" t="s">
        <v>21</v>
      </c>
      <c r="P1921" s="7" t="s">
        <v>19</v>
      </c>
    </row>
    <row r="1922" spans="2:16" x14ac:dyDescent="0.45">
      <c r="B1922" s="4">
        <v>1921</v>
      </c>
      <c r="C1922" s="4" t="s">
        <v>29</v>
      </c>
      <c r="D1922" s="4" t="s">
        <v>23</v>
      </c>
      <c r="E1922" s="4" t="s">
        <v>17</v>
      </c>
      <c r="F1922" s="4" t="s">
        <v>28</v>
      </c>
      <c r="G1922" s="4" t="s">
        <v>30</v>
      </c>
      <c r="H1922" s="4" t="s">
        <v>28</v>
      </c>
      <c r="I1922" s="4">
        <v>1</v>
      </c>
      <c r="J1922" s="5">
        <v>8.1999999999999993</v>
      </c>
      <c r="K1922" s="6">
        <v>0.95</v>
      </c>
      <c r="L1922" s="4">
        <v>1</v>
      </c>
      <c r="M1922" s="4">
        <v>98</v>
      </c>
      <c r="N1922" s="4">
        <v>90</v>
      </c>
      <c r="O1922" s="4" t="s">
        <v>21</v>
      </c>
      <c r="P1922" s="7" t="s">
        <v>19</v>
      </c>
    </row>
    <row r="1923" spans="2:16" x14ac:dyDescent="0.45">
      <c r="B1923" s="4">
        <v>1922</v>
      </c>
      <c r="C1923" s="4" t="s">
        <v>39</v>
      </c>
      <c r="D1923" s="4" t="s">
        <v>16</v>
      </c>
      <c r="E1923" s="4" t="s">
        <v>17</v>
      </c>
      <c r="F1923" s="4" t="s">
        <v>18</v>
      </c>
      <c r="G1923" s="4" t="s">
        <v>19</v>
      </c>
      <c r="H1923" s="4" t="s">
        <v>36</v>
      </c>
      <c r="I1923" s="4">
        <v>18</v>
      </c>
      <c r="J1923" s="5">
        <v>92.9</v>
      </c>
      <c r="K1923" s="6">
        <v>1.59</v>
      </c>
      <c r="L1923" s="4">
        <v>1</v>
      </c>
      <c r="M1923" s="4">
        <v>127</v>
      </c>
      <c r="N1923" s="4">
        <v>88</v>
      </c>
      <c r="O1923" s="4" t="s">
        <v>26</v>
      </c>
      <c r="P1923" s="7" t="s">
        <v>30</v>
      </c>
    </row>
    <row r="1924" spans="2:16" x14ac:dyDescent="0.45">
      <c r="B1924" s="4">
        <v>1923</v>
      </c>
      <c r="C1924" s="4" t="s">
        <v>41</v>
      </c>
      <c r="D1924" s="4" t="s">
        <v>23</v>
      </c>
      <c r="E1924" s="4" t="s">
        <v>17</v>
      </c>
      <c r="F1924" s="4" t="s">
        <v>24</v>
      </c>
      <c r="G1924" s="4" t="s">
        <v>19</v>
      </c>
      <c r="H1924" s="4" t="s">
        <v>20</v>
      </c>
      <c r="I1924" s="4">
        <v>30</v>
      </c>
      <c r="J1924" s="5">
        <v>87</v>
      </c>
      <c r="K1924" s="6">
        <v>1.65</v>
      </c>
      <c r="L1924" s="4">
        <v>2</v>
      </c>
      <c r="M1924" s="4">
        <v>103</v>
      </c>
      <c r="N1924" s="4">
        <v>77</v>
      </c>
      <c r="O1924" s="4" t="s">
        <v>26</v>
      </c>
      <c r="P1924" s="7" t="s">
        <v>19</v>
      </c>
    </row>
    <row r="1925" spans="2:16" x14ac:dyDescent="0.45">
      <c r="B1925" s="4">
        <v>1924</v>
      </c>
      <c r="C1925" s="4" t="s">
        <v>33</v>
      </c>
      <c r="D1925" s="4" t="s">
        <v>23</v>
      </c>
      <c r="E1925" s="4" t="s">
        <v>35</v>
      </c>
      <c r="F1925" s="4" t="s">
        <v>18</v>
      </c>
      <c r="G1925" s="4" t="s">
        <v>30</v>
      </c>
      <c r="H1925" s="4" t="s">
        <v>20</v>
      </c>
      <c r="I1925" s="4">
        <v>76</v>
      </c>
      <c r="J1925" s="5">
        <v>90.4</v>
      </c>
      <c r="K1925" s="6">
        <v>1.82</v>
      </c>
      <c r="L1925" s="4">
        <v>3</v>
      </c>
      <c r="M1925" s="4">
        <v>132</v>
      </c>
      <c r="N1925" s="4">
        <v>80</v>
      </c>
      <c r="O1925" s="4" t="s">
        <v>21</v>
      </c>
      <c r="P1925" s="7" t="s">
        <v>30</v>
      </c>
    </row>
    <row r="1926" spans="2:16" x14ac:dyDescent="0.45">
      <c r="B1926" s="4">
        <v>1925</v>
      </c>
      <c r="C1926" s="4" t="s">
        <v>27</v>
      </c>
      <c r="D1926" s="4" t="s">
        <v>16</v>
      </c>
      <c r="E1926" s="4" t="s">
        <v>17</v>
      </c>
      <c r="F1926" s="4" t="s">
        <v>28</v>
      </c>
      <c r="G1926" s="4" t="s">
        <v>30</v>
      </c>
      <c r="H1926" s="4" t="s">
        <v>28</v>
      </c>
      <c r="I1926" s="4">
        <v>11</v>
      </c>
      <c r="J1926" s="5">
        <v>31.2</v>
      </c>
      <c r="K1926" s="6">
        <v>1.36</v>
      </c>
      <c r="L1926" s="4">
        <v>4</v>
      </c>
      <c r="M1926" s="4">
        <v>113</v>
      </c>
      <c r="N1926" s="4">
        <v>88</v>
      </c>
      <c r="O1926" s="4" t="s">
        <v>21</v>
      </c>
      <c r="P1926" s="7" t="s">
        <v>19</v>
      </c>
    </row>
    <row r="1927" spans="2:16" x14ac:dyDescent="0.45">
      <c r="B1927" s="4">
        <v>1926</v>
      </c>
      <c r="C1927" s="4" t="s">
        <v>45</v>
      </c>
      <c r="D1927" s="4" t="s">
        <v>23</v>
      </c>
      <c r="E1927" s="4" t="s">
        <v>35</v>
      </c>
      <c r="F1927" s="4" t="s">
        <v>18</v>
      </c>
      <c r="G1927" s="4" t="s">
        <v>30</v>
      </c>
      <c r="H1927" s="4" t="s">
        <v>28</v>
      </c>
      <c r="I1927" s="4">
        <v>19</v>
      </c>
      <c r="J1927" s="5">
        <v>94.8</v>
      </c>
      <c r="K1927" s="6">
        <v>1.67</v>
      </c>
      <c r="L1927" s="4">
        <v>0</v>
      </c>
      <c r="M1927" s="4">
        <v>110</v>
      </c>
      <c r="N1927" s="4">
        <v>88</v>
      </c>
      <c r="O1927" s="4" t="s">
        <v>21</v>
      </c>
      <c r="P1927" s="7" t="s">
        <v>30</v>
      </c>
    </row>
    <row r="1928" spans="2:16" x14ac:dyDescent="0.45">
      <c r="B1928" s="4">
        <v>1927</v>
      </c>
      <c r="C1928" s="4" t="s">
        <v>41</v>
      </c>
      <c r="D1928" s="4" t="s">
        <v>16</v>
      </c>
      <c r="E1928" s="4" t="s">
        <v>35</v>
      </c>
      <c r="F1928" s="4" t="s">
        <v>18</v>
      </c>
      <c r="G1928" s="4" t="s">
        <v>19</v>
      </c>
      <c r="H1928" s="4" t="s">
        <v>36</v>
      </c>
      <c r="I1928" s="4">
        <v>33</v>
      </c>
      <c r="J1928" s="5">
        <v>91.1</v>
      </c>
      <c r="K1928" s="6">
        <v>1.79</v>
      </c>
      <c r="L1928" s="4">
        <v>2</v>
      </c>
      <c r="M1928" s="4">
        <v>138</v>
      </c>
      <c r="N1928" s="4">
        <v>85</v>
      </c>
      <c r="O1928" s="4" t="s">
        <v>26</v>
      </c>
      <c r="P1928" s="7" t="s">
        <v>19</v>
      </c>
    </row>
    <row r="1929" spans="2:16" x14ac:dyDescent="0.45">
      <c r="B1929" s="4">
        <v>1928</v>
      </c>
      <c r="C1929" s="4" t="s">
        <v>31</v>
      </c>
      <c r="D1929" s="4" t="s">
        <v>16</v>
      </c>
      <c r="E1929" s="4" t="s">
        <v>37</v>
      </c>
      <c r="F1929" s="4" t="s">
        <v>18</v>
      </c>
      <c r="G1929" s="4" t="s">
        <v>30</v>
      </c>
      <c r="H1929" s="4" t="s">
        <v>25</v>
      </c>
      <c r="I1929" s="4">
        <v>63</v>
      </c>
      <c r="J1929" s="5">
        <v>94.3</v>
      </c>
      <c r="K1929" s="6">
        <v>1.64</v>
      </c>
      <c r="L1929" s="4">
        <v>2</v>
      </c>
      <c r="M1929" s="4">
        <v>116</v>
      </c>
      <c r="N1929" s="4">
        <v>90</v>
      </c>
      <c r="O1929" s="4" t="s">
        <v>21</v>
      </c>
      <c r="P1929" s="7" t="s">
        <v>19</v>
      </c>
    </row>
    <row r="1930" spans="2:16" x14ac:dyDescent="0.45">
      <c r="B1930" s="4">
        <v>1929</v>
      </c>
      <c r="C1930" s="4" t="s">
        <v>22</v>
      </c>
      <c r="D1930" s="4" t="s">
        <v>23</v>
      </c>
      <c r="E1930" s="4" t="s">
        <v>35</v>
      </c>
      <c r="F1930" s="4" t="s">
        <v>28</v>
      </c>
      <c r="G1930" s="4" t="s">
        <v>19</v>
      </c>
      <c r="H1930" s="4" t="s">
        <v>46</v>
      </c>
      <c r="I1930" s="4">
        <v>73</v>
      </c>
      <c r="J1930" s="5">
        <v>64.8</v>
      </c>
      <c r="K1930" s="6">
        <v>1.82</v>
      </c>
      <c r="L1930" s="4">
        <v>0</v>
      </c>
      <c r="M1930" s="4">
        <v>140</v>
      </c>
      <c r="N1930" s="4">
        <v>100</v>
      </c>
      <c r="O1930" s="4" t="s">
        <v>26</v>
      </c>
      <c r="P1930" s="7" t="s">
        <v>30</v>
      </c>
    </row>
    <row r="1931" spans="2:16" x14ac:dyDescent="0.45">
      <c r="B1931" s="4">
        <v>1930</v>
      </c>
      <c r="C1931" s="4" t="s">
        <v>29</v>
      </c>
      <c r="D1931" s="4" t="s">
        <v>23</v>
      </c>
      <c r="E1931" s="4" t="s">
        <v>17</v>
      </c>
      <c r="F1931" s="4" t="s">
        <v>24</v>
      </c>
      <c r="G1931" s="4" t="s">
        <v>19</v>
      </c>
      <c r="H1931" s="4" t="s">
        <v>28</v>
      </c>
      <c r="I1931" s="4">
        <v>12</v>
      </c>
      <c r="J1931" s="5">
        <v>63.1</v>
      </c>
      <c r="K1931" s="6">
        <v>1.52</v>
      </c>
      <c r="L1931" s="4">
        <v>4</v>
      </c>
      <c r="M1931" s="4">
        <v>114</v>
      </c>
      <c r="N1931" s="4">
        <v>103</v>
      </c>
      <c r="O1931" s="4" t="s">
        <v>26</v>
      </c>
      <c r="P1931" s="7" t="s">
        <v>19</v>
      </c>
    </row>
    <row r="1932" spans="2:16" x14ac:dyDescent="0.45">
      <c r="B1932" s="4">
        <v>1931</v>
      </c>
      <c r="C1932" s="4" t="s">
        <v>27</v>
      </c>
      <c r="D1932" s="4" t="s">
        <v>16</v>
      </c>
      <c r="E1932" s="4" t="s">
        <v>35</v>
      </c>
      <c r="F1932" s="4" t="s">
        <v>24</v>
      </c>
      <c r="G1932" s="4" t="s">
        <v>19</v>
      </c>
      <c r="H1932" s="4" t="s">
        <v>34</v>
      </c>
      <c r="I1932" s="4">
        <v>14</v>
      </c>
      <c r="J1932" s="5">
        <v>60.1</v>
      </c>
      <c r="K1932" s="6">
        <v>1.67</v>
      </c>
      <c r="L1932" s="4">
        <v>5</v>
      </c>
      <c r="M1932" s="4">
        <v>98</v>
      </c>
      <c r="N1932" s="4">
        <v>100</v>
      </c>
      <c r="O1932" s="4" t="s">
        <v>21</v>
      </c>
      <c r="P1932" s="7" t="s">
        <v>19</v>
      </c>
    </row>
    <row r="1933" spans="2:16" x14ac:dyDescent="0.45">
      <c r="B1933" s="4">
        <v>1932</v>
      </c>
      <c r="C1933" s="4" t="s">
        <v>27</v>
      </c>
      <c r="D1933" s="4" t="s">
        <v>23</v>
      </c>
      <c r="E1933" s="4" t="s">
        <v>17</v>
      </c>
      <c r="F1933" s="4" t="s">
        <v>28</v>
      </c>
      <c r="G1933" s="4" t="s">
        <v>19</v>
      </c>
      <c r="H1933" s="4" t="s">
        <v>28</v>
      </c>
      <c r="I1933" s="4">
        <v>8</v>
      </c>
      <c r="J1933" s="5">
        <v>23.7</v>
      </c>
      <c r="K1933" s="6">
        <v>1.36</v>
      </c>
      <c r="L1933" s="4">
        <v>6</v>
      </c>
      <c r="M1933" s="4">
        <v>113</v>
      </c>
      <c r="N1933" s="4">
        <v>74</v>
      </c>
      <c r="O1933" s="4" t="s">
        <v>26</v>
      </c>
      <c r="P1933" s="7" t="s">
        <v>19</v>
      </c>
    </row>
    <row r="1934" spans="2:16" x14ac:dyDescent="0.45">
      <c r="B1934" s="4">
        <v>1933</v>
      </c>
      <c r="C1934" s="4" t="s">
        <v>15</v>
      </c>
      <c r="D1934" s="4" t="s">
        <v>16</v>
      </c>
      <c r="E1934" s="4" t="s">
        <v>35</v>
      </c>
      <c r="F1934" s="4" t="s">
        <v>24</v>
      </c>
      <c r="G1934" s="4" t="s">
        <v>30</v>
      </c>
      <c r="H1934" s="4" t="s">
        <v>20</v>
      </c>
      <c r="I1934" s="4">
        <v>11</v>
      </c>
      <c r="J1934" s="5">
        <v>18.2</v>
      </c>
      <c r="K1934" s="6">
        <v>1.44</v>
      </c>
      <c r="L1934" s="4">
        <v>2</v>
      </c>
      <c r="M1934" s="4">
        <v>111</v>
      </c>
      <c r="N1934" s="4">
        <v>74</v>
      </c>
      <c r="O1934" s="4" t="s">
        <v>21</v>
      </c>
      <c r="P1934" s="7" t="s">
        <v>19</v>
      </c>
    </row>
    <row r="1935" spans="2:16" x14ac:dyDescent="0.45">
      <c r="B1935" s="4">
        <v>1934</v>
      </c>
      <c r="C1935" s="4" t="s">
        <v>43</v>
      </c>
      <c r="D1935" s="4" t="s">
        <v>16</v>
      </c>
      <c r="E1935" s="4" t="s">
        <v>35</v>
      </c>
      <c r="F1935" s="4" t="s">
        <v>28</v>
      </c>
      <c r="G1935" s="4" t="s">
        <v>19</v>
      </c>
      <c r="H1935" s="4" t="s">
        <v>20</v>
      </c>
      <c r="I1935" s="4">
        <v>6</v>
      </c>
      <c r="J1935" s="5">
        <v>34.299999999999997</v>
      </c>
      <c r="K1935" s="6">
        <v>1.07</v>
      </c>
      <c r="L1935" s="4">
        <v>2</v>
      </c>
      <c r="M1935" s="4">
        <v>102</v>
      </c>
      <c r="N1935" s="4">
        <v>81</v>
      </c>
      <c r="O1935" s="4" t="s">
        <v>26</v>
      </c>
      <c r="P1935" s="7" t="s">
        <v>19</v>
      </c>
    </row>
    <row r="1936" spans="2:16" x14ac:dyDescent="0.45">
      <c r="B1936" s="4">
        <v>1935</v>
      </c>
      <c r="C1936" s="4" t="s">
        <v>40</v>
      </c>
      <c r="D1936" s="4" t="s">
        <v>23</v>
      </c>
      <c r="E1936" s="4" t="s">
        <v>35</v>
      </c>
      <c r="F1936" s="4" t="s">
        <v>24</v>
      </c>
      <c r="G1936" s="4" t="s">
        <v>19</v>
      </c>
      <c r="H1936" s="4" t="s">
        <v>36</v>
      </c>
      <c r="I1936" s="4">
        <v>24</v>
      </c>
      <c r="J1936" s="5">
        <v>91.9</v>
      </c>
      <c r="K1936" s="6">
        <v>1.51</v>
      </c>
      <c r="L1936" s="4">
        <v>1</v>
      </c>
      <c r="M1936" s="4">
        <v>136</v>
      </c>
      <c r="N1936" s="4">
        <v>80</v>
      </c>
      <c r="O1936" s="4" t="s">
        <v>26</v>
      </c>
      <c r="P1936" s="7" t="s">
        <v>19</v>
      </c>
    </row>
    <row r="1937" spans="2:16" x14ac:dyDescent="0.45">
      <c r="B1937" s="4">
        <v>1936</v>
      </c>
      <c r="C1937" s="4" t="s">
        <v>41</v>
      </c>
      <c r="D1937" s="4" t="s">
        <v>16</v>
      </c>
      <c r="E1937" s="4" t="s">
        <v>17</v>
      </c>
      <c r="F1937" s="4" t="s">
        <v>18</v>
      </c>
      <c r="G1937" s="4" t="s">
        <v>30</v>
      </c>
      <c r="H1937" s="4" t="s">
        <v>28</v>
      </c>
      <c r="I1937" s="4">
        <v>29</v>
      </c>
      <c r="J1937" s="5">
        <v>91.8</v>
      </c>
      <c r="K1937" s="6">
        <v>1.62</v>
      </c>
      <c r="L1937" s="4">
        <v>4</v>
      </c>
      <c r="M1937" s="4">
        <v>120</v>
      </c>
      <c r="N1937" s="4">
        <v>85</v>
      </c>
      <c r="O1937" s="4" t="s">
        <v>21</v>
      </c>
      <c r="P1937" s="7" t="s">
        <v>19</v>
      </c>
    </row>
    <row r="1938" spans="2:16" x14ac:dyDescent="0.45">
      <c r="B1938" s="4">
        <v>1937</v>
      </c>
      <c r="C1938" s="4" t="s">
        <v>40</v>
      </c>
      <c r="D1938" s="4" t="s">
        <v>23</v>
      </c>
      <c r="E1938" s="4" t="s">
        <v>17</v>
      </c>
      <c r="F1938" s="4" t="s">
        <v>18</v>
      </c>
      <c r="G1938" s="4" t="s">
        <v>30</v>
      </c>
      <c r="H1938" s="4" t="s">
        <v>25</v>
      </c>
      <c r="I1938" s="4">
        <v>33</v>
      </c>
      <c r="J1938" s="5">
        <v>47.3</v>
      </c>
      <c r="K1938" s="6">
        <v>1.76</v>
      </c>
      <c r="L1938" s="4">
        <v>1</v>
      </c>
      <c r="M1938" s="4">
        <v>110</v>
      </c>
      <c r="N1938" s="4">
        <v>91</v>
      </c>
      <c r="O1938" s="4" t="s">
        <v>21</v>
      </c>
      <c r="P1938" s="7" t="s">
        <v>19</v>
      </c>
    </row>
    <row r="1939" spans="2:16" x14ac:dyDescent="0.45">
      <c r="B1939" s="4">
        <v>1938</v>
      </c>
      <c r="C1939" s="4" t="s">
        <v>27</v>
      </c>
      <c r="D1939" s="4" t="s">
        <v>16</v>
      </c>
      <c r="E1939" s="4" t="s">
        <v>35</v>
      </c>
      <c r="F1939" s="4" t="s">
        <v>24</v>
      </c>
      <c r="G1939" s="4" t="s">
        <v>19</v>
      </c>
      <c r="H1939" s="4" t="s">
        <v>36</v>
      </c>
      <c r="I1939" s="4">
        <v>22</v>
      </c>
      <c r="J1939" s="5">
        <v>58.1</v>
      </c>
      <c r="K1939" s="6">
        <v>1.79</v>
      </c>
      <c r="L1939" s="4">
        <v>0</v>
      </c>
      <c r="M1939" s="4">
        <v>131</v>
      </c>
      <c r="N1939" s="4">
        <v>96</v>
      </c>
      <c r="O1939" s="4" t="s">
        <v>21</v>
      </c>
      <c r="P1939" s="7" t="s">
        <v>19</v>
      </c>
    </row>
    <row r="1940" spans="2:16" x14ac:dyDescent="0.45">
      <c r="B1940" s="4">
        <v>1939</v>
      </c>
      <c r="C1940" s="4" t="s">
        <v>41</v>
      </c>
      <c r="D1940" s="4" t="s">
        <v>16</v>
      </c>
      <c r="E1940" s="4" t="s">
        <v>35</v>
      </c>
      <c r="F1940" s="4" t="s">
        <v>18</v>
      </c>
      <c r="G1940" s="4" t="s">
        <v>19</v>
      </c>
      <c r="H1940" s="4" t="s">
        <v>32</v>
      </c>
      <c r="I1940" s="4">
        <v>12</v>
      </c>
      <c r="J1940" s="5">
        <v>38.299999999999997</v>
      </c>
      <c r="K1940" s="6">
        <v>1.69</v>
      </c>
      <c r="L1940" s="4">
        <v>1</v>
      </c>
      <c r="M1940" s="4">
        <v>97</v>
      </c>
      <c r="N1940" s="4">
        <v>144</v>
      </c>
      <c r="O1940" s="4" t="s">
        <v>26</v>
      </c>
      <c r="P1940" s="7" t="s">
        <v>19</v>
      </c>
    </row>
    <row r="1941" spans="2:16" x14ac:dyDescent="0.45">
      <c r="B1941" s="4">
        <v>1940</v>
      </c>
      <c r="C1941" s="4" t="s">
        <v>39</v>
      </c>
      <c r="D1941" s="4" t="s">
        <v>16</v>
      </c>
      <c r="E1941" s="4" t="s">
        <v>17</v>
      </c>
      <c r="F1941" s="4" t="s">
        <v>24</v>
      </c>
      <c r="G1941" s="4" t="s">
        <v>30</v>
      </c>
      <c r="H1941" s="4" t="s">
        <v>28</v>
      </c>
      <c r="I1941" s="4">
        <v>9</v>
      </c>
      <c r="J1941" s="5">
        <v>29.7</v>
      </c>
      <c r="K1941" s="6">
        <v>1.24</v>
      </c>
      <c r="L1941" s="4">
        <v>10</v>
      </c>
      <c r="M1941" s="4">
        <v>112</v>
      </c>
      <c r="N1941" s="4">
        <v>72</v>
      </c>
      <c r="O1941" s="4" t="s">
        <v>21</v>
      </c>
      <c r="P1941" s="7" t="s">
        <v>19</v>
      </c>
    </row>
    <row r="1942" spans="2:16" x14ac:dyDescent="0.45">
      <c r="B1942" s="4">
        <v>1941</v>
      </c>
      <c r="C1942" s="4" t="s">
        <v>22</v>
      </c>
      <c r="D1942" s="4" t="s">
        <v>23</v>
      </c>
      <c r="E1942" s="4" t="s">
        <v>35</v>
      </c>
      <c r="F1942" s="4" t="s">
        <v>24</v>
      </c>
      <c r="G1942" s="4" t="s">
        <v>19</v>
      </c>
      <c r="H1942" s="4" t="s">
        <v>28</v>
      </c>
      <c r="I1942" s="4">
        <v>47</v>
      </c>
      <c r="J1942" s="5">
        <v>46</v>
      </c>
      <c r="K1942" s="6">
        <v>1.59</v>
      </c>
      <c r="L1942" s="4">
        <v>6</v>
      </c>
      <c r="M1942" s="4">
        <v>104</v>
      </c>
      <c r="N1942" s="4">
        <v>95</v>
      </c>
      <c r="O1942" s="4" t="s">
        <v>26</v>
      </c>
      <c r="P1942" s="7" t="s">
        <v>19</v>
      </c>
    </row>
    <row r="1943" spans="2:16" x14ac:dyDescent="0.45">
      <c r="B1943" s="4">
        <v>1942</v>
      </c>
      <c r="C1943" s="4" t="s">
        <v>40</v>
      </c>
      <c r="D1943" s="4" t="s">
        <v>16</v>
      </c>
      <c r="E1943" s="4" t="s">
        <v>35</v>
      </c>
      <c r="F1943" s="4" t="s">
        <v>28</v>
      </c>
      <c r="G1943" s="4" t="s">
        <v>19</v>
      </c>
      <c r="H1943" s="4" t="s">
        <v>20</v>
      </c>
      <c r="I1943" s="4">
        <v>9</v>
      </c>
      <c r="J1943" s="5">
        <v>19.899999999999999</v>
      </c>
      <c r="K1943" s="6">
        <v>1.1499999999999999</v>
      </c>
      <c r="L1943" s="4">
        <v>1</v>
      </c>
      <c r="M1943" s="4">
        <v>104</v>
      </c>
      <c r="N1943" s="4">
        <v>103</v>
      </c>
      <c r="O1943" s="4" t="s">
        <v>21</v>
      </c>
      <c r="P1943" s="7" t="s">
        <v>19</v>
      </c>
    </row>
    <row r="1944" spans="2:16" x14ac:dyDescent="0.45">
      <c r="B1944" s="4">
        <v>1943</v>
      </c>
      <c r="C1944" s="4" t="s">
        <v>22</v>
      </c>
      <c r="D1944" s="4" t="s">
        <v>16</v>
      </c>
      <c r="E1944" s="4" t="s">
        <v>17</v>
      </c>
      <c r="F1944" s="4" t="s">
        <v>18</v>
      </c>
      <c r="G1944" s="4" t="s">
        <v>19</v>
      </c>
      <c r="H1944" s="4" t="s">
        <v>25</v>
      </c>
      <c r="I1944" s="4">
        <v>54</v>
      </c>
      <c r="J1944" s="5">
        <v>52.4</v>
      </c>
      <c r="K1944" s="6">
        <v>1.66</v>
      </c>
      <c r="L1944" s="4">
        <v>4</v>
      </c>
      <c r="M1944" s="4">
        <v>115</v>
      </c>
      <c r="N1944" s="4">
        <v>103</v>
      </c>
      <c r="O1944" s="4" t="s">
        <v>21</v>
      </c>
      <c r="P1944" s="7" t="s">
        <v>19</v>
      </c>
    </row>
    <row r="1945" spans="2:16" x14ac:dyDescent="0.45">
      <c r="B1945" s="4">
        <v>1944</v>
      </c>
      <c r="C1945" s="4" t="s">
        <v>22</v>
      </c>
      <c r="D1945" s="4" t="s">
        <v>16</v>
      </c>
      <c r="E1945" s="4" t="s">
        <v>44</v>
      </c>
      <c r="F1945" s="4" t="s">
        <v>24</v>
      </c>
      <c r="G1945" s="4" t="s">
        <v>30</v>
      </c>
      <c r="H1945" s="4" t="s">
        <v>34</v>
      </c>
      <c r="I1945" s="4">
        <v>15</v>
      </c>
      <c r="J1945" s="5">
        <v>64</v>
      </c>
      <c r="K1945" s="6">
        <v>1.75</v>
      </c>
      <c r="L1945" s="4">
        <v>1</v>
      </c>
      <c r="M1945" s="4">
        <v>111</v>
      </c>
      <c r="N1945" s="4">
        <v>100</v>
      </c>
      <c r="O1945" s="4" t="s">
        <v>26</v>
      </c>
      <c r="P1945" s="7" t="s">
        <v>19</v>
      </c>
    </row>
    <row r="1946" spans="2:16" x14ac:dyDescent="0.45">
      <c r="B1946" s="4">
        <v>1945</v>
      </c>
      <c r="C1946" s="4" t="s">
        <v>27</v>
      </c>
      <c r="D1946" s="4" t="s">
        <v>23</v>
      </c>
      <c r="E1946" s="4" t="s">
        <v>35</v>
      </c>
      <c r="F1946" s="4" t="s">
        <v>28</v>
      </c>
      <c r="G1946" s="4" t="s">
        <v>19</v>
      </c>
      <c r="H1946" s="4" t="s">
        <v>25</v>
      </c>
      <c r="I1946" s="4">
        <v>7</v>
      </c>
      <c r="J1946" s="5">
        <v>28</v>
      </c>
      <c r="K1946" s="6">
        <v>1.2</v>
      </c>
      <c r="L1946" s="4">
        <v>2</v>
      </c>
      <c r="M1946" s="4">
        <v>109</v>
      </c>
      <c r="N1946" s="4">
        <v>77</v>
      </c>
      <c r="O1946" s="4" t="s">
        <v>26</v>
      </c>
      <c r="P1946" s="7" t="s">
        <v>19</v>
      </c>
    </row>
    <row r="1947" spans="2:16" x14ac:dyDescent="0.45">
      <c r="B1947" s="4">
        <v>1946</v>
      </c>
      <c r="C1947" s="4" t="s">
        <v>43</v>
      </c>
      <c r="D1947" s="4" t="s">
        <v>23</v>
      </c>
      <c r="E1947" s="4" t="s">
        <v>17</v>
      </c>
      <c r="F1947" s="4" t="s">
        <v>24</v>
      </c>
      <c r="G1947" s="4" t="s">
        <v>30</v>
      </c>
      <c r="H1947" s="4" t="s">
        <v>32</v>
      </c>
      <c r="I1947" s="4">
        <v>6</v>
      </c>
      <c r="J1947" s="5">
        <v>23.7</v>
      </c>
      <c r="K1947" s="6">
        <v>1.06</v>
      </c>
      <c r="L1947" s="4">
        <v>1</v>
      </c>
      <c r="M1947" s="4">
        <v>113</v>
      </c>
      <c r="N1947" s="4">
        <v>162</v>
      </c>
      <c r="O1947" s="4" t="s">
        <v>26</v>
      </c>
      <c r="P1947" s="7" t="s">
        <v>19</v>
      </c>
    </row>
    <row r="1948" spans="2:16" x14ac:dyDescent="0.45">
      <c r="B1948" s="4">
        <v>1947</v>
      </c>
      <c r="C1948" s="4" t="s">
        <v>39</v>
      </c>
      <c r="D1948" s="4" t="s">
        <v>23</v>
      </c>
      <c r="E1948" s="4" t="s">
        <v>17</v>
      </c>
      <c r="F1948" s="4" t="s">
        <v>28</v>
      </c>
      <c r="G1948" s="4" t="s">
        <v>19</v>
      </c>
      <c r="H1948" s="4" t="s">
        <v>46</v>
      </c>
      <c r="I1948" s="4">
        <v>45</v>
      </c>
      <c r="J1948" s="5">
        <v>66.099999999999994</v>
      </c>
      <c r="K1948" s="6">
        <v>1.8</v>
      </c>
      <c r="L1948" s="4">
        <v>8</v>
      </c>
      <c r="M1948" s="4">
        <v>111</v>
      </c>
      <c r="N1948" s="4">
        <v>78</v>
      </c>
      <c r="O1948" s="4" t="s">
        <v>26</v>
      </c>
      <c r="P1948" s="7" t="s">
        <v>19</v>
      </c>
    </row>
    <row r="1949" spans="2:16" x14ac:dyDescent="0.45">
      <c r="B1949" s="4">
        <v>1948</v>
      </c>
      <c r="C1949" s="4" t="s">
        <v>40</v>
      </c>
      <c r="D1949" s="4" t="s">
        <v>16</v>
      </c>
      <c r="E1949" s="4" t="s">
        <v>35</v>
      </c>
      <c r="F1949" s="4" t="s">
        <v>24</v>
      </c>
      <c r="G1949" s="4" t="s">
        <v>19</v>
      </c>
      <c r="H1949" s="4" t="s">
        <v>20</v>
      </c>
      <c r="I1949" s="4">
        <v>29</v>
      </c>
      <c r="J1949" s="5">
        <v>84.5</v>
      </c>
      <c r="K1949" s="6">
        <v>1.57</v>
      </c>
      <c r="L1949" s="4">
        <v>3</v>
      </c>
      <c r="M1949" s="4">
        <v>101</v>
      </c>
      <c r="N1949" s="4">
        <v>95</v>
      </c>
      <c r="O1949" s="4" t="s">
        <v>26</v>
      </c>
      <c r="P1949" s="7" t="s">
        <v>19</v>
      </c>
    </row>
    <row r="1950" spans="2:16" x14ac:dyDescent="0.45">
      <c r="B1950" s="4">
        <v>1949</v>
      </c>
      <c r="C1950" s="4" t="s">
        <v>41</v>
      </c>
      <c r="D1950" s="4" t="s">
        <v>23</v>
      </c>
      <c r="E1950" s="4" t="s">
        <v>35</v>
      </c>
      <c r="F1950" s="4" t="s">
        <v>42</v>
      </c>
      <c r="G1950" s="4" t="s">
        <v>19</v>
      </c>
      <c r="H1950" s="4" t="s">
        <v>28</v>
      </c>
      <c r="I1950" s="4">
        <v>11</v>
      </c>
      <c r="J1950" s="5">
        <v>21.3</v>
      </c>
      <c r="K1950" s="6">
        <v>1.18</v>
      </c>
      <c r="L1950" s="4">
        <v>3</v>
      </c>
      <c r="M1950" s="4">
        <v>105</v>
      </c>
      <c r="N1950" s="4">
        <v>96</v>
      </c>
      <c r="O1950" s="4" t="s">
        <v>21</v>
      </c>
      <c r="P1950" s="7" t="s">
        <v>19</v>
      </c>
    </row>
    <row r="1951" spans="2:16" x14ac:dyDescent="0.45">
      <c r="B1951" s="4">
        <v>1950</v>
      </c>
      <c r="C1951" s="4" t="s">
        <v>22</v>
      </c>
      <c r="D1951" s="4" t="s">
        <v>16</v>
      </c>
      <c r="E1951" s="4" t="s">
        <v>35</v>
      </c>
      <c r="F1951" s="4" t="s">
        <v>24</v>
      </c>
      <c r="G1951" s="4" t="s">
        <v>19</v>
      </c>
      <c r="H1951" s="4" t="s">
        <v>38</v>
      </c>
      <c r="I1951" s="4">
        <v>18</v>
      </c>
      <c r="J1951" s="5">
        <v>67.8</v>
      </c>
      <c r="K1951" s="6">
        <v>1.55</v>
      </c>
      <c r="L1951" s="4">
        <v>2</v>
      </c>
      <c r="M1951" s="4">
        <v>104</v>
      </c>
      <c r="N1951" s="4">
        <v>71</v>
      </c>
      <c r="O1951" s="4" t="s">
        <v>21</v>
      </c>
      <c r="P1951" s="7" t="s">
        <v>19</v>
      </c>
    </row>
    <row r="1952" spans="2:16" x14ac:dyDescent="0.45">
      <c r="B1952" s="4">
        <v>1951</v>
      </c>
      <c r="C1952" s="4" t="s">
        <v>27</v>
      </c>
      <c r="D1952" s="4" t="s">
        <v>16</v>
      </c>
      <c r="E1952" s="4" t="s">
        <v>17</v>
      </c>
      <c r="F1952" s="4" t="s">
        <v>18</v>
      </c>
      <c r="G1952" s="4" t="s">
        <v>19</v>
      </c>
      <c r="H1952" s="4" t="s">
        <v>20</v>
      </c>
      <c r="I1952" s="4">
        <v>4</v>
      </c>
      <c r="J1952" s="5">
        <v>9.1</v>
      </c>
      <c r="K1952" s="6">
        <v>0.91</v>
      </c>
      <c r="L1952" s="4">
        <v>6</v>
      </c>
      <c r="M1952" s="4">
        <v>94</v>
      </c>
      <c r="N1952" s="4">
        <v>90</v>
      </c>
      <c r="O1952" s="4" t="s">
        <v>21</v>
      </c>
      <c r="P1952" s="7" t="s">
        <v>19</v>
      </c>
    </row>
    <row r="1953" spans="2:16" x14ac:dyDescent="0.45">
      <c r="B1953" s="4">
        <v>1952</v>
      </c>
      <c r="C1953" s="4" t="s">
        <v>22</v>
      </c>
      <c r="D1953" s="4" t="s">
        <v>23</v>
      </c>
      <c r="E1953" s="4" t="s">
        <v>35</v>
      </c>
      <c r="F1953" s="4" t="s">
        <v>24</v>
      </c>
      <c r="G1953" s="4" t="s">
        <v>19</v>
      </c>
      <c r="H1953" s="4" t="s">
        <v>20</v>
      </c>
      <c r="I1953" s="4">
        <v>18</v>
      </c>
      <c r="J1953" s="5">
        <v>59.9</v>
      </c>
      <c r="K1953" s="6">
        <v>1.61</v>
      </c>
      <c r="L1953" s="4">
        <v>4</v>
      </c>
      <c r="M1953" s="4">
        <v>99</v>
      </c>
      <c r="N1953" s="4">
        <v>71</v>
      </c>
      <c r="O1953" s="4" t="s">
        <v>21</v>
      </c>
      <c r="P1953" s="7" t="s">
        <v>19</v>
      </c>
    </row>
    <row r="1954" spans="2:16" x14ac:dyDescent="0.45">
      <c r="B1954" s="4">
        <v>1953</v>
      </c>
      <c r="C1954" s="4" t="s">
        <v>39</v>
      </c>
      <c r="D1954" s="4" t="s">
        <v>23</v>
      </c>
      <c r="E1954" s="4" t="s">
        <v>17</v>
      </c>
      <c r="F1954" s="4" t="s">
        <v>24</v>
      </c>
      <c r="G1954" s="4" t="s">
        <v>19</v>
      </c>
      <c r="H1954" s="4" t="s">
        <v>25</v>
      </c>
      <c r="I1954" s="4">
        <v>21</v>
      </c>
      <c r="J1954" s="5">
        <v>47.3</v>
      </c>
      <c r="K1954" s="6">
        <v>1.59</v>
      </c>
      <c r="L1954" s="4">
        <v>0</v>
      </c>
      <c r="M1954" s="4">
        <v>118</v>
      </c>
      <c r="N1954" s="4">
        <v>88</v>
      </c>
      <c r="O1954" s="4" t="s">
        <v>26</v>
      </c>
      <c r="P1954" s="7" t="s">
        <v>30</v>
      </c>
    </row>
    <row r="1955" spans="2:16" x14ac:dyDescent="0.45">
      <c r="B1955" s="4">
        <v>1954</v>
      </c>
      <c r="C1955" s="4" t="s">
        <v>22</v>
      </c>
      <c r="D1955" s="4" t="s">
        <v>16</v>
      </c>
      <c r="E1955" s="4" t="s">
        <v>17</v>
      </c>
      <c r="F1955" s="4" t="s">
        <v>24</v>
      </c>
      <c r="G1955" s="4" t="s">
        <v>19</v>
      </c>
      <c r="H1955" s="4" t="s">
        <v>38</v>
      </c>
      <c r="I1955" s="4">
        <v>11</v>
      </c>
      <c r="J1955" s="5">
        <v>36.6</v>
      </c>
      <c r="K1955" s="6">
        <v>1.32</v>
      </c>
      <c r="L1955" s="4">
        <v>1</v>
      </c>
      <c r="M1955" s="4">
        <v>116</v>
      </c>
      <c r="N1955" s="4">
        <v>103</v>
      </c>
      <c r="O1955" s="4" t="s">
        <v>26</v>
      </c>
      <c r="P1955" s="7" t="s">
        <v>19</v>
      </c>
    </row>
    <row r="1956" spans="2:16" x14ac:dyDescent="0.45">
      <c r="B1956" s="4">
        <v>1955</v>
      </c>
      <c r="C1956" s="4" t="s">
        <v>27</v>
      </c>
      <c r="D1956" s="4" t="s">
        <v>16</v>
      </c>
      <c r="E1956" s="4" t="s">
        <v>35</v>
      </c>
      <c r="F1956" s="4" t="s">
        <v>18</v>
      </c>
      <c r="G1956" s="4" t="s">
        <v>19</v>
      </c>
      <c r="H1956" s="4" t="s">
        <v>28</v>
      </c>
      <c r="I1956" s="4">
        <v>7</v>
      </c>
      <c r="J1956" s="5">
        <v>34.700000000000003</v>
      </c>
      <c r="K1956" s="6">
        <v>1.0900000000000001</v>
      </c>
      <c r="L1956" s="4">
        <v>0</v>
      </c>
      <c r="M1956" s="4">
        <v>97</v>
      </c>
      <c r="N1956" s="4">
        <v>92</v>
      </c>
      <c r="O1956" s="4" t="s">
        <v>26</v>
      </c>
      <c r="P1956" s="7" t="s">
        <v>19</v>
      </c>
    </row>
    <row r="1957" spans="2:16" x14ac:dyDescent="0.45">
      <c r="B1957" s="4">
        <v>1956</v>
      </c>
      <c r="C1957" s="4" t="s">
        <v>33</v>
      </c>
      <c r="D1957" s="4" t="s">
        <v>23</v>
      </c>
      <c r="E1957" s="4" t="s">
        <v>17</v>
      </c>
      <c r="F1957" s="4" t="s">
        <v>42</v>
      </c>
      <c r="G1957" s="4" t="s">
        <v>30</v>
      </c>
      <c r="H1957" s="4" t="s">
        <v>20</v>
      </c>
      <c r="I1957" s="4">
        <v>33</v>
      </c>
      <c r="J1957" s="5">
        <v>57.2</v>
      </c>
      <c r="K1957" s="6">
        <v>1.58</v>
      </c>
      <c r="L1957" s="4">
        <v>5</v>
      </c>
      <c r="M1957" s="4">
        <v>101</v>
      </c>
      <c r="N1957" s="4">
        <v>88</v>
      </c>
      <c r="O1957" s="4" t="s">
        <v>26</v>
      </c>
      <c r="P1957" s="7" t="s">
        <v>19</v>
      </c>
    </row>
    <row r="1958" spans="2:16" x14ac:dyDescent="0.45">
      <c r="B1958" s="4">
        <v>1957</v>
      </c>
      <c r="C1958" s="4" t="s">
        <v>45</v>
      </c>
      <c r="D1958" s="4" t="s">
        <v>23</v>
      </c>
      <c r="E1958" s="4" t="s">
        <v>17</v>
      </c>
      <c r="F1958" s="4" t="s">
        <v>24</v>
      </c>
      <c r="G1958" s="4" t="s">
        <v>19</v>
      </c>
      <c r="H1958" s="4" t="s">
        <v>38</v>
      </c>
      <c r="I1958" s="4">
        <v>6</v>
      </c>
      <c r="J1958" s="5">
        <v>30.2</v>
      </c>
      <c r="K1958" s="6">
        <v>1.29</v>
      </c>
      <c r="L1958" s="4">
        <v>3</v>
      </c>
      <c r="M1958" s="4">
        <v>116</v>
      </c>
      <c r="N1958" s="4">
        <v>87</v>
      </c>
      <c r="O1958" s="4" t="s">
        <v>26</v>
      </c>
      <c r="P1958" s="7" t="s">
        <v>30</v>
      </c>
    </row>
    <row r="1959" spans="2:16" x14ac:dyDescent="0.45">
      <c r="B1959" s="4">
        <v>1958</v>
      </c>
      <c r="C1959" s="4" t="s">
        <v>15</v>
      </c>
      <c r="D1959" s="4" t="s">
        <v>16</v>
      </c>
      <c r="E1959" s="4" t="s">
        <v>17</v>
      </c>
      <c r="F1959" s="4" t="s">
        <v>42</v>
      </c>
      <c r="G1959" s="4" t="s">
        <v>30</v>
      </c>
      <c r="H1959" s="4" t="s">
        <v>20</v>
      </c>
      <c r="I1959" s="4">
        <v>63</v>
      </c>
      <c r="J1959" s="5">
        <v>56.8</v>
      </c>
      <c r="K1959" s="6">
        <v>1.53</v>
      </c>
      <c r="L1959" s="4">
        <v>2</v>
      </c>
      <c r="M1959" s="4">
        <v>110</v>
      </c>
      <c r="N1959" s="4">
        <v>72</v>
      </c>
      <c r="O1959" s="4" t="s">
        <v>21</v>
      </c>
      <c r="P1959" s="7" t="s">
        <v>19</v>
      </c>
    </row>
    <row r="1960" spans="2:16" x14ac:dyDescent="0.45">
      <c r="B1960" s="4">
        <v>1959</v>
      </c>
      <c r="C1960" s="4" t="s">
        <v>22</v>
      </c>
      <c r="D1960" s="4" t="s">
        <v>23</v>
      </c>
      <c r="E1960" s="4" t="s">
        <v>35</v>
      </c>
      <c r="F1960" s="4" t="s">
        <v>28</v>
      </c>
      <c r="G1960" s="4" t="s">
        <v>19</v>
      </c>
      <c r="H1960" s="4" t="s">
        <v>34</v>
      </c>
      <c r="I1960" s="4">
        <v>32</v>
      </c>
      <c r="J1960" s="5">
        <v>53.2</v>
      </c>
      <c r="K1960" s="6">
        <v>1.79</v>
      </c>
      <c r="L1960" s="4">
        <v>2</v>
      </c>
      <c r="M1960" s="4">
        <v>111</v>
      </c>
      <c r="N1960" s="4">
        <v>76</v>
      </c>
      <c r="O1960" s="4" t="s">
        <v>21</v>
      </c>
      <c r="P1960" s="7" t="s">
        <v>30</v>
      </c>
    </row>
    <row r="1961" spans="2:16" x14ac:dyDescent="0.45">
      <c r="B1961" s="4">
        <v>1960</v>
      </c>
      <c r="C1961" s="4" t="s">
        <v>40</v>
      </c>
      <c r="D1961" s="4" t="s">
        <v>16</v>
      </c>
      <c r="E1961" s="4" t="s">
        <v>17</v>
      </c>
      <c r="F1961" s="4" t="s">
        <v>24</v>
      </c>
      <c r="G1961" s="4" t="s">
        <v>30</v>
      </c>
      <c r="H1961" s="4" t="s">
        <v>20</v>
      </c>
      <c r="I1961" s="4">
        <v>20</v>
      </c>
      <c r="J1961" s="5">
        <v>45.2</v>
      </c>
      <c r="K1961" s="6">
        <v>1.89</v>
      </c>
      <c r="L1961" s="4">
        <v>4</v>
      </c>
      <c r="M1961" s="4">
        <v>110</v>
      </c>
      <c r="N1961" s="4">
        <v>74</v>
      </c>
      <c r="O1961" s="4" t="s">
        <v>21</v>
      </c>
      <c r="P1961" s="7" t="s">
        <v>30</v>
      </c>
    </row>
    <row r="1962" spans="2:16" x14ac:dyDescent="0.45">
      <c r="B1962" s="4">
        <v>1961</v>
      </c>
      <c r="C1962" s="4" t="s">
        <v>43</v>
      </c>
      <c r="D1962" s="4" t="s">
        <v>16</v>
      </c>
      <c r="E1962" s="4" t="s">
        <v>17</v>
      </c>
      <c r="F1962" s="4" t="s">
        <v>18</v>
      </c>
      <c r="G1962" s="4" t="s">
        <v>19</v>
      </c>
      <c r="H1962" s="4" t="s">
        <v>34</v>
      </c>
      <c r="I1962" s="4">
        <v>8</v>
      </c>
      <c r="J1962" s="5">
        <v>36.799999999999997</v>
      </c>
      <c r="K1962" s="6">
        <v>1.1499999999999999</v>
      </c>
      <c r="L1962" s="4">
        <v>5</v>
      </c>
      <c r="M1962" s="4">
        <v>102</v>
      </c>
      <c r="N1962" s="4">
        <v>79</v>
      </c>
      <c r="O1962" s="4" t="s">
        <v>26</v>
      </c>
      <c r="P1962" s="7" t="s">
        <v>19</v>
      </c>
    </row>
    <row r="1963" spans="2:16" x14ac:dyDescent="0.45">
      <c r="B1963" s="4">
        <v>1962</v>
      </c>
      <c r="C1963" s="4" t="s">
        <v>15</v>
      </c>
      <c r="D1963" s="4" t="s">
        <v>23</v>
      </c>
      <c r="E1963" s="4" t="s">
        <v>17</v>
      </c>
      <c r="F1963" s="4" t="s">
        <v>24</v>
      </c>
      <c r="G1963" s="4" t="s">
        <v>30</v>
      </c>
      <c r="H1963" s="4" t="s">
        <v>36</v>
      </c>
      <c r="I1963" s="4">
        <v>0</v>
      </c>
      <c r="J1963" s="5">
        <v>12.6</v>
      </c>
      <c r="K1963" s="6">
        <v>0.71</v>
      </c>
      <c r="L1963" s="4">
        <v>0</v>
      </c>
      <c r="M1963" s="4">
        <v>134</v>
      </c>
      <c r="N1963" s="4">
        <v>85</v>
      </c>
      <c r="O1963" s="4" t="s">
        <v>21</v>
      </c>
      <c r="P1963" s="7" t="s">
        <v>30</v>
      </c>
    </row>
    <row r="1964" spans="2:16" x14ac:dyDescent="0.45">
      <c r="B1964" s="4">
        <v>1963</v>
      </c>
      <c r="C1964" s="4" t="s">
        <v>22</v>
      </c>
      <c r="D1964" s="4" t="s">
        <v>23</v>
      </c>
      <c r="E1964" s="4" t="s">
        <v>17</v>
      </c>
      <c r="F1964" s="4" t="s">
        <v>24</v>
      </c>
      <c r="G1964" s="4" t="s">
        <v>30</v>
      </c>
      <c r="H1964" s="4" t="s">
        <v>25</v>
      </c>
      <c r="I1964" s="4">
        <v>64</v>
      </c>
      <c r="J1964" s="5">
        <v>58.7</v>
      </c>
      <c r="K1964" s="6">
        <v>1.72</v>
      </c>
      <c r="L1964" s="4">
        <v>8</v>
      </c>
      <c r="M1964" s="4">
        <v>117</v>
      </c>
      <c r="N1964" s="4">
        <v>94</v>
      </c>
      <c r="O1964" s="4" t="s">
        <v>26</v>
      </c>
      <c r="P1964" s="7" t="s">
        <v>30</v>
      </c>
    </row>
    <row r="1965" spans="2:16" x14ac:dyDescent="0.45">
      <c r="B1965" s="4">
        <v>1964</v>
      </c>
      <c r="C1965" s="4" t="s">
        <v>41</v>
      </c>
      <c r="D1965" s="4" t="s">
        <v>16</v>
      </c>
      <c r="E1965" s="4" t="s">
        <v>35</v>
      </c>
      <c r="F1965" s="4" t="s">
        <v>28</v>
      </c>
      <c r="G1965" s="4" t="s">
        <v>19</v>
      </c>
      <c r="H1965" s="4" t="s">
        <v>20</v>
      </c>
      <c r="I1965" s="4">
        <v>51</v>
      </c>
      <c r="J1965" s="5">
        <v>56</v>
      </c>
      <c r="K1965" s="6">
        <v>1.48</v>
      </c>
      <c r="L1965" s="4">
        <v>0</v>
      </c>
      <c r="M1965" s="4">
        <v>113</v>
      </c>
      <c r="N1965" s="4">
        <v>82</v>
      </c>
      <c r="O1965" s="4" t="s">
        <v>26</v>
      </c>
      <c r="P1965" s="7" t="s">
        <v>30</v>
      </c>
    </row>
    <row r="1966" spans="2:16" x14ac:dyDescent="0.45">
      <c r="B1966" s="4">
        <v>1965</v>
      </c>
      <c r="C1966" s="4" t="s">
        <v>41</v>
      </c>
      <c r="D1966" s="4" t="s">
        <v>16</v>
      </c>
      <c r="E1966" s="4" t="s">
        <v>17</v>
      </c>
      <c r="F1966" s="4" t="s">
        <v>24</v>
      </c>
      <c r="G1966" s="4" t="s">
        <v>30</v>
      </c>
      <c r="H1966" s="4" t="s">
        <v>20</v>
      </c>
      <c r="I1966" s="4">
        <v>21</v>
      </c>
      <c r="J1966" s="5">
        <v>88.2</v>
      </c>
      <c r="K1966" s="6">
        <v>1.54</v>
      </c>
      <c r="L1966" s="4">
        <v>1</v>
      </c>
      <c r="M1966" s="4">
        <v>113</v>
      </c>
      <c r="N1966" s="4">
        <v>77</v>
      </c>
      <c r="O1966" s="4" t="s">
        <v>21</v>
      </c>
      <c r="P1966" s="7" t="s">
        <v>30</v>
      </c>
    </row>
    <row r="1967" spans="2:16" x14ac:dyDescent="0.45">
      <c r="B1967" s="4">
        <v>1966</v>
      </c>
      <c r="C1967" s="4" t="s">
        <v>39</v>
      </c>
      <c r="D1967" s="4" t="s">
        <v>23</v>
      </c>
      <c r="E1967" s="4" t="s">
        <v>35</v>
      </c>
      <c r="F1967" s="4" t="s">
        <v>18</v>
      </c>
      <c r="G1967" s="4" t="s">
        <v>19</v>
      </c>
      <c r="H1967" s="4" t="s">
        <v>32</v>
      </c>
      <c r="I1967" s="4">
        <v>29</v>
      </c>
      <c r="J1967" s="5">
        <v>49.2</v>
      </c>
      <c r="K1967" s="6">
        <v>1.83</v>
      </c>
      <c r="L1967" s="4">
        <v>3</v>
      </c>
      <c r="M1967" s="4">
        <v>115</v>
      </c>
      <c r="N1967" s="4">
        <v>125</v>
      </c>
      <c r="O1967" s="4" t="s">
        <v>26</v>
      </c>
      <c r="P1967" s="7" t="s">
        <v>19</v>
      </c>
    </row>
    <row r="1968" spans="2:16" x14ac:dyDescent="0.45">
      <c r="B1968" s="4">
        <v>1967</v>
      </c>
      <c r="C1968" s="4" t="s">
        <v>31</v>
      </c>
      <c r="D1968" s="4" t="s">
        <v>16</v>
      </c>
      <c r="E1968" s="4" t="s">
        <v>17</v>
      </c>
      <c r="F1968" s="4" t="s">
        <v>18</v>
      </c>
      <c r="G1968" s="4" t="s">
        <v>19</v>
      </c>
      <c r="H1968" s="4" t="s">
        <v>36</v>
      </c>
      <c r="I1968" s="4">
        <v>1</v>
      </c>
      <c r="J1968" s="5">
        <v>7.4</v>
      </c>
      <c r="K1968" s="6">
        <v>0.87</v>
      </c>
      <c r="L1968" s="4">
        <v>3</v>
      </c>
      <c r="M1968" s="4">
        <v>130</v>
      </c>
      <c r="N1968" s="4">
        <v>102</v>
      </c>
      <c r="O1968" s="4" t="s">
        <v>21</v>
      </c>
      <c r="P1968" s="7" t="s">
        <v>19</v>
      </c>
    </row>
    <row r="1969" spans="2:16" x14ac:dyDescent="0.45">
      <c r="B1969" s="4">
        <v>1968</v>
      </c>
      <c r="C1969" s="4" t="s">
        <v>40</v>
      </c>
      <c r="D1969" s="4" t="s">
        <v>16</v>
      </c>
      <c r="E1969" s="4" t="s">
        <v>35</v>
      </c>
      <c r="F1969" s="4" t="s">
        <v>24</v>
      </c>
      <c r="G1969" s="4" t="s">
        <v>30</v>
      </c>
      <c r="H1969" s="4" t="s">
        <v>20</v>
      </c>
      <c r="I1969" s="4">
        <v>20</v>
      </c>
      <c r="J1969" s="5">
        <v>74.2</v>
      </c>
      <c r="K1969" s="6">
        <v>1.54</v>
      </c>
      <c r="L1969" s="4">
        <v>10</v>
      </c>
      <c r="M1969" s="4">
        <v>118</v>
      </c>
      <c r="N1969" s="4">
        <v>100</v>
      </c>
      <c r="O1969" s="4" t="s">
        <v>26</v>
      </c>
      <c r="P1969" s="7" t="s">
        <v>19</v>
      </c>
    </row>
    <row r="1970" spans="2:16" x14ac:dyDescent="0.45">
      <c r="B1970" s="4">
        <v>1969</v>
      </c>
      <c r="C1970" s="4" t="s">
        <v>40</v>
      </c>
      <c r="D1970" s="4" t="s">
        <v>16</v>
      </c>
      <c r="E1970" s="4" t="s">
        <v>37</v>
      </c>
      <c r="F1970" s="4" t="s">
        <v>18</v>
      </c>
      <c r="G1970" s="4" t="s">
        <v>19</v>
      </c>
      <c r="H1970" s="4" t="s">
        <v>28</v>
      </c>
      <c r="I1970" s="4">
        <v>73</v>
      </c>
      <c r="J1970" s="5">
        <v>73.900000000000006</v>
      </c>
      <c r="K1970" s="6">
        <v>1.7</v>
      </c>
      <c r="L1970" s="4">
        <v>1</v>
      </c>
      <c r="M1970" s="4">
        <v>127</v>
      </c>
      <c r="N1970" s="4">
        <v>93</v>
      </c>
      <c r="O1970" s="4" t="s">
        <v>26</v>
      </c>
      <c r="P1970" s="7" t="s">
        <v>19</v>
      </c>
    </row>
    <row r="1971" spans="2:16" x14ac:dyDescent="0.45">
      <c r="B1971" s="4">
        <v>1970</v>
      </c>
      <c r="C1971" s="4" t="s">
        <v>41</v>
      </c>
      <c r="D1971" s="4" t="s">
        <v>16</v>
      </c>
      <c r="E1971" s="4" t="s">
        <v>35</v>
      </c>
      <c r="F1971" s="4" t="s">
        <v>18</v>
      </c>
      <c r="G1971" s="4" t="s">
        <v>19</v>
      </c>
      <c r="H1971" s="4" t="s">
        <v>20</v>
      </c>
      <c r="I1971" s="4">
        <v>15</v>
      </c>
      <c r="J1971" s="5">
        <v>51.9</v>
      </c>
      <c r="K1971" s="6">
        <v>1.61</v>
      </c>
      <c r="L1971" s="4">
        <v>7</v>
      </c>
      <c r="M1971" s="4">
        <v>101</v>
      </c>
      <c r="N1971" s="4">
        <v>71</v>
      </c>
      <c r="O1971" s="4" t="s">
        <v>26</v>
      </c>
      <c r="P1971" s="7" t="s">
        <v>19</v>
      </c>
    </row>
    <row r="1972" spans="2:16" x14ac:dyDescent="0.45">
      <c r="B1972" s="4">
        <v>1971</v>
      </c>
      <c r="C1972" s="4" t="s">
        <v>33</v>
      </c>
      <c r="D1972" s="4" t="s">
        <v>16</v>
      </c>
      <c r="E1972" s="4" t="s">
        <v>35</v>
      </c>
      <c r="F1972" s="4" t="s">
        <v>28</v>
      </c>
      <c r="G1972" s="4" t="s">
        <v>19</v>
      </c>
      <c r="H1972" s="4" t="s">
        <v>20</v>
      </c>
      <c r="I1972" s="4">
        <v>39</v>
      </c>
      <c r="J1972" s="5">
        <v>65.099999999999994</v>
      </c>
      <c r="K1972" s="6">
        <v>1.55</v>
      </c>
      <c r="L1972" s="4">
        <v>5</v>
      </c>
      <c r="M1972" s="4">
        <v>127</v>
      </c>
      <c r="N1972" s="4">
        <v>83</v>
      </c>
      <c r="O1972" s="4" t="s">
        <v>26</v>
      </c>
      <c r="P1972" s="7" t="s">
        <v>30</v>
      </c>
    </row>
    <row r="1973" spans="2:16" x14ac:dyDescent="0.45">
      <c r="B1973" s="4">
        <v>1972</v>
      </c>
      <c r="C1973" s="4" t="s">
        <v>41</v>
      </c>
      <c r="D1973" s="4" t="s">
        <v>23</v>
      </c>
      <c r="E1973" s="4" t="s">
        <v>44</v>
      </c>
      <c r="F1973" s="4" t="s">
        <v>24</v>
      </c>
      <c r="G1973" s="4" t="s">
        <v>30</v>
      </c>
      <c r="H1973" s="4" t="s">
        <v>34</v>
      </c>
      <c r="I1973" s="4">
        <v>11</v>
      </c>
      <c r="J1973" s="5">
        <v>21.5</v>
      </c>
      <c r="K1973" s="6">
        <v>1.19</v>
      </c>
      <c r="L1973" s="4">
        <v>1</v>
      </c>
      <c r="M1973" s="4">
        <v>106</v>
      </c>
      <c r="N1973" s="4">
        <v>101</v>
      </c>
      <c r="O1973" s="4" t="s">
        <v>21</v>
      </c>
      <c r="P1973" s="7" t="s">
        <v>19</v>
      </c>
    </row>
    <row r="1974" spans="2:16" x14ac:dyDescent="0.45">
      <c r="B1974" s="4">
        <v>1973</v>
      </c>
      <c r="C1974" s="4" t="s">
        <v>40</v>
      </c>
      <c r="D1974" s="4" t="s">
        <v>16</v>
      </c>
      <c r="E1974" s="4" t="s">
        <v>37</v>
      </c>
      <c r="F1974" s="4" t="s">
        <v>18</v>
      </c>
      <c r="G1974" s="4" t="s">
        <v>30</v>
      </c>
      <c r="H1974" s="4" t="s">
        <v>25</v>
      </c>
      <c r="I1974" s="4">
        <v>13</v>
      </c>
      <c r="J1974" s="5">
        <v>64.8</v>
      </c>
      <c r="K1974" s="6">
        <v>1.62</v>
      </c>
      <c r="L1974" s="4">
        <v>4</v>
      </c>
      <c r="M1974" s="4">
        <v>101</v>
      </c>
      <c r="N1974" s="4">
        <v>79</v>
      </c>
      <c r="O1974" s="4" t="s">
        <v>21</v>
      </c>
      <c r="P1974" s="7" t="s">
        <v>19</v>
      </c>
    </row>
    <row r="1975" spans="2:16" x14ac:dyDescent="0.45">
      <c r="B1975" s="4">
        <v>1974</v>
      </c>
      <c r="C1975" s="4" t="s">
        <v>39</v>
      </c>
      <c r="D1975" s="4" t="s">
        <v>16</v>
      </c>
      <c r="E1975" s="4" t="s">
        <v>17</v>
      </c>
      <c r="F1975" s="4" t="s">
        <v>18</v>
      </c>
      <c r="G1975" s="4" t="s">
        <v>19</v>
      </c>
      <c r="H1975" s="4" t="s">
        <v>34</v>
      </c>
      <c r="I1975" s="4">
        <v>0</v>
      </c>
      <c r="J1975" s="5">
        <v>12</v>
      </c>
      <c r="K1975" s="6">
        <v>0.67</v>
      </c>
      <c r="L1975" s="4">
        <v>3</v>
      </c>
      <c r="M1975" s="4">
        <v>96</v>
      </c>
      <c r="N1975" s="4">
        <v>104</v>
      </c>
      <c r="O1975" s="4" t="s">
        <v>26</v>
      </c>
      <c r="P1975" s="7" t="s">
        <v>19</v>
      </c>
    </row>
    <row r="1976" spans="2:16" x14ac:dyDescent="0.45">
      <c r="B1976" s="4">
        <v>1975</v>
      </c>
      <c r="C1976" s="4" t="s">
        <v>31</v>
      </c>
      <c r="D1976" s="4" t="s">
        <v>16</v>
      </c>
      <c r="E1976" s="4" t="s">
        <v>17</v>
      </c>
      <c r="F1976" s="4" t="s">
        <v>18</v>
      </c>
      <c r="G1976" s="4" t="s">
        <v>19</v>
      </c>
      <c r="H1976" s="4" t="s">
        <v>36</v>
      </c>
      <c r="I1976" s="4">
        <v>9</v>
      </c>
      <c r="J1976" s="5">
        <v>35.4</v>
      </c>
      <c r="K1976" s="6">
        <v>1.44</v>
      </c>
      <c r="L1976" s="4">
        <v>1</v>
      </c>
      <c r="M1976" s="4">
        <v>131</v>
      </c>
      <c r="N1976" s="4">
        <v>99</v>
      </c>
      <c r="O1976" s="4" t="s">
        <v>26</v>
      </c>
      <c r="P1976" s="7" t="s">
        <v>19</v>
      </c>
    </row>
    <row r="1977" spans="2:16" x14ac:dyDescent="0.45">
      <c r="B1977" s="4">
        <v>1976</v>
      </c>
      <c r="C1977" s="4" t="s">
        <v>27</v>
      </c>
      <c r="D1977" s="4" t="s">
        <v>16</v>
      </c>
      <c r="E1977" s="4" t="s">
        <v>44</v>
      </c>
      <c r="F1977" s="4" t="s">
        <v>24</v>
      </c>
      <c r="G1977" s="4" t="s">
        <v>19</v>
      </c>
      <c r="H1977" s="4" t="s">
        <v>25</v>
      </c>
      <c r="I1977" s="4">
        <v>6</v>
      </c>
      <c r="J1977" s="5">
        <v>21.1</v>
      </c>
      <c r="K1977" s="6">
        <v>1.35</v>
      </c>
      <c r="L1977" s="4">
        <v>2</v>
      </c>
      <c r="M1977" s="4">
        <v>104</v>
      </c>
      <c r="N1977" s="4">
        <v>71</v>
      </c>
      <c r="O1977" s="4" t="s">
        <v>26</v>
      </c>
      <c r="P1977" s="7" t="s">
        <v>30</v>
      </c>
    </row>
    <row r="1978" spans="2:16" x14ac:dyDescent="0.45">
      <c r="B1978" s="4">
        <v>1977</v>
      </c>
      <c r="C1978" s="4" t="s">
        <v>45</v>
      </c>
      <c r="D1978" s="4" t="s">
        <v>16</v>
      </c>
      <c r="E1978" s="4" t="s">
        <v>17</v>
      </c>
      <c r="F1978" s="4" t="s">
        <v>18</v>
      </c>
      <c r="G1978" s="4" t="s">
        <v>19</v>
      </c>
      <c r="H1978" s="4" t="s">
        <v>28</v>
      </c>
      <c r="I1978" s="4">
        <v>14</v>
      </c>
      <c r="J1978" s="5">
        <v>60.1</v>
      </c>
      <c r="K1978" s="6">
        <v>1.45</v>
      </c>
      <c r="L1978" s="4">
        <v>9</v>
      </c>
      <c r="M1978" s="4">
        <v>110</v>
      </c>
      <c r="N1978" s="4">
        <v>74</v>
      </c>
      <c r="O1978" s="4" t="s">
        <v>26</v>
      </c>
      <c r="P1978" s="7" t="s">
        <v>30</v>
      </c>
    </row>
    <row r="1979" spans="2:16" x14ac:dyDescent="0.45">
      <c r="B1979" s="4">
        <v>1978</v>
      </c>
      <c r="C1979" s="4" t="s">
        <v>27</v>
      </c>
      <c r="D1979" s="4" t="s">
        <v>23</v>
      </c>
      <c r="E1979" s="4" t="s">
        <v>44</v>
      </c>
      <c r="F1979" s="4" t="s">
        <v>24</v>
      </c>
      <c r="G1979" s="4" t="s">
        <v>19</v>
      </c>
      <c r="H1979" s="4" t="s">
        <v>25</v>
      </c>
      <c r="I1979" s="4">
        <v>22</v>
      </c>
      <c r="J1979" s="5">
        <v>74</v>
      </c>
      <c r="K1979" s="6">
        <v>1.82</v>
      </c>
      <c r="L1979" s="4">
        <v>4</v>
      </c>
      <c r="M1979" s="4">
        <v>108</v>
      </c>
      <c r="N1979" s="4">
        <v>102</v>
      </c>
      <c r="O1979" s="4" t="s">
        <v>26</v>
      </c>
      <c r="P1979" s="7" t="s">
        <v>19</v>
      </c>
    </row>
    <row r="1980" spans="2:16" x14ac:dyDescent="0.45">
      <c r="B1980" s="4">
        <v>1979</v>
      </c>
      <c r="C1980" s="4" t="s">
        <v>40</v>
      </c>
      <c r="D1980" s="4" t="s">
        <v>16</v>
      </c>
      <c r="E1980" s="4" t="s">
        <v>17</v>
      </c>
      <c r="F1980" s="4" t="s">
        <v>24</v>
      </c>
      <c r="G1980" s="4" t="s">
        <v>19</v>
      </c>
      <c r="H1980" s="4" t="s">
        <v>28</v>
      </c>
      <c r="I1980" s="4">
        <v>30</v>
      </c>
      <c r="J1980" s="5">
        <v>58</v>
      </c>
      <c r="K1980" s="6">
        <v>1.52</v>
      </c>
      <c r="L1980" s="4">
        <v>2</v>
      </c>
      <c r="M1980" s="4">
        <v>124</v>
      </c>
      <c r="N1980" s="4">
        <v>92</v>
      </c>
      <c r="O1980" s="4" t="s">
        <v>21</v>
      </c>
      <c r="P1980" s="7" t="s">
        <v>19</v>
      </c>
    </row>
    <row r="1981" spans="2:16" x14ac:dyDescent="0.45">
      <c r="B1981" s="4">
        <v>1980</v>
      </c>
      <c r="C1981" s="4" t="s">
        <v>27</v>
      </c>
      <c r="D1981" s="4" t="s">
        <v>23</v>
      </c>
      <c r="E1981" s="4" t="s">
        <v>17</v>
      </c>
      <c r="F1981" s="4" t="s">
        <v>18</v>
      </c>
      <c r="G1981" s="4" t="s">
        <v>19</v>
      </c>
      <c r="H1981" s="4" t="s">
        <v>25</v>
      </c>
      <c r="I1981" s="4">
        <v>20</v>
      </c>
      <c r="J1981" s="5">
        <v>51.1</v>
      </c>
      <c r="K1981" s="6">
        <v>1.7</v>
      </c>
      <c r="L1981" s="4">
        <v>5</v>
      </c>
      <c r="M1981" s="4">
        <v>109</v>
      </c>
      <c r="N1981" s="4">
        <v>86</v>
      </c>
      <c r="O1981" s="4" t="s">
        <v>21</v>
      </c>
      <c r="P1981" s="7" t="s">
        <v>30</v>
      </c>
    </row>
    <row r="1982" spans="2:16" x14ac:dyDescent="0.45">
      <c r="B1982" s="4">
        <v>1981</v>
      </c>
      <c r="C1982" s="4" t="s">
        <v>40</v>
      </c>
      <c r="D1982" s="4" t="s">
        <v>23</v>
      </c>
      <c r="E1982" s="4" t="s">
        <v>35</v>
      </c>
      <c r="F1982" s="4" t="s">
        <v>42</v>
      </c>
      <c r="G1982" s="4" t="s">
        <v>30</v>
      </c>
      <c r="H1982" s="4" t="s">
        <v>20</v>
      </c>
      <c r="I1982" s="4">
        <v>17</v>
      </c>
      <c r="J1982" s="5">
        <v>61.9</v>
      </c>
      <c r="K1982" s="6">
        <v>1.6</v>
      </c>
      <c r="L1982" s="4">
        <v>1</v>
      </c>
      <c r="M1982" s="4">
        <v>110</v>
      </c>
      <c r="N1982" s="4">
        <v>100</v>
      </c>
      <c r="O1982" s="4" t="s">
        <v>26</v>
      </c>
      <c r="P1982" s="7" t="s">
        <v>19</v>
      </c>
    </row>
    <row r="1983" spans="2:16" x14ac:dyDescent="0.45">
      <c r="B1983" s="4">
        <v>1982</v>
      </c>
      <c r="C1983" s="4" t="s">
        <v>15</v>
      </c>
      <c r="D1983" s="4" t="s">
        <v>23</v>
      </c>
      <c r="E1983" s="4" t="s">
        <v>17</v>
      </c>
      <c r="F1983" s="4" t="s">
        <v>18</v>
      </c>
      <c r="G1983" s="4" t="s">
        <v>19</v>
      </c>
      <c r="H1983" s="4" t="s">
        <v>46</v>
      </c>
      <c r="I1983" s="4">
        <v>15</v>
      </c>
      <c r="J1983" s="5">
        <v>61.1</v>
      </c>
      <c r="K1983" s="6">
        <v>1.65</v>
      </c>
      <c r="L1983" s="4">
        <v>0</v>
      </c>
      <c r="M1983" s="4">
        <v>106</v>
      </c>
      <c r="N1983" s="4">
        <v>102</v>
      </c>
      <c r="O1983" s="4" t="s">
        <v>26</v>
      </c>
      <c r="P1983" s="7" t="s">
        <v>19</v>
      </c>
    </row>
    <row r="1984" spans="2:16" x14ac:dyDescent="0.45">
      <c r="B1984" s="4">
        <v>1983</v>
      </c>
      <c r="C1984" s="4" t="s">
        <v>41</v>
      </c>
      <c r="D1984" s="4" t="s">
        <v>16</v>
      </c>
      <c r="E1984" s="4" t="s">
        <v>17</v>
      </c>
      <c r="F1984" s="4" t="s">
        <v>24</v>
      </c>
      <c r="G1984" s="4" t="s">
        <v>19</v>
      </c>
      <c r="H1984" s="4" t="s">
        <v>34</v>
      </c>
      <c r="I1984" s="4">
        <v>35</v>
      </c>
      <c r="J1984" s="5">
        <v>55.1</v>
      </c>
      <c r="K1984" s="6">
        <v>1.81</v>
      </c>
      <c r="L1984" s="4">
        <v>4</v>
      </c>
      <c r="M1984" s="4">
        <v>107</v>
      </c>
      <c r="N1984" s="4">
        <v>97</v>
      </c>
      <c r="O1984" s="4" t="s">
        <v>21</v>
      </c>
      <c r="P1984" s="7" t="s">
        <v>30</v>
      </c>
    </row>
    <row r="1985" spans="2:16" x14ac:dyDescent="0.45">
      <c r="B1985" s="4">
        <v>1984</v>
      </c>
      <c r="C1985" s="4" t="s">
        <v>39</v>
      </c>
      <c r="D1985" s="4" t="s">
        <v>16</v>
      </c>
      <c r="E1985" s="4" t="s">
        <v>17</v>
      </c>
      <c r="F1985" s="4" t="s">
        <v>28</v>
      </c>
      <c r="G1985" s="4" t="s">
        <v>19</v>
      </c>
      <c r="H1985" s="4" t="s">
        <v>36</v>
      </c>
      <c r="I1985" s="4">
        <v>17</v>
      </c>
      <c r="J1985" s="5">
        <v>42.1</v>
      </c>
      <c r="K1985" s="6">
        <v>1.47</v>
      </c>
      <c r="L1985" s="4">
        <v>5</v>
      </c>
      <c r="M1985" s="4">
        <v>129</v>
      </c>
      <c r="N1985" s="4">
        <v>89</v>
      </c>
      <c r="O1985" s="4" t="s">
        <v>26</v>
      </c>
      <c r="P1985" s="7" t="s">
        <v>19</v>
      </c>
    </row>
    <row r="1986" spans="2:16" x14ac:dyDescent="0.45">
      <c r="B1986" s="4">
        <v>1985</v>
      </c>
      <c r="C1986" s="4" t="s">
        <v>31</v>
      </c>
      <c r="D1986" s="4" t="s">
        <v>23</v>
      </c>
      <c r="E1986" s="4" t="s">
        <v>17</v>
      </c>
      <c r="F1986" s="4" t="s">
        <v>18</v>
      </c>
      <c r="G1986" s="4" t="s">
        <v>30</v>
      </c>
      <c r="H1986" s="4" t="s">
        <v>20</v>
      </c>
      <c r="I1986" s="4">
        <v>72</v>
      </c>
      <c r="J1986" s="5">
        <v>65.900000000000006</v>
      </c>
      <c r="K1986" s="6">
        <v>1.86</v>
      </c>
      <c r="L1986" s="4">
        <v>1</v>
      </c>
      <c r="M1986" s="4">
        <v>114</v>
      </c>
      <c r="N1986" s="4">
        <v>82</v>
      </c>
      <c r="O1986" s="4" t="s">
        <v>26</v>
      </c>
      <c r="P1986" s="7" t="s">
        <v>19</v>
      </c>
    </row>
    <row r="1987" spans="2:16" x14ac:dyDescent="0.45">
      <c r="B1987" s="4">
        <v>1986</v>
      </c>
      <c r="C1987" s="4" t="s">
        <v>41</v>
      </c>
      <c r="D1987" s="4" t="s">
        <v>16</v>
      </c>
      <c r="E1987" s="4" t="s">
        <v>17</v>
      </c>
      <c r="F1987" s="4" t="s">
        <v>24</v>
      </c>
      <c r="G1987" s="4" t="s">
        <v>30</v>
      </c>
      <c r="H1987" s="4" t="s">
        <v>28</v>
      </c>
      <c r="I1987" s="4">
        <v>87</v>
      </c>
      <c r="J1987" s="5">
        <v>66.599999999999994</v>
      </c>
      <c r="K1987" s="6">
        <v>1.68</v>
      </c>
      <c r="L1987" s="4">
        <v>0</v>
      </c>
      <c r="M1987" s="4">
        <v>133</v>
      </c>
      <c r="N1987" s="4">
        <v>78</v>
      </c>
      <c r="O1987" s="4" t="s">
        <v>21</v>
      </c>
      <c r="P1987" s="7" t="s">
        <v>19</v>
      </c>
    </row>
    <row r="1988" spans="2:16" x14ac:dyDescent="0.45">
      <c r="B1988" s="4">
        <v>1987</v>
      </c>
      <c r="C1988" s="4" t="s">
        <v>33</v>
      </c>
      <c r="D1988" s="4" t="s">
        <v>16</v>
      </c>
      <c r="E1988" s="4" t="s">
        <v>35</v>
      </c>
      <c r="F1988" s="4" t="s">
        <v>18</v>
      </c>
      <c r="G1988" s="4" t="s">
        <v>30</v>
      </c>
      <c r="H1988" s="4" t="s">
        <v>34</v>
      </c>
      <c r="I1988" s="4">
        <v>2</v>
      </c>
      <c r="J1988" s="5">
        <v>13.4</v>
      </c>
      <c r="K1988" s="6">
        <v>0.85</v>
      </c>
      <c r="L1988" s="4">
        <v>4</v>
      </c>
      <c r="M1988" s="4">
        <v>101</v>
      </c>
      <c r="N1988" s="4">
        <v>93</v>
      </c>
      <c r="O1988" s="4" t="s">
        <v>21</v>
      </c>
      <c r="P1988" s="7" t="s">
        <v>19</v>
      </c>
    </row>
    <row r="1989" spans="2:16" x14ac:dyDescent="0.45">
      <c r="B1989" s="4">
        <v>1988</v>
      </c>
      <c r="C1989" s="4" t="s">
        <v>27</v>
      </c>
      <c r="D1989" s="4" t="s">
        <v>16</v>
      </c>
      <c r="E1989" s="4" t="s">
        <v>17</v>
      </c>
      <c r="F1989" s="4" t="s">
        <v>42</v>
      </c>
      <c r="G1989" s="4" t="s">
        <v>19</v>
      </c>
      <c r="H1989" s="4" t="s">
        <v>46</v>
      </c>
      <c r="I1989" s="4">
        <v>17</v>
      </c>
      <c r="J1989" s="5">
        <v>56.9</v>
      </c>
      <c r="K1989" s="6">
        <v>1.57</v>
      </c>
      <c r="L1989" s="4">
        <v>1</v>
      </c>
      <c r="M1989" s="4">
        <v>112</v>
      </c>
      <c r="N1989" s="4">
        <v>103</v>
      </c>
      <c r="O1989" s="4" t="s">
        <v>21</v>
      </c>
      <c r="P1989" s="7" t="s">
        <v>19</v>
      </c>
    </row>
    <row r="1990" spans="2:16" x14ac:dyDescent="0.45">
      <c r="B1990" s="4">
        <v>1989</v>
      </c>
      <c r="C1990" s="4" t="s">
        <v>40</v>
      </c>
      <c r="D1990" s="4" t="s">
        <v>16</v>
      </c>
      <c r="E1990" s="4" t="s">
        <v>17</v>
      </c>
      <c r="F1990" s="4" t="s">
        <v>28</v>
      </c>
      <c r="G1990" s="4" t="s">
        <v>19</v>
      </c>
      <c r="H1990" s="4" t="s">
        <v>20</v>
      </c>
      <c r="I1990" s="4">
        <v>20</v>
      </c>
      <c r="J1990" s="5">
        <v>49.4</v>
      </c>
      <c r="K1990" s="6">
        <v>1.79</v>
      </c>
      <c r="L1990" s="4">
        <v>1</v>
      </c>
      <c r="M1990" s="4">
        <v>120</v>
      </c>
      <c r="N1990" s="4">
        <v>105</v>
      </c>
      <c r="O1990" s="4" t="s">
        <v>21</v>
      </c>
      <c r="P1990" s="7" t="s">
        <v>19</v>
      </c>
    </row>
    <row r="1991" spans="2:16" x14ac:dyDescent="0.45">
      <c r="B1991" s="4">
        <v>1990</v>
      </c>
      <c r="C1991" s="4" t="s">
        <v>27</v>
      </c>
      <c r="D1991" s="4" t="s">
        <v>23</v>
      </c>
      <c r="E1991" s="4" t="s">
        <v>17</v>
      </c>
      <c r="F1991" s="4" t="s">
        <v>28</v>
      </c>
      <c r="G1991" s="4" t="s">
        <v>19</v>
      </c>
      <c r="H1991" s="4" t="s">
        <v>38</v>
      </c>
      <c r="I1991" s="4">
        <v>87</v>
      </c>
      <c r="J1991" s="5">
        <v>58.4</v>
      </c>
      <c r="K1991" s="6">
        <v>1.73</v>
      </c>
      <c r="L1991" s="4">
        <v>2</v>
      </c>
      <c r="M1991" s="4">
        <v>134</v>
      </c>
      <c r="N1991" s="4">
        <v>95</v>
      </c>
      <c r="O1991" s="4" t="s">
        <v>26</v>
      </c>
      <c r="P1991" s="7" t="s">
        <v>19</v>
      </c>
    </row>
    <row r="1992" spans="2:16" x14ac:dyDescent="0.45">
      <c r="B1992" s="4">
        <v>1991</v>
      </c>
      <c r="C1992" s="4" t="s">
        <v>27</v>
      </c>
      <c r="D1992" s="4" t="s">
        <v>23</v>
      </c>
      <c r="E1992" s="4" t="s">
        <v>17</v>
      </c>
      <c r="F1992" s="4" t="s">
        <v>18</v>
      </c>
      <c r="G1992" s="4" t="s">
        <v>19</v>
      </c>
      <c r="H1992" s="4" t="s">
        <v>20</v>
      </c>
      <c r="I1992" s="4">
        <v>23</v>
      </c>
      <c r="J1992" s="5">
        <v>80.3</v>
      </c>
      <c r="K1992" s="6">
        <v>1.51</v>
      </c>
      <c r="L1992" s="4">
        <v>6</v>
      </c>
      <c r="M1992" s="4">
        <v>119</v>
      </c>
      <c r="N1992" s="4">
        <v>72</v>
      </c>
      <c r="O1992" s="4" t="s">
        <v>21</v>
      </c>
      <c r="P1992" s="7" t="s">
        <v>30</v>
      </c>
    </row>
    <row r="1993" spans="2:16" x14ac:dyDescent="0.45">
      <c r="B1993" s="4">
        <v>1992</v>
      </c>
      <c r="C1993" s="4" t="s">
        <v>40</v>
      </c>
      <c r="D1993" s="4" t="s">
        <v>23</v>
      </c>
      <c r="E1993" s="4" t="s">
        <v>35</v>
      </c>
      <c r="F1993" s="4" t="s">
        <v>18</v>
      </c>
      <c r="G1993" s="4" t="s">
        <v>19</v>
      </c>
      <c r="H1993" s="4" t="s">
        <v>28</v>
      </c>
      <c r="I1993" s="4">
        <v>7</v>
      </c>
      <c r="J1993" s="5">
        <v>28.6</v>
      </c>
      <c r="K1993" s="6">
        <v>1.31</v>
      </c>
      <c r="L1993" s="4">
        <v>2</v>
      </c>
      <c r="M1993" s="4">
        <v>102</v>
      </c>
      <c r="N1993" s="4">
        <v>78</v>
      </c>
      <c r="O1993" s="4" t="s">
        <v>26</v>
      </c>
      <c r="P1993" s="7" t="s">
        <v>19</v>
      </c>
    </row>
    <row r="1994" spans="2:16" x14ac:dyDescent="0.45">
      <c r="B1994" s="4">
        <v>1993</v>
      </c>
      <c r="C1994" s="4" t="s">
        <v>40</v>
      </c>
      <c r="D1994" s="4" t="s">
        <v>23</v>
      </c>
      <c r="E1994" s="4" t="s">
        <v>35</v>
      </c>
      <c r="F1994" s="4" t="s">
        <v>24</v>
      </c>
      <c r="G1994" s="4" t="s">
        <v>19</v>
      </c>
      <c r="H1994" s="4" t="s">
        <v>20</v>
      </c>
      <c r="I1994" s="4">
        <v>4</v>
      </c>
      <c r="J1994" s="5">
        <v>8.4</v>
      </c>
      <c r="K1994" s="6">
        <v>0.94</v>
      </c>
      <c r="L1994" s="4">
        <v>0</v>
      </c>
      <c r="M1994" s="4">
        <v>101</v>
      </c>
      <c r="N1994" s="4">
        <v>71</v>
      </c>
      <c r="O1994" s="4" t="s">
        <v>21</v>
      </c>
      <c r="P1994" s="7" t="s">
        <v>19</v>
      </c>
    </row>
    <row r="1995" spans="2:16" x14ac:dyDescent="0.45">
      <c r="B1995" s="4">
        <v>1994</v>
      </c>
      <c r="C1995" s="4" t="s">
        <v>29</v>
      </c>
      <c r="D1995" s="4" t="s">
        <v>16</v>
      </c>
      <c r="E1995" s="4" t="s">
        <v>35</v>
      </c>
      <c r="F1995" s="4" t="s">
        <v>18</v>
      </c>
      <c r="G1995" s="4" t="s">
        <v>19</v>
      </c>
      <c r="H1995" s="4" t="s">
        <v>28</v>
      </c>
      <c r="I1995" s="4">
        <v>45</v>
      </c>
      <c r="J1995" s="5">
        <v>81.3</v>
      </c>
      <c r="K1995" s="6">
        <v>1.52</v>
      </c>
      <c r="L1995" s="4">
        <v>7</v>
      </c>
      <c r="M1995" s="4">
        <v>122</v>
      </c>
      <c r="N1995" s="4">
        <v>103</v>
      </c>
      <c r="O1995" s="4" t="s">
        <v>26</v>
      </c>
      <c r="P1995" s="7" t="s">
        <v>19</v>
      </c>
    </row>
    <row r="1996" spans="2:16" x14ac:dyDescent="0.45">
      <c r="B1996" s="4">
        <v>1995</v>
      </c>
      <c r="C1996" s="4" t="s">
        <v>39</v>
      </c>
      <c r="D1996" s="4" t="s">
        <v>23</v>
      </c>
      <c r="E1996" s="4" t="s">
        <v>37</v>
      </c>
      <c r="F1996" s="4" t="s">
        <v>24</v>
      </c>
      <c r="G1996" s="4" t="s">
        <v>19</v>
      </c>
      <c r="H1996" s="4" t="s">
        <v>32</v>
      </c>
      <c r="I1996" s="4">
        <v>19</v>
      </c>
      <c r="J1996" s="5">
        <v>72.599999999999994</v>
      </c>
      <c r="K1996" s="6">
        <v>1.73</v>
      </c>
      <c r="L1996" s="4">
        <v>5</v>
      </c>
      <c r="M1996" s="4">
        <v>113</v>
      </c>
      <c r="N1996" s="4">
        <v>177</v>
      </c>
      <c r="O1996" s="4" t="s">
        <v>26</v>
      </c>
      <c r="P1996" s="7" t="s">
        <v>30</v>
      </c>
    </row>
    <row r="1997" spans="2:16" x14ac:dyDescent="0.45">
      <c r="B1997" s="4">
        <v>1996</v>
      </c>
      <c r="C1997" s="4" t="s">
        <v>15</v>
      </c>
      <c r="D1997" s="4" t="s">
        <v>23</v>
      </c>
      <c r="E1997" s="4" t="s">
        <v>17</v>
      </c>
      <c r="F1997" s="4" t="s">
        <v>42</v>
      </c>
      <c r="G1997" s="4" t="s">
        <v>19</v>
      </c>
      <c r="H1997" s="4" t="s">
        <v>34</v>
      </c>
      <c r="I1997" s="4">
        <v>18</v>
      </c>
      <c r="J1997" s="5">
        <v>69.8</v>
      </c>
      <c r="K1997" s="6">
        <v>1.51</v>
      </c>
      <c r="L1997" s="4">
        <v>5</v>
      </c>
      <c r="M1997" s="4">
        <v>108</v>
      </c>
      <c r="N1997" s="4">
        <v>102</v>
      </c>
      <c r="O1997" s="4" t="s">
        <v>26</v>
      </c>
      <c r="P1997" s="7" t="s">
        <v>19</v>
      </c>
    </row>
    <row r="1998" spans="2:16" x14ac:dyDescent="0.45">
      <c r="B1998" s="4">
        <v>1997</v>
      </c>
      <c r="C1998" s="4" t="s">
        <v>43</v>
      </c>
      <c r="D1998" s="4" t="s">
        <v>16</v>
      </c>
      <c r="E1998" s="4" t="s">
        <v>17</v>
      </c>
      <c r="F1998" s="4" t="s">
        <v>24</v>
      </c>
      <c r="G1998" s="4" t="s">
        <v>19</v>
      </c>
      <c r="H1998" s="4" t="s">
        <v>20</v>
      </c>
      <c r="I1998" s="4">
        <v>3</v>
      </c>
      <c r="J1998" s="5">
        <v>17</v>
      </c>
      <c r="K1998" s="6">
        <v>1</v>
      </c>
      <c r="L1998" s="4">
        <v>2</v>
      </c>
      <c r="M1998" s="4">
        <v>106</v>
      </c>
      <c r="N1998" s="4">
        <v>90</v>
      </c>
      <c r="O1998" s="4" t="s">
        <v>21</v>
      </c>
      <c r="P1998" s="7" t="s">
        <v>19</v>
      </c>
    </row>
    <row r="1999" spans="2:16" x14ac:dyDescent="0.45">
      <c r="B1999" s="4">
        <v>1998</v>
      </c>
      <c r="C1999" s="4" t="s">
        <v>22</v>
      </c>
      <c r="D1999" s="4" t="s">
        <v>16</v>
      </c>
      <c r="E1999" s="4" t="s">
        <v>44</v>
      </c>
      <c r="F1999" s="4" t="s">
        <v>24</v>
      </c>
      <c r="G1999" s="4" t="s">
        <v>19</v>
      </c>
      <c r="H1999" s="4" t="s">
        <v>32</v>
      </c>
      <c r="I1999" s="4">
        <v>18</v>
      </c>
      <c r="J1999" s="5">
        <v>51.7</v>
      </c>
      <c r="K1999" s="6">
        <v>1.84</v>
      </c>
      <c r="L1999" s="4">
        <v>1</v>
      </c>
      <c r="M1999" s="4">
        <v>118</v>
      </c>
      <c r="N1999" s="4">
        <v>153</v>
      </c>
      <c r="O1999" s="4" t="s">
        <v>26</v>
      </c>
      <c r="P1999" s="7" t="s">
        <v>19</v>
      </c>
    </row>
    <row r="2000" spans="2:16" x14ac:dyDescent="0.45">
      <c r="B2000" s="4">
        <v>1999</v>
      </c>
      <c r="C2000" s="4" t="s">
        <v>27</v>
      </c>
      <c r="D2000" s="4" t="s">
        <v>16</v>
      </c>
      <c r="E2000" s="4" t="s">
        <v>35</v>
      </c>
      <c r="F2000" s="4" t="s">
        <v>24</v>
      </c>
      <c r="G2000" s="4" t="s">
        <v>19</v>
      </c>
      <c r="H2000" s="4" t="s">
        <v>36</v>
      </c>
      <c r="I2000" s="4">
        <v>4</v>
      </c>
      <c r="J2000" s="5">
        <v>14.2</v>
      </c>
      <c r="K2000" s="6">
        <v>0.92</v>
      </c>
      <c r="L2000" s="4">
        <v>1</v>
      </c>
      <c r="M2000" s="4">
        <v>117</v>
      </c>
      <c r="N2000" s="4">
        <v>80</v>
      </c>
      <c r="O2000" s="4" t="s">
        <v>21</v>
      </c>
      <c r="P2000" s="7" t="s">
        <v>19</v>
      </c>
    </row>
    <row r="2001" spans="2:16" x14ac:dyDescent="0.45">
      <c r="B2001" s="4">
        <v>2000</v>
      </c>
      <c r="C2001" s="4" t="s">
        <v>15</v>
      </c>
      <c r="D2001" s="4" t="s">
        <v>23</v>
      </c>
      <c r="E2001" s="4" t="s">
        <v>17</v>
      </c>
      <c r="F2001" s="4" t="s">
        <v>24</v>
      </c>
      <c r="G2001" s="4" t="s">
        <v>19</v>
      </c>
      <c r="H2001" s="4" t="s">
        <v>34</v>
      </c>
      <c r="I2001" s="4">
        <v>4</v>
      </c>
      <c r="J2001" s="5">
        <v>15.6</v>
      </c>
      <c r="K2001" s="6">
        <v>0.83</v>
      </c>
      <c r="L2001" s="4">
        <v>4</v>
      </c>
      <c r="M2001" s="4">
        <v>115</v>
      </c>
      <c r="N2001" s="4">
        <v>103</v>
      </c>
      <c r="O2001" s="4" t="s">
        <v>26</v>
      </c>
      <c r="P2001" s="7" t="s">
        <v>19</v>
      </c>
    </row>
    <row r="2002" spans="2:16" x14ac:dyDescent="0.45">
      <c r="B2002" s="4">
        <v>2001</v>
      </c>
      <c r="C2002" s="4" t="s">
        <v>33</v>
      </c>
      <c r="D2002" s="4" t="s">
        <v>23</v>
      </c>
      <c r="E2002" s="4" t="s">
        <v>35</v>
      </c>
      <c r="F2002" s="4" t="s">
        <v>24</v>
      </c>
      <c r="G2002" s="4" t="s">
        <v>19</v>
      </c>
      <c r="H2002" s="4" t="s">
        <v>28</v>
      </c>
      <c r="I2002" s="4">
        <v>37</v>
      </c>
      <c r="J2002" s="5">
        <v>48.1</v>
      </c>
      <c r="K2002" s="6">
        <v>1.5</v>
      </c>
      <c r="L2002" s="4">
        <v>4</v>
      </c>
      <c r="M2002" s="4">
        <v>104</v>
      </c>
      <c r="N2002" s="4">
        <v>96</v>
      </c>
      <c r="O2002" s="4" t="s">
        <v>26</v>
      </c>
      <c r="P2002" s="7" t="s">
        <v>19</v>
      </c>
    </row>
    <row r="2003" spans="2:16" x14ac:dyDescent="0.45">
      <c r="B2003" s="4">
        <v>2002</v>
      </c>
      <c r="C2003" s="4" t="s">
        <v>22</v>
      </c>
      <c r="D2003" s="4" t="s">
        <v>16</v>
      </c>
      <c r="E2003" s="4" t="s">
        <v>17</v>
      </c>
      <c r="F2003" s="4" t="s">
        <v>18</v>
      </c>
      <c r="G2003" s="4" t="s">
        <v>30</v>
      </c>
      <c r="H2003" s="4" t="s">
        <v>28</v>
      </c>
      <c r="I2003" s="4">
        <v>37</v>
      </c>
      <c r="J2003" s="5">
        <v>49.8</v>
      </c>
      <c r="K2003" s="6">
        <v>1.5</v>
      </c>
      <c r="L2003" s="4">
        <v>9</v>
      </c>
      <c r="M2003" s="4">
        <v>121</v>
      </c>
      <c r="N2003" s="4">
        <v>89</v>
      </c>
      <c r="O2003" s="4" t="s">
        <v>26</v>
      </c>
      <c r="P2003" s="7" t="s">
        <v>19</v>
      </c>
    </row>
    <row r="2004" spans="2:16" x14ac:dyDescent="0.45">
      <c r="B2004" s="4">
        <v>2003</v>
      </c>
      <c r="C2004" s="4" t="s">
        <v>27</v>
      </c>
      <c r="D2004" s="4" t="s">
        <v>23</v>
      </c>
      <c r="E2004" s="4" t="s">
        <v>35</v>
      </c>
      <c r="F2004" s="4" t="s">
        <v>24</v>
      </c>
      <c r="G2004" s="4" t="s">
        <v>19</v>
      </c>
      <c r="H2004" s="4" t="s">
        <v>38</v>
      </c>
      <c r="I2004" s="4">
        <v>17</v>
      </c>
      <c r="J2004" s="5">
        <v>59</v>
      </c>
      <c r="K2004" s="6">
        <v>1.55</v>
      </c>
      <c r="L2004" s="4">
        <v>6</v>
      </c>
      <c r="M2004" s="4">
        <v>115</v>
      </c>
      <c r="N2004" s="4">
        <v>94</v>
      </c>
      <c r="O2004" s="4" t="s">
        <v>21</v>
      </c>
      <c r="P2004" s="7" t="s">
        <v>19</v>
      </c>
    </row>
    <row r="2005" spans="2:16" x14ac:dyDescent="0.45">
      <c r="B2005" s="4">
        <v>2004</v>
      </c>
      <c r="C2005" s="4" t="s">
        <v>41</v>
      </c>
      <c r="D2005" s="4" t="s">
        <v>16</v>
      </c>
      <c r="E2005" s="4" t="s">
        <v>17</v>
      </c>
      <c r="F2005" s="4" t="s">
        <v>24</v>
      </c>
      <c r="G2005" s="4" t="s">
        <v>19</v>
      </c>
      <c r="H2005" s="4" t="s">
        <v>34</v>
      </c>
      <c r="I2005" s="4">
        <v>11</v>
      </c>
      <c r="J2005" s="5">
        <v>34.799999999999997</v>
      </c>
      <c r="K2005" s="6">
        <v>1.07</v>
      </c>
      <c r="L2005" s="4">
        <v>2</v>
      </c>
      <c r="M2005" s="4">
        <v>94</v>
      </c>
      <c r="N2005" s="4">
        <v>95</v>
      </c>
      <c r="O2005" s="4" t="s">
        <v>26</v>
      </c>
      <c r="P2005" s="7" t="s">
        <v>19</v>
      </c>
    </row>
    <row r="2006" spans="2:16" x14ac:dyDescent="0.45">
      <c r="B2006" s="4">
        <v>2005</v>
      </c>
      <c r="C2006" s="4" t="s">
        <v>41</v>
      </c>
      <c r="D2006" s="4" t="s">
        <v>23</v>
      </c>
      <c r="E2006" s="4" t="s">
        <v>35</v>
      </c>
      <c r="F2006" s="4" t="s">
        <v>24</v>
      </c>
      <c r="G2006" s="4" t="s">
        <v>19</v>
      </c>
      <c r="H2006" s="4" t="s">
        <v>20</v>
      </c>
      <c r="I2006" s="4">
        <v>27</v>
      </c>
      <c r="J2006" s="5">
        <v>50</v>
      </c>
      <c r="K2006" s="6">
        <v>1.57</v>
      </c>
      <c r="L2006" s="4">
        <v>3</v>
      </c>
      <c r="M2006" s="4">
        <v>130</v>
      </c>
      <c r="N2006" s="4">
        <v>73</v>
      </c>
      <c r="O2006" s="4" t="s">
        <v>21</v>
      </c>
      <c r="P2006" s="7" t="s">
        <v>30</v>
      </c>
    </row>
    <row r="2007" spans="2:16" x14ac:dyDescent="0.45">
      <c r="B2007" s="4">
        <v>2006</v>
      </c>
      <c r="C2007" s="4" t="s">
        <v>43</v>
      </c>
      <c r="D2007" s="4" t="s">
        <v>16</v>
      </c>
      <c r="E2007" s="4" t="s">
        <v>37</v>
      </c>
      <c r="F2007" s="4" t="s">
        <v>24</v>
      </c>
      <c r="G2007" s="4" t="s">
        <v>30</v>
      </c>
      <c r="H2007" s="4" t="s">
        <v>28</v>
      </c>
      <c r="I2007" s="4">
        <v>33</v>
      </c>
      <c r="J2007" s="5">
        <v>71.400000000000006</v>
      </c>
      <c r="K2007" s="6">
        <v>1.55</v>
      </c>
      <c r="L2007" s="4">
        <v>9</v>
      </c>
      <c r="M2007" s="4">
        <v>112</v>
      </c>
      <c r="N2007" s="4">
        <v>86</v>
      </c>
      <c r="O2007" s="4" t="s">
        <v>21</v>
      </c>
      <c r="P2007" s="7" t="s">
        <v>19</v>
      </c>
    </row>
    <row r="2008" spans="2:16" x14ac:dyDescent="0.45">
      <c r="B2008" s="4">
        <v>2007</v>
      </c>
      <c r="C2008" s="4" t="s">
        <v>29</v>
      </c>
      <c r="D2008" s="4" t="s">
        <v>16</v>
      </c>
      <c r="E2008" s="4" t="s">
        <v>17</v>
      </c>
      <c r="F2008" s="4" t="s">
        <v>18</v>
      </c>
      <c r="G2008" s="4" t="s">
        <v>30</v>
      </c>
      <c r="H2008" s="4" t="s">
        <v>20</v>
      </c>
      <c r="I2008" s="4">
        <v>4</v>
      </c>
      <c r="J2008" s="5">
        <v>11.7</v>
      </c>
      <c r="K2008" s="6">
        <v>0.6</v>
      </c>
      <c r="L2008" s="4">
        <v>0</v>
      </c>
      <c r="M2008" s="4">
        <v>113</v>
      </c>
      <c r="N2008" s="4">
        <v>73</v>
      </c>
      <c r="O2008" s="4" t="s">
        <v>26</v>
      </c>
      <c r="P2008" s="7" t="s">
        <v>19</v>
      </c>
    </row>
    <row r="2009" spans="2:16" x14ac:dyDescent="0.45">
      <c r="B2009" s="4">
        <v>2008</v>
      </c>
      <c r="C2009" s="4" t="s">
        <v>40</v>
      </c>
      <c r="D2009" s="4" t="s">
        <v>16</v>
      </c>
      <c r="E2009" s="4" t="s">
        <v>17</v>
      </c>
      <c r="F2009" s="4" t="s">
        <v>28</v>
      </c>
      <c r="G2009" s="4" t="s">
        <v>19</v>
      </c>
      <c r="H2009" s="4" t="s">
        <v>46</v>
      </c>
      <c r="I2009" s="4">
        <v>50</v>
      </c>
      <c r="J2009" s="5">
        <v>94.4</v>
      </c>
      <c r="K2009" s="6">
        <v>1.65</v>
      </c>
      <c r="L2009" s="4">
        <v>1</v>
      </c>
      <c r="M2009" s="4">
        <v>125</v>
      </c>
      <c r="N2009" s="4">
        <v>73</v>
      </c>
      <c r="O2009" s="4" t="s">
        <v>26</v>
      </c>
      <c r="P2009" s="7" t="s">
        <v>19</v>
      </c>
    </row>
    <row r="2010" spans="2:16" x14ac:dyDescent="0.45">
      <c r="B2010" s="4">
        <v>2009</v>
      </c>
      <c r="C2010" s="4" t="s">
        <v>41</v>
      </c>
      <c r="D2010" s="4" t="s">
        <v>16</v>
      </c>
      <c r="E2010" s="4" t="s">
        <v>17</v>
      </c>
      <c r="F2010" s="4" t="s">
        <v>24</v>
      </c>
      <c r="G2010" s="4" t="s">
        <v>19</v>
      </c>
      <c r="H2010" s="4" t="s">
        <v>20</v>
      </c>
      <c r="I2010" s="4">
        <v>38</v>
      </c>
      <c r="J2010" s="5">
        <v>60.5</v>
      </c>
      <c r="K2010" s="6">
        <v>1.88</v>
      </c>
      <c r="L2010" s="4">
        <v>3</v>
      </c>
      <c r="M2010" s="4">
        <v>107</v>
      </c>
      <c r="N2010" s="4">
        <v>97</v>
      </c>
      <c r="O2010" s="4" t="s">
        <v>21</v>
      </c>
      <c r="P2010" s="7" t="s">
        <v>19</v>
      </c>
    </row>
    <row r="2011" spans="2:16" x14ac:dyDescent="0.45">
      <c r="B2011" s="4">
        <v>2010</v>
      </c>
      <c r="C2011" s="4" t="s">
        <v>22</v>
      </c>
      <c r="D2011" s="4" t="s">
        <v>16</v>
      </c>
      <c r="E2011" s="4" t="s">
        <v>17</v>
      </c>
      <c r="F2011" s="4" t="s">
        <v>18</v>
      </c>
      <c r="G2011" s="4" t="s">
        <v>30</v>
      </c>
      <c r="H2011" s="4" t="s">
        <v>20</v>
      </c>
      <c r="I2011" s="4">
        <v>41</v>
      </c>
      <c r="J2011" s="5">
        <v>86.2</v>
      </c>
      <c r="K2011" s="6">
        <v>1.75</v>
      </c>
      <c r="L2011" s="4">
        <v>2</v>
      </c>
      <c r="M2011" s="4">
        <v>125</v>
      </c>
      <c r="N2011" s="4">
        <v>102</v>
      </c>
      <c r="O2011" s="4" t="s">
        <v>26</v>
      </c>
      <c r="P2011" s="7" t="s">
        <v>19</v>
      </c>
    </row>
    <row r="2012" spans="2:16" x14ac:dyDescent="0.45">
      <c r="B2012" s="4">
        <v>2011</v>
      </c>
      <c r="C2012" s="4" t="s">
        <v>45</v>
      </c>
      <c r="D2012" s="4" t="s">
        <v>23</v>
      </c>
      <c r="E2012" s="4" t="s">
        <v>44</v>
      </c>
      <c r="F2012" s="4" t="s">
        <v>18</v>
      </c>
      <c r="G2012" s="4" t="s">
        <v>19</v>
      </c>
      <c r="H2012" s="4" t="s">
        <v>20</v>
      </c>
      <c r="I2012" s="4">
        <v>7</v>
      </c>
      <c r="J2012" s="5">
        <v>18.100000000000001</v>
      </c>
      <c r="K2012" s="6">
        <v>1.0900000000000001</v>
      </c>
      <c r="L2012" s="4">
        <v>0</v>
      </c>
      <c r="M2012" s="4">
        <v>98</v>
      </c>
      <c r="N2012" s="4">
        <v>90</v>
      </c>
      <c r="O2012" s="4" t="s">
        <v>26</v>
      </c>
      <c r="P2012" s="7" t="s">
        <v>19</v>
      </c>
    </row>
    <row r="2013" spans="2:16" x14ac:dyDescent="0.45">
      <c r="B2013" s="4">
        <v>2012</v>
      </c>
      <c r="C2013" s="4" t="s">
        <v>29</v>
      </c>
      <c r="D2013" s="4" t="s">
        <v>16</v>
      </c>
      <c r="E2013" s="4" t="s">
        <v>17</v>
      </c>
      <c r="F2013" s="4" t="s">
        <v>24</v>
      </c>
      <c r="G2013" s="4" t="s">
        <v>19</v>
      </c>
      <c r="H2013" s="4" t="s">
        <v>46</v>
      </c>
      <c r="I2013" s="4">
        <v>19</v>
      </c>
      <c r="J2013" s="5">
        <v>48.3</v>
      </c>
      <c r="K2013" s="6">
        <v>1.87</v>
      </c>
      <c r="L2013" s="4">
        <v>4</v>
      </c>
      <c r="M2013" s="4">
        <v>109</v>
      </c>
      <c r="N2013" s="4">
        <v>86</v>
      </c>
      <c r="O2013" s="4" t="s">
        <v>26</v>
      </c>
      <c r="P2013" s="7" t="s">
        <v>30</v>
      </c>
    </row>
    <row r="2014" spans="2:16" x14ac:dyDescent="0.45">
      <c r="B2014" s="4">
        <v>2013</v>
      </c>
      <c r="C2014" s="4" t="s">
        <v>29</v>
      </c>
      <c r="D2014" s="4" t="s">
        <v>23</v>
      </c>
      <c r="E2014" s="4" t="s">
        <v>17</v>
      </c>
      <c r="F2014" s="4" t="s">
        <v>18</v>
      </c>
      <c r="G2014" s="4" t="s">
        <v>19</v>
      </c>
      <c r="H2014" s="4" t="s">
        <v>20</v>
      </c>
      <c r="I2014" s="4">
        <v>42</v>
      </c>
      <c r="J2014" s="5">
        <v>71.3</v>
      </c>
      <c r="K2014" s="6">
        <v>1.72</v>
      </c>
      <c r="L2014" s="4">
        <v>5</v>
      </c>
      <c r="M2014" s="4">
        <v>107</v>
      </c>
      <c r="N2014" s="4">
        <v>98</v>
      </c>
      <c r="O2014" s="4" t="s">
        <v>21</v>
      </c>
      <c r="P2014" s="7" t="s">
        <v>19</v>
      </c>
    </row>
    <row r="2015" spans="2:16" x14ac:dyDescent="0.45">
      <c r="B2015" s="4">
        <v>2014</v>
      </c>
      <c r="C2015" s="4" t="s">
        <v>43</v>
      </c>
      <c r="D2015" s="4" t="s">
        <v>16</v>
      </c>
      <c r="E2015" s="4" t="s">
        <v>17</v>
      </c>
      <c r="F2015" s="4" t="s">
        <v>42</v>
      </c>
      <c r="G2015" s="4" t="s">
        <v>19</v>
      </c>
      <c r="H2015" s="4" t="s">
        <v>46</v>
      </c>
      <c r="I2015" s="4">
        <v>2</v>
      </c>
      <c r="J2015" s="5">
        <v>12.2</v>
      </c>
      <c r="K2015" s="6">
        <v>0.72</v>
      </c>
      <c r="L2015" s="4">
        <v>1</v>
      </c>
      <c r="M2015" s="4">
        <v>105</v>
      </c>
      <c r="N2015" s="4">
        <v>89</v>
      </c>
      <c r="O2015" s="4" t="s">
        <v>26</v>
      </c>
      <c r="P2015" s="7" t="s">
        <v>19</v>
      </c>
    </row>
    <row r="2016" spans="2:16" x14ac:dyDescent="0.45">
      <c r="B2016" s="4">
        <v>2015</v>
      </c>
      <c r="C2016" s="4" t="s">
        <v>22</v>
      </c>
      <c r="D2016" s="4" t="s">
        <v>16</v>
      </c>
      <c r="E2016" s="4" t="s">
        <v>17</v>
      </c>
      <c r="F2016" s="4" t="s">
        <v>24</v>
      </c>
      <c r="G2016" s="4" t="s">
        <v>19</v>
      </c>
      <c r="H2016" s="4" t="s">
        <v>20</v>
      </c>
      <c r="I2016" s="4">
        <v>57</v>
      </c>
      <c r="J2016" s="5">
        <v>92.6</v>
      </c>
      <c r="K2016" s="6">
        <v>1.78</v>
      </c>
      <c r="L2016" s="4">
        <v>3</v>
      </c>
      <c r="M2016" s="4">
        <v>116</v>
      </c>
      <c r="N2016" s="4">
        <v>81</v>
      </c>
      <c r="O2016" s="4" t="s">
        <v>26</v>
      </c>
      <c r="P2016" s="7" t="s">
        <v>19</v>
      </c>
    </row>
    <row r="2017" spans="2:16" x14ac:dyDescent="0.45">
      <c r="B2017" s="4">
        <v>2016</v>
      </c>
      <c r="C2017" s="4" t="s">
        <v>39</v>
      </c>
      <c r="D2017" s="4" t="s">
        <v>16</v>
      </c>
      <c r="E2017" s="4" t="s">
        <v>17</v>
      </c>
      <c r="F2017" s="4" t="s">
        <v>24</v>
      </c>
      <c r="G2017" s="4" t="s">
        <v>19</v>
      </c>
      <c r="H2017" s="4" t="s">
        <v>20</v>
      </c>
      <c r="I2017" s="4">
        <v>56</v>
      </c>
      <c r="J2017" s="5">
        <v>87.6</v>
      </c>
      <c r="K2017" s="6">
        <v>1.83</v>
      </c>
      <c r="L2017" s="4">
        <v>6</v>
      </c>
      <c r="M2017" s="4">
        <v>129</v>
      </c>
      <c r="N2017" s="4">
        <v>75</v>
      </c>
      <c r="O2017" s="4" t="s">
        <v>21</v>
      </c>
      <c r="P2017" s="7" t="s">
        <v>19</v>
      </c>
    </row>
    <row r="2018" spans="2:16" x14ac:dyDescent="0.45">
      <c r="B2018" s="4">
        <v>2017</v>
      </c>
      <c r="C2018" s="4" t="s">
        <v>29</v>
      </c>
      <c r="D2018" s="4" t="s">
        <v>23</v>
      </c>
      <c r="E2018" s="4" t="s">
        <v>37</v>
      </c>
      <c r="F2018" s="4" t="s">
        <v>28</v>
      </c>
      <c r="G2018" s="4" t="s">
        <v>19</v>
      </c>
      <c r="H2018" s="4" t="s">
        <v>28</v>
      </c>
      <c r="I2018" s="4">
        <v>48</v>
      </c>
      <c r="J2018" s="5">
        <v>52.5</v>
      </c>
      <c r="K2018" s="6">
        <v>1.55</v>
      </c>
      <c r="L2018" s="4">
        <v>2</v>
      </c>
      <c r="M2018" s="4">
        <v>122</v>
      </c>
      <c r="N2018" s="4">
        <v>75</v>
      </c>
      <c r="O2018" s="4" t="s">
        <v>26</v>
      </c>
      <c r="P2018" s="7" t="s">
        <v>19</v>
      </c>
    </row>
    <row r="2019" spans="2:16" x14ac:dyDescent="0.45">
      <c r="B2019" s="4">
        <v>2018</v>
      </c>
      <c r="C2019" s="4" t="s">
        <v>27</v>
      </c>
      <c r="D2019" s="4" t="s">
        <v>16</v>
      </c>
      <c r="E2019" s="4" t="s">
        <v>35</v>
      </c>
      <c r="F2019" s="4" t="s">
        <v>24</v>
      </c>
      <c r="G2019" s="4" t="s">
        <v>19</v>
      </c>
      <c r="H2019" s="4" t="s">
        <v>25</v>
      </c>
      <c r="I2019" s="4">
        <v>11</v>
      </c>
      <c r="J2019" s="5">
        <v>37</v>
      </c>
      <c r="K2019" s="6">
        <v>1.1000000000000001</v>
      </c>
      <c r="L2019" s="4">
        <v>2</v>
      </c>
      <c r="M2019" s="4">
        <v>97</v>
      </c>
      <c r="N2019" s="4">
        <v>96</v>
      </c>
      <c r="O2019" s="4" t="s">
        <v>26</v>
      </c>
      <c r="P2019" s="7" t="s">
        <v>19</v>
      </c>
    </row>
    <row r="2020" spans="2:16" x14ac:dyDescent="0.45">
      <c r="B2020" s="4">
        <v>2019</v>
      </c>
      <c r="C2020" s="4" t="s">
        <v>22</v>
      </c>
      <c r="D2020" s="4" t="s">
        <v>23</v>
      </c>
      <c r="E2020" s="4" t="s">
        <v>17</v>
      </c>
      <c r="F2020" s="4" t="s">
        <v>18</v>
      </c>
      <c r="G2020" s="4" t="s">
        <v>19</v>
      </c>
      <c r="H2020" s="4" t="s">
        <v>28</v>
      </c>
      <c r="I2020" s="4">
        <v>54</v>
      </c>
      <c r="J2020" s="5">
        <v>81.8</v>
      </c>
      <c r="K2020" s="6">
        <v>1.63</v>
      </c>
      <c r="L2020" s="4">
        <v>8</v>
      </c>
      <c r="M2020" s="4">
        <v>113</v>
      </c>
      <c r="N2020" s="4">
        <v>73</v>
      </c>
      <c r="O2020" s="4" t="s">
        <v>26</v>
      </c>
      <c r="P2020" s="7" t="s">
        <v>19</v>
      </c>
    </row>
    <row r="2021" spans="2:16" x14ac:dyDescent="0.45">
      <c r="B2021" s="4">
        <v>2020</v>
      </c>
      <c r="C2021" s="4" t="s">
        <v>27</v>
      </c>
      <c r="D2021" s="4" t="s">
        <v>16</v>
      </c>
      <c r="E2021" s="4" t="s">
        <v>35</v>
      </c>
      <c r="F2021" s="4" t="s">
        <v>18</v>
      </c>
      <c r="G2021" s="4" t="s">
        <v>19</v>
      </c>
      <c r="H2021" s="4" t="s">
        <v>28</v>
      </c>
      <c r="I2021" s="4">
        <v>7</v>
      </c>
      <c r="J2021" s="5">
        <v>20.399999999999999</v>
      </c>
      <c r="K2021" s="6">
        <v>1.21</v>
      </c>
      <c r="L2021" s="4">
        <v>4</v>
      </c>
      <c r="M2021" s="4">
        <v>99</v>
      </c>
      <c r="N2021" s="4">
        <v>79</v>
      </c>
      <c r="O2021" s="4" t="s">
        <v>21</v>
      </c>
      <c r="P2021" s="7" t="s">
        <v>19</v>
      </c>
    </row>
    <row r="2022" spans="2:16" x14ac:dyDescent="0.45">
      <c r="B2022" s="4">
        <v>2021</v>
      </c>
      <c r="C2022" s="4" t="s">
        <v>43</v>
      </c>
      <c r="D2022" s="4" t="s">
        <v>23</v>
      </c>
      <c r="E2022" s="4" t="s">
        <v>17</v>
      </c>
      <c r="F2022" s="4" t="s">
        <v>24</v>
      </c>
      <c r="G2022" s="4" t="s">
        <v>19</v>
      </c>
      <c r="H2022" s="4" t="s">
        <v>32</v>
      </c>
      <c r="I2022" s="4">
        <v>16</v>
      </c>
      <c r="J2022" s="5">
        <v>58.2</v>
      </c>
      <c r="K2022" s="6">
        <v>1.62</v>
      </c>
      <c r="L2022" s="4">
        <v>1</v>
      </c>
      <c r="M2022" s="4">
        <v>108</v>
      </c>
      <c r="N2022" s="4">
        <v>135</v>
      </c>
      <c r="O2022" s="4" t="s">
        <v>21</v>
      </c>
      <c r="P2022" s="7" t="s">
        <v>19</v>
      </c>
    </row>
    <row r="2023" spans="2:16" x14ac:dyDescent="0.45">
      <c r="B2023" s="4">
        <v>2022</v>
      </c>
      <c r="C2023" s="4" t="s">
        <v>29</v>
      </c>
      <c r="D2023" s="4" t="s">
        <v>16</v>
      </c>
      <c r="E2023" s="4" t="s">
        <v>17</v>
      </c>
      <c r="F2023" s="4" t="s">
        <v>24</v>
      </c>
      <c r="G2023" s="4" t="s">
        <v>19</v>
      </c>
      <c r="H2023" s="4" t="s">
        <v>36</v>
      </c>
      <c r="I2023" s="4">
        <v>59</v>
      </c>
      <c r="J2023" s="5">
        <v>82.3</v>
      </c>
      <c r="K2023" s="6">
        <v>1.52</v>
      </c>
      <c r="L2023" s="4">
        <v>3</v>
      </c>
      <c r="M2023" s="4">
        <v>147</v>
      </c>
      <c r="N2023" s="4">
        <v>85</v>
      </c>
      <c r="O2023" s="4" t="s">
        <v>26</v>
      </c>
      <c r="P2023" s="7" t="s">
        <v>19</v>
      </c>
    </row>
    <row r="2024" spans="2:16" x14ac:dyDescent="0.45">
      <c r="B2024" s="4">
        <v>2023</v>
      </c>
      <c r="C2024" s="4" t="s">
        <v>27</v>
      </c>
      <c r="D2024" s="4" t="s">
        <v>23</v>
      </c>
      <c r="E2024" s="4" t="s">
        <v>17</v>
      </c>
      <c r="F2024" s="4" t="s">
        <v>24</v>
      </c>
      <c r="G2024" s="4" t="s">
        <v>19</v>
      </c>
      <c r="H2024" s="4" t="s">
        <v>28</v>
      </c>
      <c r="I2024" s="4">
        <v>16</v>
      </c>
      <c r="J2024" s="5">
        <v>40.700000000000003</v>
      </c>
      <c r="K2024" s="6">
        <v>1.74</v>
      </c>
      <c r="L2024" s="4">
        <v>5</v>
      </c>
      <c r="M2024" s="4">
        <v>112</v>
      </c>
      <c r="N2024" s="4">
        <v>100</v>
      </c>
      <c r="O2024" s="4" t="s">
        <v>26</v>
      </c>
      <c r="P2024" s="7" t="s">
        <v>30</v>
      </c>
    </row>
    <row r="2025" spans="2:16" x14ac:dyDescent="0.45">
      <c r="B2025" s="4">
        <v>2024</v>
      </c>
      <c r="C2025" s="4" t="s">
        <v>31</v>
      </c>
      <c r="D2025" s="4" t="s">
        <v>23</v>
      </c>
      <c r="E2025" s="4" t="s">
        <v>35</v>
      </c>
      <c r="F2025" s="4" t="s">
        <v>18</v>
      </c>
      <c r="G2025" s="4" t="s">
        <v>19</v>
      </c>
      <c r="H2025" s="4" t="s">
        <v>34</v>
      </c>
      <c r="I2025" s="4">
        <v>5</v>
      </c>
      <c r="J2025" s="5">
        <v>21.8</v>
      </c>
      <c r="K2025" s="6">
        <v>1.44</v>
      </c>
      <c r="L2025" s="4">
        <v>1</v>
      </c>
      <c r="M2025" s="4">
        <v>96</v>
      </c>
      <c r="N2025" s="4">
        <v>82</v>
      </c>
      <c r="O2025" s="4" t="s">
        <v>21</v>
      </c>
      <c r="P2025" s="7" t="s">
        <v>19</v>
      </c>
    </row>
    <row r="2026" spans="2:16" x14ac:dyDescent="0.45">
      <c r="B2026" s="4">
        <v>2025</v>
      </c>
      <c r="C2026" s="4" t="s">
        <v>43</v>
      </c>
      <c r="D2026" s="4" t="s">
        <v>16</v>
      </c>
      <c r="E2026" s="4" t="s">
        <v>17</v>
      </c>
      <c r="F2026" s="4" t="s">
        <v>24</v>
      </c>
      <c r="G2026" s="4" t="s">
        <v>19</v>
      </c>
      <c r="H2026" s="4" t="s">
        <v>34</v>
      </c>
      <c r="I2026" s="4">
        <v>39</v>
      </c>
      <c r="J2026" s="5">
        <v>67.8</v>
      </c>
      <c r="K2026" s="6">
        <v>1.8</v>
      </c>
      <c r="L2026" s="4">
        <v>5</v>
      </c>
      <c r="M2026" s="4">
        <v>114</v>
      </c>
      <c r="N2026" s="4">
        <v>91</v>
      </c>
      <c r="O2026" s="4" t="s">
        <v>26</v>
      </c>
      <c r="P2026" s="7" t="s">
        <v>19</v>
      </c>
    </row>
    <row r="2027" spans="2:16" x14ac:dyDescent="0.45">
      <c r="B2027" s="4">
        <v>2026</v>
      </c>
      <c r="C2027" s="4" t="s">
        <v>31</v>
      </c>
      <c r="D2027" s="4" t="s">
        <v>16</v>
      </c>
      <c r="E2027" s="4" t="s">
        <v>35</v>
      </c>
      <c r="F2027" s="4" t="s">
        <v>18</v>
      </c>
      <c r="G2027" s="4" t="s">
        <v>19</v>
      </c>
      <c r="H2027" s="4" t="s">
        <v>32</v>
      </c>
      <c r="I2027" s="4">
        <v>8</v>
      </c>
      <c r="J2027" s="5">
        <v>37.1</v>
      </c>
      <c r="K2027" s="6">
        <v>1.1499999999999999</v>
      </c>
      <c r="L2027" s="4">
        <v>8</v>
      </c>
      <c r="M2027" s="4">
        <v>97</v>
      </c>
      <c r="N2027" s="4">
        <v>125</v>
      </c>
      <c r="O2027" s="4" t="s">
        <v>26</v>
      </c>
      <c r="P2027" s="7" t="s">
        <v>19</v>
      </c>
    </row>
    <row r="2028" spans="2:16" x14ac:dyDescent="0.45">
      <c r="B2028" s="4">
        <v>2027</v>
      </c>
      <c r="C2028" s="4" t="s">
        <v>22</v>
      </c>
      <c r="D2028" s="4" t="s">
        <v>16</v>
      </c>
      <c r="E2028" s="4" t="s">
        <v>35</v>
      </c>
      <c r="F2028" s="4" t="s">
        <v>24</v>
      </c>
      <c r="G2028" s="4" t="s">
        <v>19</v>
      </c>
      <c r="H2028" s="4" t="s">
        <v>34</v>
      </c>
      <c r="I2028" s="4">
        <v>16</v>
      </c>
      <c r="J2028" s="5">
        <v>48.8</v>
      </c>
      <c r="K2028" s="6">
        <v>1.67</v>
      </c>
      <c r="L2028" s="4">
        <v>5</v>
      </c>
      <c r="M2028" s="4">
        <v>118</v>
      </c>
      <c r="N2028" s="4">
        <v>91</v>
      </c>
      <c r="O2028" s="4" t="s">
        <v>21</v>
      </c>
      <c r="P2028" s="7" t="s">
        <v>19</v>
      </c>
    </row>
    <row r="2029" spans="2:16" x14ac:dyDescent="0.45">
      <c r="B2029" s="4">
        <v>2028</v>
      </c>
      <c r="C2029" s="4" t="s">
        <v>27</v>
      </c>
      <c r="D2029" s="4" t="s">
        <v>23</v>
      </c>
      <c r="E2029" s="4" t="s">
        <v>17</v>
      </c>
      <c r="F2029" s="4" t="s">
        <v>24</v>
      </c>
      <c r="G2029" s="4" t="s">
        <v>19</v>
      </c>
      <c r="H2029" s="4" t="s">
        <v>20</v>
      </c>
      <c r="I2029" s="4">
        <v>1</v>
      </c>
      <c r="J2029" s="5">
        <v>9.6</v>
      </c>
      <c r="K2029" s="6">
        <v>1.02</v>
      </c>
      <c r="L2029" s="4">
        <v>7</v>
      </c>
      <c r="M2029" s="4">
        <v>100</v>
      </c>
      <c r="N2029" s="4">
        <v>103</v>
      </c>
      <c r="O2029" s="4" t="s">
        <v>26</v>
      </c>
      <c r="P2029" s="7" t="s">
        <v>30</v>
      </c>
    </row>
    <row r="2030" spans="2:16" x14ac:dyDescent="0.45">
      <c r="B2030" s="4">
        <v>2029</v>
      </c>
      <c r="C2030" s="4" t="s">
        <v>39</v>
      </c>
      <c r="D2030" s="4" t="s">
        <v>16</v>
      </c>
      <c r="E2030" s="4" t="s">
        <v>35</v>
      </c>
      <c r="F2030" s="4" t="s">
        <v>24</v>
      </c>
      <c r="G2030" s="4" t="s">
        <v>30</v>
      </c>
      <c r="H2030" s="4" t="s">
        <v>28</v>
      </c>
      <c r="I2030" s="4">
        <v>0</v>
      </c>
      <c r="J2030" s="5">
        <v>6.7</v>
      </c>
      <c r="K2030" s="6">
        <v>0.9</v>
      </c>
      <c r="L2030" s="4">
        <v>4</v>
      </c>
      <c r="M2030" s="4">
        <v>99</v>
      </c>
      <c r="N2030" s="4">
        <v>78</v>
      </c>
      <c r="O2030" s="4" t="s">
        <v>26</v>
      </c>
      <c r="P2030" s="7" t="s">
        <v>19</v>
      </c>
    </row>
    <row r="2031" spans="2:16" x14ac:dyDescent="0.45">
      <c r="B2031" s="4">
        <v>2030</v>
      </c>
      <c r="C2031" s="4" t="s">
        <v>45</v>
      </c>
      <c r="D2031" s="4" t="s">
        <v>16</v>
      </c>
      <c r="E2031" s="4" t="s">
        <v>35</v>
      </c>
      <c r="F2031" s="4" t="s">
        <v>24</v>
      </c>
      <c r="G2031" s="4" t="s">
        <v>19</v>
      </c>
      <c r="H2031" s="4" t="s">
        <v>28</v>
      </c>
      <c r="I2031" s="4">
        <v>38</v>
      </c>
      <c r="J2031" s="5">
        <v>72.8</v>
      </c>
      <c r="K2031" s="6">
        <v>1.87</v>
      </c>
      <c r="L2031" s="4">
        <v>5</v>
      </c>
      <c r="M2031" s="4">
        <v>107</v>
      </c>
      <c r="N2031" s="4">
        <v>74</v>
      </c>
      <c r="O2031" s="4" t="s">
        <v>26</v>
      </c>
      <c r="P2031" s="7" t="s">
        <v>19</v>
      </c>
    </row>
    <row r="2032" spans="2:16" x14ac:dyDescent="0.45">
      <c r="B2032" s="4">
        <v>2031</v>
      </c>
      <c r="C2032" s="4" t="s">
        <v>40</v>
      </c>
      <c r="D2032" s="4" t="s">
        <v>23</v>
      </c>
      <c r="E2032" s="4" t="s">
        <v>35</v>
      </c>
      <c r="F2032" s="4" t="s">
        <v>42</v>
      </c>
      <c r="G2032" s="4" t="s">
        <v>19</v>
      </c>
      <c r="H2032" s="4" t="s">
        <v>28</v>
      </c>
      <c r="I2032" s="4">
        <v>27</v>
      </c>
      <c r="J2032" s="5">
        <v>92.7</v>
      </c>
      <c r="K2032" s="6">
        <v>1.66</v>
      </c>
      <c r="L2032" s="4">
        <v>3</v>
      </c>
      <c r="M2032" s="4">
        <v>111</v>
      </c>
      <c r="N2032" s="4">
        <v>96</v>
      </c>
      <c r="O2032" s="4" t="s">
        <v>21</v>
      </c>
      <c r="P2032" s="7" t="s">
        <v>19</v>
      </c>
    </row>
    <row r="2033" spans="2:16" x14ac:dyDescent="0.45">
      <c r="B2033" s="4">
        <v>2032</v>
      </c>
      <c r="C2033" s="4" t="s">
        <v>40</v>
      </c>
      <c r="D2033" s="4" t="s">
        <v>16</v>
      </c>
      <c r="E2033" s="4" t="s">
        <v>17</v>
      </c>
      <c r="F2033" s="4" t="s">
        <v>18</v>
      </c>
      <c r="G2033" s="4" t="s">
        <v>30</v>
      </c>
      <c r="H2033" s="4" t="s">
        <v>34</v>
      </c>
      <c r="I2033" s="4">
        <v>66</v>
      </c>
      <c r="J2033" s="5">
        <v>72.8</v>
      </c>
      <c r="K2033" s="6">
        <v>1.7</v>
      </c>
      <c r="L2033" s="4">
        <v>2</v>
      </c>
      <c r="M2033" s="4">
        <v>118</v>
      </c>
      <c r="N2033" s="4">
        <v>75</v>
      </c>
      <c r="O2033" s="4" t="s">
        <v>21</v>
      </c>
      <c r="P2033" s="7" t="s">
        <v>19</v>
      </c>
    </row>
    <row r="2034" spans="2:16" x14ac:dyDescent="0.45">
      <c r="B2034" s="4">
        <v>2033</v>
      </c>
      <c r="C2034" s="4" t="s">
        <v>27</v>
      </c>
      <c r="D2034" s="4" t="s">
        <v>16</v>
      </c>
      <c r="E2034" s="4" t="s">
        <v>17</v>
      </c>
      <c r="F2034" s="4" t="s">
        <v>24</v>
      </c>
      <c r="G2034" s="4" t="s">
        <v>19</v>
      </c>
      <c r="H2034" s="4" t="s">
        <v>20</v>
      </c>
      <c r="I2034" s="4">
        <v>14</v>
      </c>
      <c r="J2034" s="5">
        <v>41.6</v>
      </c>
      <c r="K2034" s="6">
        <v>1.73</v>
      </c>
      <c r="L2034" s="4">
        <v>1</v>
      </c>
      <c r="M2034" s="4">
        <v>105</v>
      </c>
      <c r="N2034" s="4">
        <v>98</v>
      </c>
      <c r="O2034" s="4" t="s">
        <v>21</v>
      </c>
      <c r="P2034" s="7" t="s">
        <v>19</v>
      </c>
    </row>
    <row r="2035" spans="2:16" x14ac:dyDescent="0.45">
      <c r="B2035" s="4">
        <v>2034</v>
      </c>
      <c r="C2035" s="4" t="s">
        <v>29</v>
      </c>
      <c r="D2035" s="4" t="s">
        <v>16</v>
      </c>
      <c r="E2035" s="4" t="s">
        <v>44</v>
      </c>
      <c r="F2035" s="4" t="s">
        <v>28</v>
      </c>
      <c r="G2035" s="4" t="s">
        <v>19</v>
      </c>
      <c r="H2035" s="4" t="s">
        <v>20</v>
      </c>
      <c r="I2035" s="4">
        <v>67</v>
      </c>
      <c r="J2035" s="5">
        <v>70.099999999999994</v>
      </c>
      <c r="K2035" s="6">
        <v>1.82</v>
      </c>
      <c r="L2035" s="4">
        <v>3</v>
      </c>
      <c r="M2035" s="4">
        <v>115</v>
      </c>
      <c r="N2035" s="4">
        <v>91</v>
      </c>
      <c r="O2035" s="4" t="s">
        <v>26</v>
      </c>
      <c r="P2035" s="7" t="s">
        <v>19</v>
      </c>
    </row>
    <row r="2036" spans="2:16" x14ac:dyDescent="0.45">
      <c r="B2036" s="4">
        <v>2035</v>
      </c>
      <c r="C2036" s="4" t="s">
        <v>22</v>
      </c>
      <c r="D2036" s="4" t="s">
        <v>16</v>
      </c>
      <c r="E2036" s="4" t="s">
        <v>17</v>
      </c>
      <c r="F2036" s="4" t="s">
        <v>18</v>
      </c>
      <c r="G2036" s="4" t="s">
        <v>30</v>
      </c>
      <c r="H2036" s="4" t="s">
        <v>36</v>
      </c>
      <c r="I2036" s="4">
        <v>14</v>
      </c>
      <c r="J2036" s="5">
        <v>47.9</v>
      </c>
      <c r="K2036" s="6">
        <v>1.59</v>
      </c>
      <c r="L2036" s="4">
        <v>6</v>
      </c>
      <c r="M2036" s="4">
        <v>131</v>
      </c>
      <c r="N2036" s="4">
        <v>81</v>
      </c>
      <c r="O2036" s="4" t="s">
        <v>21</v>
      </c>
      <c r="P2036" s="7" t="s">
        <v>19</v>
      </c>
    </row>
    <row r="2037" spans="2:16" x14ac:dyDescent="0.45">
      <c r="B2037" s="4">
        <v>2036</v>
      </c>
      <c r="C2037" s="4" t="s">
        <v>29</v>
      </c>
      <c r="D2037" s="4" t="s">
        <v>16</v>
      </c>
      <c r="E2037" s="4" t="s">
        <v>35</v>
      </c>
      <c r="F2037" s="4" t="s">
        <v>24</v>
      </c>
      <c r="G2037" s="4" t="s">
        <v>19</v>
      </c>
      <c r="H2037" s="4" t="s">
        <v>28</v>
      </c>
      <c r="I2037" s="4">
        <v>23</v>
      </c>
      <c r="J2037" s="5">
        <v>63.2</v>
      </c>
      <c r="K2037" s="6">
        <v>1.73</v>
      </c>
      <c r="L2037" s="4">
        <v>4</v>
      </c>
      <c r="M2037" s="4">
        <v>101</v>
      </c>
      <c r="N2037" s="4">
        <v>93</v>
      </c>
      <c r="O2037" s="4" t="s">
        <v>26</v>
      </c>
      <c r="P2037" s="7" t="s">
        <v>19</v>
      </c>
    </row>
    <row r="2038" spans="2:16" x14ac:dyDescent="0.45">
      <c r="B2038" s="4">
        <v>2037</v>
      </c>
      <c r="C2038" s="4" t="s">
        <v>15</v>
      </c>
      <c r="D2038" s="4" t="s">
        <v>16</v>
      </c>
      <c r="E2038" s="4" t="s">
        <v>17</v>
      </c>
      <c r="F2038" s="4" t="s">
        <v>24</v>
      </c>
      <c r="G2038" s="4" t="s">
        <v>19</v>
      </c>
      <c r="H2038" s="4" t="s">
        <v>36</v>
      </c>
      <c r="I2038" s="4">
        <v>49</v>
      </c>
      <c r="J2038" s="5">
        <v>70.2</v>
      </c>
      <c r="K2038" s="6">
        <v>1.52</v>
      </c>
      <c r="L2038" s="4">
        <v>10</v>
      </c>
      <c r="M2038" s="4">
        <v>133</v>
      </c>
      <c r="N2038" s="4">
        <v>78</v>
      </c>
      <c r="O2038" s="4" t="s">
        <v>26</v>
      </c>
      <c r="P2038" s="7" t="s">
        <v>19</v>
      </c>
    </row>
    <row r="2039" spans="2:16" x14ac:dyDescent="0.45">
      <c r="B2039" s="4">
        <v>2038</v>
      </c>
      <c r="C2039" s="4" t="s">
        <v>22</v>
      </c>
      <c r="D2039" s="4" t="s">
        <v>16</v>
      </c>
      <c r="E2039" s="4" t="s">
        <v>35</v>
      </c>
      <c r="F2039" s="4" t="s">
        <v>24</v>
      </c>
      <c r="G2039" s="4" t="s">
        <v>19</v>
      </c>
      <c r="H2039" s="4" t="s">
        <v>28</v>
      </c>
      <c r="I2039" s="4">
        <v>0</v>
      </c>
      <c r="J2039" s="5">
        <v>7</v>
      </c>
      <c r="K2039" s="6">
        <v>0.77</v>
      </c>
      <c r="L2039" s="4">
        <v>0</v>
      </c>
      <c r="M2039" s="4">
        <v>114</v>
      </c>
      <c r="N2039" s="4">
        <v>86</v>
      </c>
      <c r="O2039" s="4" t="s">
        <v>26</v>
      </c>
      <c r="P2039" s="7" t="s">
        <v>19</v>
      </c>
    </row>
    <row r="2040" spans="2:16" x14ac:dyDescent="0.45">
      <c r="B2040" s="4">
        <v>2039</v>
      </c>
      <c r="C2040" s="4" t="s">
        <v>15</v>
      </c>
      <c r="D2040" s="4" t="s">
        <v>16</v>
      </c>
      <c r="E2040" s="4" t="s">
        <v>17</v>
      </c>
      <c r="F2040" s="4" t="s">
        <v>18</v>
      </c>
      <c r="G2040" s="4" t="s">
        <v>19</v>
      </c>
      <c r="H2040" s="4" t="s">
        <v>28</v>
      </c>
      <c r="I2040" s="4">
        <v>0</v>
      </c>
      <c r="J2040" s="5">
        <v>16.399999999999999</v>
      </c>
      <c r="K2040" s="6">
        <v>0.99</v>
      </c>
      <c r="L2040" s="4">
        <v>8</v>
      </c>
      <c r="M2040" s="4">
        <v>94</v>
      </c>
      <c r="N2040" s="4">
        <v>95</v>
      </c>
      <c r="O2040" s="4" t="s">
        <v>26</v>
      </c>
      <c r="P2040" s="7" t="s">
        <v>19</v>
      </c>
    </row>
    <row r="2041" spans="2:16" x14ac:dyDescent="0.45">
      <c r="B2041" s="4">
        <v>2040</v>
      </c>
      <c r="C2041" s="4" t="s">
        <v>40</v>
      </c>
      <c r="D2041" s="4" t="s">
        <v>16</v>
      </c>
      <c r="E2041" s="4" t="s">
        <v>37</v>
      </c>
      <c r="F2041" s="4" t="s">
        <v>18</v>
      </c>
      <c r="G2041" s="4" t="s">
        <v>19</v>
      </c>
      <c r="H2041" s="4" t="s">
        <v>20</v>
      </c>
      <c r="I2041" s="4">
        <v>5</v>
      </c>
      <c r="J2041" s="5">
        <v>27.6</v>
      </c>
      <c r="K2041" s="6">
        <v>1.24</v>
      </c>
      <c r="L2041" s="4">
        <v>5</v>
      </c>
      <c r="M2041" s="4">
        <v>97</v>
      </c>
      <c r="N2041" s="4">
        <v>75</v>
      </c>
      <c r="O2041" s="4" t="s">
        <v>26</v>
      </c>
      <c r="P2041" s="7" t="s">
        <v>19</v>
      </c>
    </row>
    <row r="2042" spans="2:16" x14ac:dyDescent="0.45">
      <c r="B2042" s="4">
        <v>2041</v>
      </c>
      <c r="C2042" s="4" t="s">
        <v>22</v>
      </c>
      <c r="D2042" s="4" t="s">
        <v>16</v>
      </c>
      <c r="E2042" s="4" t="s">
        <v>35</v>
      </c>
      <c r="F2042" s="4" t="s">
        <v>24</v>
      </c>
      <c r="G2042" s="4" t="s">
        <v>30</v>
      </c>
      <c r="H2042" s="4" t="s">
        <v>25</v>
      </c>
      <c r="I2042" s="4">
        <v>1</v>
      </c>
      <c r="J2042" s="5">
        <v>7.1</v>
      </c>
      <c r="K2042" s="6">
        <v>0.89</v>
      </c>
      <c r="L2042" s="4">
        <v>2</v>
      </c>
      <c r="M2042" s="4">
        <v>97</v>
      </c>
      <c r="N2042" s="4">
        <v>103</v>
      </c>
      <c r="O2042" s="4" t="s">
        <v>21</v>
      </c>
      <c r="P2042" s="7" t="s">
        <v>19</v>
      </c>
    </row>
    <row r="2043" spans="2:16" x14ac:dyDescent="0.45">
      <c r="B2043" s="4">
        <v>2042</v>
      </c>
      <c r="C2043" s="4" t="s">
        <v>43</v>
      </c>
      <c r="D2043" s="4" t="s">
        <v>16</v>
      </c>
      <c r="E2043" s="4" t="s">
        <v>17</v>
      </c>
      <c r="F2043" s="4" t="s">
        <v>24</v>
      </c>
      <c r="G2043" s="4" t="s">
        <v>30</v>
      </c>
      <c r="H2043" s="4" t="s">
        <v>32</v>
      </c>
      <c r="I2043" s="4">
        <v>10</v>
      </c>
      <c r="J2043" s="5">
        <v>20.100000000000001</v>
      </c>
      <c r="K2043" s="6">
        <v>1.3</v>
      </c>
      <c r="L2043" s="4">
        <v>5</v>
      </c>
      <c r="M2043" s="4">
        <v>96</v>
      </c>
      <c r="N2043" s="4">
        <v>143</v>
      </c>
      <c r="O2043" s="4" t="s">
        <v>21</v>
      </c>
      <c r="P2043" s="7" t="s">
        <v>19</v>
      </c>
    </row>
    <row r="2044" spans="2:16" x14ac:dyDescent="0.45">
      <c r="B2044" s="4">
        <v>2043</v>
      </c>
      <c r="C2044" s="4" t="s">
        <v>15</v>
      </c>
      <c r="D2044" s="4" t="s">
        <v>16</v>
      </c>
      <c r="E2044" s="4" t="s">
        <v>37</v>
      </c>
      <c r="F2044" s="4" t="s">
        <v>24</v>
      </c>
      <c r="G2044" s="4" t="s">
        <v>19</v>
      </c>
      <c r="H2044" s="4" t="s">
        <v>25</v>
      </c>
      <c r="I2044" s="4">
        <v>84</v>
      </c>
      <c r="J2044" s="5">
        <v>74.8</v>
      </c>
      <c r="K2044" s="6">
        <v>1.86</v>
      </c>
      <c r="L2044" s="4">
        <v>3</v>
      </c>
      <c r="M2044" s="4">
        <v>120</v>
      </c>
      <c r="N2044" s="4">
        <v>85</v>
      </c>
      <c r="O2044" s="4" t="s">
        <v>26</v>
      </c>
      <c r="P2044" s="7" t="s">
        <v>19</v>
      </c>
    </row>
    <row r="2045" spans="2:16" x14ac:dyDescent="0.45">
      <c r="B2045" s="4">
        <v>2044</v>
      </c>
      <c r="C2045" s="4" t="s">
        <v>45</v>
      </c>
      <c r="D2045" s="4" t="s">
        <v>23</v>
      </c>
      <c r="E2045" s="4" t="s">
        <v>17</v>
      </c>
      <c r="F2045" s="4" t="s">
        <v>42</v>
      </c>
      <c r="G2045" s="4" t="s">
        <v>19</v>
      </c>
      <c r="H2045" s="4" t="s">
        <v>20</v>
      </c>
      <c r="I2045" s="4">
        <v>52</v>
      </c>
      <c r="J2045" s="5">
        <v>52.3</v>
      </c>
      <c r="K2045" s="6">
        <v>1.69</v>
      </c>
      <c r="L2045" s="4">
        <v>2</v>
      </c>
      <c r="M2045" s="4">
        <v>120</v>
      </c>
      <c r="N2045" s="4">
        <v>95</v>
      </c>
      <c r="O2045" s="4" t="s">
        <v>21</v>
      </c>
      <c r="P2045" s="7" t="s">
        <v>19</v>
      </c>
    </row>
    <row r="2046" spans="2:16" x14ac:dyDescent="0.45">
      <c r="B2046" s="4">
        <v>2045</v>
      </c>
      <c r="C2046" s="4" t="s">
        <v>33</v>
      </c>
      <c r="D2046" s="4" t="s">
        <v>16</v>
      </c>
      <c r="E2046" s="4" t="s">
        <v>35</v>
      </c>
      <c r="F2046" s="4" t="s">
        <v>18</v>
      </c>
      <c r="G2046" s="4" t="s">
        <v>30</v>
      </c>
      <c r="H2046" s="4" t="s">
        <v>25</v>
      </c>
      <c r="I2046" s="4">
        <v>9</v>
      </c>
      <c r="J2046" s="5">
        <v>26.4</v>
      </c>
      <c r="K2046" s="6">
        <v>1.0900000000000001</v>
      </c>
      <c r="L2046" s="4">
        <v>3</v>
      </c>
      <c r="M2046" s="4">
        <v>105</v>
      </c>
      <c r="N2046" s="4">
        <v>104</v>
      </c>
      <c r="O2046" s="4" t="s">
        <v>26</v>
      </c>
      <c r="P2046" s="7" t="s">
        <v>19</v>
      </c>
    </row>
    <row r="2047" spans="2:16" x14ac:dyDescent="0.45">
      <c r="B2047" s="4">
        <v>2046</v>
      </c>
      <c r="C2047" s="4" t="s">
        <v>27</v>
      </c>
      <c r="D2047" s="4" t="s">
        <v>16</v>
      </c>
      <c r="E2047" s="4" t="s">
        <v>35</v>
      </c>
      <c r="F2047" s="4" t="s">
        <v>24</v>
      </c>
      <c r="G2047" s="4" t="s">
        <v>19</v>
      </c>
      <c r="H2047" s="4" t="s">
        <v>32</v>
      </c>
      <c r="I2047" s="4">
        <v>70</v>
      </c>
      <c r="J2047" s="5">
        <v>65.099999999999994</v>
      </c>
      <c r="K2047" s="6">
        <v>1.8</v>
      </c>
      <c r="L2047" s="4">
        <v>0</v>
      </c>
      <c r="M2047" s="4">
        <v>129</v>
      </c>
      <c r="N2047" s="4">
        <v>165</v>
      </c>
      <c r="O2047" s="4" t="s">
        <v>26</v>
      </c>
      <c r="P2047" s="7" t="s">
        <v>19</v>
      </c>
    </row>
    <row r="2048" spans="2:16" x14ac:dyDescent="0.45">
      <c r="B2048" s="4">
        <v>2047</v>
      </c>
      <c r="C2048" s="4" t="s">
        <v>22</v>
      </c>
      <c r="D2048" s="4" t="s">
        <v>16</v>
      </c>
      <c r="E2048" s="4" t="s">
        <v>35</v>
      </c>
      <c r="F2048" s="4" t="s">
        <v>18</v>
      </c>
      <c r="G2048" s="4" t="s">
        <v>30</v>
      </c>
      <c r="H2048" s="4" t="s">
        <v>25</v>
      </c>
      <c r="I2048" s="4">
        <v>17</v>
      </c>
      <c r="J2048" s="5">
        <v>62.1</v>
      </c>
      <c r="K2048" s="6">
        <v>1.68</v>
      </c>
      <c r="L2048" s="4">
        <v>5</v>
      </c>
      <c r="M2048" s="4">
        <v>105</v>
      </c>
      <c r="N2048" s="4">
        <v>89</v>
      </c>
      <c r="O2048" s="4" t="s">
        <v>21</v>
      </c>
      <c r="P2048" s="7" t="s">
        <v>19</v>
      </c>
    </row>
    <row r="2049" spans="2:16" x14ac:dyDescent="0.45">
      <c r="B2049" s="4">
        <v>2048</v>
      </c>
      <c r="C2049" s="4" t="s">
        <v>31</v>
      </c>
      <c r="D2049" s="4" t="s">
        <v>16</v>
      </c>
      <c r="E2049" s="4" t="s">
        <v>17</v>
      </c>
      <c r="F2049" s="4" t="s">
        <v>18</v>
      </c>
      <c r="G2049" s="4" t="s">
        <v>19</v>
      </c>
      <c r="H2049" s="4" t="s">
        <v>28</v>
      </c>
      <c r="I2049" s="4">
        <v>63</v>
      </c>
      <c r="J2049" s="5">
        <v>82.7</v>
      </c>
      <c r="K2049" s="6">
        <v>1.62</v>
      </c>
      <c r="L2049" s="4">
        <v>2</v>
      </c>
      <c r="M2049" s="4">
        <v>123</v>
      </c>
      <c r="N2049" s="4">
        <v>103</v>
      </c>
      <c r="O2049" s="4" t="s">
        <v>26</v>
      </c>
      <c r="P2049" s="7" t="s">
        <v>19</v>
      </c>
    </row>
    <row r="2050" spans="2:16" x14ac:dyDescent="0.45">
      <c r="B2050" s="4">
        <v>2049</v>
      </c>
      <c r="C2050" s="4" t="s">
        <v>33</v>
      </c>
      <c r="D2050" s="4" t="s">
        <v>16</v>
      </c>
      <c r="E2050" s="4" t="s">
        <v>17</v>
      </c>
      <c r="F2050" s="4" t="s">
        <v>18</v>
      </c>
      <c r="G2050" s="4" t="s">
        <v>19</v>
      </c>
      <c r="H2050" s="4" t="s">
        <v>34</v>
      </c>
      <c r="I2050" s="4">
        <v>85</v>
      </c>
      <c r="J2050" s="5">
        <v>84</v>
      </c>
      <c r="K2050" s="6">
        <v>1.53</v>
      </c>
      <c r="L2050" s="4">
        <v>3</v>
      </c>
      <c r="M2050" s="4">
        <v>126</v>
      </c>
      <c r="N2050" s="4">
        <v>79</v>
      </c>
      <c r="O2050" s="4" t="s">
        <v>21</v>
      </c>
      <c r="P2050" s="7" t="s">
        <v>30</v>
      </c>
    </row>
    <row r="2051" spans="2:16" x14ac:dyDescent="0.45">
      <c r="B2051" s="4">
        <v>2050</v>
      </c>
      <c r="C2051" s="4" t="s">
        <v>39</v>
      </c>
      <c r="D2051" s="4" t="s">
        <v>16</v>
      </c>
      <c r="E2051" s="4" t="s">
        <v>17</v>
      </c>
      <c r="F2051" s="4" t="s">
        <v>24</v>
      </c>
      <c r="G2051" s="4" t="s">
        <v>19</v>
      </c>
      <c r="H2051" s="4" t="s">
        <v>46</v>
      </c>
      <c r="I2051" s="4">
        <v>16</v>
      </c>
      <c r="J2051" s="5">
        <v>55.4</v>
      </c>
      <c r="K2051" s="6">
        <v>1.7</v>
      </c>
      <c r="L2051" s="4">
        <v>0</v>
      </c>
      <c r="M2051" s="4">
        <v>111</v>
      </c>
      <c r="N2051" s="4">
        <v>90</v>
      </c>
      <c r="O2051" s="4" t="s">
        <v>26</v>
      </c>
      <c r="P2051" s="7" t="s">
        <v>30</v>
      </c>
    </row>
    <row r="2052" spans="2:16" x14ac:dyDescent="0.45">
      <c r="B2052" s="4">
        <v>2051</v>
      </c>
      <c r="C2052" s="4" t="s">
        <v>22</v>
      </c>
      <c r="D2052" s="4" t="s">
        <v>16</v>
      </c>
      <c r="E2052" s="4" t="s">
        <v>17</v>
      </c>
      <c r="F2052" s="4" t="s">
        <v>18</v>
      </c>
      <c r="G2052" s="4" t="s">
        <v>30</v>
      </c>
      <c r="H2052" s="4" t="s">
        <v>28</v>
      </c>
      <c r="I2052" s="4">
        <v>22</v>
      </c>
      <c r="J2052" s="5">
        <v>94.9</v>
      </c>
      <c r="K2052" s="6">
        <v>1.63</v>
      </c>
      <c r="L2052" s="4">
        <v>2</v>
      </c>
      <c r="M2052" s="4">
        <v>123</v>
      </c>
      <c r="N2052" s="4">
        <v>104</v>
      </c>
      <c r="O2052" s="4" t="s">
        <v>21</v>
      </c>
      <c r="P2052" s="7" t="s">
        <v>30</v>
      </c>
    </row>
    <row r="2053" spans="2:16" x14ac:dyDescent="0.45">
      <c r="B2053" s="4">
        <v>2052</v>
      </c>
      <c r="C2053" s="4" t="s">
        <v>40</v>
      </c>
      <c r="D2053" s="4" t="s">
        <v>23</v>
      </c>
      <c r="E2053" s="4" t="s">
        <v>17</v>
      </c>
      <c r="F2053" s="4" t="s">
        <v>24</v>
      </c>
      <c r="G2053" s="4" t="s">
        <v>19</v>
      </c>
      <c r="H2053" s="4" t="s">
        <v>34</v>
      </c>
      <c r="I2053" s="4">
        <v>9</v>
      </c>
      <c r="J2053" s="5">
        <v>27</v>
      </c>
      <c r="K2053" s="6">
        <v>1.18</v>
      </c>
      <c r="L2053" s="4">
        <v>2</v>
      </c>
      <c r="M2053" s="4">
        <v>111</v>
      </c>
      <c r="N2053" s="4">
        <v>99</v>
      </c>
      <c r="O2053" s="4" t="s">
        <v>26</v>
      </c>
      <c r="P2053" s="7" t="s">
        <v>19</v>
      </c>
    </row>
    <row r="2054" spans="2:16" x14ac:dyDescent="0.45">
      <c r="B2054" s="4">
        <v>2053</v>
      </c>
      <c r="C2054" s="4" t="s">
        <v>22</v>
      </c>
      <c r="D2054" s="4" t="s">
        <v>23</v>
      </c>
      <c r="E2054" s="4" t="s">
        <v>17</v>
      </c>
      <c r="F2054" s="4" t="s">
        <v>18</v>
      </c>
      <c r="G2054" s="4" t="s">
        <v>19</v>
      </c>
      <c r="H2054" s="4" t="s">
        <v>20</v>
      </c>
      <c r="I2054" s="4">
        <v>35</v>
      </c>
      <c r="J2054" s="5">
        <v>48.1</v>
      </c>
      <c r="K2054" s="6">
        <v>1.76</v>
      </c>
      <c r="L2054" s="4">
        <v>3</v>
      </c>
      <c r="M2054" s="4">
        <v>108</v>
      </c>
      <c r="N2054" s="4">
        <v>102</v>
      </c>
      <c r="O2054" s="4" t="s">
        <v>21</v>
      </c>
      <c r="P2054" s="7" t="s">
        <v>30</v>
      </c>
    </row>
    <row r="2055" spans="2:16" x14ac:dyDescent="0.45">
      <c r="B2055" s="4">
        <v>2054</v>
      </c>
      <c r="C2055" s="4" t="s">
        <v>33</v>
      </c>
      <c r="D2055" s="4" t="s">
        <v>23</v>
      </c>
      <c r="E2055" s="4" t="s">
        <v>17</v>
      </c>
      <c r="F2055" s="4" t="s">
        <v>24</v>
      </c>
      <c r="G2055" s="4" t="s">
        <v>19</v>
      </c>
      <c r="H2055" s="4" t="s">
        <v>28</v>
      </c>
      <c r="I2055" s="4">
        <v>2</v>
      </c>
      <c r="J2055" s="5">
        <v>8.8000000000000007</v>
      </c>
      <c r="K2055" s="6">
        <v>0.83</v>
      </c>
      <c r="L2055" s="4">
        <v>0</v>
      </c>
      <c r="M2055" s="4">
        <v>116</v>
      </c>
      <c r="N2055" s="4">
        <v>73</v>
      </c>
      <c r="O2055" s="4" t="s">
        <v>26</v>
      </c>
      <c r="P2055" s="7" t="s">
        <v>19</v>
      </c>
    </row>
    <row r="2056" spans="2:16" x14ac:dyDescent="0.45">
      <c r="B2056" s="4">
        <v>2055</v>
      </c>
      <c r="C2056" s="4" t="s">
        <v>15</v>
      </c>
      <c r="D2056" s="4" t="s">
        <v>23</v>
      </c>
      <c r="E2056" s="4" t="s">
        <v>17</v>
      </c>
      <c r="F2056" s="4" t="s">
        <v>18</v>
      </c>
      <c r="G2056" s="4" t="s">
        <v>19</v>
      </c>
      <c r="H2056" s="4" t="s">
        <v>28</v>
      </c>
      <c r="I2056" s="4">
        <v>21</v>
      </c>
      <c r="J2056" s="5">
        <v>67.7</v>
      </c>
      <c r="K2056" s="6">
        <v>1.85</v>
      </c>
      <c r="L2056" s="4">
        <v>3</v>
      </c>
      <c r="M2056" s="4">
        <v>103</v>
      </c>
      <c r="N2056" s="4">
        <v>79</v>
      </c>
      <c r="O2056" s="4" t="s">
        <v>26</v>
      </c>
      <c r="P2056" s="7" t="s">
        <v>19</v>
      </c>
    </row>
    <row r="2057" spans="2:16" x14ac:dyDescent="0.45">
      <c r="B2057" s="4">
        <v>2056</v>
      </c>
      <c r="C2057" s="4" t="s">
        <v>31</v>
      </c>
      <c r="D2057" s="4" t="s">
        <v>23</v>
      </c>
      <c r="E2057" s="4" t="s">
        <v>17</v>
      </c>
      <c r="F2057" s="4" t="s">
        <v>24</v>
      </c>
      <c r="G2057" s="4" t="s">
        <v>30</v>
      </c>
      <c r="H2057" s="4" t="s">
        <v>34</v>
      </c>
      <c r="I2057" s="4">
        <v>54</v>
      </c>
      <c r="J2057" s="5">
        <v>65.099999999999994</v>
      </c>
      <c r="K2057" s="6">
        <v>1.81</v>
      </c>
      <c r="L2057" s="4">
        <v>7</v>
      </c>
      <c r="M2057" s="4">
        <v>124</v>
      </c>
      <c r="N2057" s="4">
        <v>71</v>
      </c>
      <c r="O2057" s="4" t="s">
        <v>21</v>
      </c>
      <c r="P2057" s="7" t="s">
        <v>19</v>
      </c>
    </row>
    <row r="2058" spans="2:16" x14ac:dyDescent="0.45">
      <c r="B2058" s="4">
        <v>2057</v>
      </c>
      <c r="C2058" s="4" t="s">
        <v>29</v>
      </c>
      <c r="D2058" s="4" t="s">
        <v>23</v>
      </c>
      <c r="E2058" s="4" t="s">
        <v>17</v>
      </c>
      <c r="F2058" s="4" t="s">
        <v>24</v>
      </c>
      <c r="G2058" s="4" t="s">
        <v>19</v>
      </c>
      <c r="H2058" s="4" t="s">
        <v>34</v>
      </c>
      <c r="I2058" s="4">
        <v>24</v>
      </c>
      <c r="J2058" s="5">
        <v>61.1</v>
      </c>
      <c r="K2058" s="6">
        <v>1.49</v>
      </c>
      <c r="L2058" s="4">
        <v>1</v>
      </c>
      <c r="M2058" s="4">
        <v>98</v>
      </c>
      <c r="N2058" s="4">
        <v>91</v>
      </c>
      <c r="O2058" s="4" t="s">
        <v>21</v>
      </c>
      <c r="P2058" s="7" t="s">
        <v>19</v>
      </c>
    </row>
    <row r="2059" spans="2:16" x14ac:dyDescent="0.45">
      <c r="B2059" s="4">
        <v>2058</v>
      </c>
      <c r="C2059" s="4" t="s">
        <v>27</v>
      </c>
      <c r="D2059" s="4" t="s">
        <v>23</v>
      </c>
      <c r="E2059" s="4" t="s">
        <v>35</v>
      </c>
      <c r="F2059" s="4" t="s">
        <v>18</v>
      </c>
      <c r="G2059" s="4" t="s">
        <v>19</v>
      </c>
      <c r="H2059" s="4" t="s">
        <v>36</v>
      </c>
      <c r="I2059" s="4">
        <v>55</v>
      </c>
      <c r="J2059" s="5">
        <v>72.599999999999994</v>
      </c>
      <c r="K2059" s="6">
        <v>1.69</v>
      </c>
      <c r="L2059" s="4">
        <v>0</v>
      </c>
      <c r="M2059" s="4">
        <v>150</v>
      </c>
      <c r="N2059" s="4">
        <v>95</v>
      </c>
      <c r="O2059" s="4" t="s">
        <v>26</v>
      </c>
      <c r="P2059" s="7" t="s">
        <v>30</v>
      </c>
    </row>
    <row r="2060" spans="2:16" x14ac:dyDescent="0.45">
      <c r="B2060" s="4">
        <v>2059</v>
      </c>
      <c r="C2060" s="4" t="s">
        <v>39</v>
      </c>
      <c r="D2060" s="4" t="s">
        <v>23</v>
      </c>
      <c r="E2060" s="4" t="s">
        <v>17</v>
      </c>
      <c r="F2060" s="4" t="s">
        <v>18</v>
      </c>
      <c r="G2060" s="4" t="s">
        <v>19</v>
      </c>
      <c r="H2060" s="4" t="s">
        <v>28</v>
      </c>
      <c r="I2060" s="4">
        <v>10</v>
      </c>
      <c r="J2060" s="5">
        <v>26.5</v>
      </c>
      <c r="K2060" s="6">
        <v>1.43</v>
      </c>
      <c r="L2060" s="4">
        <v>3</v>
      </c>
      <c r="M2060" s="4">
        <v>95</v>
      </c>
      <c r="N2060" s="4">
        <v>89</v>
      </c>
      <c r="O2060" s="4" t="s">
        <v>21</v>
      </c>
      <c r="P2060" s="7" t="s">
        <v>19</v>
      </c>
    </row>
    <row r="2061" spans="2:16" x14ac:dyDescent="0.45">
      <c r="B2061" s="4">
        <v>2060</v>
      </c>
      <c r="C2061" s="4" t="s">
        <v>41</v>
      </c>
      <c r="D2061" s="4" t="s">
        <v>16</v>
      </c>
      <c r="E2061" s="4" t="s">
        <v>35</v>
      </c>
      <c r="F2061" s="4" t="s">
        <v>24</v>
      </c>
      <c r="G2061" s="4" t="s">
        <v>19</v>
      </c>
      <c r="H2061" s="4" t="s">
        <v>32</v>
      </c>
      <c r="I2061" s="4">
        <v>0</v>
      </c>
      <c r="J2061" s="5">
        <v>15.5</v>
      </c>
      <c r="K2061" s="6">
        <v>0.77</v>
      </c>
      <c r="L2061" s="4">
        <v>1</v>
      </c>
      <c r="M2061" s="4">
        <v>113</v>
      </c>
      <c r="N2061" s="4">
        <v>177</v>
      </c>
      <c r="O2061" s="4" t="s">
        <v>26</v>
      </c>
      <c r="P2061" s="7" t="s">
        <v>19</v>
      </c>
    </row>
    <row r="2062" spans="2:16" x14ac:dyDescent="0.45">
      <c r="B2062" s="4">
        <v>2061</v>
      </c>
      <c r="C2062" s="4" t="s">
        <v>15</v>
      </c>
      <c r="D2062" s="4" t="s">
        <v>23</v>
      </c>
      <c r="E2062" s="4" t="s">
        <v>17</v>
      </c>
      <c r="F2062" s="4" t="s">
        <v>18</v>
      </c>
      <c r="G2062" s="4" t="s">
        <v>19</v>
      </c>
      <c r="H2062" s="4" t="s">
        <v>20</v>
      </c>
      <c r="I2062" s="4">
        <v>10</v>
      </c>
      <c r="J2062" s="5">
        <v>25</v>
      </c>
      <c r="K2062" s="6">
        <v>1.23</v>
      </c>
      <c r="L2062" s="4">
        <v>1</v>
      </c>
      <c r="M2062" s="4">
        <v>94</v>
      </c>
      <c r="N2062" s="4">
        <v>89</v>
      </c>
      <c r="O2062" s="4" t="s">
        <v>26</v>
      </c>
      <c r="P2062" s="7" t="s">
        <v>19</v>
      </c>
    </row>
    <row r="2063" spans="2:16" x14ac:dyDescent="0.45">
      <c r="B2063" s="4">
        <v>2062</v>
      </c>
      <c r="C2063" s="4" t="s">
        <v>39</v>
      </c>
      <c r="D2063" s="4" t="s">
        <v>23</v>
      </c>
      <c r="E2063" s="4" t="s">
        <v>17</v>
      </c>
      <c r="F2063" s="4" t="s">
        <v>24</v>
      </c>
      <c r="G2063" s="4" t="s">
        <v>19</v>
      </c>
      <c r="H2063" s="4" t="s">
        <v>34</v>
      </c>
      <c r="I2063" s="4">
        <v>29</v>
      </c>
      <c r="J2063" s="5">
        <v>81.599999999999994</v>
      </c>
      <c r="K2063" s="6">
        <v>1.85</v>
      </c>
      <c r="L2063" s="4">
        <v>1</v>
      </c>
      <c r="M2063" s="4">
        <v>112</v>
      </c>
      <c r="N2063" s="4">
        <v>84</v>
      </c>
      <c r="O2063" s="4" t="s">
        <v>26</v>
      </c>
      <c r="P2063" s="7" t="s">
        <v>19</v>
      </c>
    </row>
    <row r="2064" spans="2:16" x14ac:dyDescent="0.45">
      <c r="B2064" s="4">
        <v>2063</v>
      </c>
      <c r="C2064" s="4" t="s">
        <v>27</v>
      </c>
      <c r="D2064" s="4" t="s">
        <v>16</v>
      </c>
      <c r="E2064" s="4" t="s">
        <v>17</v>
      </c>
      <c r="F2064" s="4" t="s">
        <v>24</v>
      </c>
      <c r="G2064" s="4" t="s">
        <v>30</v>
      </c>
      <c r="H2064" s="4" t="s">
        <v>34</v>
      </c>
      <c r="I2064" s="4">
        <v>23</v>
      </c>
      <c r="J2064" s="5">
        <v>76.3</v>
      </c>
      <c r="K2064" s="6">
        <v>1.5</v>
      </c>
      <c r="L2064" s="4">
        <v>4</v>
      </c>
      <c r="M2064" s="4">
        <v>98</v>
      </c>
      <c r="N2064" s="4">
        <v>86</v>
      </c>
      <c r="O2064" s="4" t="s">
        <v>21</v>
      </c>
      <c r="P2064" s="7" t="s">
        <v>19</v>
      </c>
    </row>
    <row r="2065" spans="2:16" x14ac:dyDescent="0.45">
      <c r="B2065" s="4">
        <v>2064</v>
      </c>
      <c r="C2065" s="4" t="s">
        <v>15</v>
      </c>
      <c r="D2065" s="4" t="s">
        <v>16</v>
      </c>
      <c r="E2065" s="4" t="s">
        <v>37</v>
      </c>
      <c r="F2065" s="4" t="s">
        <v>24</v>
      </c>
      <c r="G2065" s="4" t="s">
        <v>19</v>
      </c>
      <c r="H2065" s="4" t="s">
        <v>32</v>
      </c>
      <c r="I2065" s="4">
        <v>5</v>
      </c>
      <c r="J2065" s="5">
        <v>37.6</v>
      </c>
      <c r="K2065" s="6">
        <v>1.23</v>
      </c>
      <c r="L2065" s="4">
        <v>4</v>
      </c>
      <c r="M2065" s="4">
        <v>105</v>
      </c>
      <c r="N2065" s="4">
        <v>173</v>
      </c>
      <c r="O2065" s="4" t="s">
        <v>21</v>
      </c>
      <c r="P2065" s="7" t="s">
        <v>19</v>
      </c>
    </row>
    <row r="2066" spans="2:16" x14ac:dyDescent="0.45">
      <c r="B2066" s="4">
        <v>2065</v>
      </c>
      <c r="C2066" s="4" t="s">
        <v>22</v>
      </c>
      <c r="D2066" s="4" t="s">
        <v>23</v>
      </c>
      <c r="E2066" s="4" t="s">
        <v>35</v>
      </c>
      <c r="F2066" s="4" t="s">
        <v>18</v>
      </c>
      <c r="G2066" s="4" t="s">
        <v>19</v>
      </c>
      <c r="H2066" s="4" t="s">
        <v>36</v>
      </c>
      <c r="I2066" s="4">
        <v>15</v>
      </c>
      <c r="J2066" s="5">
        <v>57.9</v>
      </c>
      <c r="K2066" s="6">
        <v>1.72</v>
      </c>
      <c r="L2066" s="4">
        <v>8</v>
      </c>
      <c r="M2066" s="4">
        <v>135</v>
      </c>
      <c r="N2066" s="4">
        <v>77</v>
      </c>
      <c r="O2066" s="4" t="s">
        <v>26</v>
      </c>
      <c r="P2066" s="7" t="s">
        <v>30</v>
      </c>
    </row>
    <row r="2067" spans="2:16" x14ac:dyDescent="0.45">
      <c r="B2067" s="4">
        <v>2066</v>
      </c>
      <c r="C2067" s="4" t="s">
        <v>22</v>
      </c>
      <c r="D2067" s="4" t="s">
        <v>23</v>
      </c>
      <c r="E2067" s="4" t="s">
        <v>35</v>
      </c>
      <c r="F2067" s="4" t="s">
        <v>24</v>
      </c>
      <c r="G2067" s="4" t="s">
        <v>19</v>
      </c>
      <c r="H2067" s="4" t="s">
        <v>28</v>
      </c>
      <c r="I2067" s="4">
        <v>18</v>
      </c>
      <c r="J2067" s="5">
        <v>85.9</v>
      </c>
      <c r="K2067" s="6">
        <v>1.82</v>
      </c>
      <c r="L2067" s="4">
        <v>2</v>
      </c>
      <c r="M2067" s="4">
        <v>109</v>
      </c>
      <c r="N2067" s="4">
        <v>93</v>
      </c>
      <c r="O2067" s="4" t="s">
        <v>26</v>
      </c>
      <c r="P2067" s="7" t="s">
        <v>19</v>
      </c>
    </row>
    <row r="2068" spans="2:16" x14ac:dyDescent="0.45">
      <c r="B2068" s="4">
        <v>2067</v>
      </c>
      <c r="C2068" s="4" t="s">
        <v>39</v>
      </c>
      <c r="D2068" s="4" t="s">
        <v>23</v>
      </c>
      <c r="E2068" s="4" t="s">
        <v>17</v>
      </c>
      <c r="F2068" s="4" t="s">
        <v>24</v>
      </c>
      <c r="G2068" s="4" t="s">
        <v>30</v>
      </c>
      <c r="H2068" s="4" t="s">
        <v>34</v>
      </c>
      <c r="I2068" s="4">
        <v>14</v>
      </c>
      <c r="J2068" s="5">
        <v>51.1</v>
      </c>
      <c r="K2068" s="6">
        <v>1.49</v>
      </c>
      <c r="L2068" s="4">
        <v>4</v>
      </c>
      <c r="M2068" s="4">
        <v>115</v>
      </c>
      <c r="N2068" s="4">
        <v>101</v>
      </c>
      <c r="O2068" s="4" t="s">
        <v>21</v>
      </c>
      <c r="P2068" s="7" t="s">
        <v>19</v>
      </c>
    </row>
    <row r="2069" spans="2:16" x14ac:dyDescent="0.45">
      <c r="B2069" s="4">
        <v>2068</v>
      </c>
      <c r="C2069" s="4" t="s">
        <v>27</v>
      </c>
      <c r="D2069" s="4" t="s">
        <v>16</v>
      </c>
      <c r="E2069" s="4" t="s">
        <v>17</v>
      </c>
      <c r="F2069" s="4" t="s">
        <v>18</v>
      </c>
      <c r="G2069" s="4" t="s">
        <v>30</v>
      </c>
      <c r="H2069" s="4" t="s">
        <v>36</v>
      </c>
      <c r="I2069" s="4">
        <v>41</v>
      </c>
      <c r="J2069" s="5">
        <v>64.2</v>
      </c>
      <c r="K2069" s="6">
        <v>1.64</v>
      </c>
      <c r="L2069" s="4">
        <v>4</v>
      </c>
      <c r="M2069" s="4">
        <v>142</v>
      </c>
      <c r="N2069" s="4">
        <v>80</v>
      </c>
      <c r="O2069" s="4" t="s">
        <v>26</v>
      </c>
      <c r="P2069" s="7" t="s">
        <v>30</v>
      </c>
    </row>
    <row r="2070" spans="2:16" x14ac:dyDescent="0.45">
      <c r="B2070" s="4">
        <v>2069</v>
      </c>
      <c r="C2070" s="4" t="s">
        <v>43</v>
      </c>
      <c r="D2070" s="4" t="s">
        <v>16</v>
      </c>
      <c r="E2070" s="4" t="s">
        <v>17</v>
      </c>
      <c r="F2070" s="4" t="s">
        <v>28</v>
      </c>
      <c r="G2070" s="4" t="s">
        <v>19</v>
      </c>
      <c r="H2070" s="4" t="s">
        <v>20</v>
      </c>
      <c r="I2070" s="4">
        <v>9</v>
      </c>
      <c r="J2070" s="5">
        <v>22.7</v>
      </c>
      <c r="K2070" s="6">
        <v>1.4</v>
      </c>
      <c r="L2070" s="4">
        <v>8</v>
      </c>
      <c r="M2070" s="4">
        <v>116</v>
      </c>
      <c r="N2070" s="4">
        <v>101</v>
      </c>
      <c r="O2070" s="4" t="s">
        <v>26</v>
      </c>
      <c r="P2070" s="7" t="s">
        <v>30</v>
      </c>
    </row>
    <row r="2071" spans="2:16" x14ac:dyDescent="0.45">
      <c r="B2071" s="4">
        <v>2070</v>
      </c>
      <c r="C2071" s="4" t="s">
        <v>22</v>
      </c>
      <c r="D2071" s="4" t="s">
        <v>23</v>
      </c>
      <c r="E2071" s="4" t="s">
        <v>35</v>
      </c>
      <c r="F2071" s="4" t="s">
        <v>24</v>
      </c>
      <c r="G2071" s="4" t="s">
        <v>19</v>
      </c>
      <c r="H2071" s="4" t="s">
        <v>20</v>
      </c>
      <c r="I2071" s="4">
        <v>26</v>
      </c>
      <c r="J2071" s="5">
        <v>64.5</v>
      </c>
      <c r="K2071" s="6">
        <v>1.5</v>
      </c>
      <c r="L2071" s="4">
        <v>1</v>
      </c>
      <c r="M2071" s="4">
        <v>113</v>
      </c>
      <c r="N2071" s="4">
        <v>81</v>
      </c>
      <c r="O2071" s="4" t="s">
        <v>26</v>
      </c>
      <c r="P2071" s="7" t="s">
        <v>19</v>
      </c>
    </row>
    <row r="2072" spans="2:16" x14ac:dyDescent="0.45">
      <c r="B2072" s="4">
        <v>2071</v>
      </c>
      <c r="C2072" s="4" t="s">
        <v>41</v>
      </c>
      <c r="D2072" s="4" t="s">
        <v>16</v>
      </c>
      <c r="E2072" s="4" t="s">
        <v>17</v>
      </c>
      <c r="F2072" s="4" t="s">
        <v>24</v>
      </c>
      <c r="G2072" s="4" t="s">
        <v>19</v>
      </c>
      <c r="H2072" s="4" t="s">
        <v>20</v>
      </c>
      <c r="I2072" s="4">
        <v>52</v>
      </c>
      <c r="J2072" s="5">
        <v>79.099999999999994</v>
      </c>
      <c r="K2072" s="6">
        <v>1.48</v>
      </c>
      <c r="L2072" s="4">
        <v>1</v>
      </c>
      <c r="M2072" s="4">
        <v>136</v>
      </c>
      <c r="N2072" s="4">
        <v>98</v>
      </c>
      <c r="O2072" s="4" t="s">
        <v>21</v>
      </c>
      <c r="P2072" s="7" t="s">
        <v>30</v>
      </c>
    </row>
    <row r="2073" spans="2:16" x14ac:dyDescent="0.45">
      <c r="B2073" s="4">
        <v>2072</v>
      </c>
      <c r="C2073" s="4" t="s">
        <v>15</v>
      </c>
      <c r="D2073" s="4" t="s">
        <v>23</v>
      </c>
      <c r="E2073" s="4" t="s">
        <v>35</v>
      </c>
      <c r="F2073" s="4" t="s">
        <v>18</v>
      </c>
      <c r="G2073" s="4" t="s">
        <v>19</v>
      </c>
      <c r="H2073" s="4" t="s">
        <v>46</v>
      </c>
      <c r="I2073" s="4">
        <v>36</v>
      </c>
      <c r="J2073" s="5">
        <v>61.7</v>
      </c>
      <c r="K2073" s="6">
        <v>1.66</v>
      </c>
      <c r="L2073" s="4">
        <v>2</v>
      </c>
      <c r="M2073" s="4">
        <v>118</v>
      </c>
      <c r="N2073" s="4">
        <v>99</v>
      </c>
      <c r="O2073" s="4" t="s">
        <v>26</v>
      </c>
      <c r="P2073" s="7" t="s">
        <v>19</v>
      </c>
    </row>
    <row r="2074" spans="2:16" x14ac:dyDescent="0.45">
      <c r="B2074" s="4">
        <v>2073</v>
      </c>
      <c r="C2074" s="4" t="s">
        <v>41</v>
      </c>
      <c r="D2074" s="4" t="s">
        <v>23</v>
      </c>
      <c r="E2074" s="4" t="s">
        <v>35</v>
      </c>
      <c r="F2074" s="4" t="s">
        <v>18</v>
      </c>
      <c r="G2074" s="4" t="s">
        <v>19</v>
      </c>
      <c r="H2074" s="4" t="s">
        <v>32</v>
      </c>
      <c r="I2074" s="4">
        <v>0</v>
      </c>
      <c r="J2074" s="5">
        <v>7.8</v>
      </c>
      <c r="K2074" s="6">
        <v>0.61</v>
      </c>
      <c r="L2074" s="4">
        <v>2</v>
      </c>
      <c r="M2074" s="4">
        <v>92</v>
      </c>
      <c r="N2074" s="4">
        <v>144</v>
      </c>
      <c r="O2074" s="4" t="s">
        <v>26</v>
      </c>
      <c r="P2074" s="7" t="s">
        <v>19</v>
      </c>
    </row>
    <row r="2075" spans="2:16" x14ac:dyDescent="0.45">
      <c r="B2075" s="4">
        <v>2074</v>
      </c>
      <c r="C2075" s="4" t="s">
        <v>41</v>
      </c>
      <c r="D2075" s="4" t="s">
        <v>16</v>
      </c>
      <c r="E2075" s="4" t="s">
        <v>35</v>
      </c>
      <c r="F2075" s="4" t="s">
        <v>18</v>
      </c>
      <c r="G2075" s="4" t="s">
        <v>19</v>
      </c>
      <c r="H2075" s="4" t="s">
        <v>36</v>
      </c>
      <c r="I2075" s="4">
        <v>40</v>
      </c>
      <c r="J2075" s="5">
        <v>82.5</v>
      </c>
      <c r="K2075" s="6">
        <v>1.55</v>
      </c>
      <c r="L2075" s="4">
        <v>4</v>
      </c>
      <c r="M2075" s="4">
        <v>133</v>
      </c>
      <c r="N2075" s="4">
        <v>102</v>
      </c>
      <c r="O2075" s="4" t="s">
        <v>21</v>
      </c>
      <c r="P2075" s="7" t="s">
        <v>19</v>
      </c>
    </row>
    <row r="2076" spans="2:16" x14ac:dyDescent="0.45">
      <c r="B2076" s="4">
        <v>2075</v>
      </c>
      <c r="C2076" s="4" t="s">
        <v>33</v>
      </c>
      <c r="D2076" s="4" t="s">
        <v>23</v>
      </c>
      <c r="E2076" s="4" t="s">
        <v>17</v>
      </c>
      <c r="F2076" s="4" t="s">
        <v>24</v>
      </c>
      <c r="G2076" s="4" t="s">
        <v>19</v>
      </c>
      <c r="H2076" s="4" t="s">
        <v>20</v>
      </c>
      <c r="I2076" s="4">
        <v>10</v>
      </c>
      <c r="J2076" s="5">
        <v>33.799999999999997</v>
      </c>
      <c r="K2076" s="6">
        <v>1.1599999999999999</v>
      </c>
      <c r="L2076" s="4">
        <v>1</v>
      </c>
      <c r="M2076" s="4">
        <v>118</v>
      </c>
      <c r="N2076" s="4">
        <v>105</v>
      </c>
      <c r="O2076" s="4" t="s">
        <v>26</v>
      </c>
      <c r="P2076" s="7" t="s">
        <v>19</v>
      </c>
    </row>
    <row r="2077" spans="2:16" x14ac:dyDescent="0.45">
      <c r="B2077" s="4">
        <v>2076</v>
      </c>
      <c r="C2077" s="4" t="s">
        <v>31</v>
      </c>
      <c r="D2077" s="4" t="s">
        <v>23</v>
      </c>
      <c r="E2077" s="4" t="s">
        <v>35</v>
      </c>
      <c r="F2077" s="4" t="s">
        <v>24</v>
      </c>
      <c r="G2077" s="4" t="s">
        <v>19</v>
      </c>
      <c r="H2077" s="4" t="s">
        <v>34</v>
      </c>
      <c r="I2077" s="4">
        <v>61</v>
      </c>
      <c r="J2077" s="5">
        <v>50.2</v>
      </c>
      <c r="K2077" s="6">
        <v>1.73</v>
      </c>
      <c r="L2077" s="4">
        <v>1</v>
      </c>
      <c r="M2077" s="4">
        <v>127</v>
      </c>
      <c r="N2077" s="4">
        <v>71</v>
      </c>
      <c r="O2077" s="4" t="s">
        <v>26</v>
      </c>
      <c r="P2077" s="7" t="s">
        <v>19</v>
      </c>
    </row>
    <row r="2078" spans="2:16" x14ac:dyDescent="0.45">
      <c r="B2078" s="4">
        <v>2077</v>
      </c>
      <c r="C2078" s="4" t="s">
        <v>31</v>
      </c>
      <c r="D2078" s="4" t="s">
        <v>16</v>
      </c>
      <c r="E2078" s="4" t="s">
        <v>35</v>
      </c>
      <c r="F2078" s="4" t="s">
        <v>18</v>
      </c>
      <c r="G2078" s="4" t="s">
        <v>19</v>
      </c>
      <c r="H2078" s="4" t="s">
        <v>36</v>
      </c>
      <c r="I2078" s="4">
        <v>5</v>
      </c>
      <c r="J2078" s="5">
        <v>32.9</v>
      </c>
      <c r="K2078" s="6">
        <v>1.36</v>
      </c>
      <c r="L2078" s="4">
        <v>5</v>
      </c>
      <c r="M2078" s="4">
        <v>132</v>
      </c>
      <c r="N2078" s="4">
        <v>99</v>
      </c>
      <c r="O2078" s="4" t="s">
        <v>26</v>
      </c>
      <c r="P2078" s="7" t="s">
        <v>19</v>
      </c>
    </row>
    <row r="2079" spans="2:16" x14ac:dyDescent="0.45">
      <c r="B2079" s="4">
        <v>2078</v>
      </c>
      <c r="C2079" s="4" t="s">
        <v>45</v>
      </c>
      <c r="D2079" s="4" t="s">
        <v>16</v>
      </c>
      <c r="E2079" s="4" t="s">
        <v>35</v>
      </c>
      <c r="F2079" s="4" t="s">
        <v>18</v>
      </c>
      <c r="G2079" s="4" t="s">
        <v>19</v>
      </c>
      <c r="H2079" s="4" t="s">
        <v>25</v>
      </c>
      <c r="I2079" s="4">
        <v>2</v>
      </c>
      <c r="J2079" s="5">
        <v>14.3</v>
      </c>
      <c r="K2079" s="6">
        <v>0.81</v>
      </c>
      <c r="L2079" s="4">
        <v>2</v>
      </c>
      <c r="M2079" s="4">
        <v>114</v>
      </c>
      <c r="N2079" s="4">
        <v>86</v>
      </c>
      <c r="O2079" s="4" t="s">
        <v>26</v>
      </c>
      <c r="P2079" s="7" t="s">
        <v>19</v>
      </c>
    </row>
    <row r="2080" spans="2:16" x14ac:dyDescent="0.45">
      <c r="B2080" s="4">
        <v>2079</v>
      </c>
      <c r="C2080" s="4" t="s">
        <v>43</v>
      </c>
      <c r="D2080" s="4" t="s">
        <v>16</v>
      </c>
      <c r="E2080" s="4" t="s">
        <v>35</v>
      </c>
      <c r="F2080" s="4" t="s">
        <v>28</v>
      </c>
      <c r="G2080" s="4" t="s">
        <v>19</v>
      </c>
      <c r="H2080" s="4" t="s">
        <v>36</v>
      </c>
      <c r="I2080" s="4">
        <v>13</v>
      </c>
      <c r="J2080" s="5">
        <v>45.5</v>
      </c>
      <c r="K2080" s="6">
        <v>1.75</v>
      </c>
      <c r="L2080" s="4">
        <v>4</v>
      </c>
      <c r="M2080" s="4">
        <v>124</v>
      </c>
      <c r="N2080" s="4">
        <v>99</v>
      </c>
      <c r="O2080" s="4" t="s">
        <v>26</v>
      </c>
      <c r="P2080" s="7" t="s">
        <v>19</v>
      </c>
    </row>
    <row r="2081" spans="2:16" x14ac:dyDescent="0.45">
      <c r="B2081" s="4">
        <v>2080</v>
      </c>
      <c r="C2081" s="4" t="s">
        <v>39</v>
      </c>
      <c r="D2081" s="4" t="s">
        <v>16</v>
      </c>
      <c r="E2081" s="4" t="s">
        <v>17</v>
      </c>
      <c r="F2081" s="4" t="s">
        <v>28</v>
      </c>
      <c r="G2081" s="4" t="s">
        <v>30</v>
      </c>
      <c r="H2081" s="4" t="s">
        <v>34</v>
      </c>
      <c r="I2081" s="4">
        <v>1</v>
      </c>
      <c r="J2081" s="5">
        <v>6.4</v>
      </c>
      <c r="K2081" s="6">
        <v>0.73</v>
      </c>
      <c r="L2081" s="4">
        <v>6</v>
      </c>
      <c r="M2081" s="4">
        <v>99</v>
      </c>
      <c r="N2081" s="4">
        <v>102</v>
      </c>
      <c r="O2081" s="4" t="s">
        <v>26</v>
      </c>
      <c r="P2081" s="7" t="s">
        <v>19</v>
      </c>
    </row>
    <row r="2082" spans="2:16" x14ac:dyDescent="0.45">
      <c r="B2082" s="4">
        <v>2081</v>
      </c>
      <c r="C2082" s="4" t="s">
        <v>31</v>
      </c>
      <c r="D2082" s="4" t="s">
        <v>23</v>
      </c>
      <c r="E2082" s="4" t="s">
        <v>35</v>
      </c>
      <c r="F2082" s="4" t="s">
        <v>24</v>
      </c>
      <c r="G2082" s="4" t="s">
        <v>19</v>
      </c>
      <c r="H2082" s="4" t="s">
        <v>20</v>
      </c>
      <c r="I2082" s="4">
        <v>65</v>
      </c>
      <c r="J2082" s="5">
        <v>61.1</v>
      </c>
      <c r="K2082" s="6">
        <v>1.87</v>
      </c>
      <c r="L2082" s="4">
        <v>2</v>
      </c>
      <c r="M2082" s="4">
        <v>126</v>
      </c>
      <c r="N2082" s="4">
        <v>87</v>
      </c>
      <c r="O2082" s="4" t="s">
        <v>26</v>
      </c>
      <c r="P2082" s="7" t="s">
        <v>19</v>
      </c>
    </row>
    <row r="2083" spans="2:16" x14ac:dyDescent="0.45">
      <c r="B2083" s="4">
        <v>2082</v>
      </c>
      <c r="C2083" s="4" t="s">
        <v>22</v>
      </c>
      <c r="D2083" s="4" t="s">
        <v>23</v>
      </c>
      <c r="E2083" s="4" t="s">
        <v>17</v>
      </c>
      <c r="F2083" s="4" t="s">
        <v>24</v>
      </c>
      <c r="G2083" s="4" t="s">
        <v>19</v>
      </c>
      <c r="H2083" s="4" t="s">
        <v>32</v>
      </c>
      <c r="I2083" s="4">
        <v>6</v>
      </c>
      <c r="J2083" s="5">
        <v>33.5</v>
      </c>
      <c r="K2083" s="6">
        <v>1.22</v>
      </c>
      <c r="L2083" s="4">
        <v>5</v>
      </c>
      <c r="M2083" s="4">
        <v>98</v>
      </c>
      <c r="N2083" s="4">
        <v>140</v>
      </c>
      <c r="O2083" s="4" t="s">
        <v>21</v>
      </c>
      <c r="P2083" s="7" t="s">
        <v>19</v>
      </c>
    </row>
    <row r="2084" spans="2:16" x14ac:dyDescent="0.45">
      <c r="B2084" s="4">
        <v>2083</v>
      </c>
      <c r="C2084" s="4" t="s">
        <v>27</v>
      </c>
      <c r="D2084" s="4" t="s">
        <v>23</v>
      </c>
      <c r="E2084" s="4" t="s">
        <v>35</v>
      </c>
      <c r="F2084" s="4" t="s">
        <v>24</v>
      </c>
      <c r="G2084" s="4" t="s">
        <v>19</v>
      </c>
      <c r="H2084" s="4" t="s">
        <v>32</v>
      </c>
      <c r="I2084" s="4">
        <v>7</v>
      </c>
      <c r="J2084" s="5">
        <v>21.3</v>
      </c>
      <c r="K2084" s="6">
        <v>1.3</v>
      </c>
      <c r="L2084" s="4">
        <v>4</v>
      </c>
      <c r="M2084" s="4">
        <v>108</v>
      </c>
      <c r="N2084" s="4">
        <v>133</v>
      </c>
      <c r="O2084" s="4" t="s">
        <v>26</v>
      </c>
      <c r="P2084" s="7" t="s">
        <v>19</v>
      </c>
    </row>
    <row r="2085" spans="2:16" x14ac:dyDescent="0.45">
      <c r="B2085" s="4">
        <v>2084</v>
      </c>
      <c r="C2085" s="4" t="s">
        <v>29</v>
      </c>
      <c r="D2085" s="4" t="s">
        <v>16</v>
      </c>
      <c r="E2085" s="4" t="s">
        <v>17</v>
      </c>
      <c r="F2085" s="4" t="s">
        <v>24</v>
      </c>
      <c r="G2085" s="4" t="s">
        <v>19</v>
      </c>
      <c r="H2085" s="4" t="s">
        <v>32</v>
      </c>
      <c r="I2085" s="4">
        <v>40</v>
      </c>
      <c r="J2085" s="5">
        <v>64.099999999999994</v>
      </c>
      <c r="K2085" s="6">
        <v>1.63</v>
      </c>
      <c r="L2085" s="4">
        <v>2</v>
      </c>
      <c r="M2085" s="4">
        <v>115</v>
      </c>
      <c r="N2085" s="4">
        <v>153</v>
      </c>
      <c r="O2085" s="4" t="s">
        <v>21</v>
      </c>
      <c r="P2085" s="7" t="s">
        <v>19</v>
      </c>
    </row>
    <row r="2086" spans="2:16" x14ac:dyDescent="0.45">
      <c r="B2086" s="4">
        <v>2085</v>
      </c>
      <c r="C2086" s="4" t="s">
        <v>33</v>
      </c>
      <c r="D2086" s="4" t="s">
        <v>16</v>
      </c>
      <c r="E2086" s="4" t="s">
        <v>35</v>
      </c>
      <c r="F2086" s="4" t="s">
        <v>24</v>
      </c>
      <c r="G2086" s="4" t="s">
        <v>19</v>
      </c>
      <c r="H2086" s="4" t="s">
        <v>38</v>
      </c>
      <c r="I2086" s="4">
        <v>0</v>
      </c>
      <c r="J2086" s="5">
        <v>9.1</v>
      </c>
      <c r="K2086" s="6">
        <v>1.04</v>
      </c>
      <c r="L2086" s="4">
        <v>1</v>
      </c>
      <c r="M2086" s="4">
        <v>105</v>
      </c>
      <c r="N2086" s="4">
        <v>92</v>
      </c>
      <c r="O2086" s="4" t="s">
        <v>21</v>
      </c>
      <c r="P2086" s="7" t="s">
        <v>19</v>
      </c>
    </row>
    <row r="2087" spans="2:16" x14ac:dyDescent="0.45">
      <c r="B2087" s="4">
        <v>2086</v>
      </c>
      <c r="C2087" s="4" t="s">
        <v>45</v>
      </c>
      <c r="D2087" s="4" t="s">
        <v>16</v>
      </c>
      <c r="E2087" s="4" t="s">
        <v>37</v>
      </c>
      <c r="F2087" s="4" t="s">
        <v>18</v>
      </c>
      <c r="G2087" s="4" t="s">
        <v>19</v>
      </c>
      <c r="H2087" s="4" t="s">
        <v>25</v>
      </c>
      <c r="I2087" s="4">
        <v>48</v>
      </c>
      <c r="J2087" s="5">
        <v>77.900000000000006</v>
      </c>
      <c r="K2087" s="6">
        <v>1.68</v>
      </c>
      <c r="L2087" s="4">
        <v>3</v>
      </c>
      <c r="M2087" s="4">
        <v>119</v>
      </c>
      <c r="N2087" s="4">
        <v>76</v>
      </c>
      <c r="O2087" s="4" t="s">
        <v>21</v>
      </c>
      <c r="P2087" s="7" t="s">
        <v>19</v>
      </c>
    </row>
    <row r="2088" spans="2:16" x14ac:dyDescent="0.45">
      <c r="B2088" s="4">
        <v>2087</v>
      </c>
      <c r="C2088" s="4" t="s">
        <v>41</v>
      </c>
      <c r="D2088" s="4" t="s">
        <v>23</v>
      </c>
      <c r="E2088" s="4" t="s">
        <v>37</v>
      </c>
      <c r="F2088" s="4" t="s">
        <v>24</v>
      </c>
      <c r="G2088" s="4" t="s">
        <v>19</v>
      </c>
      <c r="H2088" s="4" t="s">
        <v>28</v>
      </c>
      <c r="I2088" s="4">
        <v>36</v>
      </c>
      <c r="J2088" s="5">
        <v>60.6</v>
      </c>
      <c r="K2088" s="6">
        <v>1.59</v>
      </c>
      <c r="L2088" s="4">
        <v>3</v>
      </c>
      <c r="M2088" s="4">
        <v>105</v>
      </c>
      <c r="N2088" s="4">
        <v>83</v>
      </c>
      <c r="O2088" s="4" t="s">
        <v>26</v>
      </c>
      <c r="P2088" s="7" t="s">
        <v>19</v>
      </c>
    </row>
    <row r="2089" spans="2:16" x14ac:dyDescent="0.45">
      <c r="B2089" s="4">
        <v>2088</v>
      </c>
      <c r="C2089" s="4" t="s">
        <v>27</v>
      </c>
      <c r="D2089" s="4" t="s">
        <v>16</v>
      </c>
      <c r="E2089" s="4" t="s">
        <v>17</v>
      </c>
      <c r="F2089" s="4" t="s">
        <v>18</v>
      </c>
      <c r="G2089" s="4" t="s">
        <v>19</v>
      </c>
      <c r="H2089" s="4" t="s">
        <v>46</v>
      </c>
      <c r="I2089" s="4">
        <v>21</v>
      </c>
      <c r="J2089" s="5">
        <v>54.6</v>
      </c>
      <c r="K2089" s="6">
        <v>1.51</v>
      </c>
      <c r="L2089" s="4">
        <v>7</v>
      </c>
      <c r="M2089" s="4">
        <v>97</v>
      </c>
      <c r="N2089" s="4">
        <v>94</v>
      </c>
      <c r="O2089" s="4" t="s">
        <v>26</v>
      </c>
      <c r="P2089" s="7" t="s">
        <v>19</v>
      </c>
    </row>
    <row r="2090" spans="2:16" x14ac:dyDescent="0.45">
      <c r="B2090" s="4">
        <v>2089</v>
      </c>
      <c r="C2090" s="4" t="s">
        <v>29</v>
      </c>
      <c r="D2090" s="4" t="s">
        <v>16</v>
      </c>
      <c r="E2090" s="4" t="s">
        <v>17</v>
      </c>
      <c r="F2090" s="4" t="s">
        <v>28</v>
      </c>
      <c r="G2090" s="4" t="s">
        <v>19</v>
      </c>
      <c r="H2090" s="4" t="s">
        <v>38</v>
      </c>
      <c r="I2090" s="4">
        <v>37</v>
      </c>
      <c r="J2090" s="5">
        <v>74.900000000000006</v>
      </c>
      <c r="K2090" s="6">
        <v>1.8</v>
      </c>
      <c r="L2090" s="4">
        <v>0</v>
      </c>
      <c r="M2090" s="4">
        <v>121</v>
      </c>
      <c r="N2090" s="4">
        <v>78</v>
      </c>
      <c r="O2090" s="4" t="s">
        <v>26</v>
      </c>
      <c r="P2090" s="7" t="s">
        <v>19</v>
      </c>
    </row>
    <row r="2091" spans="2:16" x14ac:dyDescent="0.45">
      <c r="B2091" s="4">
        <v>2090</v>
      </c>
      <c r="C2091" s="4" t="s">
        <v>22</v>
      </c>
      <c r="D2091" s="4" t="s">
        <v>23</v>
      </c>
      <c r="E2091" s="4" t="s">
        <v>35</v>
      </c>
      <c r="F2091" s="4" t="s">
        <v>28</v>
      </c>
      <c r="G2091" s="4" t="s">
        <v>19</v>
      </c>
      <c r="H2091" s="4" t="s">
        <v>28</v>
      </c>
      <c r="I2091" s="4">
        <v>22</v>
      </c>
      <c r="J2091" s="5">
        <v>62.5</v>
      </c>
      <c r="K2091" s="6">
        <v>1.6</v>
      </c>
      <c r="L2091" s="4">
        <v>2</v>
      </c>
      <c r="M2091" s="4">
        <v>101</v>
      </c>
      <c r="N2091" s="4">
        <v>81</v>
      </c>
      <c r="O2091" s="4" t="s">
        <v>21</v>
      </c>
      <c r="P2091" s="7" t="s">
        <v>30</v>
      </c>
    </row>
    <row r="2092" spans="2:16" x14ac:dyDescent="0.45">
      <c r="B2092" s="4">
        <v>2091</v>
      </c>
      <c r="C2092" s="4" t="s">
        <v>15</v>
      </c>
      <c r="D2092" s="4" t="s">
        <v>16</v>
      </c>
      <c r="E2092" s="4" t="s">
        <v>17</v>
      </c>
      <c r="F2092" s="4" t="s">
        <v>24</v>
      </c>
      <c r="G2092" s="4" t="s">
        <v>19</v>
      </c>
      <c r="H2092" s="4" t="s">
        <v>34</v>
      </c>
      <c r="I2092" s="4">
        <v>7</v>
      </c>
      <c r="J2092" s="5">
        <v>32.9</v>
      </c>
      <c r="K2092" s="6">
        <v>1.38</v>
      </c>
      <c r="L2092" s="4">
        <v>6</v>
      </c>
      <c r="M2092" s="4">
        <v>114</v>
      </c>
      <c r="N2092" s="4">
        <v>91</v>
      </c>
      <c r="O2092" s="4" t="s">
        <v>26</v>
      </c>
      <c r="P2092" s="7" t="s">
        <v>19</v>
      </c>
    </row>
    <row r="2093" spans="2:16" x14ac:dyDescent="0.45">
      <c r="B2093" s="4">
        <v>2092</v>
      </c>
      <c r="C2093" s="4" t="s">
        <v>41</v>
      </c>
      <c r="D2093" s="4" t="s">
        <v>23</v>
      </c>
      <c r="E2093" s="4" t="s">
        <v>44</v>
      </c>
      <c r="F2093" s="4" t="s">
        <v>24</v>
      </c>
      <c r="G2093" s="4" t="s">
        <v>19</v>
      </c>
      <c r="H2093" s="4" t="s">
        <v>28</v>
      </c>
      <c r="I2093" s="4">
        <v>36</v>
      </c>
      <c r="J2093" s="5">
        <v>74.900000000000006</v>
      </c>
      <c r="K2093" s="6">
        <v>1.8</v>
      </c>
      <c r="L2093" s="4">
        <v>1</v>
      </c>
      <c r="M2093" s="4">
        <v>111</v>
      </c>
      <c r="N2093" s="4">
        <v>99</v>
      </c>
      <c r="O2093" s="4" t="s">
        <v>26</v>
      </c>
      <c r="P2093" s="7" t="s">
        <v>19</v>
      </c>
    </row>
    <row r="2094" spans="2:16" x14ac:dyDescent="0.45">
      <c r="B2094" s="4">
        <v>2093</v>
      </c>
      <c r="C2094" s="4" t="s">
        <v>43</v>
      </c>
      <c r="D2094" s="4" t="s">
        <v>16</v>
      </c>
      <c r="E2094" s="4" t="s">
        <v>17</v>
      </c>
      <c r="F2094" s="4" t="s">
        <v>18</v>
      </c>
      <c r="G2094" s="4" t="s">
        <v>19</v>
      </c>
      <c r="H2094" s="4" t="s">
        <v>25</v>
      </c>
      <c r="I2094" s="4">
        <v>21</v>
      </c>
      <c r="J2094" s="5">
        <v>50.4</v>
      </c>
      <c r="K2094" s="6">
        <v>1.78</v>
      </c>
      <c r="L2094" s="4">
        <v>2</v>
      </c>
      <c r="M2094" s="4">
        <v>104</v>
      </c>
      <c r="N2094" s="4">
        <v>77</v>
      </c>
      <c r="O2094" s="4" t="s">
        <v>26</v>
      </c>
      <c r="P2094" s="7" t="s">
        <v>19</v>
      </c>
    </row>
    <row r="2095" spans="2:16" x14ac:dyDescent="0.45">
      <c r="B2095" s="4">
        <v>2094</v>
      </c>
      <c r="C2095" s="4" t="s">
        <v>39</v>
      </c>
      <c r="D2095" s="4" t="s">
        <v>16</v>
      </c>
      <c r="E2095" s="4" t="s">
        <v>17</v>
      </c>
      <c r="F2095" s="4" t="s">
        <v>28</v>
      </c>
      <c r="G2095" s="4" t="s">
        <v>19</v>
      </c>
      <c r="H2095" s="4" t="s">
        <v>36</v>
      </c>
      <c r="I2095" s="4">
        <v>64</v>
      </c>
      <c r="J2095" s="5">
        <v>56.8</v>
      </c>
      <c r="K2095" s="6">
        <v>1.68</v>
      </c>
      <c r="L2095" s="4">
        <v>1</v>
      </c>
      <c r="M2095" s="4">
        <v>133</v>
      </c>
      <c r="N2095" s="4">
        <v>86</v>
      </c>
      <c r="O2095" s="4" t="s">
        <v>26</v>
      </c>
      <c r="P2095" s="7" t="s">
        <v>19</v>
      </c>
    </row>
    <row r="2096" spans="2:16" x14ac:dyDescent="0.45">
      <c r="B2096" s="4">
        <v>2095</v>
      </c>
      <c r="C2096" s="4" t="s">
        <v>31</v>
      </c>
      <c r="D2096" s="4" t="s">
        <v>16</v>
      </c>
      <c r="E2096" s="4" t="s">
        <v>35</v>
      </c>
      <c r="F2096" s="4" t="s">
        <v>28</v>
      </c>
      <c r="G2096" s="4" t="s">
        <v>19</v>
      </c>
      <c r="H2096" s="4" t="s">
        <v>20</v>
      </c>
      <c r="I2096" s="4">
        <v>50</v>
      </c>
      <c r="J2096" s="5">
        <v>65.8</v>
      </c>
      <c r="K2096" s="6">
        <v>1.61</v>
      </c>
      <c r="L2096" s="4">
        <v>7</v>
      </c>
      <c r="M2096" s="4">
        <v>129</v>
      </c>
      <c r="N2096" s="4">
        <v>101</v>
      </c>
      <c r="O2096" s="4" t="s">
        <v>26</v>
      </c>
      <c r="P2096" s="7" t="s">
        <v>19</v>
      </c>
    </row>
    <row r="2097" spans="2:16" x14ac:dyDescent="0.45">
      <c r="B2097" s="4">
        <v>2096</v>
      </c>
      <c r="C2097" s="4" t="s">
        <v>41</v>
      </c>
      <c r="D2097" s="4" t="s">
        <v>23</v>
      </c>
      <c r="E2097" s="4" t="s">
        <v>35</v>
      </c>
      <c r="F2097" s="4" t="s">
        <v>28</v>
      </c>
      <c r="G2097" s="4" t="s">
        <v>19</v>
      </c>
      <c r="H2097" s="4" t="s">
        <v>46</v>
      </c>
      <c r="I2097" s="4">
        <v>26</v>
      </c>
      <c r="J2097" s="5">
        <v>70</v>
      </c>
      <c r="K2097" s="6">
        <v>1.56</v>
      </c>
      <c r="L2097" s="4">
        <v>2</v>
      </c>
      <c r="M2097" s="4">
        <v>107</v>
      </c>
      <c r="N2097" s="4">
        <v>105</v>
      </c>
      <c r="O2097" s="4" t="s">
        <v>26</v>
      </c>
      <c r="P2097" s="7" t="s">
        <v>19</v>
      </c>
    </row>
    <row r="2098" spans="2:16" x14ac:dyDescent="0.45">
      <c r="B2098" s="4">
        <v>2097</v>
      </c>
      <c r="C2098" s="4" t="s">
        <v>29</v>
      </c>
      <c r="D2098" s="4" t="s">
        <v>16</v>
      </c>
      <c r="E2098" s="4" t="s">
        <v>44</v>
      </c>
      <c r="F2098" s="4" t="s">
        <v>24</v>
      </c>
      <c r="G2098" s="4" t="s">
        <v>19</v>
      </c>
      <c r="H2098" s="4" t="s">
        <v>36</v>
      </c>
      <c r="I2098" s="4">
        <v>12</v>
      </c>
      <c r="J2098" s="5">
        <v>44.2</v>
      </c>
      <c r="K2098" s="6">
        <v>1.47</v>
      </c>
      <c r="L2098" s="4">
        <v>3</v>
      </c>
      <c r="M2098" s="4">
        <v>124</v>
      </c>
      <c r="N2098" s="4">
        <v>71</v>
      </c>
      <c r="O2098" s="4" t="s">
        <v>26</v>
      </c>
      <c r="P2098" s="7" t="s">
        <v>19</v>
      </c>
    </row>
    <row r="2099" spans="2:16" x14ac:dyDescent="0.45">
      <c r="B2099" s="4">
        <v>2098</v>
      </c>
      <c r="C2099" s="4" t="s">
        <v>22</v>
      </c>
      <c r="D2099" s="4" t="s">
        <v>23</v>
      </c>
      <c r="E2099" s="4" t="s">
        <v>35</v>
      </c>
      <c r="F2099" s="4" t="s">
        <v>24</v>
      </c>
      <c r="G2099" s="4" t="s">
        <v>19</v>
      </c>
      <c r="H2099" s="4" t="s">
        <v>20</v>
      </c>
      <c r="I2099" s="4">
        <v>5</v>
      </c>
      <c r="J2099" s="5">
        <v>25.8</v>
      </c>
      <c r="K2099" s="6">
        <v>1.1599999999999999</v>
      </c>
      <c r="L2099" s="4">
        <v>3</v>
      </c>
      <c r="M2099" s="4">
        <v>117</v>
      </c>
      <c r="N2099" s="4">
        <v>97</v>
      </c>
      <c r="O2099" s="4" t="s">
        <v>26</v>
      </c>
      <c r="P2099" s="7" t="s">
        <v>30</v>
      </c>
    </row>
    <row r="2100" spans="2:16" x14ac:dyDescent="0.45">
      <c r="B2100" s="4">
        <v>2099</v>
      </c>
      <c r="C2100" s="4" t="s">
        <v>15</v>
      </c>
      <c r="D2100" s="4" t="s">
        <v>16</v>
      </c>
      <c r="E2100" s="4" t="s">
        <v>17</v>
      </c>
      <c r="F2100" s="4" t="s">
        <v>24</v>
      </c>
      <c r="G2100" s="4" t="s">
        <v>30</v>
      </c>
      <c r="H2100" s="4" t="s">
        <v>28</v>
      </c>
      <c r="I2100" s="4">
        <v>14</v>
      </c>
      <c r="J2100" s="5">
        <v>51</v>
      </c>
      <c r="K2100" s="6">
        <v>1.51</v>
      </c>
      <c r="L2100" s="4">
        <v>4</v>
      </c>
      <c r="M2100" s="4">
        <v>108</v>
      </c>
      <c r="N2100" s="4">
        <v>94</v>
      </c>
      <c r="O2100" s="4" t="s">
        <v>21</v>
      </c>
      <c r="P2100" s="7" t="s">
        <v>19</v>
      </c>
    </row>
    <row r="2101" spans="2:16" x14ac:dyDescent="0.45">
      <c r="B2101" s="4">
        <v>2100</v>
      </c>
      <c r="C2101" s="4" t="s">
        <v>40</v>
      </c>
      <c r="D2101" s="4" t="s">
        <v>23</v>
      </c>
      <c r="E2101" s="4" t="s">
        <v>17</v>
      </c>
      <c r="F2101" s="4" t="s">
        <v>18</v>
      </c>
      <c r="G2101" s="4" t="s">
        <v>19</v>
      </c>
      <c r="H2101" s="4" t="s">
        <v>28</v>
      </c>
      <c r="I2101" s="4">
        <v>7</v>
      </c>
      <c r="J2101" s="5">
        <v>25.2</v>
      </c>
      <c r="K2101" s="6">
        <v>1.1599999999999999</v>
      </c>
      <c r="L2101" s="4">
        <v>4</v>
      </c>
      <c r="M2101" s="4">
        <v>108</v>
      </c>
      <c r="N2101" s="4">
        <v>85</v>
      </c>
      <c r="O2101" s="4" t="s">
        <v>26</v>
      </c>
      <c r="P2101" s="7" t="s">
        <v>30</v>
      </c>
    </row>
    <row r="2102" spans="2:16" x14ac:dyDescent="0.45">
      <c r="B2102" s="4">
        <v>2101</v>
      </c>
      <c r="C2102" s="4" t="s">
        <v>45</v>
      </c>
      <c r="D2102" s="4" t="s">
        <v>23</v>
      </c>
      <c r="E2102" s="4" t="s">
        <v>35</v>
      </c>
      <c r="F2102" s="4" t="s">
        <v>18</v>
      </c>
      <c r="G2102" s="4" t="s">
        <v>19</v>
      </c>
      <c r="H2102" s="4" t="s">
        <v>20</v>
      </c>
      <c r="I2102" s="4">
        <v>7</v>
      </c>
      <c r="J2102" s="5">
        <v>24.6</v>
      </c>
      <c r="K2102" s="6">
        <v>1.26</v>
      </c>
      <c r="L2102" s="4">
        <v>5</v>
      </c>
      <c r="M2102" s="4">
        <v>101</v>
      </c>
      <c r="N2102" s="4">
        <v>96</v>
      </c>
      <c r="O2102" s="4" t="s">
        <v>26</v>
      </c>
      <c r="P2102" s="7" t="s">
        <v>19</v>
      </c>
    </row>
    <row r="2103" spans="2:16" x14ac:dyDescent="0.45">
      <c r="B2103" s="4">
        <v>2102</v>
      </c>
      <c r="C2103" s="4" t="s">
        <v>45</v>
      </c>
      <c r="D2103" s="4" t="s">
        <v>16</v>
      </c>
      <c r="E2103" s="4" t="s">
        <v>17</v>
      </c>
      <c r="F2103" s="4" t="s">
        <v>24</v>
      </c>
      <c r="G2103" s="4" t="s">
        <v>30</v>
      </c>
      <c r="H2103" s="4" t="s">
        <v>25</v>
      </c>
      <c r="I2103" s="4">
        <v>50</v>
      </c>
      <c r="J2103" s="5">
        <v>72.2</v>
      </c>
      <c r="K2103" s="6">
        <v>1.55</v>
      </c>
      <c r="L2103" s="4">
        <v>3</v>
      </c>
      <c r="M2103" s="4">
        <v>119</v>
      </c>
      <c r="N2103" s="4">
        <v>91</v>
      </c>
      <c r="O2103" s="4" t="s">
        <v>21</v>
      </c>
      <c r="P2103" s="7" t="s">
        <v>30</v>
      </c>
    </row>
    <row r="2104" spans="2:16" x14ac:dyDescent="0.45">
      <c r="B2104" s="4">
        <v>2103</v>
      </c>
      <c r="C2104" s="4" t="s">
        <v>33</v>
      </c>
      <c r="D2104" s="4" t="s">
        <v>16</v>
      </c>
      <c r="E2104" s="4" t="s">
        <v>35</v>
      </c>
      <c r="F2104" s="4" t="s">
        <v>24</v>
      </c>
      <c r="G2104" s="4" t="s">
        <v>19</v>
      </c>
      <c r="H2104" s="4" t="s">
        <v>20</v>
      </c>
      <c r="I2104" s="4">
        <v>41</v>
      </c>
      <c r="J2104" s="5">
        <v>89.3</v>
      </c>
      <c r="K2104" s="6">
        <v>1.58</v>
      </c>
      <c r="L2104" s="4">
        <v>5</v>
      </c>
      <c r="M2104" s="4">
        <v>106</v>
      </c>
      <c r="N2104" s="4">
        <v>100</v>
      </c>
      <c r="O2104" s="4" t="s">
        <v>26</v>
      </c>
      <c r="P2104" s="7" t="s">
        <v>19</v>
      </c>
    </row>
    <row r="2105" spans="2:16" x14ac:dyDescent="0.45">
      <c r="B2105" s="4">
        <v>2104</v>
      </c>
      <c r="C2105" s="4" t="s">
        <v>41</v>
      </c>
      <c r="D2105" s="4" t="s">
        <v>23</v>
      </c>
      <c r="E2105" s="4" t="s">
        <v>44</v>
      </c>
      <c r="F2105" s="4" t="s">
        <v>18</v>
      </c>
      <c r="G2105" s="4" t="s">
        <v>30</v>
      </c>
      <c r="H2105" s="4" t="s">
        <v>38</v>
      </c>
      <c r="I2105" s="4">
        <v>27</v>
      </c>
      <c r="J2105" s="5">
        <v>89.6</v>
      </c>
      <c r="K2105" s="6">
        <v>1.64</v>
      </c>
      <c r="L2105" s="4">
        <v>2</v>
      </c>
      <c r="M2105" s="4">
        <v>103</v>
      </c>
      <c r="N2105" s="4">
        <v>80</v>
      </c>
      <c r="O2105" s="4" t="s">
        <v>21</v>
      </c>
      <c r="P2105" s="7" t="s">
        <v>30</v>
      </c>
    </row>
    <row r="2106" spans="2:16" x14ac:dyDescent="0.45">
      <c r="B2106" s="4">
        <v>2105</v>
      </c>
      <c r="C2106" s="4" t="s">
        <v>22</v>
      </c>
      <c r="D2106" s="4" t="s">
        <v>23</v>
      </c>
      <c r="E2106" s="4" t="s">
        <v>35</v>
      </c>
      <c r="F2106" s="4" t="s">
        <v>18</v>
      </c>
      <c r="G2106" s="4" t="s">
        <v>30</v>
      </c>
      <c r="H2106" s="4" t="s">
        <v>20</v>
      </c>
      <c r="I2106" s="4">
        <v>39</v>
      </c>
      <c r="J2106" s="5">
        <v>58.9</v>
      </c>
      <c r="K2106" s="6">
        <v>1.63</v>
      </c>
      <c r="L2106" s="4">
        <v>5</v>
      </c>
      <c r="M2106" s="4">
        <v>103</v>
      </c>
      <c r="N2106" s="4">
        <v>77</v>
      </c>
      <c r="O2106" s="4" t="s">
        <v>26</v>
      </c>
      <c r="P2106" s="7" t="s">
        <v>19</v>
      </c>
    </row>
    <row r="2107" spans="2:16" x14ac:dyDescent="0.45">
      <c r="B2107" s="4">
        <v>2106</v>
      </c>
      <c r="C2107" s="4" t="s">
        <v>33</v>
      </c>
      <c r="D2107" s="4" t="s">
        <v>23</v>
      </c>
      <c r="E2107" s="4" t="s">
        <v>17</v>
      </c>
      <c r="F2107" s="4" t="s">
        <v>18</v>
      </c>
      <c r="G2107" s="4" t="s">
        <v>19</v>
      </c>
      <c r="H2107" s="4" t="s">
        <v>36</v>
      </c>
      <c r="I2107" s="4">
        <v>11</v>
      </c>
      <c r="J2107" s="5">
        <v>26.3</v>
      </c>
      <c r="K2107" s="6">
        <v>1.25</v>
      </c>
      <c r="L2107" s="4">
        <v>3</v>
      </c>
      <c r="M2107" s="4">
        <v>150</v>
      </c>
      <c r="N2107" s="4">
        <v>71</v>
      </c>
      <c r="O2107" s="4" t="s">
        <v>21</v>
      </c>
      <c r="P2107" s="7" t="s">
        <v>30</v>
      </c>
    </row>
    <row r="2108" spans="2:16" x14ac:dyDescent="0.45">
      <c r="B2108" s="4">
        <v>2107</v>
      </c>
      <c r="C2108" s="4" t="s">
        <v>15</v>
      </c>
      <c r="D2108" s="4" t="s">
        <v>16</v>
      </c>
      <c r="E2108" s="4" t="s">
        <v>35</v>
      </c>
      <c r="F2108" s="4" t="s">
        <v>18</v>
      </c>
      <c r="G2108" s="4" t="s">
        <v>30</v>
      </c>
      <c r="H2108" s="4" t="s">
        <v>38</v>
      </c>
      <c r="I2108" s="4">
        <v>22</v>
      </c>
      <c r="J2108" s="5">
        <v>94.7</v>
      </c>
      <c r="K2108" s="6">
        <v>1.85</v>
      </c>
      <c r="L2108" s="4">
        <v>2</v>
      </c>
      <c r="M2108" s="4">
        <v>108</v>
      </c>
      <c r="N2108" s="4">
        <v>75</v>
      </c>
      <c r="O2108" s="4" t="s">
        <v>21</v>
      </c>
      <c r="P2108" s="7" t="s">
        <v>19</v>
      </c>
    </row>
    <row r="2109" spans="2:16" x14ac:dyDescent="0.45">
      <c r="B2109" s="4">
        <v>2108</v>
      </c>
      <c r="C2109" s="4" t="s">
        <v>15</v>
      </c>
      <c r="D2109" s="4" t="s">
        <v>16</v>
      </c>
      <c r="E2109" s="4" t="s">
        <v>44</v>
      </c>
      <c r="F2109" s="4" t="s">
        <v>18</v>
      </c>
      <c r="G2109" s="4" t="s">
        <v>19</v>
      </c>
      <c r="H2109" s="4" t="s">
        <v>28</v>
      </c>
      <c r="I2109" s="4">
        <v>27</v>
      </c>
      <c r="J2109" s="5">
        <v>51.1</v>
      </c>
      <c r="K2109" s="6">
        <v>1.82</v>
      </c>
      <c r="L2109" s="4">
        <v>0</v>
      </c>
      <c r="M2109" s="4">
        <v>124</v>
      </c>
      <c r="N2109" s="4">
        <v>103</v>
      </c>
      <c r="O2109" s="4" t="s">
        <v>21</v>
      </c>
      <c r="P2109" s="7" t="s">
        <v>30</v>
      </c>
    </row>
    <row r="2110" spans="2:16" x14ac:dyDescent="0.45">
      <c r="B2110" s="4">
        <v>2109</v>
      </c>
      <c r="C2110" s="4" t="s">
        <v>45</v>
      </c>
      <c r="D2110" s="4" t="s">
        <v>16</v>
      </c>
      <c r="E2110" s="4" t="s">
        <v>35</v>
      </c>
      <c r="F2110" s="4" t="s">
        <v>18</v>
      </c>
      <c r="G2110" s="4" t="s">
        <v>30</v>
      </c>
      <c r="H2110" s="4" t="s">
        <v>28</v>
      </c>
      <c r="I2110" s="4">
        <v>15</v>
      </c>
      <c r="J2110" s="5">
        <v>64.5</v>
      </c>
      <c r="K2110" s="6">
        <v>1.51</v>
      </c>
      <c r="L2110" s="4">
        <v>4</v>
      </c>
      <c r="M2110" s="4">
        <v>101</v>
      </c>
      <c r="N2110" s="4">
        <v>98</v>
      </c>
      <c r="O2110" s="4" t="s">
        <v>21</v>
      </c>
      <c r="P2110" s="7" t="s">
        <v>19</v>
      </c>
    </row>
    <row r="2111" spans="2:16" x14ac:dyDescent="0.45">
      <c r="B2111" s="4">
        <v>2110</v>
      </c>
      <c r="C2111" s="4" t="s">
        <v>22</v>
      </c>
      <c r="D2111" s="4" t="s">
        <v>23</v>
      </c>
      <c r="E2111" s="4" t="s">
        <v>17</v>
      </c>
      <c r="F2111" s="4" t="s">
        <v>24</v>
      </c>
      <c r="G2111" s="4" t="s">
        <v>19</v>
      </c>
      <c r="H2111" s="4" t="s">
        <v>36</v>
      </c>
      <c r="I2111" s="4">
        <v>57</v>
      </c>
      <c r="J2111" s="5">
        <v>63.2</v>
      </c>
      <c r="K2111" s="6">
        <v>1.49</v>
      </c>
      <c r="L2111" s="4">
        <v>3</v>
      </c>
      <c r="M2111" s="4">
        <v>154</v>
      </c>
      <c r="N2111" s="4">
        <v>97</v>
      </c>
      <c r="O2111" s="4" t="s">
        <v>21</v>
      </c>
      <c r="P2111" s="7" t="s">
        <v>19</v>
      </c>
    </row>
    <row r="2112" spans="2:16" x14ac:dyDescent="0.45">
      <c r="B2112" s="4">
        <v>2111</v>
      </c>
      <c r="C2112" s="4" t="s">
        <v>31</v>
      </c>
      <c r="D2112" s="4" t="s">
        <v>23</v>
      </c>
      <c r="E2112" s="4" t="s">
        <v>35</v>
      </c>
      <c r="F2112" s="4" t="s">
        <v>18</v>
      </c>
      <c r="G2112" s="4" t="s">
        <v>19</v>
      </c>
      <c r="H2112" s="4" t="s">
        <v>28</v>
      </c>
      <c r="I2112" s="4">
        <v>29</v>
      </c>
      <c r="J2112" s="5">
        <v>52.5</v>
      </c>
      <c r="K2112" s="6">
        <v>1.86</v>
      </c>
      <c r="L2112" s="4">
        <v>2</v>
      </c>
      <c r="M2112" s="4">
        <v>115</v>
      </c>
      <c r="N2112" s="4">
        <v>70</v>
      </c>
      <c r="O2112" s="4" t="s">
        <v>21</v>
      </c>
      <c r="P2112" s="7" t="s">
        <v>19</v>
      </c>
    </row>
    <row r="2113" spans="2:16" x14ac:dyDescent="0.45">
      <c r="B2113" s="4">
        <v>2112</v>
      </c>
      <c r="C2113" s="4" t="s">
        <v>45</v>
      </c>
      <c r="D2113" s="4" t="s">
        <v>23</v>
      </c>
      <c r="E2113" s="4" t="s">
        <v>17</v>
      </c>
      <c r="F2113" s="4" t="s">
        <v>28</v>
      </c>
      <c r="G2113" s="4" t="s">
        <v>19</v>
      </c>
      <c r="H2113" s="4" t="s">
        <v>28</v>
      </c>
      <c r="I2113" s="4">
        <v>79</v>
      </c>
      <c r="J2113" s="5">
        <v>84.4</v>
      </c>
      <c r="K2113" s="6">
        <v>1.89</v>
      </c>
      <c r="L2113" s="4">
        <v>6</v>
      </c>
      <c r="M2113" s="4">
        <v>133</v>
      </c>
      <c r="N2113" s="4">
        <v>73</v>
      </c>
      <c r="O2113" s="4" t="s">
        <v>26</v>
      </c>
      <c r="P2113" s="7" t="s">
        <v>19</v>
      </c>
    </row>
    <row r="2114" spans="2:16" x14ac:dyDescent="0.45">
      <c r="B2114" s="4">
        <v>2113</v>
      </c>
      <c r="C2114" s="4" t="s">
        <v>29</v>
      </c>
      <c r="D2114" s="4" t="s">
        <v>23</v>
      </c>
      <c r="E2114" s="4" t="s">
        <v>17</v>
      </c>
      <c r="F2114" s="4" t="s">
        <v>18</v>
      </c>
      <c r="G2114" s="4" t="s">
        <v>19</v>
      </c>
      <c r="H2114" s="4" t="s">
        <v>34</v>
      </c>
      <c r="I2114" s="4">
        <v>16</v>
      </c>
      <c r="J2114" s="5">
        <v>53.8</v>
      </c>
      <c r="K2114" s="6">
        <v>1.59</v>
      </c>
      <c r="L2114" s="4">
        <v>2</v>
      </c>
      <c r="M2114" s="4">
        <v>99</v>
      </c>
      <c r="N2114" s="4">
        <v>101</v>
      </c>
      <c r="O2114" s="4" t="s">
        <v>26</v>
      </c>
      <c r="P2114" s="7" t="s">
        <v>19</v>
      </c>
    </row>
    <row r="2115" spans="2:16" x14ac:dyDescent="0.45">
      <c r="B2115" s="4">
        <v>2114</v>
      </c>
      <c r="C2115" s="4" t="s">
        <v>33</v>
      </c>
      <c r="D2115" s="4" t="s">
        <v>16</v>
      </c>
      <c r="E2115" s="4" t="s">
        <v>17</v>
      </c>
      <c r="F2115" s="4" t="s">
        <v>18</v>
      </c>
      <c r="G2115" s="4" t="s">
        <v>19</v>
      </c>
      <c r="H2115" s="4" t="s">
        <v>34</v>
      </c>
      <c r="I2115" s="4">
        <v>12</v>
      </c>
      <c r="J2115" s="5">
        <v>57.4</v>
      </c>
      <c r="K2115" s="6">
        <v>1.58</v>
      </c>
      <c r="L2115" s="4">
        <v>5</v>
      </c>
      <c r="M2115" s="4">
        <v>103</v>
      </c>
      <c r="N2115" s="4">
        <v>92</v>
      </c>
      <c r="O2115" s="4" t="s">
        <v>21</v>
      </c>
      <c r="P2115" s="7" t="s">
        <v>19</v>
      </c>
    </row>
    <row r="2116" spans="2:16" x14ac:dyDescent="0.45">
      <c r="B2116" s="4">
        <v>2115</v>
      </c>
      <c r="C2116" s="4" t="s">
        <v>45</v>
      </c>
      <c r="D2116" s="4" t="s">
        <v>23</v>
      </c>
      <c r="E2116" s="4" t="s">
        <v>35</v>
      </c>
      <c r="F2116" s="4" t="s">
        <v>18</v>
      </c>
      <c r="G2116" s="4" t="s">
        <v>30</v>
      </c>
      <c r="H2116" s="4" t="s">
        <v>38</v>
      </c>
      <c r="I2116" s="4">
        <v>7</v>
      </c>
      <c r="J2116" s="5">
        <v>27.9</v>
      </c>
      <c r="K2116" s="6">
        <v>1.2</v>
      </c>
      <c r="L2116" s="4">
        <v>3</v>
      </c>
      <c r="M2116" s="4">
        <v>101</v>
      </c>
      <c r="N2116" s="4">
        <v>97</v>
      </c>
      <c r="O2116" s="4" t="s">
        <v>26</v>
      </c>
      <c r="P2116" s="7" t="s">
        <v>19</v>
      </c>
    </row>
    <row r="2117" spans="2:16" x14ac:dyDescent="0.45">
      <c r="B2117" s="4">
        <v>2116</v>
      </c>
      <c r="C2117" s="4" t="s">
        <v>45</v>
      </c>
      <c r="D2117" s="4" t="s">
        <v>16</v>
      </c>
      <c r="E2117" s="4" t="s">
        <v>37</v>
      </c>
      <c r="F2117" s="4" t="s">
        <v>42</v>
      </c>
      <c r="G2117" s="4" t="s">
        <v>30</v>
      </c>
      <c r="H2117" s="4" t="s">
        <v>20</v>
      </c>
      <c r="I2117" s="4">
        <v>11</v>
      </c>
      <c r="J2117" s="5">
        <v>23.6</v>
      </c>
      <c r="K2117" s="6">
        <v>1.24</v>
      </c>
      <c r="L2117" s="4">
        <v>2</v>
      </c>
      <c r="M2117" s="4">
        <v>98</v>
      </c>
      <c r="N2117" s="4">
        <v>79</v>
      </c>
      <c r="O2117" s="4" t="s">
        <v>26</v>
      </c>
      <c r="P2117" s="7" t="s">
        <v>19</v>
      </c>
    </row>
    <row r="2118" spans="2:16" x14ac:dyDescent="0.45">
      <c r="B2118" s="4">
        <v>2117</v>
      </c>
      <c r="C2118" s="4" t="s">
        <v>41</v>
      </c>
      <c r="D2118" s="4" t="s">
        <v>16</v>
      </c>
      <c r="E2118" s="4" t="s">
        <v>44</v>
      </c>
      <c r="F2118" s="4" t="s">
        <v>18</v>
      </c>
      <c r="G2118" s="4" t="s">
        <v>19</v>
      </c>
      <c r="H2118" s="4" t="s">
        <v>34</v>
      </c>
      <c r="I2118" s="4">
        <v>30</v>
      </c>
      <c r="J2118" s="5">
        <v>53.8</v>
      </c>
      <c r="K2118" s="6">
        <v>1.63</v>
      </c>
      <c r="L2118" s="4">
        <v>3</v>
      </c>
      <c r="M2118" s="4">
        <v>119</v>
      </c>
      <c r="N2118" s="4">
        <v>90</v>
      </c>
      <c r="O2118" s="4" t="s">
        <v>21</v>
      </c>
      <c r="P2118" s="7" t="s">
        <v>19</v>
      </c>
    </row>
    <row r="2119" spans="2:16" x14ac:dyDescent="0.45">
      <c r="B2119" s="4">
        <v>2118</v>
      </c>
      <c r="C2119" s="4" t="s">
        <v>43</v>
      </c>
      <c r="D2119" s="4" t="s">
        <v>23</v>
      </c>
      <c r="E2119" s="4" t="s">
        <v>17</v>
      </c>
      <c r="F2119" s="4" t="s">
        <v>18</v>
      </c>
      <c r="G2119" s="4" t="s">
        <v>19</v>
      </c>
      <c r="H2119" s="4" t="s">
        <v>28</v>
      </c>
      <c r="I2119" s="4">
        <v>57</v>
      </c>
      <c r="J2119" s="5">
        <v>46.9</v>
      </c>
      <c r="K2119" s="6">
        <v>1.87</v>
      </c>
      <c r="L2119" s="4">
        <v>4</v>
      </c>
      <c r="M2119" s="4">
        <v>115</v>
      </c>
      <c r="N2119" s="4">
        <v>79</v>
      </c>
      <c r="O2119" s="4" t="s">
        <v>26</v>
      </c>
      <c r="P2119" s="7" t="s">
        <v>19</v>
      </c>
    </row>
    <row r="2120" spans="2:16" x14ac:dyDescent="0.45">
      <c r="B2120" s="4">
        <v>2119</v>
      </c>
      <c r="C2120" s="4" t="s">
        <v>22</v>
      </c>
      <c r="D2120" s="4" t="s">
        <v>23</v>
      </c>
      <c r="E2120" s="4" t="s">
        <v>37</v>
      </c>
      <c r="F2120" s="4" t="s">
        <v>28</v>
      </c>
      <c r="G2120" s="4" t="s">
        <v>19</v>
      </c>
      <c r="H2120" s="4" t="s">
        <v>28</v>
      </c>
      <c r="I2120" s="4">
        <v>4</v>
      </c>
      <c r="J2120" s="5">
        <v>13.4</v>
      </c>
      <c r="K2120" s="6">
        <v>0.85</v>
      </c>
      <c r="L2120" s="4">
        <v>3</v>
      </c>
      <c r="M2120" s="4">
        <v>98</v>
      </c>
      <c r="N2120" s="4">
        <v>104</v>
      </c>
      <c r="O2120" s="4" t="s">
        <v>21</v>
      </c>
      <c r="P2120" s="7" t="s">
        <v>19</v>
      </c>
    </row>
    <row r="2121" spans="2:16" x14ac:dyDescent="0.45">
      <c r="B2121" s="4">
        <v>2120</v>
      </c>
      <c r="C2121" s="4" t="s">
        <v>22</v>
      </c>
      <c r="D2121" s="4" t="s">
        <v>16</v>
      </c>
      <c r="E2121" s="4" t="s">
        <v>17</v>
      </c>
      <c r="F2121" s="4" t="s">
        <v>28</v>
      </c>
      <c r="G2121" s="4" t="s">
        <v>19</v>
      </c>
      <c r="H2121" s="4" t="s">
        <v>36</v>
      </c>
      <c r="I2121" s="4">
        <v>17</v>
      </c>
      <c r="J2121" s="5">
        <v>45.4</v>
      </c>
      <c r="K2121" s="6">
        <v>1.52</v>
      </c>
      <c r="L2121" s="4">
        <v>0</v>
      </c>
      <c r="M2121" s="4">
        <v>134</v>
      </c>
      <c r="N2121" s="4">
        <v>99</v>
      </c>
      <c r="O2121" s="4" t="s">
        <v>26</v>
      </c>
      <c r="P2121" s="7" t="s">
        <v>19</v>
      </c>
    </row>
    <row r="2122" spans="2:16" x14ac:dyDescent="0.45">
      <c r="B2122" s="4">
        <v>2121</v>
      </c>
      <c r="C2122" s="4" t="s">
        <v>41</v>
      </c>
      <c r="D2122" s="4" t="s">
        <v>23</v>
      </c>
      <c r="E2122" s="4" t="s">
        <v>35</v>
      </c>
      <c r="F2122" s="4" t="s">
        <v>28</v>
      </c>
      <c r="G2122" s="4" t="s">
        <v>19</v>
      </c>
      <c r="H2122" s="4" t="s">
        <v>34</v>
      </c>
      <c r="I2122" s="4">
        <v>16</v>
      </c>
      <c r="J2122" s="5">
        <v>63.1</v>
      </c>
      <c r="K2122" s="6">
        <v>1.7</v>
      </c>
      <c r="L2122" s="4">
        <v>10</v>
      </c>
      <c r="M2122" s="4">
        <v>96</v>
      </c>
      <c r="N2122" s="4">
        <v>99</v>
      </c>
      <c r="O2122" s="4" t="s">
        <v>26</v>
      </c>
      <c r="P2122" s="7" t="s">
        <v>19</v>
      </c>
    </row>
    <row r="2123" spans="2:16" x14ac:dyDescent="0.45">
      <c r="B2123" s="4">
        <v>2122</v>
      </c>
      <c r="C2123" s="4" t="s">
        <v>27</v>
      </c>
      <c r="D2123" s="4" t="s">
        <v>23</v>
      </c>
      <c r="E2123" s="4" t="s">
        <v>17</v>
      </c>
      <c r="F2123" s="4" t="s">
        <v>24</v>
      </c>
      <c r="G2123" s="4" t="s">
        <v>19</v>
      </c>
      <c r="H2123" s="4" t="s">
        <v>25</v>
      </c>
      <c r="I2123" s="4">
        <v>21</v>
      </c>
      <c r="J2123" s="5">
        <v>72.5</v>
      </c>
      <c r="K2123" s="6">
        <v>1.59</v>
      </c>
      <c r="L2123" s="4">
        <v>6</v>
      </c>
      <c r="M2123" s="4">
        <v>110</v>
      </c>
      <c r="N2123" s="4">
        <v>83</v>
      </c>
      <c r="O2123" s="4" t="s">
        <v>26</v>
      </c>
      <c r="P2123" s="7" t="s">
        <v>19</v>
      </c>
    </row>
    <row r="2124" spans="2:16" x14ac:dyDescent="0.45">
      <c r="B2124" s="4">
        <v>2123</v>
      </c>
      <c r="C2124" s="4" t="s">
        <v>15</v>
      </c>
      <c r="D2124" s="4" t="s">
        <v>23</v>
      </c>
      <c r="E2124" s="4" t="s">
        <v>37</v>
      </c>
      <c r="F2124" s="4" t="s">
        <v>42</v>
      </c>
      <c r="G2124" s="4" t="s">
        <v>30</v>
      </c>
      <c r="H2124" s="4" t="s">
        <v>36</v>
      </c>
      <c r="I2124" s="4">
        <v>11</v>
      </c>
      <c r="J2124" s="5">
        <v>21.4</v>
      </c>
      <c r="K2124" s="6">
        <v>1.21</v>
      </c>
      <c r="L2124" s="4">
        <v>3</v>
      </c>
      <c r="M2124" s="4">
        <v>118</v>
      </c>
      <c r="N2124" s="4">
        <v>103</v>
      </c>
      <c r="O2124" s="4" t="s">
        <v>21</v>
      </c>
      <c r="P2124" s="7" t="s">
        <v>19</v>
      </c>
    </row>
    <row r="2125" spans="2:16" x14ac:dyDescent="0.45">
      <c r="B2125" s="4">
        <v>2124</v>
      </c>
      <c r="C2125" s="4" t="s">
        <v>45</v>
      </c>
      <c r="D2125" s="4" t="s">
        <v>23</v>
      </c>
      <c r="E2125" s="4" t="s">
        <v>17</v>
      </c>
      <c r="F2125" s="4" t="s">
        <v>28</v>
      </c>
      <c r="G2125" s="4" t="s">
        <v>19</v>
      </c>
      <c r="H2125" s="4" t="s">
        <v>32</v>
      </c>
      <c r="I2125" s="4">
        <v>23</v>
      </c>
      <c r="J2125" s="5">
        <v>57.3</v>
      </c>
      <c r="K2125" s="6">
        <v>1.54</v>
      </c>
      <c r="L2125" s="4">
        <v>1</v>
      </c>
      <c r="M2125" s="4">
        <v>112</v>
      </c>
      <c r="N2125" s="4">
        <v>134</v>
      </c>
      <c r="O2125" s="4" t="s">
        <v>26</v>
      </c>
      <c r="P2125" s="7" t="s">
        <v>19</v>
      </c>
    </row>
    <row r="2126" spans="2:16" x14ac:dyDescent="0.45">
      <c r="B2126" s="4">
        <v>2125</v>
      </c>
      <c r="C2126" s="4" t="s">
        <v>40</v>
      </c>
      <c r="D2126" s="4" t="s">
        <v>23</v>
      </c>
      <c r="E2126" s="4" t="s">
        <v>37</v>
      </c>
      <c r="F2126" s="4" t="s">
        <v>24</v>
      </c>
      <c r="G2126" s="4" t="s">
        <v>19</v>
      </c>
      <c r="H2126" s="4" t="s">
        <v>20</v>
      </c>
      <c r="I2126" s="4">
        <v>6</v>
      </c>
      <c r="J2126" s="5">
        <v>26.1</v>
      </c>
      <c r="K2126" s="6">
        <v>1.19</v>
      </c>
      <c r="L2126" s="4">
        <v>10</v>
      </c>
      <c r="M2126" s="4">
        <v>115</v>
      </c>
      <c r="N2126" s="4">
        <v>78</v>
      </c>
      <c r="O2126" s="4" t="s">
        <v>26</v>
      </c>
      <c r="P2126" s="7" t="s">
        <v>30</v>
      </c>
    </row>
    <row r="2127" spans="2:16" x14ac:dyDescent="0.45">
      <c r="B2127" s="4">
        <v>2126</v>
      </c>
      <c r="C2127" s="4" t="s">
        <v>39</v>
      </c>
      <c r="D2127" s="4" t="s">
        <v>16</v>
      </c>
      <c r="E2127" s="4" t="s">
        <v>17</v>
      </c>
      <c r="F2127" s="4" t="s">
        <v>18</v>
      </c>
      <c r="G2127" s="4" t="s">
        <v>30</v>
      </c>
      <c r="H2127" s="4" t="s">
        <v>38</v>
      </c>
      <c r="I2127" s="4">
        <v>37</v>
      </c>
      <c r="J2127" s="5">
        <v>75.099999999999994</v>
      </c>
      <c r="K2127" s="6">
        <v>1.64</v>
      </c>
      <c r="L2127" s="4">
        <v>0</v>
      </c>
      <c r="M2127" s="4">
        <v>124</v>
      </c>
      <c r="N2127" s="4">
        <v>87</v>
      </c>
      <c r="O2127" s="4" t="s">
        <v>26</v>
      </c>
      <c r="P2127" s="7" t="s">
        <v>19</v>
      </c>
    </row>
    <row r="2128" spans="2:16" x14ac:dyDescent="0.45">
      <c r="B2128" s="4">
        <v>2127</v>
      </c>
      <c r="C2128" s="4" t="s">
        <v>22</v>
      </c>
      <c r="D2128" s="4" t="s">
        <v>16</v>
      </c>
      <c r="E2128" s="4" t="s">
        <v>44</v>
      </c>
      <c r="F2128" s="4" t="s">
        <v>18</v>
      </c>
      <c r="G2128" s="4" t="s">
        <v>30</v>
      </c>
      <c r="H2128" s="4" t="s">
        <v>32</v>
      </c>
      <c r="I2128" s="4">
        <v>0</v>
      </c>
      <c r="J2128" s="5">
        <v>17.899999999999999</v>
      </c>
      <c r="K2128" s="6">
        <v>0.7</v>
      </c>
      <c r="L2128" s="4">
        <v>3</v>
      </c>
      <c r="M2128" s="4">
        <v>100</v>
      </c>
      <c r="N2128" s="4">
        <v>112</v>
      </c>
      <c r="O2128" s="4" t="s">
        <v>21</v>
      </c>
      <c r="P2128" s="7" t="s">
        <v>19</v>
      </c>
    </row>
    <row r="2129" spans="2:16" x14ac:dyDescent="0.45">
      <c r="B2129" s="4">
        <v>2128</v>
      </c>
      <c r="C2129" s="4" t="s">
        <v>43</v>
      </c>
      <c r="D2129" s="4" t="s">
        <v>16</v>
      </c>
      <c r="E2129" s="4" t="s">
        <v>35</v>
      </c>
      <c r="F2129" s="4" t="s">
        <v>18</v>
      </c>
      <c r="G2129" s="4" t="s">
        <v>30</v>
      </c>
      <c r="H2129" s="4" t="s">
        <v>20</v>
      </c>
      <c r="I2129" s="4">
        <v>77</v>
      </c>
      <c r="J2129" s="5">
        <v>71.2</v>
      </c>
      <c r="K2129" s="6">
        <v>1.66</v>
      </c>
      <c r="L2129" s="4">
        <v>3</v>
      </c>
      <c r="M2129" s="4">
        <v>135</v>
      </c>
      <c r="N2129" s="4">
        <v>74</v>
      </c>
      <c r="O2129" s="4" t="s">
        <v>26</v>
      </c>
      <c r="P2129" s="7" t="s">
        <v>19</v>
      </c>
    </row>
    <row r="2130" spans="2:16" x14ac:dyDescent="0.45">
      <c r="B2130" s="4">
        <v>2129</v>
      </c>
      <c r="C2130" s="4" t="s">
        <v>22</v>
      </c>
      <c r="D2130" s="4" t="s">
        <v>16</v>
      </c>
      <c r="E2130" s="4" t="s">
        <v>44</v>
      </c>
      <c r="F2130" s="4" t="s">
        <v>18</v>
      </c>
      <c r="G2130" s="4" t="s">
        <v>19</v>
      </c>
      <c r="H2130" s="4" t="s">
        <v>38</v>
      </c>
      <c r="I2130" s="4">
        <v>12</v>
      </c>
      <c r="J2130" s="5">
        <v>52.1</v>
      </c>
      <c r="K2130" s="6">
        <v>1.68</v>
      </c>
      <c r="L2130" s="4">
        <v>3</v>
      </c>
      <c r="M2130" s="4">
        <v>118</v>
      </c>
      <c r="N2130" s="4">
        <v>75</v>
      </c>
      <c r="O2130" s="4" t="s">
        <v>26</v>
      </c>
      <c r="P2130" s="7" t="s">
        <v>19</v>
      </c>
    </row>
    <row r="2131" spans="2:16" x14ac:dyDescent="0.45">
      <c r="B2131" s="4">
        <v>2130</v>
      </c>
      <c r="C2131" s="4" t="s">
        <v>45</v>
      </c>
      <c r="D2131" s="4" t="s">
        <v>23</v>
      </c>
      <c r="E2131" s="4" t="s">
        <v>35</v>
      </c>
      <c r="F2131" s="4" t="s">
        <v>24</v>
      </c>
      <c r="G2131" s="4" t="s">
        <v>19</v>
      </c>
      <c r="H2131" s="4" t="s">
        <v>25</v>
      </c>
      <c r="I2131" s="4">
        <v>29</v>
      </c>
      <c r="J2131" s="5">
        <v>82.5</v>
      </c>
      <c r="K2131" s="6">
        <v>1.72</v>
      </c>
      <c r="L2131" s="4">
        <v>6</v>
      </c>
      <c r="M2131" s="4">
        <v>114</v>
      </c>
      <c r="N2131" s="4">
        <v>92</v>
      </c>
      <c r="O2131" s="4" t="s">
        <v>26</v>
      </c>
      <c r="P2131" s="7" t="s">
        <v>19</v>
      </c>
    </row>
    <row r="2132" spans="2:16" x14ac:dyDescent="0.45">
      <c r="B2132" s="4">
        <v>2131</v>
      </c>
      <c r="C2132" s="4" t="s">
        <v>15</v>
      </c>
      <c r="D2132" s="4" t="s">
        <v>16</v>
      </c>
      <c r="E2132" s="4" t="s">
        <v>35</v>
      </c>
      <c r="F2132" s="4" t="s">
        <v>18</v>
      </c>
      <c r="G2132" s="4" t="s">
        <v>19</v>
      </c>
      <c r="H2132" s="4" t="s">
        <v>20</v>
      </c>
      <c r="I2132" s="4">
        <v>51</v>
      </c>
      <c r="J2132" s="5">
        <v>49.2</v>
      </c>
      <c r="K2132" s="6">
        <v>1.78</v>
      </c>
      <c r="L2132" s="4">
        <v>1</v>
      </c>
      <c r="M2132" s="4">
        <v>108</v>
      </c>
      <c r="N2132" s="4">
        <v>90</v>
      </c>
      <c r="O2132" s="4" t="s">
        <v>26</v>
      </c>
      <c r="P2132" s="7" t="s">
        <v>19</v>
      </c>
    </row>
    <row r="2133" spans="2:16" x14ac:dyDescent="0.45">
      <c r="B2133" s="4">
        <v>2132</v>
      </c>
      <c r="C2133" s="4" t="s">
        <v>27</v>
      </c>
      <c r="D2133" s="4" t="s">
        <v>23</v>
      </c>
      <c r="E2133" s="4" t="s">
        <v>17</v>
      </c>
      <c r="F2133" s="4" t="s">
        <v>18</v>
      </c>
      <c r="G2133" s="4" t="s">
        <v>19</v>
      </c>
      <c r="H2133" s="4" t="s">
        <v>28</v>
      </c>
      <c r="I2133" s="4">
        <v>41</v>
      </c>
      <c r="J2133" s="5">
        <v>45.6</v>
      </c>
      <c r="K2133" s="6">
        <v>1.65</v>
      </c>
      <c r="L2133" s="4">
        <v>3</v>
      </c>
      <c r="M2133" s="4">
        <v>112</v>
      </c>
      <c r="N2133" s="4">
        <v>83</v>
      </c>
      <c r="O2133" s="4" t="s">
        <v>26</v>
      </c>
      <c r="P2133" s="7" t="s">
        <v>30</v>
      </c>
    </row>
    <row r="2134" spans="2:16" x14ac:dyDescent="0.45">
      <c r="B2134" s="4">
        <v>2133</v>
      </c>
      <c r="C2134" s="4" t="s">
        <v>33</v>
      </c>
      <c r="D2134" s="4" t="s">
        <v>16</v>
      </c>
      <c r="E2134" s="4" t="s">
        <v>17</v>
      </c>
      <c r="F2134" s="4" t="s">
        <v>18</v>
      </c>
      <c r="G2134" s="4" t="s">
        <v>19</v>
      </c>
      <c r="H2134" s="4" t="s">
        <v>25</v>
      </c>
      <c r="I2134" s="4">
        <v>10</v>
      </c>
      <c r="J2134" s="5">
        <v>19.5</v>
      </c>
      <c r="K2134" s="6">
        <v>1.19</v>
      </c>
      <c r="L2134" s="4">
        <v>0</v>
      </c>
      <c r="M2134" s="4">
        <v>96</v>
      </c>
      <c r="N2134" s="4">
        <v>74</v>
      </c>
      <c r="O2134" s="4" t="s">
        <v>26</v>
      </c>
      <c r="P2134" s="7" t="s">
        <v>19</v>
      </c>
    </row>
    <row r="2135" spans="2:16" x14ac:dyDescent="0.45">
      <c r="B2135" s="4">
        <v>2134</v>
      </c>
      <c r="C2135" s="4" t="s">
        <v>22</v>
      </c>
      <c r="D2135" s="4" t="s">
        <v>16</v>
      </c>
      <c r="E2135" s="4" t="s">
        <v>35</v>
      </c>
      <c r="F2135" s="4" t="s">
        <v>24</v>
      </c>
      <c r="G2135" s="4" t="s">
        <v>30</v>
      </c>
      <c r="H2135" s="4" t="s">
        <v>28</v>
      </c>
      <c r="I2135" s="4">
        <v>24</v>
      </c>
      <c r="J2135" s="5">
        <v>51.8</v>
      </c>
      <c r="K2135" s="6">
        <v>1.62</v>
      </c>
      <c r="L2135" s="4">
        <v>2</v>
      </c>
      <c r="M2135" s="4">
        <v>98</v>
      </c>
      <c r="N2135" s="4">
        <v>88</v>
      </c>
      <c r="O2135" s="4" t="s">
        <v>21</v>
      </c>
      <c r="P2135" s="7" t="s">
        <v>19</v>
      </c>
    </row>
    <row r="2136" spans="2:16" x14ac:dyDescent="0.45">
      <c r="B2136" s="4">
        <v>2135</v>
      </c>
      <c r="C2136" s="4" t="s">
        <v>27</v>
      </c>
      <c r="D2136" s="4" t="s">
        <v>23</v>
      </c>
      <c r="E2136" s="4" t="s">
        <v>35</v>
      </c>
      <c r="F2136" s="4" t="s">
        <v>28</v>
      </c>
      <c r="G2136" s="4" t="s">
        <v>19</v>
      </c>
      <c r="H2136" s="4" t="s">
        <v>20</v>
      </c>
      <c r="I2136" s="4">
        <v>11</v>
      </c>
      <c r="J2136" s="5">
        <v>25.9</v>
      </c>
      <c r="K2136" s="6">
        <v>1.39</v>
      </c>
      <c r="L2136" s="4">
        <v>1</v>
      </c>
      <c r="M2136" s="4">
        <v>101</v>
      </c>
      <c r="N2136" s="4">
        <v>95</v>
      </c>
      <c r="O2136" s="4" t="s">
        <v>26</v>
      </c>
      <c r="P2136" s="7" t="s">
        <v>19</v>
      </c>
    </row>
    <row r="2137" spans="2:16" x14ac:dyDescent="0.45">
      <c r="B2137" s="4">
        <v>2136</v>
      </c>
      <c r="C2137" s="4" t="s">
        <v>27</v>
      </c>
      <c r="D2137" s="4" t="s">
        <v>16</v>
      </c>
      <c r="E2137" s="4" t="s">
        <v>17</v>
      </c>
      <c r="F2137" s="4" t="s">
        <v>24</v>
      </c>
      <c r="G2137" s="4" t="s">
        <v>30</v>
      </c>
      <c r="H2137" s="4" t="s">
        <v>20</v>
      </c>
      <c r="I2137" s="4">
        <v>39</v>
      </c>
      <c r="J2137" s="5">
        <v>75.400000000000006</v>
      </c>
      <c r="K2137" s="6">
        <v>1.69</v>
      </c>
      <c r="L2137" s="4">
        <v>5</v>
      </c>
      <c r="M2137" s="4">
        <v>110</v>
      </c>
      <c r="N2137" s="4">
        <v>82</v>
      </c>
      <c r="O2137" s="4" t="s">
        <v>21</v>
      </c>
      <c r="P2137" s="7" t="s">
        <v>19</v>
      </c>
    </row>
    <row r="2138" spans="2:16" x14ac:dyDescent="0.45">
      <c r="B2138" s="4">
        <v>2137</v>
      </c>
      <c r="C2138" s="4" t="s">
        <v>15</v>
      </c>
      <c r="D2138" s="4" t="s">
        <v>16</v>
      </c>
      <c r="E2138" s="4" t="s">
        <v>35</v>
      </c>
      <c r="F2138" s="4" t="s">
        <v>28</v>
      </c>
      <c r="G2138" s="4" t="s">
        <v>19</v>
      </c>
      <c r="H2138" s="4" t="s">
        <v>28</v>
      </c>
      <c r="I2138" s="4">
        <v>27</v>
      </c>
      <c r="J2138" s="5">
        <v>84</v>
      </c>
      <c r="K2138" s="6">
        <v>1.53</v>
      </c>
      <c r="L2138" s="4">
        <v>2</v>
      </c>
      <c r="M2138" s="4">
        <v>118</v>
      </c>
      <c r="N2138" s="4">
        <v>96</v>
      </c>
      <c r="O2138" s="4" t="s">
        <v>26</v>
      </c>
      <c r="P2138" s="7" t="s">
        <v>19</v>
      </c>
    </row>
    <row r="2139" spans="2:16" x14ac:dyDescent="0.45">
      <c r="B2139" s="4">
        <v>2138</v>
      </c>
      <c r="C2139" s="4" t="s">
        <v>39</v>
      </c>
      <c r="D2139" s="4" t="s">
        <v>23</v>
      </c>
      <c r="E2139" s="4" t="s">
        <v>35</v>
      </c>
      <c r="F2139" s="4" t="s">
        <v>24</v>
      </c>
      <c r="G2139" s="4" t="s">
        <v>19</v>
      </c>
      <c r="H2139" s="4" t="s">
        <v>20</v>
      </c>
      <c r="I2139" s="4">
        <v>60</v>
      </c>
      <c r="J2139" s="5">
        <v>81</v>
      </c>
      <c r="K2139" s="6">
        <v>1.84</v>
      </c>
      <c r="L2139" s="4">
        <v>0</v>
      </c>
      <c r="M2139" s="4">
        <v>118</v>
      </c>
      <c r="N2139" s="4">
        <v>94</v>
      </c>
      <c r="O2139" s="4" t="s">
        <v>21</v>
      </c>
      <c r="P2139" s="7" t="s">
        <v>19</v>
      </c>
    </row>
    <row r="2140" spans="2:16" x14ac:dyDescent="0.45">
      <c r="B2140" s="4">
        <v>2139</v>
      </c>
      <c r="C2140" s="4" t="s">
        <v>43</v>
      </c>
      <c r="D2140" s="4" t="s">
        <v>16</v>
      </c>
      <c r="E2140" s="4" t="s">
        <v>37</v>
      </c>
      <c r="F2140" s="4" t="s">
        <v>24</v>
      </c>
      <c r="G2140" s="4" t="s">
        <v>19</v>
      </c>
      <c r="H2140" s="4" t="s">
        <v>34</v>
      </c>
      <c r="I2140" s="4">
        <v>44</v>
      </c>
      <c r="J2140" s="5">
        <v>91.3</v>
      </c>
      <c r="K2140" s="6">
        <v>1.59</v>
      </c>
      <c r="L2140" s="4">
        <v>3</v>
      </c>
      <c r="M2140" s="4">
        <v>122</v>
      </c>
      <c r="N2140" s="4">
        <v>74</v>
      </c>
      <c r="O2140" s="4" t="s">
        <v>21</v>
      </c>
      <c r="P2140" s="7" t="s">
        <v>30</v>
      </c>
    </row>
    <row r="2141" spans="2:16" x14ac:dyDescent="0.45">
      <c r="B2141" s="4">
        <v>2140</v>
      </c>
      <c r="C2141" s="4" t="s">
        <v>41</v>
      </c>
      <c r="D2141" s="4" t="s">
        <v>16</v>
      </c>
      <c r="E2141" s="4" t="s">
        <v>37</v>
      </c>
      <c r="F2141" s="4" t="s">
        <v>42</v>
      </c>
      <c r="G2141" s="4" t="s">
        <v>19</v>
      </c>
      <c r="H2141" s="4" t="s">
        <v>20</v>
      </c>
      <c r="I2141" s="4">
        <v>39</v>
      </c>
      <c r="J2141" s="5">
        <v>68.3</v>
      </c>
      <c r="K2141" s="6">
        <v>1.84</v>
      </c>
      <c r="L2141" s="4">
        <v>2</v>
      </c>
      <c r="M2141" s="4">
        <v>105</v>
      </c>
      <c r="N2141" s="4">
        <v>95</v>
      </c>
      <c r="O2141" s="4" t="s">
        <v>26</v>
      </c>
      <c r="P2141" s="7" t="s">
        <v>19</v>
      </c>
    </row>
    <row r="2142" spans="2:16" x14ac:dyDescent="0.45">
      <c r="B2142" s="4">
        <v>2141</v>
      </c>
      <c r="C2142" s="4" t="s">
        <v>31</v>
      </c>
      <c r="D2142" s="4" t="s">
        <v>16</v>
      </c>
      <c r="E2142" s="4" t="s">
        <v>35</v>
      </c>
      <c r="F2142" s="4" t="s">
        <v>24</v>
      </c>
      <c r="G2142" s="4" t="s">
        <v>19</v>
      </c>
      <c r="H2142" s="4" t="s">
        <v>25</v>
      </c>
      <c r="I2142" s="4">
        <v>36</v>
      </c>
      <c r="J2142" s="5">
        <v>73.5</v>
      </c>
      <c r="K2142" s="6">
        <v>1.81</v>
      </c>
      <c r="L2142" s="4">
        <v>2</v>
      </c>
      <c r="M2142" s="4">
        <v>102</v>
      </c>
      <c r="N2142" s="4">
        <v>98</v>
      </c>
      <c r="O2142" s="4" t="s">
        <v>26</v>
      </c>
      <c r="P2142" s="7" t="s">
        <v>19</v>
      </c>
    </row>
    <row r="2143" spans="2:16" x14ac:dyDescent="0.45">
      <c r="B2143" s="4">
        <v>2142</v>
      </c>
      <c r="C2143" s="4" t="s">
        <v>27</v>
      </c>
      <c r="D2143" s="4" t="s">
        <v>16</v>
      </c>
      <c r="E2143" s="4" t="s">
        <v>17</v>
      </c>
      <c r="F2143" s="4" t="s">
        <v>18</v>
      </c>
      <c r="G2143" s="4" t="s">
        <v>19</v>
      </c>
      <c r="H2143" s="4" t="s">
        <v>20</v>
      </c>
      <c r="I2143" s="4">
        <v>18</v>
      </c>
      <c r="J2143" s="5">
        <v>52.1</v>
      </c>
      <c r="K2143" s="6">
        <v>1.82</v>
      </c>
      <c r="L2143" s="4">
        <v>2</v>
      </c>
      <c r="M2143" s="4">
        <v>102</v>
      </c>
      <c r="N2143" s="4">
        <v>102</v>
      </c>
      <c r="O2143" s="4" t="s">
        <v>26</v>
      </c>
      <c r="P2143" s="7" t="s">
        <v>30</v>
      </c>
    </row>
    <row r="2144" spans="2:16" x14ac:dyDescent="0.45">
      <c r="B2144" s="4">
        <v>2143</v>
      </c>
      <c r="C2144" s="4" t="s">
        <v>45</v>
      </c>
      <c r="D2144" s="4" t="s">
        <v>16</v>
      </c>
      <c r="E2144" s="4" t="s">
        <v>35</v>
      </c>
      <c r="F2144" s="4" t="s">
        <v>18</v>
      </c>
      <c r="G2144" s="4" t="s">
        <v>19</v>
      </c>
      <c r="H2144" s="4" t="s">
        <v>20</v>
      </c>
      <c r="I2144" s="4">
        <v>16</v>
      </c>
      <c r="J2144" s="5">
        <v>51.7</v>
      </c>
      <c r="K2144" s="6">
        <v>1.52</v>
      </c>
      <c r="L2144" s="4">
        <v>2</v>
      </c>
      <c r="M2144" s="4">
        <v>102</v>
      </c>
      <c r="N2144" s="4">
        <v>99</v>
      </c>
      <c r="O2144" s="4" t="s">
        <v>26</v>
      </c>
      <c r="P2144" s="7" t="s">
        <v>19</v>
      </c>
    </row>
    <row r="2145" spans="2:16" x14ac:dyDescent="0.45">
      <c r="B2145" s="4">
        <v>2144</v>
      </c>
      <c r="C2145" s="4" t="s">
        <v>43</v>
      </c>
      <c r="D2145" s="4" t="s">
        <v>16</v>
      </c>
      <c r="E2145" s="4" t="s">
        <v>35</v>
      </c>
      <c r="F2145" s="4" t="s">
        <v>24</v>
      </c>
      <c r="G2145" s="4" t="s">
        <v>19</v>
      </c>
      <c r="H2145" s="4" t="s">
        <v>28</v>
      </c>
      <c r="I2145" s="4">
        <v>8</v>
      </c>
      <c r="J2145" s="5">
        <v>36.4</v>
      </c>
      <c r="K2145" s="6">
        <v>1.1200000000000001</v>
      </c>
      <c r="L2145" s="4">
        <v>2</v>
      </c>
      <c r="M2145" s="4">
        <v>103</v>
      </c>
      <c r="N2145" s="4">
        <v>83</v>
      </c>
      <c r="O2145" s="4" t="s">
        <v>26</v>
      </c>
      <c r="P2145" s="7" t="s">
        <v>19</v>
      </c>
    </row>
    <row r="2146" spans="2:16" x14ac:dyDescent="0.45">
      <c r="B2146" s="4">
        <v>2145</v>
      </c>
      <c r="C2146" s="4" t="s">
        <v>31</v>
      </c>
      <c r="D2146" s="4" t="s">
        <v>23</v>
      </c>
      <c r="E2146" s="4" t="s">
        <v>35</v>
      </c>
      <c r="F2146" s="4" t="s">
        <v>24</v>
      </c>
      <c r="G2146" s="4" t="s">
        <v>19</v>
      </c>
      <c r="H2146" s="4" t="s">
        <v>28</v>
      </c>
      <c r="I2146" s="4">
        <v>1</v>
      </c>
      <c r="J2146" s="5">
        <v>16.5</v>
      </c>
      <c r="K2146" s="6">
        <v>0.88</v>
      </c>
      <c r="L2146" s="4">
        <v>2</v>
      </c>
      <c r="M2146" s="4">
        <v>92</v>
      </c>
      <c r="N2146" s="4">
        <v>79</v>
      </c>
      <c r="O2146" s="4" t="s">
        <v>26</v>
      </c>
      <c r="P2146" s="7" t="s">
        <v>19</v>
      </c>
    </row>
    <row r="2147" spans="2:16" x14ac:dyDescent="0.45">
      <c r="B2147" s="4">
        <v>2146</v>
      </c>
      <c r="C2147" s="4" t="s">
        <v>27</v>
      </c>
      <c r="D2147" s="4" t="s">
        <v>23</v>
      </c>
      <c r="E2147" s="4" t="s">
        <v>35</v>
      </c>
      <c r="F2147" s="4" t="s">
        <v>24</v>
      </c>
      <c r="G2147" s="4" t="s">
        <v>19</v>
      </c>
      <c r="H2147" s="4" t="s">
        <v>20</v>
      </c>
      <c r="I2147" s="4">
        <v>43</v>
      </c>
      <c r="J2147" s="5">
        <v>57.2</v>
      </c>
      <c r="K2147" s="6">
        <v>1.81</v>
      </c>
      <c r="L2147" s="4">
        <v>1</v>
      </c>
      <c r="M2147" s="4">
        <v>124</v>
      </c>
      <c r="N2147" s="4">
        <v>79</v>
      </c>
      <c r="O2147" s="4" t="s">
        <v>26</v>
      </c>
      <c r="P2147" s="7" t="s">
        <v>19</v>
      </c>
    </row>
    <row r="2148" spans="2:16" x14ac:dyDescent="0.45">
      <c r="B2148" s="4">
        <v>2147</v>
      </c>
      <c r="C2148" s="4" t="s">
        <v>22</v>
      </c>
      <c r="D2148" s="4" t="s">
        <v>16</v>
      </c>
      <c r="E2148" s="4" t="s">
        <v>17</v>
      </c>
      <c r="F2148" s="4" t="s">
        <v>24</v>
      </c>
      <c r="G2148" s="4" t="s">
        <v>19</v>
      </c>
      <c r="H2148" s="4" t="s">
        <v>28</v>
      </c>
      <c r="I2148" s="4">
        <v>3</v>
      </c>
      <c r="J2148" s="5">
        <v>17.899999999999999</v>
      </c>
      <c r="K2148" s="6">
        <v>0.65</v>
      </c>
      <c r="L2148" s="4">
        <v>1</v>
      </c>
      <c r="M2148" s="4">
        <v>95</v>
      </c>
      <c r="N2148" s="4">
        <v>72</v>
      </c>
      <c r="O2148" s="4" t="s">
        <v>26</v>
      </c>
      <c r="P2148" s="7" t="s">
        <v>19</v>
      </c>
    </row>
    <row r="2149" spans="2:16" x14ac:dyDescent="0.45">
      <c r="B2149" s="4">
        <v>2148</v>
      </c>
      <c r="C2149" s="4" t="s">
        <v>43</v>
      </c>
      <c r="D2149" s="4" t="s">
        <v>16</v>
      </c>
      <c r="E2149" s="4" t="s">
        <v>17</v>
      </c>
      <c r="F2149" s="4" t="s">
        <v>24</v>
      </c>
      <c r="G2149" s="4" t="s">
        <v>19</v>
      </c>
      <c r="H2149" s="4" t="s">
        <v>20</v>
      </c>
      <c r="I2149" s="4">
        <v>1</v>
      </c>
      <c r="J2149" s="5">
        <v>16</v>
      </c>
      <c r="K2149" s="6">
        <v>0.89</v>
      </c>
      <c r="L2149" s="4">
        <v>5</v>
      </c>
      <c r="M2149" s="4">
        <v>97</v>
      </c>
      <c r="N2149" s="4">
        <v>79</v>
      </c>
      <c r="O2149" s="4" t="s">
        <v>26</v>
      </c>
      <c r="P2149" s="7" t="s">
        <v>19</v>
      </c>
    </row>
    <row r="2150" spans="2:16" x14ac:dyDescent="0.45">
      <c r="B2150" s="4">
        <v>2149</v>
      </c>
      <c r="C2150" s="4" t="s">
        <v>31</v>
      </c>
      <c r="D2150" s="4" t="s">
        <v>16</v>
      </c>
      <c r="E2150" s="4" t="s">
        <v>17</v>
      </c>
      <c r="F2150" s="4" t="s">
        <v>24</v>
      </c>
      <c r="G2150" s="4" t="s">
        <v>19</v>
      </c>
      <c r="H2150" s="4" t="s">
        <v>34</v>
      </c>
      <c r="I2150" s="4">
        <v>31</v>
      </c>
      <c r="J2150" s="5">
        <v>93.1</v>
      </c>
      <c r="K2150" s="6">
        <v>1.84</v>
      </c>
      <c r="L2150" s="4">
        <v>10</v>
      </c>
      <c r="M2150" s="4">
        <v>127</v>
      </c>
      <c r="N2150" s="4">
        <v>71</v>
      </c>
      <c r="O2150" s="4" t="s">
        <v>26</v>
      </c>
      <c r="P2150" s="7" t="s">
        <v>30</v>
      </c>
    </row>
    <row r="2151" spans="2:16" x14ac:dyDescent="0.45">
      <c r="B2151" s="4">
        <v>2150</v>
      </c>
      <c r="C2151" s="4" t="s">
        <v>39</v>
      </c>
      <c r="D2151" s="4" t="s">
        <v>23</v>
      </c>
      <c r="E2151" s="4" t="s">
        <v>17</v>
      </c>
      <c r="F2151" s="4" t="s">
        <v>24</v>
      </c>
      <c r="G2151" s="4" t="s">
        <v>19</v>
      </c>
      <c r="H2151" s="4" t="s">
        <v>34</v>
      </c>
      <c r="I2151" s="4">
        <v>41</v>
      </c>
      <c r="J2151" s="5">
        <v>71.099999999999994</v>
      </c>
      <c r="K2151" s="6">
        <v>1.87</v>
      </c>
      <c r="L2151" s="4">
        <v>4</v>
      </c>
      <c r="M2151" s="4">
        <v>116</v>
      </c>
      <c r="N2151" s="4">
        <v>94</v>
      </c>
      <c r="O2151" s="4" t="s">
        <v>26</v>
      </c>
      <c r="P2151" s="7" t="s">
        <v>19</v>
      </c>
    </row>
    <row r="2152" spans="2:16" x14ac:dyDescent="0.45">
      <c r="B2152" s="4">
        <v>2151</v>
      </c>
      <c r="C2152" s="4" t="s">
        <v>39</v>
      </c>
      <c r="D2152" s="4" t="s">
        <v>23</v>
      </c>
      <c r="E2152" s="4" t="s">
        <v>35</v>
      </c>
      <c r="F2152" s="4" t="s">
        <v>18</v>
      </c>
      <c r="G2152" s="4" t="s">
        <v>19</v>
      </c>
      <c r="H2152" s="4" t="s">
        <v>38</v>
      </c>
      <c r="I2152" s="4">
        <v>12</v>
      </c>
      <c r="J2152" s="5">
        <v>57.1</v>
      </c>
      <c r="K2152" s="6">
        <v>1.5</v>
      </c>
      <c r="L2152" s="4">
        <v>4</v>
      </c>
      <c r="M2152" s="4">
        <v>110</v>
      </c>
      <c r="N2152" s="4">
        <v>91</v>
      </c>
      <c r="O2152" s="4" t="s">
        <v>26</v>
      </c>
      <c r="P2152" s="7" t="s">
        <v>19</v>
      </c>
    </row>
    <row r="2153" spans="2:16" x14ac:dyDescent="0.45">
      <c r="B2153" s="4">
        <v>2152</v>
      </c>
      <c r="C2153" s="4" t="s">
        <v>27</v>
      </c>
      <c r="D2153" s="4" t="s">
        <v>16</v>
      </c>
      <c r="E2153" s="4" t="s">
        <v>17</v>
      </c>
      <c r="F2153" s="4" t="s">
        <v>24</v>
      </c>
      <c r="G2153" s="4" t="s">
        <v>19</v>
      </c>
      <c r="H2153" s="4" t="s">
        <v>36</v>
      </c>
      <c r="I2153" s="4">
        <v>24</v>
      </c>
      <c r="J2153" s="5">
        <v>78.8</v>
      </c>
      <c r="K2153" s="6">
        <v>1.81</v>
      </c>
      <c r="L2153" s="4">
        <v>9</v>
      </c>
      <c r="M2153" s="4">
        <v>120</v>
      </c>
      <c r="N2153" s="4">
        <v>97</v>
      </c>
      <c r="O2153" s="4" t="s">
        <v>21</v>
      </c>
      <c r="P2153" s="7" t="s">
        <v>30</v>
      </c>
    </row>
    <row r="2154" spans="2:16" x14ac:dyDescent="0.45">
      <c r="B2154" s="4">
        <v>2153</v>
      </c>
      <c r="C2154" s="4" t="s">
        <v>27</v>
      </c>
      <c r="D2154" s="4" t="s">
        <v>16</v>
      </c>
      <c r="E2154" s="4" t="s">
        <v>35</v>
      </c>
      <c r="F2154" s="4" t="s">
        <v>24</v>
      </c>
      <c r="G2154" s="4" t="s">
        <v>30</v>
      </c>
      <c r="H2154" s="4" t="s">
        <v>46</v>
      </c>
      <c r="I2154" s="4">
        <v>24</v>
      </c>
      <c r="J2154" s="5">
        <v>49.3</v>
      </c>
      <c r="K2154" s="6">
        <v>1.71</v>
      </c>
      <c r="L2154" s="4">
        <v>1</v>
      </c>
      <c r="M2154" s="4">
        <v>113</v>
      </c>
      <c r="N2154" s="4">
        <v>85</v>
      </c>
      <c r="O2154" s="4" t="s">
        <v>21</v>
      </c>
      <c r="P2154" s="7" t="s">
        <v>19</v>
      </c>
    </row>
    <row r="2155" spans="2:16" x14ac:dyDescent="0.45">
      <c r="B2155" s="4">
        <v>2154</v>
      </c>
      <c r="C2155" s="4" t="s">
        <v>15</v>
      </c>
      <c r="D2155" s="4" t="s">
        <v>23</v>
      </c>
      <c r="E2155" s="4" t="s">
        <v>17</v>
      </c>
      <c r="F2155" s="4" t="s">
        <v>24</v>
      </c>
      <c r="G2155" s="4" t="s">
        <v>19</v>
      </c>
      <c r="H2155" s="4" t="s">
        <v>46</v>
      </c>
      <c r="I2155" s="4">
        <v>21</v>
      </c>
      <c r="J2155" s="5">
        <v>80.099999999999994</v>
      </c>
      <c r="K2155" s="6">
        <v>1.64</v>
      </c>
      <c r="L2155" s="4">
        <v>2</v>
      </c>
      <c r="M2155" s="4">
        <v>111</v>
      </c>
      <c r="N2155" s="4">
        <v>92</v>
      </c>
      <c r="O2155" s="4" t="s">
        <v>26</v>
      </c>
      <c r="P2155" s="7" t="s">
        <v>19</v>
      </c>
    </row>
    <row r="2156" spans="2:16" x14ac:dyDescent="0.45">
      <c r="B2156" s="4">
        <v>2155</v>
      </c>
      <c r="C2156" s="4" t="s">
        <v>27</v>
      </c>
      <c r="D2156" s="4" t="s">
        <v>16</v>
      </c>
      <c r="E2156" s="4" t="s">
        <v>17</v>
      </c>
      <c r="F2156" s="4" t="s">
        <v>28</v>
      </c>
      <c r="G2156" s="4" t="s">
        <v>19</v>
      </c>
      <c r="H2156" s="4" t="s">
        <v>32</v>
      </c>
      <c r="I2156" s="4">
        <v>0</v>
      </c>
      <c r="J2156" s="5">
        <v>13.1</v>
      </c>
      <c r="K2156" s="6">
        <v>0.84</v>
      </c>
      <c r="L2156" s="4">
        <v>1</v>
      </c>
      <c r="M2156" s="4">
        <v>107</v>
      </c>
      <c r="N2156" s="4">
        <v>138</v>
      </c>
      <c r="O2156" s="4" t="s">
        <v>26</v>
      </c>
      <c r="P2156" s="7" t="s">
        <v>19</v>
      </c>
    </row>
    <row r="2157" spans="2:16" x14ac:dyDescent="0.45">
      <c r="B2157" s="4">
        <v>2156</v>
      </c>
      <c r="C2157" s="4" t="s">
        <v>41</v>
      </c>
      <c r="D2157" s="4" t="s">
        <v>23</v>
      </c>
      <c r="E2157" s="4" t="s">
        <v>17</v>
      </c>
      <c r="F2157" s="4" t="s">
        <v>24</v>
      </c>
      <c r="G2157" s="4" t="s">
        <v>19</v>
      </c>
      <c r="H2157" s="4" t="s">
        <v>46</v>
      </c>
      <c r="I2157" s="4">
        <v>3</v>
      </c>
      <c r="J2157" s="5">
        <v>8</v>
      </c>
      <c r="K2157" s="6">
        <v>0.81</v>
      </c>
      <c r="L2157" s="4">
        <v>1</v>
      </c>
      <c r="M2157" s="4">
        <v>99</v>
      </c>
      <c r="N2157" s="4">
        <v>89</v>
      </c>
      <c r="O2157" s="4" t="s">
        <v>26</v>
      </c>
      <c r="P2157" s="7" t="s">
        <v>19</v>
      </c>
    </row>
    <row r="2158" spans="2:16" x14ac:dyDescent="0.45">
      <c r="B2158" s="4">
        <v>2157</v>
      </c>
      <c r="C2158" s="4" t="s">
        <v>31</v>
      </c>
      <c r="D2158" s="4" t="s">
        <v>16</v>
      </c>
      <c r="E2158" s="4" t="s">
        <v>17</v>
      </c>
      <c r="F2158" s="4" t="s">
        <v>24</v>
      </c>
      <c r="G2158" s="4" t="s">
        <v>30</v>
      </c>
      <c r="H2158" s="4" t="s">
        <v>20</v>
      </c>
      <c r="I2158" s="4">
        <v>33</v>
      </c>
      <c r="J2158" s="5">
        <v>51.9</v>
      </c>
      <c r="K2158" s="6">
        <v>1.61</v>
      </c>
      <c r="L2158" s="4">
        <v>3</v>
      </c>
      <c r="M2158" s="4">
        <v>116</v>
      </c>
      <c r="N2158" s="4">
        <v>94</v>
      </c>
      <c r="O2158" s="4" t="s">
        <v>21</v>
      </c>
      <c r="P2158" s="7" t="s">
        <v>19</v>
      </c>
    </row>
    <row r="2159" spans="2:16" x14ac:dyDescent="0.45">
      <c r="B2159" s="4">
        <v>2158</v>
      </c>
      <c r="C2159" s="4" t="s">
        <v>22</v>
      </c>
      <c r="D2159" s="4" t="s">
        <v>23</v>
      </c>
      <c r="E2159" s="4" t="s">
        <v>35</v>
      </c>
      <c r="F2159" s="4" t="s">
        <v>24</v>
      </c>
      <c r="G2159" s="4" t="s">
        <v>30</v>
      </c>
      <c r="H2159" s="4" t="s">
        <v>28</v>
      </c>
      <c r="I2159" s="4">
        <v>56</v>
      </c>
      <c r="J2159" s="5">
        <v>75.099999999999994</v>
      </c>
      <c r="K2159" s="6">
        <v>1.78</v>
      </c>
      <c r="L2159" s="4">
        <v>1</v>
      </c>
      <c r="M2159" s="4">
        <v>108</v>
      </c>
      <c r="N2159" s="4">
        <v>86</v>
      </c>
      <c r="O2159" s="4" t="s">
        <v>21</v>
      </c>
      <c r="P2159" s="7" t="s">
        <v>19</v>
      </c>
    </row>
    <row r="2160" spans="2:16" x14ac:dyDescent="0.45">
      <c r="B2160" s="4">
        <v>2159</v>
      </c>
      <c r="C2160" s="4" t="s">
        <v>31</v>
      </c>
      <c r="D2160" s="4" t="s">
        <v>16</v>
      </c>
      <c r="E2160" s="4" t="s">
        <v>44</v>
      </c>
      <c r="F2160" s="4" t="s">
        <v>24</v>
      </c>
      <c r="G2160" s="4" t="s">
        <v>19</v>
      </c>
      <c r="H2160" s="4" t="s">
        <v>36</v>
      </c>
      <c r="I2160" s="4">
        <v>14</v>
      </c>
      <c r="J2160" s="5">
        <v>64.5</v>
      </c>
      <c r="K2160" s="6">
        <v>1.64</v>
      </c>
      <c r="L2160" s="4">
        <v>6</v>
      </c>
      <c r="M2160" s="4">
        <v>130</v>
      </c>
      <c r="N2160" s="4">
        <v>89</v>
      </c>
      <c r="O2160" s="4" t="s">
        <v>26</v>
      </c>
      <c r="P2160" s="7" t="s">
        <v>19</v>
      </c>
    </row>
    <row r="2161" spans="2:16" x14ac:dyDescent="0.45">
      <c r="B2161" s="4">
        <v>2160</v>
      </c>
      <c r="C2161" s="4" t="s">
        <v>22</v>
      </c>
      <c r="D2161" s="4" t="s">
        <v>16</v>
      </c>
      <c r="E2161" s="4" t="s">
        <v>17</v>
      </c>
      <c r="F2161" s="4" t="s">
        <v>24</v>
      </c>
      <c r="G2161" s="4" t="s">
        <v>19</v>
      </c>
      <c r="H2161" s="4" t="s">
        <v>36</v>
      </c>
      <c r="I2161" s="4">
        <v>17</v>
      </c>
      <c r="J2161" s="5">
        <v>56.2</v>
      </c>
      <c r="K2161" s="6">
        <v>1.51</v>
      </c>
      <c r="L2161" s="4">
        <v>5</v>
      </c>
      <c r="M2161" s="4">
        <v>119</v>
      </c>
      <c r="N2161" s="4">
        <v>71</v>
      </c>
      <c r="O2161" s="4" t="s">
        <v>26</v>
      </c>
      <c r="P2161" s="7" t="s">
        <v>19</v>
      </c>
    </row>
    <row r="2162" spans="2:16" x14ac:dyDescent="0.45">
      <c r="B2162" s="4">
        <v>2161</v>
      </c>
      <c r="C2162" s="4" t="s">
        <v>27</v>
      </c>
      <c r="D2162" s="4" t="s">
        <v>16</v>
      </c>
      <c r="E2162" s="4" t="s">
        <v>17</v>
      </c>
      <c r="F2162" s="4" t="s">
        <v>18</v>
      </c>
      <c r="G2162" s="4" t="s">
        <v>30</v>
      </c>
      <c r="H2162" s="4" t="s">
        <v>32</v>
      </c>
      <c r="I2162" s="4">
        <v>62</v>
      </c>
      <c r="J2162" s="5">
        <v>92.6</v>
      </c>
      <c r="K2162" s="6">
        <v>1.86</v>
      </c>
      <c r="L2162" s="4">
        <v>2</v>
      </c>
      <c r="M2162" s="4">
        <v>133</v>
      </c>
      <c r="N2162" s="4">
        <v>144</v>
      </c>
      <c r="O2162" s="4" t="s">
        <v>26</v>
      </c>
      <c r="P2162" s="7" t="s">
        <v>30</v>
      </c>
    </row>
    <row r="2163" spans="2:16" x14ac:dyDescent="0.45">
      <c r="B2163" s="4">
        <v>2162</v>
      </c>
      <c r="C2163" s="4" t="s">
        <v>22</v>
      </c>
      <c r="D2163" s="4" t="s">
        <v>23</v>
      </c>
      <c r="E2163" s="4" t="s">
        <v>17</v>
      </c>
      <c r="F2163" s="4" t="s">
        <v>42</v>
      </c>
      <c r="G2163" s="4" t="s">
        <v>30</v>
      </c>
      <c r="H2163" s="4" t="s">
        <v>36</v>
      </c>
      <c r="I2163" s="4">
        <v>2</v>
      </c>
      <c r="J2163" s="5">
        <v>6.2</v>
      </c>
      <c r="K2163" s="6">
        <v>0.82</v>
      </c>
      <c r="L2163" s="4">
        <v>3</v>
      </c>
      <c r="M2163" s="4">
        <v>122</v>
      </c>
      <c r="N2163" s="4">
        <v>71</v>
      </c>
      <c r="O2163" s="4" t="s">
        <v>26</v>
      </c>
      <c r="P2163" s="7" t="s">
        <v>30</v>
      </c>
    </row>
    <row r="2164" spans="2:16" x14ac:dyDescent="0.45">
      <c r="B2164" s="4">
        <v>2163</v>
      </c>
      <c r="C2164" s="4" t="s">
        <v>39</v>
      </c>
      <c r="D2164" s="4" t="s">
        <v>23</v>
      </c>
      <c r="E2164" s="4" t="s">
        <v>37</v>
      </c>
      <c r="F2164" s="4" t="s">
        <v>18</v>
      </c>
      <c r="G2164" s="4" t="s">
        <v>19</v>
      </c>
      <c r="H2164" s="4" t="s">
        <v>38</v>
      </c>
      <c r="I2164" s="4">
        <v>9</v>
      </c>
      <c r="J2164" s="5">
        <v>26.1</v>
      </c>
      <c r="K2164" s="6">
        <v>1.35</v>
      </c>
      <c r="L2164" s="4">
        <v>0</v>
      </c>
      <c r="M2164" s="4">
        <v>97</v>
      </c>
      <c r="N2164" s="4">
        <v>99</v>
      </c>
      <c r="O2164" s="4" t="s">
        <v>21</v>
      </c>
      <c r="P2164" s="7" t="s">
        <v>19</v>
      </c>
    </row>
    <row r="2165" spans="2:16" x14ac:dyDescent="0.45">
      <c r="B2165" s="4">
        <v>2164</v>
      </c>
      <c r="C2165" s="4" t="s">
        <v>27</v>
      </c>
      <c r="D2165" s="4" t="s">
        <v>16</v>
      </c>
      <c r="E2165" s="4" t="s">
        <v>17</v>
      </c>
      <c r="F2165" s="4" t="s">
        <v>28</v>
      </c>
      <c r="G2165" s="4" t="s">
        <v>19</v>
      </c>
      <c r="H2165" s="4" t="s">
        <v>25</v>
      </c>
      <c r="I2165" s="4">
        <v>56</v>
      </c>
      <c r="J2165" s="5">
        <v>63.8</v>
      </c>
      <c r="K2165" s="6">
        <v>1.52</v>
      </c>
      <c r="L2165" s="4">
        <v>5</v>
      </c>
      <c r="M2165" s="4">
        <v>112</v>
      </c>
      <c r="N2165" s="4">
        <v>75</v>
      </c>
      <c r="O2165" s="4" t="s">
        <v>21</v>
      </c>
      <c r="P2165" s="7" t="s">
        <v>19</v>
      </c>
    </row>
    <row r="2166" spans="2:16" x14ac:dyDescent="0.45">
      <c r="B2166" s="4">
        <v>2165</v>
      </c>
      <c r="C2166" s="4" t="s">
        <v>39</v>
      </c>
      <c r="D2166" s="4" t="s">
        <v>16</v>
      </c>
      <c r="E2166" s="4" t="s">
        <v>17</v>
      </c>
      <c r="F2166" s="4" t="s">
        <v>28</v>
      </c>
      <c r="G2166" s="4" t="s">
        <v>30</v>
      </c>
      <c r="H2166" s="4" t="s">
        <v>25</v>
      </c>
      <c r="I2166" s="4">
        <v>41</v>
      </c>
      <c r="J2166" s="5">
        <v>74.8</v>
      </c>
      <c r="K2166" s="6">
        <v>1.53</v>
      </c>
      <c r="L2166" s="4">
        <v>2</v>
      </c>
      <c r="M2166" s="4">
        <v>111</v>
      </c>
      <c r="N2166" s="4">
        <v>77</v>
      </c>
      <c r="O2166" s="4" t="s">
        <v>26</v>
      </c>
      <c r="P2166" s="7" t="s">
        <v>19</v>
      </c>
    </row>
    <row r="2167" spans="2:16" x14ac:dyDescent="0.45">
      <c r="B2167" s="4">
        <v>2166</v>
      </c>
      <c r="C2167" s="4" t="s">
        <v>43</v>
      </c>
      <c r="D2167" s="4" t="s">
        <v>23</v>
      </c>
      <c r="E2167" s="4" t="s">
        <v>35</v>
      </c>
      <c r="F2167" s="4" t="s">
        <v>24</v>
      </c>
      <c r="G2167" s="4" t="s">
        <v>19</v>
      </c>
      <c r="H2167" s="4" t="s">
        <v>36</v>
      </c>
      <c r="I2167" s="4">
        <v>53</v>
      </c>
      <c r="J2167" s="5">
        <v>54.9</v>
      </c>
      <c r="K2167" s="6">
        <v>1.5</v>
      </c>
      <c r="L2167" s="4">
        <v>1</v>
      </c>
      <c r="M2167" s="4">
        <v>137</v>
      </c>
      <c r="N2167" s="4">
        <v>83</v>
      </c>
      <c r="O2167" s="4" t="s">
        <v>26</v>
      </c>
      <c r="P2167" s="7" t="s">
        <v>19</v>
      </c>
    </row>
    <row r="2168" spans="2:16" x14ac:dyDescent="0.45">
      <c r="B2168" s="4">
        <v>2167</v>
      </c>
      <c r="C2168" s="4" t="s">
        <v>31</v>
      </c>
      <c r="D2168" s="4" t="s">
        <v>23</v>
      </c>
      <c r="E2168" s="4" t="s">
        <v>44</v>
      </c>
      <c r="F2168" s="4" t="s">
        <v>42</v>
      </c>
      <c r="G2168" s="4" t="s">
        <v>19</v>
      </c>
      <c r="H2168" s="4" t="s">
        <v>36</v>
      </c>
      <c r="I2168" s="4">
        <v>4</v>
      </c>
      <c r="J2168" s="5">
        <v>8.6</v>
      </c>
      <c r="K2168" s="6">
        <v>0.62</v>
      </c>
      <c r="L2168" s="4">
        <v>5</v>
      </c>
      <c r="M2168" s="4">
        <v>138</v>
      </c>
      <c r="N2168" s="4">
        <v>85</v>
      </c>
      <c r="O2168" s="4" t="s">
        <v>21</v>
      </c>
      <c r="P2168" s="7" t="s">
        <v>19</v>
      </c>
    </row>
    <row r="2169" spans="2:16" x14ac:dyDescent="0.45">
      <c r="B2169" s="4">
        <v>2168</v>
      </c>
      <c r="C2169" s="4" t="s">
        <v>41</v>
      </c>
      <c r="D2169" s="4" t="s">
        <v>23</v>
      </c>
      <c r="E2169" s="4" t="s">
        <v>44</v>
      </c>
      <c r="F2169" s="4" t="s">
        <v>18</v>
      </c>
      <c r="G2169" s="4" t="s">
        <v>19</v>
      </c>
      <c r="H2169" s="4" t="s">
        <v>32</v>
      </c>
      <c r="I2169" s="4">
        <v>11</v>
      </c>
      <c r="J2169" s="5">
        <v>27.9</v>
      </c>
      <c r="K2169" s="6">
        <v>1.31</v>
      </c>
      <c r="L2169" s="4">
        <v>1</v>
      </c>
      <c r="M2169" s="4">
        <v>115</v>
      </c>
      <c r="N2169" s="4">
        <v>138</v>
      </c>
      <c r="O2169" s="4" t="s">
        <v>21</v>
      </c>
      <c r="P2169" s="7" t="s">
        <v>19</v>
      </c>
    </row>
    <row r="2170" spans="2:16" x14ac:dyDescent="0.45">
      <c r="B2170" s="4">
        <v>2169</v>
      </c>
      <c r="C2170" s="4" t="s">
        <v>43</v>
      </c>
      <c r="D2170" s="4" t="s">
        <v>16</v>
      </c>
      <c r="E2170" s="4" t="s">
        <v>35</v>
      </c>
      <c r="F2170" s="4" t="s">
        <v>24</v>
      </c>
      <c r="G2170" s="4" t="s">
        <v>19</v>
      </c>
      <c r="H2170" s="4" t="s">
        <v>38</v>
      </c>
      <c r="I2170" s="4">
        <v>26</v>
      </c>
      <c r="J2170" s="5">
        <v>87.1</v>
      </c>
      <c r="K2170" s="6">
        <v>1.6</v>
      </c>
      <c r="L2170" s="4">
        <v>4</v>
      </c>
      <c r="M2170" s="4">
        <v>110</v>
      </c>
      <c r="N2170" s="4">
        <v>80</v>
      </c>
      <c r="O2170" s="4" t="s">
        <v>26</v>
      </c>
      <c r="P2170" s="7" t="s">
        <v>19</v>
      </c>
    </row>
    <row r="2171" spans="2:16" x14ac:dyDescent="0.45">
      <c r="B2171" s="4">
        <v>2170</v>
      </c>
      <c r="C2171" s="4" t="s">
        <v>39</v>
      </c>
      <c r="D2171" s="4" t="s">
        <v>23</v>
      </c>
      <c r="E2171" s="4" t="s">
        <v>35</v>
      </c>
      <c r="F2171" s="4" t="s">
        <v>28</v>
      </c>
      <c r="G2171" s="4" t="s">
        <v>19</v>
      </c>
      <c r="H2171" s="4" t="s">
        <v>28</v>
      </c>
      <c r="I2171" s="4">
        <v>36</v>
      </c>
      <c r="J2171" s="5">
        <v>75.8</v>
      </c>
      <c r="K2171" s="6">
        <v>1.67</v>
      </c>
      <c r="L2171" s="4">
        <v>1</v>
      </c>
      <c r="M2171" s="4">
        <v>113</v>
      </c>
      <c r="N2171" s="4">
        <v>74</v>
      </c>
      <c r="O2171" s="4" t="s">
        <v>26</v>
      </c>
      <c r="P2171" s="7" t="s">
        <v>19</v>
      </c>
    </row>
    <row r="2172" spans="2:16" x14ac:dyDescent="0.45">
      <c r="B2172" s="4">
        <v>2171</v>
      </c>
      <c r="C2172" s="4" t="s">
        <v>40</v>
      </c>
      <c r="D2172" s="4" t="s">
        <v>23</v>
      </c>
      <c r="E2172" s="4" t="s">
        <v>17</v>
      </c>
      <c r="F2172" s="4" t="s">
        <v>28</v>
      </c>
      <c r="G2172" s="4" t="s">
        <v>19</v>
      </c>
      <c r="H2172" s="4" t="s">
        <v>38</v>
      </c>
      <c r="I2172" s="4">
        <v>4</v>
      </c>
      <c r="J2172" s="5">
        <v>10.1</v>
      </c>
      <c r="K2172" s="6">
        <v>0.86</v>
      </c>
      <c r="L2172" s="4">
        <v>5</v>
      </c>
      <c r="M2172" s="4">
        <v>110</v>
      </c>
      <c r="N2172" s="4">
        <v>74</v>
      </c>
      <c r="O2172" s="4" t="s">
        <v>26</v>
      </c>
      <c r="P2172" s="7" t="s">
        <v>30</v>
      </c>
    </row>
    <row r="2173" spans="2:16" x14ac:dyDescent="0.45">
      <c r="B2173" s="4">
        <v>2172</v>
      </c>
      <c r="C2173" s="4" t="s">
        <v>31</v>
      </c>
      <c r="D2173" s="4" t="s">
        <v>23</v>
      </c>
      <c r="E2173" s="4" t="s">
        <v>37</v>
      </c>
      <c r="F2173" s="4" t="s">
        <v>18</v>
      </c>
      <c r="G2173" s="4" t="s">
        <v>19</v>
      </c>
      <c r="H2173" s="4" t="s">
        <v>28</v>
      </c>
      <c r="I2173" s="4">
        <v>2</v>
      </c>
      <c r="J2173" s="5">
        <v>15.8</v>
      </c>
      <c r="K2173" s="6">
        <v>0.67</v>
      </c>
      <c r="L2173" s="4">
        <v>4</v>
      </c>
      <c r="M2173" s="4">
        <v>102</v>
      </c>
      <c r="N2173" s="4">
        <v>85</v>
      </c>
      <c r="O2173" s="4" t="s">
        <v>26</v>
      </c>
      <c r="P2173" s="7" t="s">
        <v>19</v>
      </c>
    </row>
    <row r="2174" spans="2:16" x14ac:dyDescent="0.45">
      <c r="B2174" s="4">
        <v>2173</v>
      </c>
      <c r="C2174" s="4" t="s">
        <v>15</v>
      </c>
      <c r="D2174" s="4" t="s">
        <v>16</v>
      </c>
      <c r="E2174" s="4" t="s">
        <v>17</v>
      </c>
      <c r="F2174" s="4" t="s">
        <v>18</v>
      </c>
      <c r="G2174" s="4" t="s">
        <v>19</v>
      </c>
      <c r="H2174" s="4" t="s">
        <v>28</v>
      </c>
      <c r="I2174" s="4">
        <v>20</v>
      </c>
      <c r="J2174" s="5">
        <v>92.4</v>
      </c>
      <c r="K2174" s="6">
        <v>1.85</v>
      </c>
      <c r="L2174" s="4">
        <v>1</v>
      </c>
      <c r="M2174" s="4">
        <v>119</v>
      </c>
      <c r="N2174" s="4">
        <v>85</v>
      </c>
      <c r="O2174" s="4" t="s">
        <v>26</v>
      </c>
      <c r="P2174" s="7" t="s">
        <v>19</v>
      </c>
    </row>
    <row r="2175" spans="2:16" x14ac:dyDescent="0.45">
      <c r="B2175" s="4">
        <v>2174</v>
      </c>
      <c r="C2175" s="4" t="s">
        <v>31</v>
      </c>
      <c r="D2175" s="4" t="s">
        <v>23</v>
      </c>
      <c r="E2175" s="4" t="s">
        <v>35</v>
      </c>
      <c r="F2175" s="4" t="s">
        <v>18</v>
      </c>
      <c r="G2175" s="4" t="s">
        <v>19</v>
      </c>
      <c r="H2175" s="4" t="s">
        <v>38</v>
      </c>
      <c r="I2175" s="4">
        <v>40</v>
      </c>
      <c r="J2175" s="5">
        <v>74.099999999999994</v>
      </c>
      <c r="K2175" s="6">
        <v>1.5</v>
      </c>
      <c r="L2175" s="4">
        <v>1</v>
      </c>
      <c r="M2175" s="4">
        <v>125</v>
      </c>
      <c r="N2175" s="4">
        <v>79</v>
      </c>
      <c r="O2175" s="4" t="s">
        <v>26</v>
      </c>
      <c r="P2175" s="7" t="s">
        <v>30</v>
      </c>
    </row>
    <row r="2176" spans="2:16" x14ac:dyDescent="0.45">
      <c r="B2176" s="4">
        <v>2175</v>
      </c>
      <c r="C2176" s="4" t="s">
        <v>29</v>
      </c>
      <c r="D2176" s="4" t="s">
        <v>23</v>
      </c>
      <c r="E2176" s="4" t="s">
        <v>35</v>
      </c>
      <c r="F2176" s="4" t="s">
        <v>18</v>
      </c>
      <c r="G2176" s="4" t="s">
        <v>19</v>
      </c>
      <c r="H2176" s="4" t="s">
        <v>46</v>
      </c>
      <c r="I2176" s="4">
        <v>17</v>
      </c>
      <c r="J2176" s="5">
        <v>43</v>
      </c>
      <c r="K2176" s="6">
        <v>1.52</v>
      </c>
      <c r="L2176" s="4">
        <v>3</v>
      </c>
      <c r="M2176" s="4">
        <v>119</v>
      </c>
      <c r="N2176" s="4">
        <v>82</v>
      </c>
      <c r="O2176" s="4" t="s">
        <v>21</v>
      </c>
      <c r="P2176" s="7" t="s">
        <v>19</v>
      </c>
    </row>
    <row r="2177" spans="2:16" x14ac:dyDescent="0.45">
      <c r="B2177" s="4">
        <v>2176</v>
      </c>
      <c r="C2177" s="4" t="s">
        <v>45</v>
      </c>
      <c r="D2177" s="4" t="s">
        <v>16</v>
      </c>
      <c r="E2177" s="4" t="s">
        <v>35</v>
      </c>
      <c r="F2177" s="4" t="s">
        <v>18</v>
      </c>
      <c r="G2177" s="4" t="s">
        <v>19</v>
      </c>
      <c r="H2177" s="4" t="s">
        <v>20</v>
      </c>
      <c r="I2177" s="4">
        <v>9</v>
      </c>
      <c r="J2177" s="5">
        <v>29.3</v>
      </c>
      <c r="K2177" s="6">
        <v>1.08</v>
      </c>
      <c r="L2177" s="4">
        <v>0</v>
      </c>
      <c r="M2177" s="4">
        <v>114</v>
      </c>
      <c r="N2177" s="4">
        <v>73</v>
      </c>
      <c r="O2177" s="4" t="s">
        <v>26</v>
      </c>
      <c r="P2177" s="7" t="s">
        <v>19</v>
      </c>
    </row>
    <row r="2178" spans="2:16" x14ac:dyDescent="0.45">
      <c r="B2178" s="4">
        <v>2177</v>
      </c>
      <c r="C2178" s="4" t="s">
        <v>31</v>
      </c>
      <c r="D2178" s="4" t="s">
        <v>16</v>
      </c>
      <c r="E2178" s="4" t="s">
        <v>35</v>
      </c>
      <c r="F2178" s="4" t="s">
        <v>18</v>
      </c>
      <c r="G2178" s="4" t="s">
        <v>19</v>
      </c>
      <c r="H2178" s="4" t="s">
        <v>28</v>
      </c>
      <c r="I2178" s="4">
        <v>25</v>
      </c>
      <c r="J2178" s="5">
        <v>82.5</v>
      </c>
      <c r="K2178" s="6">
        <v>1.87</v>
      </c>
      <c r="L2178" s="4">
        <v>2</v>
      </c>
      <c r="M2178" s="4">
        <v>121</v>
      </c>
      <c r="N2178" s="4">
        <v>85</v>
      </c>
      <c r="O2178" s="4" t="s">
        <v>26</v>
      </c>
      <c r="P2178" s="7" t="s">
        <v>19</v>
      </c>
    </row>
    <row r="2179" spans="2:16" x14ac:dyDescent="0.45">
      <c r="B2179" s="4">
        <v>2178</v>
      </c>
      <c r="C2179" s="4" t="s">
        <v>40</v>
      </c>
      <c r="D2179" s="4" t="s">
        <v>23</v>
      </c>
      <c r="E2179" s="4" t="s">
        <v>17</v>
      </c>
      <c r="F2179" s="4" t="s">
        <v>28</v>
      </c>
      <c r="G2179" s="4" t="s">
        <v>19</v>
      </c>
      <c r="H2179" s="4" t="s">
        <v>32</v>
      </c>
      <c r="I2179" s="4">
        <v>45</v>
      </c>
      <c r="J2179" s="5">
        <v>93.9</v>
      </c>
      <c r="K2179" s="6">
        <v>1.71</v>
      </c>
      <c r="L2179" s="4">
        <v>1</v>
      </c>
      <c r="M2179" s="4">
        <v>117</v>
      </c>
      <c r="N2179" s="4">
        <v>155</v>
      </c>
      <c r="O2179" s="4" t="s">
        <v>21</v>
      </c>
      <c r="P2179" s="7" t="s">
        <v>19</v>
      </c>
    </row>
    <row r="2180" spans="2:16" x14ac:dyDescent="0.45">
      <c r="B2180" s="4">
        <v>2179</v>
      </c>
      <c r="C2180" s="4" t="s">
        <v>39</v>
      </c>
      <c r="D2180" s="4" t="s">
        <v>23</v>
      </c>
      <c r="E2180" s="4" t="s">
        <v>17</v>
      </c>
      <c r="F2180" s="4" t="s">
        <v>24</v>
      </c>
      <c r="G2180" s="4" t="s">
        <v>19</v>
      </c>
      <c r="H2180" s="4" t="s">
        <v>34</v>
      </c>
      <c r="I2180" s="4">
        <v>11</v>
      </c>
      <c r="J2180" s="5">
        <v>21.5</v>
      </c>
      <c r="K2180" s="6">
        <v>1.1200000000000001</v>
      </c>
      <c r="L2180" s="4">
        <v>1</v>
      </c>
      <c r="M2180" s="4">
        <v>96</v>
      </c>
      <c r="N2180" s="4">
        <v>74</v>
      </c>
      <c r="O2180" s="4" t="s">
        <v>21</v>
      </c>
      <c r="P2180" s="7" t="s">
        <v>19</v>
      </c>
    </row>
    <row r="2181" spans="2:16" x14ac:dyDescent="0.45">
      <c r="B2181" s="4">
        <v>2180</v>
      </c>
      <c r="C2181" s="4" t="s">
        <v>29</v>
      </c>
      <c r="D2181" s="4" t="s">
        <v>16</v>
      </c>
      <c r="E2181" s="4" t="s">
        <v>17</v>
      </c>
      <c r="F2181" s="4" t="s">
        <v>18</v>
      </c>
      <c r="G2181" s="4" t="s">
        <v>30</v>
      </c>
      <c r="H2181" s="4" t="s">
        <v>28</v>
      </c>
      <c r="I2181" s="4">
        <v>22</v>
      </c>
      <c r="J2181" s="5">
        <v>81.099999999999994</v>
      </c>
      <c r="K2181" s="6">
        <v>1.73</v>
      </c>
      <c r="L2181" s="4">
        <v>5</v>
      </c>
      <c r="M2181" s="4">
        <v>120</v>
      </c>
      <c r="N2181" s="4">
        <v>78</v>
      </c>
      <c r="O2181" s="4" t="s">
        <v>26</v>
      </c>
      <c r="P2181" s="7" t="s">
        <v>19</v>
      </c>
    </row>
    <row r="2182" spans="2:16" x14ac:dyDescent="0.45">
      <c r="B2182" s="4">
        <v>2181</v>
      </c>
      <c r="C2182" s="4" t="s">
        <v>41</v>
      </c>
      <c r="D2182" s="4" t="s">
        <v>16</v>
      </c>
      <c r="E2182" s="4" t="s">
        <v>44</v>
      </c>
      <c r="F2182" s="4" t="s">
        <v>24</v>
      </c>
      <c r="G2182" s="4" t="s">
        <v>19</v>
      </c>
      <c r="H2182" s="4" t="s">
        <v>28</v>
      </c>
      <c r="I2182" s="4">
        <v>8</v>
      </c>
      <c r="J2182" s="5">
        <v>37.799999999999997</v>
      </c>
      <c r="K2182" s="6">
        <v>1.41</v>
      </c>
      <c r="L2182" s="4">
        <v>2</v>
      </c>
      <c r="M2182" s="4">
        <v>112</v>
      </c>
      <c r="N2182" s="4">
        <v>85</v>
      </c>
      <c r="O2182" s="4" t="s">
        <v>26</v>
      </c>
      <c r="P2182" s="7" t="s">
        <v>19</v>
      </c>
    </row>
    <row r="2183" spans="2:16" x14ac:dyDescent="0.45">
      <c r="B2183" s="4">
        <v>2182</v>
      </c>
      <c r="C2183" s="4" t="s">
        <v>22</v>
      </c>
      <c r="D2183" s="4" t="s">
        <v>23</v>
      </c>
      <c r="E2183" s="4" t="s">
        <v>17</v>
      </c>
      <c r="F2183" s="4" t="s">
        <v>24</v>
      </c>
      <c r="G2183" s="4" t="s">
        <v>30</v>
      </c>
      <c r="H2183" s="4" t="s">
        <v>20</v>
      </c>
      <c r="I2183" s="4">
        <v>16</v>
      </c>
      <c r="J2183" s="5">
        <v>46</v>
      </c>
      <c r="K2183" s="6">
        <v>1.46</v>
      </c>
      <c r="L2183" s="4">
        <v>1</v>
      </c>
      <c r="M2183" s="4">
        <v>114</v>
      </c>
      <c r="N2183" s="4">
        <v>87</v>
      </c>
      <c r="O2183" s="4" t="s">
        <v>26</v>
      </c>
      <c r="P2183" s="7" t="s">
        <v>19</v>
      </c>
    </row>
    <row r="2184" spans="2:16" x14ac:dyDescent="0.45">
      <c r="B2184" s="4">
        <v>2183</v>
      </c>
      <c r="C2184" s="4" t="s">
        <v>41</v>
      </c>
      <c r="D2184" s="4" t="s">
        <v>23</v>
      </c>
      <c r="E2184" s="4" t="s">
        <v>17</v>
      </c>
      <c r="F2184" s="4" t="s">
        <v>24</v>
      </c>
      <c r="G2184" s="4" t="s">
        <v>19</v>
      </c>
      <c r="H2184" s="4" t="s">
        <v>32</v>
      </c>
      <c r="I2184" s="4">
        <v>16</v>
      </c>
      <c r="J2184" s="5">
        <v>42.7</v>
      </c>
      <c r="K2184" s="6">
        <v>1.51</v>
      </c>
      <c r="L2184" s="4">
        <v>3</v>
      </c>
      <c r="M2184" s="4">
        <v>99</v>
      </c>
      <c r="N2184" s="4">
        <v>133</v>
      </c>
      <c r="O2184" s="4" t="s">
        <v>26</v>
      </c>
      <c r="P2184" s="7" t="s">
        <v>19</v>
      </c>
    </row>
    <row r="2185" spans="2:16" x14ac:dyDescent="0.45">
      <c r="B2185" s="4">
        <v>2184</v>
      </c>
      <c r="C2185" s="4" t="s">
        <v>45</v>
      </c>
      <c r="D2185" s="4" t="s">
        <v>23</v>
      </c>
      <c r="E2185" s="4" t="s">
        <v>17</v>
      </c>
      <c r="F2185" s="4" t="s">
        <v>24</v>
      </c>
      <c r="G2185" s="4" t="s">
        <v>19</v>
      </c>
      <c r="H2185" s="4" t="s">
        <v>20</v>
      </c>
      <c r="I2185" s="4">
        <v>6</v>
      </c>
      <c r="J2185" s="5">
        <v>30.7</v>
      </c>
      <c r="K2185" s="6">
        <v>1.42</v>
      </c>
      <c r="L2185" s="4">
        <v>2</v>
      </c>
      <c r="M2185" s="4">
        <v>106</v>
      </c>
      <c r="N2185" s="4">
        <v>91</v>
      </c>
      <c r="O2185" s="4" t="s">
        <v>21</v>
      </c>
      <c r="P2185" s="7" t="s">
        <v>19</v>
      </c>
    </row>
    <row r="2186" spans="2:16" x14ac:dyDescent="0.45">
      <c r="B2186" s="4">
        <v>2185</v>
      </c>
      <c r="C2186" s="4" t="s">
        <v>22</v>
      </c>
      <c r="D2186" s="4" t="s">
        <v>23</v>
      </c>
      <c r="E2186" s="4" t="s">
        <v>17</v>
      </c>
      <c r="F2186" s="4" t="s">
        <v>24</v>
      </c>
      <c r="G2186" s="4" t="s">
        <v>19</v>
      </c>
      <c r="H2186" s="4" t="s">
        <v>36</v>
      </c>
      <c r="I2186" s="4">
        <v>64</v>
      </c>
      <c r="J2186" s="5">
        <v>87</v>
      </c>
      <c r="K2186" s="6">
        <v>1.62</v>
      </c>
      <c r="L2186" s="4">
        <v>3</v>
      </c>
      <c r="M2186" s="4">
        <v>156</v>
      </c>
      <c r="N2186" s="4">
        <v>71</v>
      </c>
      <c r="O2186" s="4" t="s">
        <v>21</v>
      </c>
      <c r="P2186" s="7" t="s">
        <v>19</v>
      </c>
    </row>
    <row r="2187" spans="2:16" x14ac:dyDescent="0.45">
      <c r="B2187" s="4">
        <v>2186</v>
      </c>
      <c r="C2187" s="4" t="s">
        <v>22</v>
      </c>
      <c r="D2187" s="4" t="s">
        <v>16</v>
      </c>
      <c r="E2187" s="4" t="s">
        <v>35</v>
      </c>
      <c r="F2187" s="4" t="s">
        <v>24</v>
      </c>
      <c r="G2187" s="4" t="s">
        <v>19</v>
      </c>
      <c r="H2187" s="4" t="s">
        <v>32</v>
      </c>
      <c r="I2187" s="4">
        <v>19</v>
      </c>
      <c r="J2187" s="5">
        <v>82.9</v>
      </c>
      <c r="K2187" s="6">
        <v>1.76</v>
      </c>
      <c r="L2187" s="4">
        <v>5</v>
      </c>
      <c r="M2187" s="4">
        <v>111</v>
      </c>
      <c r="N2187" s="4">
        <v>145</v>
      </c>
      <c r="O2187" s="4" t="s">
        <v>26</v>
      </c>
      <c r="P2187" s="7" t="s">
        <v>19</v>
      </c>
    </row>
    <row r="2188" spans="2:16" x14ac:dyDescent="0.45">
      <c r="B2188" s="4">
        <v>2187</v>
      </c>
      <c r="C2188" s="4" t="s">
        <v>27</v>
      </c>
      <c r="D2188" s="4" t="s">
        <v>23</v>
      </c>
      <c r="E2188" s="4" t="s">
        <v>35</v>
      </c>
      <c r="F2188" s="4" t="s">
        <v>24</v>
      </c>
      <c r="G2188" s="4" t="s">
        <v>19</v>
      </c>
      <c r="H2188" s="4" t="s">
        <v>38</v>
      </c>
      <c r="I2188" s="4">
        <v>11</v>
      </c>
      <c r="J2188" s="5">
        <v>31.6</v>
      </c>
      <c r="K2188" s="6">
        <v>1.35</v>
      </c>
      <c r="L2188" s="4">
        <v>9</v>
      </c>
      <c r="M2188" s="4">
        <v>114</v>
      </c>
      <c r="N2188" s="4">
        <v>85</v>
      </c>
      <c r="O2188" s="4" t="s">
        <v>26</v>
      </c>
      <c r="P2188" s="7" t="s">
        <v>19</v>
      </c>
    </row>
    <row r="2189" spans="2:16" x14ac:dyDescent="0.45">
      <c r="B2189" s="4">
        <v>2188</v>
      </c>
      <c r="C2189" s="4" t="s">
        <v>33</v>
      </c>
      <c r="D2189" s="4" t="s">
        <v>23</v>
      </c>
      <c r="E2189" s="4" t="s">
        <v>17</v>
      </c>
      <c r="F2189" s="4" t="s">
        <v>28</v>
      </c>
      <c r="G2189" s="4" t="s">
        <v>19</v>
      </c>
      <c r="H2189" s="4" t="s">
        <v>46</v>
      </c>
      <c r="I2189" s="4">
        <v>62</v>
      </c>
      <c r="J2189" s="5">
        <v>90.4</v>
      </c>
      <c r="K2189" s="6">
        <v>1.59</v>
      </c>
      <c r="L2189" s="4">
        <v>3</v>
      </c>
      <c r="M2189" s="4">
        <v>127</v>
      </c>
      <c r="N2189" s="4">
        <v>87</v>
      </c>
      <c r="O2189" s="4" t="s">
        <v>26</v>
      </c>
      <c r="P2189" s="7" t="s">
        <v>19</v>
      </c>
    </row>
    <row r="2190" spans="2:16" x14ac:dyDescent="0.45">
      <c r="B2190" s="4">
        <v>2189</v>
      </c>
      <c r="C2190" s="4" t="s">
        <v>27</v>
      </c>
      <c r="D2190" s="4" t="s">
        <v>16</v>
      </c>
      <c r="E2190" s="4" t="s">
        <v>35</v>
      </c>
      <c r="F2190" s="4" t="s">
        <v>28</v>
      </c>
      <c r="G2190" s="4" t="s">
        <v>19</v>
      </c>
      <c r="H2190" s="4" t="s">
        <v>32</v>
      </c>
      <c r="I2190" s="4">
        <v>46</v>
      </c>
      <c r="J2190" s="5">
        <v>52.5</v>
      </c>
      <c r="K2190" s="6">
        <v>1.48</v>
      </c>
      <c r="L2190" s="4">
        <v>3</v>
      </c>
      <c r="M2190" s="4">
        <v>105</v>
      </c>
      <c r="N2190" s="4">
        <v>169</v>
      </c>
      <c r="O2190" s="4" t="s">
        <v>21</v>
      </c>
      <c r="P2190" s="7" t="s">
        <v>19</v>
      </c>
    </row>
    <row r="2191" spans="2:16" x14ac:dyDescent="0.45">
      <c r="B2191" s="4">
        <v>2190</v>
      </c>
      <c r="C2191" s="4" t="s">
        <v>27</v>
      </c>
      <c r="D2191" s="4" t="s">
        <v>16</v>
      </c>
      <c r="E2191" s="4" t="s">
        <v>35</v>
      </c>
      <c r="F2191" s="4" t="s">
        <v>18</v>
      </c>
      <c r="G2191" s="4" t="s">
        <v>19</v>
      </c>
      <c r="H2191" s="4" t="s">
        <v>46</v>
      </c>
      <c r="I2191" s="4">
        <v>50</v>
      </c>
      <c r="J2191" s="5">
        <v>53.7</v>
      </c>
      <c r="K2191" s="6">
        <v>1.6</v>
      </c>
      <c r="L2191" s="4">
        <v>4</v>
      </c>
      <c r="M2191" s="4">
        <v>122</v>
      </c>
      <c r="N2191" s="4">
        <v>73</v>
      </c>
      <c r="O2191" s="4" t="s">
        <v>21</v>
      </c>
      <c r="P2191" s="7" t="s">
        <v>19</v>
      </c>
    </row>
    <row r="2192" spans="2:16" x14ac:dyDescent="0.45">
      <c r="B2192" s="4">
        <v>2191</v>
      </c>
      <c r="C2192" s="4" t="s">
        <v>41</v>
      </c>
      <c r="D2192" s="4" t="s">
        <v>16</v>
      </c>
      <c r="E2192" s="4" t="s">
        <v>35</v>
      </c>
      <c r="F2192" s="4" t="s">
        <v>18</v>
      </c>
      <c r="G2192" s="4" t="s">
        <v>19</v>
      </c>
      <c r="H2192" s="4" t="s">
        <v>20</v>
      </c>
      <c r="I2192" s="4">
        <v>79</v>
      </c>
      <c r="J2192" s="5">
        <v>91.1</v>
      </c>
      <c r="K2192" s="6">
        <v>1.77</v>
      </c>
      <c r="L2192" s="4">
        <v>2</v>
      </c>
      <c r="M2192" s="4">
        <v>128</v>
      </c>
      <c r="N2192" s="4">
        <v>104</v>
      </c>
      <c r="O2192" s="4" t="s">
        <v>26</v>
      </c>
      <c r="P2192" s="7" t="s">
        <v>19</v>
      </c>
    </row>
    <row r="2193" spans="2:16" x14ac:dyDescent="0.45">
      <c r="B2193" s="4">
        <v>2192</v>
      </c>
      <c r="C2193" s="4" t="s">
        <v>22</v>
      </c>
      <c r="D2193" s="4" t="s">
        <v>16</v>
      </c>
      <c r="E2193" s="4" t="s">
        <v>35</v>
      </c>
      <c r="F2193" s="4" t="s">
        <v>24</v>
      </c>
      <c r="G2193" s="4" t="s">
        <v>19</v>
      </c>
      <c r="H2193" s="4" t="s">
        <v>20</v>
      </c>
      <c r="I2193" s="4">
        <v>52</v>
      </c>
      <c r="J2193" s="5">
        <v>71.3</v>
      </c>
      <c r="K2193" s="6">
        <v>1.5</v>
      </c>
      <c r="L2193" s="4">
        <v>3</v>
      </c>
      <c r="M2193" s="4">
        <v>110</v>
      </c>
      <c r="N2193" s="4">
        <v>81</v>
      </c>
      <c r="O2193" s="4" t="s">
        <v>21</v>
      </c>
      <c r="P2193" s="7" t="s">
        <v>19</v>
      </c>
    </row>
    <row r="2194" spans="2:16" x14ac:dyDescent="0.45">
      <c r="B2194" s="4">
        <v>2193</v>
      </c>
      <c r="C2194" s="4" t="s">
        <v>15</v>
      </c>
      <c r="D2194" s="4" t="s">
        <v>16</v>
      </c>
      <c r="E2194" s="4" t="s">
        <v>35</v>
      </c>
      <c r="F2194" s="4" t="s">
        <v>28</v>
      </c>
      <c r="G2194" s="4" t="s">
        <v>19</v>
      </c>
      <c r="H2194" s="4" t="s">
        <v>36</v>
      </c>
      <c r="I2194" s="4">
        <v>27</v>
      </c>
      <c r="J2194" s="5">
        <v>47.2</v>
      </c>
      <c r="K2194" s="6">
        <v>1.9</v>
      </c>
      <c r="L2194" s="4">
        <v>6</v>
      </c>
      <c r="M2194" s="4">
        <v>131</v>
      </c>
      <c r="N2194" s="4">
        <v>81</v>
      </c>
      <c r="O2194" s="4" t="s">
        <v>21</v>
      </c>
      <c r="P2194" s="7" t="s">
        <v>30</v>
      </c>
    </row>
    <row r="2195" spans="2:16" x14ac:dyDescent="0.45">
      <c r="B2195" s="4">
        <v>2194</v>
      </c>
      <c r="C2195" s="4" t="s">
        <v>29</v>
      </c>
      <c r="D2195" s="4" t="s">
        <v>23</v>
      </c>
      <c r="E2195" s="4" t="s">
        <v>17</v>
      </c>
      <c r="F2195" s="4" t="s">
        <v>18</v>
      </c>
      <c r="G2195" s="4" t="s">
        <v>19</v>
      </c>
      <c r="H2195" s="4" t="s">
        <v>28</v>
      </c>
      <c r="I2195" s="4">
        <v>16</v>
      </c>
      <c r="J2195" s="5">
        <v>40.700000000000003</v>
      </c>
      <c r="K2195" s="6">
        <v>1.56</v>
      </c>
      <c r="L2195" s="4">
        <v>4</v>
      </c>
      <c r="M2195" s="4">
        <v>99</v>
      </c>
      <c r="N2195" s="4">
        <v>95</v>
      </c>
      <c r="O2195" s="4" t="s">
        <v>26</v>
      </c>
      <c r="P2195" s="7" t="s">
        <v>19</v>
      </c>
    </row>
    <row r="2196" spans="2:16" x14ac:dyDescent="0.45">
      <c r="B2196" s="4">
        <v>2195</v>
      </c>
      <c r="C2196" s="4" t="s">
        <v>33</v>
      </c>
      <c r="D2196" s="4" t="s">
        <v>16</v>
      </c>
      <c r="E2196" s="4" t="s">
        <v>35</v>
      </c>
      <c r="F2196" s="4" t="s">
        <v>18</v>
      </c>
      <c r="G2196" s="4" t="s">
        <v>19</v>
      </c>
      <c r="H2196" s="4" t="s">
        <v>25</v>
      </c>
      <c r="I2196" s="4">
        <v>63</v>
      </c>
      <c r="J2196" s="5">
        <v>63</v>
      </c>
      <c r="K2196" s="6">
        <v>1.57</v>
      </c>
      <c r="L2196" s="4">
        <v>10</v>
      </c>
      <c r="M2196" s="4">
        <v>120</v>
      </c>
      <c r="N2196" s="4">
        <v>76</v>
      </c>
      <c r="O2196" s="4" t="s">
        <v>26</v>
      </c>
      <c r="P2196" s="7" t="s">
        <v>19</v>
      </c>
    </row>
    <row r="2197" spans="2:16" x14ac:dyDescent="0.45">
      <c r="B2197" s="4">
        <v>2196</v>
      </c>
      <c r="C2197" s="4" t="s">
        <v>41</v>
      </c>
      <c r="D2197" s="4" t="s">
        <v>23</v>
      </c>
      <c r="E2197" s="4" t="s">
        <v>35</v>
      </c>
      <c r="F2197" s="4" t="s">
        <v>18</v>
      </c>
      <c r="G2197" s="4" t="s">
        <v>30</v>
      </c>
      <c r="H2197" s="4" t="s">
        <v>20</v>
      </c>
      <c r="I2197" s="4">
        <v>33</v>
      </c>
      <c r="J2197" s="5">
        <v>88.3</v>
      </c>
      <c r="K2197" s="6">
        <v>1.78</v>
      </c>
      <c r="L2197" s="4">
        <v>0</v>
      </c>
      <c r="M2197" s="4">
        <v>112</v>
      </c>
      <c r="N2197" s="4">
        <v>100</v>
      </c>
      <c r="O2197" s="4" t="s">
        <v>21</v>
      </c>
      <c r="P2197" s="7" t="s">
        <v>30</v>
      </c>
    </row>
    <row r="2198" spans="2:16" x14ac:dyDescent="0.45">
      <c r="B2198" s="4">
        <v>2197</v>
      </c>
      <c r="C2198" s="4" t="s">
        <v>33</v>
      </c>
      <c r="D2198" s="4" t="s">
        <v>16</v>
      </c>
      <c r="E2198" s="4" t="s">
        <v>35</v>
      </c>
      <c r="F2198" s="4" t="s">
        <v>18</v>
      </c>
      <c r="G2198" s="4" t="s">
        <v>30</v>
      </c>
      <c r="H2198" s="4" t="s">
        <v>25</v>
      </c>
      <c r="I2198" s="4">
        <v>29</v>
      </c>
      <c r="J2198" s="5">
        <v>83</v>
      </c>
      <c r="K2198" s="6">
        <v>1.58</v>
      </c>
      <c r="L2198" s="4">
        <v>4</v>
      </c>
      <c r="M2198" s="4">
        <v>123</v>
      </c>
      <c r="N2198" s="4">
        <v>101</v>
      </c>
      <c r="O2198" s="4" t="s">
        <v>21</v>
      </c>
      <c r="P2198" s="7" t="s">
        <v>19</v>
      </c>
    </row>
    <row r="2199" spans="2:16" x14ac:dyDescent="0.45">
      <c r="B2199" s="4">
        <v>2198</v>
      </c>
      <c r="C2199" s="4" t="s">
        <v>45</v>
      </c>
      <c r="D2199" s="4" t="s">
        <v>23</v>
      </c>
      <c r="E2199" s="4" t="s">
        <v>35</v>
      </c>
      <c r="F2199" s="4" t="s">
        <v>18</v>
      </c>
      <c r="G2199" s="4" t="s">
        <v>30</v>
      </c>
      <c r="H2199" s="4" t="s">
        <v>28</v>
      </c>
      <c r="I2199" s="4">
        <v>3</v>
      </c>
      <c r="J2199" s="5">
        <v>7.2</v>
      </c>
      <c r="K2199" s="6">
        <v>1.02</v>
      </c>
      <c r="L2199" s="4">
        <v>0</v>
      </c>
      <c r="M2199" s="4">
        <v>92</v>
      </c>
      <c r="N2199" s="4">
        <v>73</v>
      </c>
      <c r="O2199" s="4" t="s">
        <v>21</v>
      </c>
      <c r="P2199" s="7" t="s">
        <v>19</v>
      </c>
    </row>
    <row r="2200" spans="2:16" x14ac:dyDescent="0.45">
      <c r="B2200" s="4">
        <v>2199</v>
      </c>
      <c r="C2200" s="4" t="s">
        <v>29</v>
      </c>
      <c r="D2200" s="4" t="s">
        <v>16</v>
      </c>
      <c r="E2200" s="4" t="s">
        <v>35</v>
      </c>
      <c r="F2200" s="4" t="s">
        <v>28</v>
      </c>
      <c r="G2200" s="4" t="s">
        <v>19</v>
      </c>
      <c r="H2200" s="4" t="s">
        <v>36</v>
      </c>
      <c r="I2200" s="4">
        <v>19</v>
      </c>
      <c r="J2200" s="5">
        <v>60.2</v>
      </c>
      <c r="K2200" s="6">
        <v>1.83</v>
      </c>
      <c r="L2200" s="4">
        <v>1</v>
      </c>
      <c r="M2200" s="4">
        <v>133</v>
      </c>
      <c r="N2200" s="4">
        <v>103</v>
      </c>
      <c r="O2200" s="4" t="s">
        <v>21</v>
      </c>
      <c r="P2200" s="7" t="s">
        <v>30</v>
      </c>
    </row>
    <row r="2201" spans="2:16" x14ac:dyDescent="0.45">
      <c r="B2201" s="4">
        <v>2200</v>
      </c>
      <c r="C2201" s="4" t="s">
        <v>31</v>
      </c>
      <c r="D2201" s="4" t="s">
        <v>23</v>
      </c>
      <c r="E2201" s="4" t="s">
        <v>17</v>
      </c>
      <c r="F2201" s="4" t="s">
        <v>24</v>
      </c>
      <c r="G2201" s="4" t="s">
        <v>19</v>
      </c>
      <c r="H2201" s="4" t="s">
        <v>38</v>
      </c>
      <c r="I2201" s="4">
        <v>16</v>
      </c>
      <c r="J2201" s="5">
        <v>47.2</v>
      </c>
      <c r="K2201" s="6">
        <v>1.63</v>
      </c>
      <c r="L2201" s="4">
        <v>0</v>
      </c>
      <c r="M2201" s="4">
        <v>110</v>
      </c>
      <c r="N2201" s="4">
        <v>76</v>
      </c>
      <c r="O2201" s="4" t="s">
        <v>21</v>
      </c>
      <c r="P2201" s="7" t="s">
        <v>19</v>
      </c>
    </row>
    <row r="2202" spans="2:16" x14ac:dyDescent="0.45">
      <c r="B2202" s="4">
        <v>2201</v>
      </c>
      <c r="C2202" s="4" t="s">
        <v>22</v>
      </c>
      <c r="D2202" s="4" t="s">
        <v>23</v>
      </c>
      <c r="E2202" s="4" t="s">
        <v>35</v>
      </c>
      <c r="F2202" s="4" t="s">
        <v>24</v>
      </c>
      <c r="G2202" s="4" t="s">
        <v>19</v>
      </c>
      <c r="H2202" s="4" t="s">
        <v>34</v>
      </c>
      <c r="I2202" s="4">
        <v>8</v>
      </c>
      <c r="J2202" s="5">
        <v>20.8</v>
      </c>
      <c r="K2202" s="6">
        <v>1.0900000000000001</v>
      </c>
      <c r="L2202" s="4">
        <v>6</v>
      </c>
      <c r="M2202" s="4">
        <v>111</v>
      </c>
      <c r="N2202" s="4">
        <v>99</v>
      </c>
      <c r="O2202" s="4" t="s">
        <v>26</v>
      </c>
      <c r="P2202" s="7" t="s">
        <v>19</v>
      </c>
    </row>
    <row r="2203" spans="2:16" x14ac:dyDescent="0.45">
      <c r="B2203" s="4">
        <v>2202</v>
      </c>
      <c r="C2203" s="4" t="s">
        <v>29</v>
      </c>
      <c r="D2203" s="4" t="s">
        <v>23</v>
      </c>
      <c r="E2203" s="4" t="s">
        <v>17</v>
      </c>
      <c r="F2203" s="4" t="s">
        <v>24</v>
      </c>
      <c r="G2203" s="4" t="s">
        <v>30</v>
      </c>
      <c r="H2203" s="4" t="s">
        <v>25</v>
      </c>
      <c r="I2203" s="4">
        <v>84</v>
      </c>
      <c r="J2203" s="5">
        <v>92</v>
      </c>
      <c r="K2203" s="6">
        <v>1.62</v>
      </c>
      <c r="L2203" s="4">
        <v>2</v>
      </c>
      <c r="M2203" s="4">
        <v>129</v>
      </c>
      <c r="N2203" s="4">
        <v>73</v>
      </c>
      <c r="O2203" s="4" t="s">
        <v>21</v>
      </c>
      <c r="P2203" s="7" t="s">
        <v>19</v>
      </c>
    </row>
    <row r="2204" spans="2:16" x14ac:dyDescent="0.45">
      <c r="B2204" s="4">
        <v>2203</v>
      </c>
      <c r="C2204" s="4" t="s">
        <v>27</v>
      </c>
      <c r="D2204" s="4" t="s">
        <v>16</v>
      </c>
      <c r="E2204" s="4" t="s">
        <v>44</v>
      </c>
      <c r="F2204" s="4" t="s">
        <v>24</v>
      </c>
      <c r="G2204" s="4" t="s">
        <v>19</v>
      </c>
      <c r="H2204" s="4" t="s">
        <v>28</v>
      </c>
      <c r="I2204" s="4">
        <v>37</v>
      </c>
      <c r="J2204" s="5">
        <v>61.8</v>
      </c>
      <c r="K2204" s="6">
        <v>1.73</v>
      </c>
      <c r="L2204" s="4">
        <v>1</v>
      </c>
      <c r="M2204" s="4">
        <v>109</v>
      </c>
      <c r="N2204" s="4">
        <v>72</v>
      </c>
      <c r="O2204" s="4" t="s">
        <v>21</v>
      </c>
      <c r="P2204" s="7" t="s">
        <v>19</v>
      </c>
    </row>
    <row r="2205" spans="2:16" x14ac:dyDescent="0.45">
      <c r="B2205" s="4">
        <v>2204</v>
      </c>
      <c r="C2205" s="4" t="s">
        <v>43</v>
      </c>
      <c r="D2205" s="4" t="s">
        <v>16</v>
      </c>
      <c r="E2205" s="4" t="s">
        <v>17</v>
      </c>
      <c r="F2205" s="4" t="s">
        <v>18</v>
      </c>
      <c r="G2205" s="4" t="s">
        <v>30</v>
      </c>
      <c r="H2205" s="4" t="s">
        <v>20</v>
      </c>
      <c r="I2205" s="4">
        <v>14</v>
      </c>
      <c r="J2205" s="5">
        <v>56</v>
      </c>
      <c r="K2205" s="6">
        <v>1.64</v>
      </c>
      <c r="L2205" s="4">
        <v>5</v>
      </c>
      <c r="M2205" s="4">
        <v>109</v>
      </c>
      <c r="N2205" s="4">
        <v>97</v>
      </c>
      <c r="O2205" s="4" t="s">
        <v>21</v>
      </c>
      <c r="P2205" s="7" t="s">
        <v>19</v>
      </c>
    </row>
    <row r="2206" spans="2:16" x14ac:dyDescent="0.45">
      <c r="B2206" s="4">
        <v>2205</v>
      </c>
      <c r="C2206" s="4" t="s">
        <v>43</v>
      </c>
      <c r="D2206" s="4" t="s">
        <v>23</v>
      </c>
      <c r="E2206" s="4" t="s">
        <v>17</v>
      </c>
      <c r="F2206" s="4" t="s">
        <v>28</v>
      </c>
      <c r="G2206" s="4" t="s">
        <v>19</v>
      </c>
      <c r="H2206" s="4" t="s">
        <v>46</v>
      </c>
      <c r="I2206" s="4">
        <v>35</v>
      </c>
      <c r="J2206" s="5">
        <v>52.4</v>
      </c>
      <c r="K2206" s="6">
        <v>1.82</v>
      </c>
      <c r="L2206" s="4">
        <v>4</v>
      </c>
      <c r="M2206" s="4">
        <v>112</v>
      </c>
      <c r="N2206" s="4">
        <v>100</v>
      </c>
      <c r="O2206" s="4" t="s">
        <v>21</v>
      </c>
      <c r="P2206" s="7" t="s">
        <v>30</v>
      </c>
    </row>
    <row r="2207" spans="2:16" x14ac:dyDescent="0.45">
      <c r="B2207" s="4">
        <v>2206</v>
      </c>
      <c r="C2207" s="4" t="s">
        <v>22</v>
      </c>
      <c r="D2207" s="4" t="s">
        <v>16</v>
      </c>
      <c r="E2207" s="4" t="s">
        <v>35</v>
      </c>
      <c r="F2207" s="4" t="s">
        <v>18</v>
      </c>
      <c r="G2207" s="4" t="s">
        <v>19</v>
      </c>
      <c r="H2207" s="4" t="s">
        <v>20</v>
      </c>
      <c r="I2207" s="4">
        <v>24</v>
      </c>
      <c r="J2207" s="5">
        <v>85.6</v>
      </c>
      <c r="K2207" s="6">
        <v>1.89</v>
      </c>
      <c r="L2207" s="4">
        <v>2</v>
      </c>
      <c r="M2207" s="4">
        <v>127</v>
      </c>
      <c r="N2207" s="4">
        <v>86</v>
      </c>
      <c r="O2207" s="4" t="s">
        <v>26</v>
      </c>
      <c r="P2207" s="7" t="s">
        <v>30</v>
      </c>
    </row>
    <row r="2208" spans="2:16" x14ac:dyDescent="0.45">
      <c r="B2208" s="4">
        <v>2207</v>
      </c>
      <c r="C2208" s="4" t="s">
        <v>45</v>
      </c>
      <c r="D2208" s="4" t="s">
        <v>16</v>
      </c>
      <c r="E2208" s="4" t="s">
        <v>17</v>
      </c>
      <c r="F2208" s="4" t="s">
        <v>28</v>
      </c>
      <c r="G2208" s="4" t="s">
        <v>19</v>
      </c>
      <c r="H2208" s="4" t="s">
        <v>20</v>
      </c>
      <c r="I2208" s="4">
        <v>29</v>
      </c>
      <c r="J2208" s="5">
        <v>85.9</v>
      </c>
      <c r="K2208" s="6">
        <v>1.73</v>
      </c>
      <c r="L2208" s="4">
        <v>2</v>
      </c>
      <c r="M2208" s="4">
        <v>101</v>
      </c>
      <c r="N2208" s="4">
        <v>97</v>
      </c>
      <c r="O2208" s="4" t="s">
        <v>26</v>
      </c>
      <c r="P2208" s="7" t="s">
        <v>19</v>
      </c>
    </row>
    <row r="2209" spans="2:16" x14ac:dyDescent="0.45">
      <c r="B2209" s="4">
        <v>2208</v>
      </c>
      <c r="C2209" s="4" t="s">
        <v>22</v>
      </c>
      <c r="D2209" s="4" t="s">
        <v>23</v>
      </c>
      <c r="E2209" s="4" t="s">
        <v>37</v>
      </c>
      <c r="F2209" s="4" t="s">
        <v>18</v>
      </c>
      <c r="G2209" s="4" t="s">
        <v>19</v>
      </c>
      <c r="H2209" s="4" t="s">
        <v>46</v>
      </c>
      <c r="I2209" s="4">
        <v>62</v>
      </c>
      <c r="J2209" s="5">
        <v>53</v>
      </c>
      <c r="K2209" s="6">
        <v>1.87</v>
      </c>
      <c r="L2209" s="4">
        <v>2</v>
      </c>
      <c r="M2209" s="4">
        <v>123</v>
      </c>
      <c r="N2209" s="4">
        <v>95</v>
      </c>
      <c r="O2209" s="4" t="s">
        <v>21</v>
      </c>
      <c r="P2209" s="7" t="s">
        <v>19</v>
      </c>
    </row>
    <row r="2210" spans="2:16" x14ac:dyDescent="0.45">
      <c r="B2210" s="4">
        <v>2209</v>
      </c>
      <c r="C2210" s="4" t="s">
        <v>15</v>
      </c>
      <c r="D2210" s="4" t="s">
        <v>23</v>
      </c>
      <c r="E2210" s="4" t="s">
        <v>17</v>
      </c>
      <c r="F2210" s="4" t="s">
        <v>18</v>
      </c>
      <c r="G2210" s="4" t="s">
        <v>19</v>
      </c>
      <c r="H2210" s="4" t="s">
        <v>38</v>
      </c>
      <c r="I2210" s="4">
        <v>15</v>
      </c>
      <c r="J2210" s="5">
        <v>53.3</v>
      </c>
      <c r="K2210" s="6">
        <v>1.47</v>
      </c>
      <c r="L2210" s="4">
        <v>2</v>
      </c>
      <c r="M2210" s="4">
        <v>98</v>
      </c>
      <c r="N2210" s="4">
        <v>82</v>
      </c>
      <c r="O2210" s="4" t="s">
        <v>26</v>
      </c>
      <c r="P2210" s="7" t="s">
        <v>19</v>
      </c>
    </row>
    <row r="2211" spans="2:16" x14ac:dyDescent="0.45">
      <c r="B2211" s="4">
        <v>2210</v>
      </c>
      <c r="C2211" s="4" t="s">
        <v>45</v>
      </c>
      <c r="D2211" s="4" t="s">
        <v>16</v>
      </c>
      <c r="E2211" s="4" t="s">
        <v>35</v>
      </c>
      <c r="F2211" s="4" t="s">
        <v>18</v>
      </c>
      <c r="G2211" s="4" t="s">
        <v>19</v>
      </c>
      <c r="H2211" s="4" t="s">
        <v>25</v>
      </c>
      <c r="I2211" s="4">
        <v>60</v>
      </c>
      <c r="J2211" s="5">
        <v>89.2</v>
      </c>
      <c r="K2211" s="6">
        <v>1.71</v>
      </c>
      <c r="L2211" s="4">
        <v>1</v>
      </c>
      <c r="M2211" s="4">
        <v>122</v>
      </c>
      <c r="N2211" s="4">
        <v>103</v>
      </c>
      <c r="O2211" s="4" t="s">
        <v>21</v>
      </c>
      <c r="P2211" s="7" t="s">
        <v>30</v>
      </c>
    </row>
    <row r="2212" spans="2:16" x14ac:dyDescent="0.45">
      <c r="B2212" s="4">
        <v>2211</v>
      </c>
      <c r="C2212" s="4" t="s">
        <v>43</v>
      </c>
      <c r="D2212" s="4" t="s">
        <v>16</v>
      </c>
      <c r="E2212" s="4" t="s">
        <v>35</v>
      </c>
      <c r="F2212" s="4" t="s">
        <v>18</v>
      </c>
      <c r="G2212" s="4" t="s">
        <v>19</v>
      </c>
      <c r="H2212" s="4" t="s">
        <v>20</v>
      </c>
      <c r="I2212" s="4">
        <v>52</v>
      </c>
      <c r="J2212" s="5">
        <v>54.9</v>
      </c>
      <c r="K2212" s="6">
        <v>1.77</v>
      </c>
      <c r="L2212" s="4">
        <v>1</v>
      </c>
      <c r="M2212" s="4">
        <v>131</v>
      </c>
      <c r="N2212" s="4">
        <v>85</v>
      </c>
      <c r="O2212" s="4" t="s">
        <v>26</v>
      </c>
      <c r="P2212" s="7" t="s">
        <v>30</v>
      </c>
    </row>
    <row r="2213" spans="2:16" x14ac:dyDescent="0.45">
      <c r="B2213" s="4">
        <v>2212</v>
      </c>
      <c r="C2213" s="4" t="s">
        <v>41</v>
      </c>
      <c r="D2213" s="4" t="s">
        <v>16</v>
      </c>
      <c r="E2213" s="4" t="s">
        <v>37</v>
      </c>
      <c r="F2213" s="4" t="s">
        <v>28</v>
      </c>
      <c r="G2213" s="4" t="s">
        <v>19</v>
      </c>
      <c r="H2213" s="4" t="s">
        <v>36</v>
      </c>
      <c r="I2213" s="4">
        <v>12</v>
      </c>
      <c r="J2213" s="5">
        <v>49.5</v>
      </c>
      <c r="K2213" s="6">
        <v>1.49</v>
      </c>
      <c r="L2213" s="4">
        <v>5</v>
      </c>
      <c r="M2213" s="4">
        <v>113</v>
      </c>
      <c r="N2213" s="4">
        <v>102</v>
      </c>
      <c r="O2213" s="4" t="s">
        <v>26</v>
      </c>
      <c r="P2213" s="7" t="s">
        <v>19</v>
      </c>
    </row>
    <row r="2214" spans="2:16" x14ac:dyDescent="0.45">
      <c r="B2214" s="4">
        <v>2213</v>
      </c>
      <c r="C2214" s="4" t="s">
        <v>22</v>
      </c>
      <c r="D2214" s="4" t="s">
        <v>23</v>
      </c>
      <c r="E2214" s="4" t="s">
        <v>35</v>
      </c>
      <c r="F2214" s="4" t="s">
        <v>18</v>
      </c>
      <c r="G2214" s="4" t="s">
        <v>19</v>
      </c>
      <c r="H2214" s="4" t="s">
        <v>34</v>
      </c>
      <c r="I2214" s="4">
        <v>20</v>
      </c>
      <c r="J2214" s="5">
        <v>61.9</v>
      </c>
      <c r="K2214" s="6">
        <v>1.56</v>
      </c>
      <c r="L2214" s="4">
        <v>6</v>
      </c>
      <c r="M2214" s="4">
        <v>113</v>
      </c>
      <c r="N2214" s="4">
        <v>101</v>
      </c>
      <c r="O2214" s="4" t="s">
        <v>26</v>
      </c>
      <c r="P2214" s="7" t="s">
        <v>19</v>
      </c>
    </row>
    <row r="2215" spans="2:16" x14ac:dyDescent="0.45">
      <c r="B2215" s="4">
        <v>2214</v>
      </c>
      <c r="C2215" s="4" t="s">
        <v>22</v>
      </c>
      <c r="D2215" s="4" t="s">
        <v>16</v>
      </c>
      <c r="E2215" s="4" t="s">
        <v>17</v>
      </c>
      <c r="F2215" s="4" t="s">
        <v>24</v>
      </c>
      <c r="G2215" s="4" t="s">
        <v>30</v>
      </c>
      <c r="H2215" s="4" t="s">
        <v>36</v>
      </c>
      <c r="I2215" s="4">
        <v>45</v>
      </c>
      <c r="J2215" s="5">
        <v>47.5</v>
      </c>
      <c r="K2215" s="6">
        <v>1.61</v>
      </c>
      <c r="L2215" s="4">
        <v>2</v>
      </c>
      <c r="M2215" s="4">
        <v>123</v>
      </c>
      <c r="N2215" s="4">
        <v>103</v>
      </c>
      <c r="O2215" s="4" t="s">
        <v>21</v>
      </c>
      <c r="P2215" s="7" t="s">
        <v>19</v>
      </c>
    </row>
    <row r="2216" spans="2:16" x14ac:dyDescent="0.45">
      <c r="B2216" s="4">
        <v>2215</v>
      </c>
      <c r="C2216" s="4" t="s">
        <v>15</v>
      </c>
      <c r="D2216" s="4" t="s">
        <v>23</v>
      </c>
      <c r="E2216" s="4" t="s">
        <v>44</v>
      </c>
      <c r="F2216" s="4" t="s">
        <v>18</v>
      </c>
      <c r="G2216" s="4" t="s">
        <v>30</v>
      </c>
      <c r="H2216" s="4" t="s">
        <v>28</v>
      </c>
      <c r="I2216" s="4">
        <v>4</v>
      </c>
      <c r="J2216" s="5">
        <v>13.8</v>
      </c>
      <c r="K2216" s="6">
        <v>0.77</v>
      </c>
      <c r="L2216" s="4">
        <v>10</v>
      </c>
      <c r="M2216" s="4">
        <v>105</v>
      </c>
      <c r="N2216" s="4">
        <v>81</v>
      </c>
      <c r="O2216" s="4" t="s">
        <v>21</v>
      </c>
      <c r="P2216" s="7" t="s">
        <v>19</v>
      </c>
    </row>
    <row r="2217" spans="2:16" x14ac:dyDescent="0.45">
      <c r="B2217" s="4">
        <v>2216</v>
      </c>
      <c r="C2217" s="4" t="s">
        <v>40</v>
      </c>
      <c r="D2217" s="4" t="s">
        <v>16</v>
      </c>
      <c r="E2217" s="4" t="s">
        <v>37</v>
      </c>
      <c r="F2217" s="4" t="s">
        <v>28</v>
      </c>
      <c r="G2217" s="4" t="s">
        <v>19</v>
      </c>
      <c r="H2217" s="4" t="s">
        <v>36</v>
      </c>
      <c r="I2217" s="4">
        <v>63</v>
      </c>
      <c r="J2217" s="5">
        <v>93.4</v>
      </c>
      <c r="K2217" s="6">
        <v>1.7</v>
      </c>
      <c r="L2217" s="4">
        <v>7</v>
      </c>
      <c r="M2217" s="4">
        <v>137</v>
      </c>
      <c r="N2217" s="4">
        <v>71</v>
      </c>
      <c r="O2217" s="4" t="s">
        <v>21</v>
      </c>
      <c r="P2217" s="7" t="s">
        <v>19</v>
      </c>
    </row>
    <row r="2218" spans="2:16" x14ac:dyDescent="0.45">
      <c r="B2218" s="4">
        <v>2217</v>
      </c>
      <c r="C2218" s="4" t="s">
        <v>39</v>
      </c>
      <c r="D2218" s="4" t="s">
        <v>16</v>
      </c>
      <c r="E2218" s="4" t="s">
        <v>44</v>
      </c>
      <c r="F2218" s="4" t="s">
        <v>24</v>
      </c>
      <c r="G2218" s="4" t="s">
        <v>19</v>
      </c>
      <c r="H2218" s="4" t="s">
        <v>46</v>
      </c>
      <c r="I2218" s="4">
        <v>41</v>
      </c>
      <c r="J2218" s="5">
        <v>76</v>
      </c>
      <c r="K2218" s="6">
        <v>1.49</v>
      </c>
      <c r="L2218" s="4">
        <v>7</v>
      </c>
      <c r="M2218" s="4">
        <v>121</v>
      </c>
      <c r="N2218" s="4">
        <v>71</v>
      </c>
      <c r="O2218" s="4" t="s">
        <v>26</v>
      </c>
      <c r="P2218" s="7" t="s">
        <v>19</v>
      </c>
    </row>
    <row r="2219" spans="2:16" x14ac:dyDescent="0.45">
      <c r="B2219" s="4">
        <v>2218</v>
      </c>
      <c r="C2219" s="4" t="s">
        <v>27</v>
      </c>
      <c r="D2219" s="4" t="s">
        <v>23</v>
      </c>
      <c r="E2219" s="4" t="s">
        <v>17</v>
      </c>
      <c r="F2219" s="4" t="s">
        <v>24</v>
      </c>
      <c r="G2219" s="4" t="s">
        <v>19</v>
      </c>
      <c r="H2219" s="4" t="s">
        <v>28</v>
      </c>
      <c r="I2219" s="4">
        <v>5</v>
      </c>
      <c r="J2219" s="5">
        <v>19.899999999999999</v>
      </c>
      <c r="K2219" s="6">
        <v>1.35</v>
      </c>
      <c r="L2219" s="4">
        <v>1</v>
      </c>
      <c r="M2219" s="4">
        <v>109</v>
      </c>
      <c r="N2219" s="4">
        <v>73</v>
      </c>
      <c r="O2219" s="4" t="s">
        <v>26</v>
      </c>
      <c r="P2219" s="7" t="s">
        <v>19</v>
      </c>
    </row>
    <row r="2220" spans="2:16" x14ac:dyDescent="0.45">
      <c r="B2220" s="4">
        <v>2219</v>
      </c>
      <c r="C2220" s="4" t="s">
        <v>45</v>
      </c>
      <c r="D2220" s="4" t="s">
        <v>16</v>
      </c>
      <c r="E2220" s="4" t="s">
        <v>17</v>
      </c>
      <c r="F2220" s="4" t="s">
        <v>24</v>
      </c>
      <c r="G2220" s="4" t="s">
        <v>19</v>
      </c>
      <c r="H2220" s="4" t="s">
        <v>46</v>
      </c>
      <c r="I2220" s="4">
        <v>36</v>
      </c>
      <c r="J2220" s="5">
        <v>61.6</v>
      </c>
      <c r="K2220" s="6">
        <v>1.7</v>
      </c>
      <c r="L2220" s="4">
        <v>1</v>
      </c>
      <c r="M2220" s="4">
        <v>123</v>
      </c>
      <c r="N2220" s="4">
        <v>90</v>
      </c>
      <c r="O2220" s="4" t="s">
        <v>26</v>
      </c>
      <c r="P2220" s="7" t="s">
        <v>19</v>
      </c>
    </row>
    <row r="2221" spans="2:16" x14ac:dyDescent="0.45">
      <c r="B2221" s="4">
        <v>2220</v>
      </c>
      <c r="C2221" s="4" t="s">
        <v>41</v>
      </c>
      <c r="D2221" s="4" t="s">
        <v>23</v>
      </c>
      <c r="E2221" s="4" t="s">
        <v>17</v>
      </c>
      <c r="F2221" s="4" t="s">
        <v>42</v>
      </c>
      <c r="G2221" s="4" t="s">
        <v>30</v>
      </c>
      <c r="H2221" s="4" t="s">
        <v>20</v>
      </c>
      <c r="I2221" s="4">
        <v>14</v>
      </c>
      <c r="J2221" s="5">
        <v>48.1</v>
      </c>
      <c r="K2221" s="6">
        <v>1.58</v>
      </c>
      <c r="L2221" s="4">
        <v>3</v>
      </c>
      <c r="M2221" s="4">
        <v>116</v>
      </c>
      <c r="N2221" s="4">
        <v>91</v>
      </c>
      <c r="O2221" s="4" t="s">
        <v>21</v>
      </c>
      <c r="P2221" s="7" t="s">
        <v>19</v>
      </c>
    </row>
    <row r="2222" spans="2:16" x14ac:dyDescent="0.45">
      <c r="B2222" s="4">
        <v>2221</v>
      </c>
      <c r="C2222" s="4" t="s">
        <v>15</v>
      </c>
      <c r="D2222" s="4" t="s">
        <v>16</v>
      </c>
      <c r="E2222" s="4" t="s">
        <v>17</v>
      </c>
      <c r="F2222" s="4" t="s">
        <v>24</v>
      </c>
      <c r="G2222" s="4" t="s">
        <v>19</v>
      </c>
      <c r="H2222" s="4" t="s">
        <v>36</v>
      </c>
      <c r="I2222" s="4">
        <v>16</v>
      </c>
      <c r="J2222" s="5">
        <v>47.4</v>
      </c>
      <c r="K2222" s="6">
        <v>1.64</v>
      </c>
      <c r="L2222" s="4">
        <v>6</v>
      </c>
      <c r="M2222" s="4">
        <v>121</v>
      </c>
      <c r="N2222" s="4">
        <v>75</v>
      </c>
      <c r="O2222" s="4" t="s">
        <v>26</v>
      </c>
      <c r="P2222" s="7" t="s">
        <v>19</v>
      </c>
    </row>
    <row r="2223" spans="2:16" x14ac:dyDescent="0.45">
      <c r="B2223" s="4">
        <v>2222</v>
      </c>
      <c r="C2223" s="4" t="s">
        <v>43</v>
      </c>
      <c r="D2223" s="4" t="s">
        <v>23</v>
      </c>
      <c r="E2223" s="4" t="s">
        <v>17</v>
      </c>
      <c r="F2223" s="4" t="s">
        <v>24</v>
      </c>
      <c r="G2223" s="4" t="s">
        <v>30</v>
      </c>
      <c r="H2223" s="4" t="s">
        <v>28</v>
      </c>
      <c r="I2223" s="4">
        <v>17</v>
      </c>
      <c r="J2223" s="5">
        <v>45</v>
      </c>
      <c r="K2223" s="6">
        <v>1.61</v>
      </c>
      <c r="L2223" s="4">
        <v>3</v>
      </c>
      <c r="M2223" s="4">
        <v>99</v>
      </c>
      <c r="N2223" s="4">
        <v>78</v>
      </c>
      <c r="O2223" s="4" t="s">
        <v>26</v>
      </c>
      <c r="P2223" s="7" t="s">
        <v>19</v>
      </c>
    </row>
    <row r="2224" spans="2:16" x14ac:dyDescent="0.45">
      <c r="B2224" s="4">
        <v>2223</v>
      </c>
      <c r="C2224" s="4" t="s">
        <v>27</v>
      </c>
      <c r="D2224" s="4" t="s">
        <v>23</v>
      </c>
      <c r="E2224" s="4" t="s">
        <v>35</v>
      </c>
      <c r="F2224" s="4" t="s">
        <v>28</v>
      </c>
      <c r="G2224" s="4" t="s">
        <v>19</v>
      </c>
      <c r="H2224" s="4" t="s">
        <v>28</v>
      </c>
      <c r="I2224" s="4">
        <v>71</v>
      </c>
      <c r="J2224" s="5">
        <v>70.7</v>
      </c>
      <c r="K2224" s="6">
        <v>1.54</v>
      </c>
      <c r="L2224" s="4">
        <v>2</v>
      </c>
      <c r="M2224" s="4">
        <v>140</v>
      </c>
      <c r="N2224" s="4">
        <v>93</v>
      </c>
      <c r="O2224" s="4" t="s">
        <v>26</v>
      </c>
      <c r="P2224" s="7" t="s">
        <v>30</v>
      </c>
    </row>
    <row r="2225" spans="2:16" x14ac:dyDescent="0.45">
      <c r="B2225" s="4">
        <v>2224</v>
      </c>
      <c r="C2225" s="4" t="s">
        <v>15</v>
      </c>
      <c r="D2225" s="4" t="s">
        <v>16</v>
      </c>
      <c r="E2225" s="4" t="s">
        <v>44</v>
      </c>
      <c r="F2225" s="4" t="s">
        <v>24</v>
      </c>
      <c r="G2225" s="4" t="s">
        <v>19</v>
      </c>
      <c r="H2225" s="4" t="s">
        <v>20</v>
      </c>
      <c r="I2225" s="4">
        <v>8</v>
      </c>
      <c r="J2225" s="5">
        <v>24.6</v>
      </c>
      <c r="K2225" s="6">
        <v>1.28</v>
      </c>
      <c r="L2225" s="4">
        <v>4</v>
      </c>
      <c r="M2225" s="4">
        <v>104</v>
      </c>
      <c r="N2225" s="4">
        <v>73</v>
      </c>
      <c r="O2225" s="4" t="s">
        <v>21</v>
      </c>
      <c r="P2225" s="7" t="s">
        <v>19</v>
      </c>
    </row>
    <row r="2226" spans="2:16" x14ac:dyDescent="0.45">
      <c r="B2226" s="4">
        <v>2225</v>
      </c>
      <c r="C2226" s="4" t="s">
        <v>29</v>
      </c>
      <c r="D2226" s="4" t="s">
        <v>16</v>
      </c>
      <c r="E2226" s="4" t="s">
        <v>35</v>
      </c>
      <c r="F2226" s="4" t="s">
        <v>28</v>
      </c>
      <c r="G2226" s="4" t="s">
        <v>19</v>
      </c>
      <c r="H2226" s="4" t="s">
        <v>25</v>
      </c>
      <c r="I2226" s="4">
        <v>3</v>
      </c>
      <c r="J2226" s="5">
        <v>11.4</v>
      </c>
      <c r="K2226" s="6">
        <v>0.85</v>
      </c>
      <c r="L2226" s="4">
        <v>3</v>
      </c>
      <c r="M2226" s="4">
        <v>111</v>
      </c>
      <c r="N2226" s="4">
        <v>77</v>
      </c>
      <c r="O2226" s="4" t="s">
        <v>21</v>
      </c>
      <c r="P2226" s="7" t="s">
        <v>19</v>
      </c>
    </row>
    <row r="2227" spans="2:16" x14ac:dyDescent="0.45">
      <c r="B2227" s="4">
        <v>2226</v>
      </c>
      <c r="C2227" s="4" t="s">
        <v>40</v>
      </c>
      <c r="D2227" s="4" t="s">
        <v>23</v>
      </c>
      <c r="E2227" s="4" t="s">
        <v>44</v>
      </c>
      <c r="F2227" s="4" t="s">
        <v>28</v>
      </c>
      <c r="G2227" s="4" t="s">
        <v>30</v>
      </c>
      <c r="H2227" s="4" t="s">
        <v>36</v>
      </c>
      <c r="I2227" s="4">
        <v>19</v>
      </c>
      <c r="J2227" s="5">
        <v>74.5</v>
      </c>
      <c r="K2227" s="6">
        <v>1.66</v>
      </c>
      <c r="L2227" s="4">
        <v>5</v>
      </c>
      <c r="M2227" s="4">
        <v>120</v>
      </c>
      <c r="N2227" s="4">
        <v>84</v>
      </c>
      <c r="O2227" s="4" t="s">
        <v>21</v>
      </c>
      <c r="P2227" s="7" t="s">
        <v>19</v>
      </c>
    </row>
    <row r="2228" spans="2:16" x14ac:dyDescent="0.45">
      <c r="B2228" s="4">
        <v>2227</v>
      </c>
      <c r="C2228" s="4" t="s">
        <v>40</v>
      </c>
      <c r="D2228" s="4" t="s">
        <v>16</v>
      </c>
      <c r="E2228" s="4" t="s">
        <v>17</v>
      </c>
      <c r="F2228" s="4" t="s">
        <v>28</v>
      </c>
      <c r="G2228" s="4" t="s">
        <v>30</v>
      </c>
      <c r="H2228" s="4" t="s">
        <v>32</v>
      </c>
      <c r="I2228" s="4">
        <v>9</v>
      </c>
      <c r="J2228" s="5">
        <v>37.299999999999997</v>
      </c>
      <c r="K2228" s="6">
        <v>1.26</v>
      </c>
      <c r="L2228" s="4">
        <v>2</v>
      </c>
      <c r="M2228" s="4">
        <v>116</v>
      </c>
      <c r="N2228" s="4">
        <v>177</v>
      </c>
      <c r="O2228" s="4" t="s">
        <v>26</v>
      </c>
      <c r="P2228" s="7" t="s">
        <v>19</v>
      </c>
    </row>
    <row r="2229" spans="2:16" x14ac:dyDescent="0.45">
      <c r="B2229" s="4">
        <v>2228</v>
      </c>
      <c r="C2229" s="4" t="s">
        <v>43</v>
      </c>
      <c r="D2229" s="4" t="s">
        <v>23</v>
      </c>
      <c r="E2229" s="4" t="s">
        <v>35</v>
      </c>
      <c r="F2229" s="4" t="s">
        <v>42</v>
      </c>
      <c r="G2229" s="4" t="s">
        <v>19</v>
      </c>
      <c r="H2229" s="4" t="s">
        <v>36</v>
      </c>
      <c r="I2229" s="4">
        <v>6</v>
      </c>
      <c r="J2229" s="5">
        <v>18.899999999999999</v>
      </c>
      <c r="K2229" s="6">
        <v>1.39</v>
      </c>
      <c r="L2229" s="4">
        <v>9</v>
      </c>
      <c r="M2229" s="4">
        <v>121</v>
      </c>
      <c r="N2229" s="4">
        <v>97</v>
      </c>
      <c r="O2229" s="4" t="s">
        <v>26</v>
      </c>
      <c r="P2229" s="7" t="s">
        <v>30</v>
      </c>
    </row>
    <row r="2230" spans="2:16" x14ac:dyDescent="0.45">
      <c r="B2230" s="4">
        <v>2229</v>
      </c>
      <c r="C2230" s="4" t="s">
        <v>22</v>
      </c>
      <c r="D2230" s="4" t="s">
        <v>23</v>
      </c>
      <c r="E2230" s="4" t="s">
        <v>35</v>
      </c>
      <c r="F2230" s="4" t="s">
        <v>24</v>
      </c>
      <c r="G2230" s="4" t="s">
        <v>19</v>
      </c>
      <c r="H2230" s="4" t="s">
        <v>38</v>
      </c>
      <c r="I2230" s="4">
        <v>16</v>
      </c>
      <c r="J2230" s="5">
        <v>58.3</v>
      </c>
      <c r="K2230" s="6">
        <v>1.6</v>
      </c>
      <c r="L2230" s="4">
        <v>5</v>
      </c>
      <c r="M2230" s="4">
        <v>126</v>
      </c>
      <c r="N2230" s="4">
        <v>87</v>
      </c>
      <c r="O2230" s="4" t="s">
        <v>26</v>
      </c>
      <c r="P2230" s="7" t="s">
        <v>30</v>
      </c>
    </row>
    <row r="2231" spans="2:16" x14ac:dyDescent="0.45">
      <c r="B2231" s="4">
        <v>2230</v>
      </c>
      <c r="C2231" s="4" t="s">
        <v>43</v>
      </c>
      <c r="D2231" s="4" t="s">
        <v>23</v>
      </c>
      <c r="E2231" s="4" t="s">
        <v>35</v>
      </c>
      <c r="F2231" s="4" t="s">
        <v>18</v>
      </c>
      <c r="G2231" s="4" t="s">
        <v>30</v>
      </c>
      <c r="H2231" s="4" t="s">
        <v>32</v>
      </c>
      <c r="I2231" s="4">
        <v>1</v>
      </c>
      <c r="J2231" s="5">
        <v>14.9</v>
      </c>
      <c r="K2231" s="6">
        <v>0.75</v>
      </c>
      <c r="L2231" s="4">
        <v>4</v>
      </c>
      <c r="M2231" s="4">
        <v>124</v>
      </c>
      <c r="N2231" s="4">
        <v>120</v>
      </c>
      <c r="O2231" s="4" t="s">
        <v>21</v>
      </c>
      <c r="P2231" s="7" t="s">
        <v>30</v>
      </c>
    </row>
    <row r="2232" spans="2:16" x14ac:dyDescent="0.45">
      <c r="B2232" s="4">
        <v>2231</v>
      </c>
      <c r="C2232" s="4" t="s">
        <v>27</v>
      </c>
      <c r="D2232" s="4" t="s">
        <v>23</v>
      </c>
      <c r="E2232" s="4" t="s">
        <v>35</v>
      </c>
      <c r="F2232" s="4" t="s">
        <v>18</v>
      </c>
      <c r="G2232" s="4" t="s">
        <v>19</v>
      </c>
      <c r="H2232" s="4" t="s">
        <v>20</v>
      </c>
      <c r="I2232" s="4">
        <v>0</v>
      </c>
      <c r="J2232" s="5">
        <v>9.9</v>
      </c>
      <c r="K2232" s="6">
        <v>0.98</v>
      </c>
      <c r="L2232" s="4">
        <v>1</v>
      </c>
      <c r="M2232" s="4">
        <v>111</v>
      </c>
      <c r="N2232" s="4">
        <v>80</v>
      </c>
      <c r="O2232" s="4" t="s">
        <v>26</v>
      </c>
      <c r="P2232" s="7" t="s">
        <v>19</v>
      </c>
    </row>
    <row r="2233" spans="2:16" x14ac:dyDescent="0.45">
      <c r="B2233" s="4">
        <v>2232</v>
      </c>
      <c r="C2233" s="4" t="s">
        <v>22</v>
      </c>
      <c r="D2233" s="4" t="s">
        <v>16</v>
      </c>
      <c r="E2233" s="4" t="s">
        <v>35</v>
      </c>
      <c r="F2233" s="4" t="s">
        <v>28</v>
      </c>
      <c r="G2233" s="4" t="s">
        <v>19</v>
      </c>
      <c r="H2233" s="4" t="s">
        <v>28</v>
      </c>
      <c r="I2233" s="4">
        <v>10</v>
      </c>
      <c r="J2233" s="5">
        <v>32.200000000000003</v>
      </c>
      <c r="K2233" s="6">
        <v>1.4</v>
      </c>
      <c r="L2233" s="4">
        <v>9</v>
      </c>
      <c r="M2233" s="4">
        <v>117</v>
      </c>
      <c r="N2233" s="4">
        <v>88</v>
      </c>
      <c r="O2233" s="4" t="s">
        <v>21</v>
      </c>
      <c r="P2233" s="7" t="s">
        <v>19</v>
      </c>
    </row>
    <row r="2234" spans="2:16" x14ac:dyDescent="0.45">
      <c r="B2234" s="4">
        <v>2233</v>
      </c>
      <c r="C2234" s="4" t="s">
        <v>27</v>
      </c>
      <c r="D2234" s="4" t="s">
        <v>16</v>
      </c>
      <c r="E2234" s="4" t="s">
        <v>35</v>
      </c>
      <c r="F2234" s="4" t="s">
        <v>28</v>
      </c>
      <c r="G2234" s="4" t="s">
        <v>19</v>
      </c>
      <c r="H2234" s="4" t="s">
        <v>20</v>
      </c>
      <c r="I2234" s="4">
        <v>52</v>
      </c>
      <c r="J2234" s="5">
        <v>63</v>
      </c>
      <c r="K2234" s="6">
        <v>1.58</v>
      </c>
      <c r="L2234" s="4">
        <v>2</v>
      </c>
      <c r="M2234" s="4">
        <v>111</v>
      </c>
      <c r="N2234" s="4">
        <v>95</v>
      </c>
      <c r="O2234" s="4" t="s">
        <v>26</v>
      </c>
      <c r="P2234" s="7" t="s">
        <v>19</v>
      </c>
    </row>
    <row r="2235" spans="2:16" x14ac:dyDescent="0.45">
      <c r="B2235" s="4">
        <v>2234</v>
      </c>
      <c r="C2235" s="4" t="s">
        <v>29</v>
      </c>
      <c r="D2235" s="4" t="s">
        <v>23</v>
      </c>
      <c r="E2235" s="4" t="s">
        <v>35</v>
      </c>
      <c r="F2235" s="4" t="s">
        <v>28</v>
      </c>
      <c r="G2235" s="4" t="s">
        <v>19</v>
      </c>
      <c r="H2235" s="4" t="s">
        <v>28</v>
      </c>
      <c r="I2235" s="4">
        <v>1</v>
      </c>
      <c r="J2235" s="5">
        <v>9.8000000000000007</v>
      </c>
      <c r="K2235" s="6">
        <v>0.87</v>
      </c>
      <c r="L2235" s="4">
        <v>4</v>
      </c>
      <c r="M2235" s="4">
        <v>112</v>
      </c>
      <c r="N2235" s="4">
        <v>86</v>
      </c>
      <c r="O2235" s="4" t="s">
        <v>26</v>
      </c>
      <c r="P2235" s="7" t="s">
        <v>30</v>
      </c>
    </row>
    <row r="2236" spans="2:16" x14ac:dyDescent="0.45">
      <c r="B2236" s="4">
        <v>2235</v>
      </c>
      <c r="C2236" s="4" t="s">
        <v>41</v>
      </c>
      <c r="D2236" s="4" t="s">
        <v>23</v>
      </c>
      <c r="E2236" s="4" t="s">
        <v>44</v>
      </c>
      <c r="F2236" s="4" t="s">
        <v>18</v>
      </c>
      <c r="G2236" s="4" t="s">
        <v>19</v>
      </c>
      <c r="H2236" s="4" t="s">
        <v>34</v>
      </c>
      <c r="I2236" s="4">
        <v>31</v>
      </c>
      <c r="J2236" s="5">
        <v>56.5</v>
      </c>
      <c r="K2236" s="6">
        <v>1.53</v>
      </c>
      <c r="L2236" s="4">
        <v>3</v>
      </c>
      <c r="M2236" s="4">
        <v>126</v>
      </c>
      <c r="N2236" s="4">
        <v>88</v>
      </c>
      <c r="O2236" s="4" t="s">
        <v>26</v>
      </c>
      <c r="P2236" s="7" t="s">
        <v>30</v>
      </c>
    </row>
    <row r="2237" spans="2:16" x14ac:dyDescent="0.45">
      <c r="B2237" s="4">
        <v>2236</v>
      </c>
      <c r="C2237" s="4" t="s">
        <v>41</v>
      </c>
      <c r="D2237" s="4" t="s">
        <v>23</v>
      </c>
      <c r="E2237" s="4" t="s">
        <v>17</v>
      </c>
      <c r="F2237" s="4" t="s">
        <v>24</v>
      </c>
      <c r="G2237" s="4" t="s">
        <v>19</v>
      </c>
      <c r="H2237" s="4" t="s">
        <v>38</v>
      </c>
      <c r="I2237" s="4">
        <v>12</v>
      </c>
      <c r="J2237" s="5">
        <v>55.2</v>
      </c>
      <c r="K2237" s="6">
        <v>1.72</v>
      </c>
      <c r="L2237" s="4">
        <v>1</v>
      </c>
      <c r="M2237" s="4">
        <v>107</v>
      </c>
      <c r="N2237" s="4">
        <v>82</v>
      </c>
      <c r="O2237" s="4" t="s">
        <v>21</v>
      </c>
      <c r="P2237" s="7" t="s">
        <v>19</v>
      </c>
    </row>
    <row r="2238" spans="2:16" x14ac:dyDescent="0.45">
      <c r="B2238" s="4">
        <v>2237</v>
      </c>
      <c r="C2238" s="4" t="s">
        <v>27</v>
      </c>
      <c r="D2238" s="4" t="s">
        <v>23</v>
      </c>
      <c r="E2238" s="4" t="s">
        <v>17</v>
      </c>
      <c r="F2238" s="4" t="s">
        <v>18</v>
      </c>
      <c r="G2238" s="4" t="s">
        <v>19</v>
      </c>
      <c r="H2238" s="4" t="s">
        <v>20</v>
      </c>
      <c r="I2238" s="4">
        <v>47</v>
      </c>
      <c r="J2238" s="5">
        <v>70.8</v>
      </c>
      <c r="K2238" s="6">
        <v>1.76</v>
      </c>
      <c r="L2238" s="4">
        <v>2</v>
      </c>
      <c r="M2238" s="4">
        <v>110</v>
      </c>
      <c r="N2238" s="4">
        <v>102</v>
      </c>
      <c r="O2238" s="4" t="s">
        <v>21</v>
      </c>
      <c r="P2238" s="7" t="s">
        <v>19</v>
      </c>
    </row>
    <row r="2239" spans="2:16" x14ac:dyDescent="0.45">
      <c r="B2239" s="4">
        <v>2238</v>
      </c>
      <c r="C2239" s="4" t="s">
        <v>39</v>
      </c>
      <c r="D2239" s="4" t="s">
        <v>16</v>
      </c>
      <c r="E2239" s="4" t="s">
        <v>17</v>
      </c>
      <c r="F2239" s="4" t="s">
        <v>28</v>
      </c>
      <c r="G2239" s="4" t="s">
        <v>19</v>
      </c>
      <c r="H2239" s="4" t="s">
        <v>20</v>
      </c>
      <c r="I2239" s="4">
        <v>59</v>
      </c>
      <c r="J2239" s="5">
        <v>67</v>
      </c>
      <c r="K2239" s="6">
        <v>1.67</v>
      </c>
      <c r="L2239" s="4">
        <v>1</v>
      </c>
      <c r="M2239" s="4">
        <v>139</v>
      </c>
      <c r="N2239" s="4">
        <v>98</v>
      </c>
      <c r="O2239" s="4" t="s">
        <v>21</v>
      </c>
      <c r="P2239" s="7" t="s">
        <v>30</v>
      </c>
    </row>
    <row r="2240" spans="2:16" x14ac:dyDescent="0.45">
      <c r="B2240" s="4">
        <v>2239</v>
      </c>
      <c r="C2240" s="4" t="s">
        <v>45</v>
      </c>
      <c r="D2240" s="4" t="s">
        <v>23</v>
      </c>
      <c r="E2240" s="4" t="s">
        <v>35</v>
      </c>
      <c r="F2240" s="4" t="s">
        <v>18</v>
      </c>
      <c r="G2240" s="4" t="s">
        <v>19</v>
      </c>
      <c r="H2240" s="4" t="s">
        <v>28</v>
      </c>
      <c r="I2240" s="4">
        <v>5</v>
      </c>
      <c r="J2240" s="5">
        <v>34.1</v>
      </c>
      <c r="K2240" s="6">
        <v>1.1599999999999999</v>
      </c>
      <c r="L2240" s="4">
        <v>0</v>
      </c>
      <c r="M2240" s="4">
        <v>112</v>
      </c>
      <c r="N2240" s="4">
        <v>86</v>
      </c>
      <c r="O2240" s="4" t="s">
        <v>26</v>
      </c>
      <c r="P2240" s="7" t="s">
        <v>19</v>
      </c>
    </row>
    <row r="2241" spans="2:16" x14ac:dyDescent="0.45">
      <c r="B2241" s="4">
        <v>2240</v>
      </c>
      <c r="C2241" s="4" t="s">
        <v>22</v>
      </c>
      <c r="D2241" s="4" t="s">
        <v>16</v>
      </c>
      <c r="E2241" s="4" t="s">
        <v>17</v>
      </c>
      <c r="F2241" s="4" t="s">
        <v>18</v>
      </c>
      <c r="G2241" s="4" t="s">
        <v>19</v>
      </c>
      <c r="H2241" s="4" t="s">
        <v>32</v>
      </c>
      <c r="I2241" s="4">
        <v>59</v>
      </c>
      <c r="J2241" s="5">
        <v>51.6</v>
      </c>
      <c r="K2241" s="6">
        <v>1.49</v>
      </c>
      <c r="L2241" s="4">
        <v>10</v>
      </c>
      <c r="M2241" s="4">
        <v>130</v>
      </c>
      <c r="N2241" s="4">
        <v>142</v>
      </c>
      <c r="O2241" s="4" t="s">
        <v>26</v>
      </c>
      <c r="P2241" s="7" t="s">
        <v>30</v>
      </c>
    </row>
    <row r="2242" spans="2:16" x14ac:dyDescent="0.45">
      <c r="B2242" s="4">
        <v>2241</v>
      </c>
      <c r="C2242" s="4" t="s">
        <v>22</v>
      </c>
      <c r="D2242" s="4" t="s">
        <v>16</v>
      </c>
      <c r="E2242" s="4" t="s">
        <v>35</v>
      </c>
      <c r="F2242" s="4" t="s">
        <v>24</v>
      </c>
      <c r="G2242" s="4" t="s">
        <v>19</v>
      </c>
      <c r="H2242" s="4" t="s">
        <v>32</v>
      </c>
      <c r="I2242" s="4">
        <v>16</v>
      </c>
      <c r="J2242" s="5">
        <v>64.400000000000006</v>
      </c>
      <c r="K2242" s="6">
        <v>1.48</v>
      </c>
      <c r="L2242" s="4">
        <v>10</v>
      </c>
      <c r="M2242" s="4">
        <v>100</v>
      </c>
      <c r="N2242" s="4">
        <v>161</v>
      </c>
      <c r="O2242" s="4" t="s">
        <v>26</v>
      </c>
      <c r="P2242" s="7" t="s">
        <v>19</v>
      </c>
    </row>
    <row r="2243" spans="2:16" x14ac:dyDescent="0.45">
      <c r="B2243" s="4">
        <v>2242</v>
      </c>
      <c r="C2243" s="4" t="s">
        <v>43</v>
      </c>
      <c r="D2243" s="4" t="s">
        <v>16</v>
      </c>
      <c r="E2243" s="4" t="s">
        <v>35</v>
      </c>
      <c r="F2243" s="4" t="s">
        <v>18</v>
      </c>
      <c r="G2243" s="4" t="s">
        <v>30</v>
      </c>
      <c r="H2243" s="4" t="s">
        <v>32</v>
      </c>
      <c r="I2243" s="4">
        <v>86</v>
      </c>
      <c r="J2243" s="5">
        <v>59</v>
      </c>
      <c r="K2243" s="6">
        <v>1.67</v>
      </c>
      <c r="L2243" s="4">
        <v>2</v>
      </c>
      <c r="M2243" s="4">
        <v>135</v>
      </c>
      <c r="N2243" s="4">
        <v>139</v>
      </c>
      <c r="O2243" s="4" t="s">
        <v>26</v>
      </c>
      <c r="P2243" s="7" t="s">
        <v>30</v>
      </c>
    </row>
    <row r="2244" spans="2:16" x14ac:dyDescent="0.45">
      <c r="B2244" s="4">
        <v>2243</v>
      </c>
      <c r="C2244" s="4" t="s">
        <v>39</v>
      </c>
      <c r="D2244" s="4" t="s">
        <v>23</v>
      </c>
      <c r="E2244" s="4" t="s">
        <v>35</v>
      </c>
      <c r="F2244" s="4" t="s">
        <v>24</v>
      </c>
      <c r="G2244" s="4" t="s">
        <v>19</v>
      </c>
      <c r="H2244" s="4" t="s">
        <v>25</v>
      </c>
      <c r="I2244" s="4">
        <v>21</v>
      </c>
      <c r="J2244" s="5">
        <v>78.599999999999994</v>
      </c>
      <c r="K2244" s="6">
        <v>1.85</v>
      </c>
      <c r="L2244" s="4">
        <v>1</v>
      </c>
      <c r="M2244" s="4">
        <v>106</v>
      </c>
      <c r="N2244" s="4">
        <v>88</v>
      </c>
      <c r="O2244" s="4" t="s">
        <v>21</v>
      </c>
      <c r="P2244" s="7" t="s">
        <v>19</v>
      </c>
    </row>
    <row r="2245" spans="2:16" x14ac:dyDescent="0.45">
      <c r="B2245" s="4">
        <v>2244</v>
      </c>
      <c r="C2245" s="4" t="s">
        <v>45</v>
      </c>
      <c r="D2245" s="4" t="s">
        <v>23</v>
      </c>
      <c r="E2245" s="4" t="s">
        <v>17</v>
      </c>
      <c r="F2245" s="4" t="s">
        <v>28</v>
      </c>
      <c r="G2245" s="4" t="s">
        <v>19</v>
      </c>
      <c r="H2245" s="4" t="s">
        <v>36</v>
      </c>
      <c r="I2245" s="4">
        <v>8</v>
      </c>
      <c r="J2245" s="5">
        <v>30</v>
      </c>
      <c r="K2245" s="6">
        <v>1.44</v>
      </c>
      <c r="L2245" s="4">
        <v>4</v>
      </c>
      <c r="M2245" s="4">
        <v>137</v>
      </c>
      <c r="N2245" s="4">
        <v>101</v>
      </c>
      <c r="O2245" s="4" t="s">
        <v>21</v>
      </c>
      <c r="P2245" s="7" t="s">
        <v>19</v>
      </c>
    </row>
    <row r="2246" spans="2:16" x14ac:dyDescent="0.45">
      <c r="B2246" s="4">
        <v>2245</v>
      </c>
      <c r="C2246" s="4" t="s">
        <v>45</v>
      </c>
      <c r="D2246" s="4" t="s">
        <v>23</v>
      </c>
      <c r="E2246" s="4" t="s">
        <v>17</v>
      </c>
      <c r="F2246" s="4" t="s">
        <v>24</v>
      </c>
      <c r="G2246" s="4" t="s">
        <v>30</v>
      </c>
      <c r="H2246" s="4" t="s">
        <v>38</v>
      </c>
      <c r="I2246" s="4">
        <v>46</v>
      </c>
      <c r="J2246" s="5">
        <v>83.1</v>
      </c>
      <c r="K2246" s="6">
        <v>1.55</v>
      </c>
      <c r="L2246" s="4">
        <v>0</v>
      </c>
      <c r="M2246" s="4">
        <v>138</v>
      </c>
      <c r="N2246" s="4">
        <v>87</v>
      </c>
      <c r="O2246" s="4" t="s">
        <v>21</v>
      </c>
      <c r="P2246" s="7" t="s">
        <v>30</v>
      </c>
    </row>
    <row r="2247" spans="2:16" x14ac:dyDescent="0.45">
      <c r="B2247" s="4">
        <v>2246</v>
      </c>
      <c r="C2247" s="4" t="s">
        <v>33</v>
      </c>
      <c r="D2247" s="4" t="s">
        <v>16</v>
      </c>
      <c r="E2247" s="4" t="s">
        <v>35</v>
      </c>
      <c r="F2247" s="4" t="s">
        <v>18</v>
      </c>
      <c r="G2247" s="4" t="s">
        <v>19</v>
      </c>
      <c r="H2247" s="4" t="s">
        <v>32</v>
      </c>
      <c r="I2247" s="4">
        <v>25</v>
      </c>
      <c r="J2247" s="5">
        <v>57.1</v>
      </c>
      <c r="K2247" s="6">
        <v>1.76</v>
      </c>
      <c r="L2247" s="4">
        <v>4</v>
      </c>
      <c r="M2247" s="4">
        <v>122</v>
      </c>
      <c r="N2247" s="4">
        <v>188</v>
      </c>
      <c r="O2247" s="4" t="s">
        <v>26</v>
      </c>
      <c r="P2247" s="7" t="s">
        <v>19</v>
      </c>
    </row>
    <row r="2248" spans="2:16" x14ac:dyDescent="0.45">
      <c r="B2248" s="4">
        <v>2247</v>
      </c>
      <c r="C2248" s="4" t="s">
        <v>22</v>
      </c>
      <c r="D2248" s="4" t="s">
        <v>23</v>
      </c>
      <c r="E2248" s="4" t="s">
        <v>35</v>
      </c>
      <c r="F2248" s="4" t="s">
        <v>18</v>
      </c>
      <c r="G2248" s="4" t="s">
        <v>19</v>
      </c>
      <c r="H2248" s="4" t="s">
        <v>36</v>
      </c>
      <c r="I2248" s="4">
        <v>9</v>
      </c>
      <c r="J2248" s="5">
        <v>29.7</v>
      </c>
      <c r="K2248" s="6">
        <v>1.18</v>
      </c>
      <c r="L2248" s="4">
        <v>3</v>
      </c>
      <c r="M2248" s="4">
        <v>123</v>
      </c>
      <c r="N2248" s="4">
        <v>75</v>
      </c>
      <c r="O2248" s="4" t="s">
        <v>26</v>
      </c>
      <c r="P2248" s="7" t="s">
        <v>19</v>
      </c>
    </row>
    <row r="2249" spans="2:16" x14ac:dyDescent="0.45">
      <c r="B2249" s="4">
        <v>2248</v>
      </c>
      <c r="C2249" s="4" t="s">
        <v>31</v>
      </c>
      <c r="D2249" s="4" t="s">
        <v>23</v>
      </c>
      <c r="E2249" s="4" t="s">
        <v>35</v>
      </c>
      <c r="F2249" s="4" t="s">
        <v>24</v>
      </c>
      <c r="G2249" s="4" t="s">
        <v>19</v>
      </c>
      <c r="H2249" s="4" t="s">
        <v>28</v>
      </c>
      <c r="I2249" s="4">
        <v>35</v>
      </c>
      <c r="J2249" s="5">
        <v>71.5</v>
      </c>
      <c r="K2249" s="6">
        <v>1.89</v>
      </c>
      <c r="L2249" s="4">
        <v>0</v>
      </c>
      <c r="M2249" s="4">
        <v>124</v>
      </c>
      <c r="N2249" s="4">
        <v>73</v>
      </c>
      <c r="O2249" s="4" t="s">
        <v>26</v>
      </c>
      <c r="P2249" s="7" t="s">
        <v>30</v>
      </c>
    </row>
    <row r="2250" spans="2:16" x14ac:dyDescent="0.45">
      <c r="B2250" s="4">
        <v>2249</v>
      </c>
      <c r="C2250" s="4" t="s">
        <v>22</v>
      </c>
      <c r="D2250" s="4" t="s">
        <v>23</v>
      </c>
      <c r="E2250" s="4" t="s">
        <v>35</v>
      </c>
      <c r="F2250" s="4" t="s">
        <v>24</v>
      </c>
      <c r="G2250" s="4" t="s">
        <v>19</v>
      </c>
      <c r="H2250" s="4" t="s">
        <v>20</v>
      </c>
      <c r="I2250" s="4">
        <v>9</v>
      </c>
      <c r="J2250" s="5">
        <v>30.6</v>
      </c>
      <c r="K2250" s="6">
        <v>1.42</v>
      </c>
      <c r="L2250" s="4">
        <v>2</v>
      </c>
      <c r="M2250" s="4">
        <v>105</v>
      </c>
      <c r="N2250" s="4">
        <v>96</v>
      </c>
      <c r="O2250" s="4" t="s">
        <v>26</v>
      </c>
      <c r="P2250" s="7" t="s">
        <v>19</v>
      </c>
    </row>
    <row r="2251" spans="2:16" x14ac:dyDescent="0.45">
      <c r="B2251" s="4">
        <v>2250</v>
      </c>
      <c r="C2251" s="4" t="s">
        <v>45</v>
      </c>
      <c r="D2251" s="4" t="s">
        <v>16</v>
      </c>
      <c r="E2251" s="4" t="s">
        <v>17</v>
      </c>
      <c r="F2251" s="4" t="s">
        <v>24</v>
      </c>
      <c r="G2251" s="4" t="s">
        <v>30</v>
      </c>
      <c r="H2251" s="4" t="s">
        <v>25</v>
      </c>
      <c r="I2251" s="4">
        <v>18</v>
      </c>
      <c r="J2251" s="5">
        <v>83.6</v>
      </c>
      <c r="K2251" s="6">
        <v>1.5</v>
      </c>
      <c r="L2251" s="4">
        <v>1</v>
      </c>
      <c r="M2251" s="4">
        <v>97</v>
      </c>
      <c r="N2251" s="4">
        <v>97</v>
      </c>
      <c r="O2251" s="4" t="s">
        <v>21</v>
      </c>
      <c r="P2251" s="7" t="s">
        <v>19</v>
      </c>
    </row>
    <row r="2252" spans="2:16" x14ac:dyDescent="0.45">
      <c r="B2252" s="4">
        <v>2251</v>
      </c>
      <c r="C2252" s="4" t="s">
        <v>31</v>
      </c>
      <c r="D2252" s="4" t="s">
        <v>16</v>
      </c>
      <c r="E2252" s="4" t="s">
        <v>17</v>
      </c>
      <c r="F2252" s="4" t="s">
        <v>18</v>
      </c>
      <c r="G2252" s="4" t="s">
        <v>19</v>
      </c>
      <c r="H2252" s="4" t="s">
        <v>38</v>
      </c>
      <c r="I2252" s="4">
        <v>82</v>
      </c>
      <c r="J2252" s="5">
        <v>89.9</v>
      </c>
      <c r="K2252" s="6">
        <v>1.58</v>
      </c>
      <c r="L2252" s="4">
        <v>2</v>
      </c>
      <c r="M2252" s="4">
        <v>128</v>
      </c>
      <c r="N2252" s="4">
        <v>86</v>
      </c>
      <c r="O2252" s="4" t="s">
        <v>26</v>
      </c>
      <c r="P2252" s="7" t="s">
        <v>19</v>
      </c>
    </row>
    <row r="2253" spans="2:16" x14ac:dyDescent="0.45">
      <c r="B2253" s="4">
        <v>2252</v>
      </c>
      <c r="C2253" s="4" t="s">
        <v>33</v>
      </c>
      <c r="D2253" s="4" t="s">
        <v>23</v>
      </c>
      <c r="E2253" s="4" t="s">
        <v>35</v>
      </c>
      <c r="F2253" s="4" t="s">
        <v>28</v>
      </c>
      <c r="G2253" s="4" t="s">
        <v>19</v>
      </c>
      <c r="H2253" s="4" t="s">
        <v>20</v>
      </c>
      <c r="I2253" s="4">
        <v>41</v>
      </c>
      <c r="J2253" s="5">
        <v>63.1</v>
      </c>
      <c r="K2253" s="6">
        <v>1.56</v>
      </c>
      <c r="L2253" s="4">
        <v>1</v>
      </c>
      <c r="M2253" s="4">
        <v>121</v>
      </c>
      <c r="N2253" s="4">
        <v>88</v>
      </c>
      <c r="O2253" s="4" t="s">
        <v>21</v>
      </c>
      <c r="P2253" s="7" t="s">
        <v>19</v>
      </c>
    </row>
    <row r="2254" spans="2:16" x14ac:dyDescent="0.45">
      <c r="B2254" s="4">
        <v>2253</v>
      </c>
      <c r="C2254" s="4" t="s">
        <v>41</v>
      </c>
      <c r="D2254" s="4" t="s">
        <v>23</v>
      </c>
      <c r="E2254" s="4" t="s">
        <v>35</v>
      </c>
      <c r="F2254" s="4" t="s">
        <v>24</v>
      </c>
      <c r="G2254" s="4" t="s">
        <v>19</v>
      </c>
      <c r="H2254" s="4" t="s">
        <v>20</v>
      </c>
      <c r="I2254" s="4">
        <v>37</v>
      </c>
      <c r="J2254" s="5">
        <v>45.8</v>
      </c>
      <c r="K2254" s="6">
        <v>1.56</v>
      </c>
      <c r="L2254" s="4">
        <v>2</v>
      </c>
      <c r="M2254" s="4">
        <v>116</v>
      </c>
      <c r="N2254" s="4">
        <v>92</v>
      </c>
      <c r="O2254" s="4" t="s">
        <v>26</v>
      </c>
      <c r="P2254" s="7" t="s">
        <v>30</v>
      </c>
    </row>
    <row r="2255" spans="2:16" x14ac:dyDescent="0.45">
      <c r="B2255" s="4">
        <v>2254</v>
      </c>
      <c r="C2255" s="4" t="s">
        <v>22</v>
      </c>
      <c r="D2255" s="4" t="s">
        <v>16</v>
      </c>
      <c r="E2255" s="4" t="s">
        <v>17</v>
      </c>
      <c r="F2255" s="4" t="s">
        <v>24</v>
      </c>
      <c r="G2255" s="4" t="s">
        <v>19</v>
      </c>
      <c r="H2255" s="4" t="s">
        <v>25</v>
      </c>
      <c r="I2255" s="4">
        <v>1</v>
      </c>
      <c r="J2255" s="5">
        <v>15.3</v>
      </c>
      <c r="K2255" s="6">
        <v>0.6</v>
      </c>
      <c r="L2255" s="4">
        <v>4</v>
      </c>
      <c r="M2255" s="4">
        <v>90</v>
      </c>
      <c r="N2255" s="4">
        <v>91</v>
      </c>
      <c r="O2255" s="4" t="s">
        <v>21</v>
      </c>
      <c r="P2255" s="7" t="s">
        <v>19</v>
      </c>
    </row>
    <row r="2256" spans="2:16" x14ac:dyDescent="0.45">
      <c r="B2256" s="4">
        <v>2255</v>
      </c>
      <c r="C2256" s="4" t="s">
        <v>41</v>
      </c>
      <c r="D2256" s="4" t="s">
        <v>16</v>
      </c>
      <c r="E2256" s="4" t="s">
        <v>35</v>
      </c>
      <c r="F2256" s="4" t="s">
        <v>28</v>
      </c>
      <c r="G2256" s="4" t="s">
        <v>19</v>
      </c>
      <c r="H2256" s="4" t="s">
        <v>25</v>
      </c>
      <c r="I2256" s="4">
        <v>38</v>
      </c>
      <c r="J2256" s="5">
        <v>81.2</v>
      </c>
      <c r="K2256" s="6">
        <v>1.75</v>
      </c>
      <c r="L2256" s="4">
        <v>4</v>
      </c>
      <c r="M2256" s="4">
        <v>109</v>
      </c>
      <c r="N2256" s="4">
        <v>74</v>
      </c>
      <c r="O2256" s="4" t="s">
        <v>26</v>
      </c>
      <c r="P2256" s="7" t="s">
        <v>19</v>
      </c>
    </row>
    <row r="2257" spans="2:16" x14ac:dyDescent="0.45">
      <c r="B2257" s="4">
        <v>2256</v>
      </c>
      <c r="C2257" s="4" t="s">
        <v>43</v>
      </c>
      <c r="D2257" s="4" t="s">
        <v>16</v>
      </c>
      <c r="E2257" s="4" t="s">
        <v>17</v>
      </c>
      <c r="F2257" s="4" t="s">
        <v>18</v>
      </c>
      <c r="G2257" s="4" t="s">
        <v>19</v>
      </c>
      <c r="H2257" s="4" t="s">
        <v>28</v>
      </c>
      <c r="I2257" s="4">
        <v>40</v>
      </c>
      <c r="J2257" s="5">
        <v>56.7</v>
      </c>
      <c r="K2257" s="6">
        <v>1.69</v>
      </c>
      <c r="L2257" s="4">
        <v>2</v>
      </c>
      <c r="M2257" s="4">
        <v>127</v>
      </c>
      <c r="N2257" s="4">
        <v>93</v>
      </c>
      <c r="O2257" s="4" t="s">
        <v>26</v>
      </c>
      <c r="P2257" s="7" t="s">
        <v>30</v>
      </c>
    </row>
    <row r="2258" spans="2:16" x14ac:dyDescent="0.45">
      <c r="B2258" s="4">
        <v>2257</v>
      </c>
      <c r="C2258" s="4" t="s">
        <v>31</v>
      </c>
      <c r="D2258" s="4" t="s">
        <v>16</v>
      </c>
      <c r="E2258" s="4" t="s">
        <v>17</v>
      </c>
      <c r="F2258" s="4" t="s">
        <v>24</v>
      </c>
      <c r="G2258" s="4" t="s">
        <v>19</v>
      </c>
      <c r="H2258" s="4" t="s">
        <v>20</v>
      </c>
      <c r="I2258" s="4">
        <v>18</v>
      </c>
      <c r="J2258" s="5">
        <v>74.400000000000006</v>
      </c>
      <c r="K2258" s="6">
        <v>1.73</v>
      </c>
      <c r="L2258" s="4">
        <v>5</v>
      </c>
      <c r="M2258" s="4">
        <v>126</v>
      </c>
      <c r="N2258" s="4">
        <v>94</v>
      </c>
      <c r="O2258" s="4" t="s">
        <v>21</v>
      </c>
      <c r="P2258" s="7" t="s">
        <v>30</v>
      </c>
    </row>
    <row r="2259" spans="2:16" x14ac:dyDescent="0.45">
      <c r="B2259" s="4">
        <v>2258</v>
      </c>
      <c r="C2259" s="4" t="s">
        <v>31</v>
      </c>
      <c r="D2259" s="4" t="s">
        <v>16</v>
      </c>
      <c r="E2259" s="4" t="s">
        <v>17</v>
      </c>
      <c r="F2259" s="4" t="s">
        <v>24</v>
      </c>
      <c r="G2259" s="4" t="s">
        <v>19</v>
      </c>
      <c r="H2259" s="4" t="s">
        <v>28</v>
      </c>
      <c r="I2259" s="4">
        <v>8</v>
      </c>
      <c r="J2259" s="5">
        <v>36.1</v>
      </c>
      <c r="K2259" s="6">
        <v>1.3</v>
      </c>
      <c r="L2259" s="4">
        <v>3</v>
      </c>
      <c r="M2259" s="4">
        <v>108</v>
      </c>
      <c r="N2259" s="4">
        <v>101</v>
      </c>
      <c r="O2259" s="4" t="s">
        <v>26</v>
      </c>
      <c r="P2259" s="7" t="s">
        <v>19</v>
      </c>
    </row>
    <row r="2260" spans="2:16" x14ac:dyDescent="0.45">
      <c r="B2260" s="4">
        <v>2259</v>
      </c>
      <c r="C2260" s="4" t="s">
        <v>29</v>
      </c>
      <c r="D2260" s="4" t="s">
        <v>23</v>
      </c>
      <c r="E2260" s="4" t="s">
        <v>17</v>
      </c>
      <c r="F2260" s="4" t="s">
        <v>28</v>
      </c>
      <c r="G2260" s="4" t="s">
        <v>19</v>
      </c>
      <c r="H2260" s="4" t="s">
        <v>34</v>
      </c>
      <c r="I2260" s="4">
        <v>20</v>
      </c>
      <c r="J2260" s="5">
        <v>73.7</v>
      </c>
      <c r="K2260" s="6">
        <v>1.76</v>
      </c>
      <c r="L2260" s="4">
        <v>10</v>
      </c>
      <c r="M2260" s="4">
        <v>109</v>
      </c>
      <c r="N2260" s="4">
        <v>98</v>
      </c>
      <c r="O2260" s="4" t="s">
        <v>26</v>
      </c>
      <c r="P2260" s="7" t="s">
        <v>19</v>
      </c>
    </row>
    <row r="2261" spans="2:16" x14ac:dyDescent="0.45">
      <c r="B2261" s="4">
        <v>2260</v>
      </c>
      <c r="C2261" s="4" t="s">
        <v>15</v>
      </c>
      <c r="D2261" s="4" t="s">
        <v>23</v>
      </c>
      <c r="E2261" s="4" t="s">
        <v>44</v>
      </c>
      <c r="F2261" s="4" t="s">
        <v>24</v>
      </c>
      <c r="G2261" s="4" t="s">
        <v>19</v>
      </c>
      <c r="H2261" s="4" t="s">
        <v>36</v>
      </c>
      <c r="I2261" s="4">
        <v>10</v>
      </c>
      <c r="J2261" s="5">
        <v>33.5</v>
      </c>
      <c r="K2261" s="6">
        <v>1.0900000000000001</v>
      </c>
      <c r="L2261" s="4">
        <v>1</v>
      </c>
      <c r="M2261" s="4">
        <v>112</v>
      </c>
      <c r="N2261" s="4">
        <v>71</v>
      </c>
      <c r="O2261" s="4" t="s">
        <v>26</v>
      </c>
      <c r="P2261" s="7" t="s">
        <v>19</v>
      </c>
    </row>
    <row r="2262" spans="2:16" x14ac:dyDescent="0.45">
      <c r="B2262" s="4">
        <v>2261</v>
      </c>
      <c r="C2262" s="4" t="s">
        <v>27</v>
      </c>
      <c r="D2262" s="4" t="s">
        <v>16</v>
      </c>
      <c r="E2262" s="4" t="s">
        <v>17</v>
      </c>
      <c r="F2262" s="4" t="s">
        <v>24</v>
      </c>
      <c r="G2262" s="4" t="s">
        <v>19</v>
      </c>
      <c r="H2262" s="4" t="s">
        <v>20</v>
      </c>
      <c r="I2262" s="4">
        <v>7</v>
      </c>
      <c r="J2262" s="5">
        <v>18.7</v>
      </c>
      <c r="K2262" s="6">
        <v>1.31</v>
      </c>
      <c r="L2262" s="4">
        <v>1</v>
      </c>
      <c r="M2262" s="4">
        <v>95</v>
      </c>
      <c r="N2262" s="4">
        <v>93</v>
      </c>
      <c r="O2262" s="4" t="s">
        <v>21</v>
      </c>
      <c r="P2262" s="7" t="s">
        <v>19</v>
      </c>
    </row>
    <row r="2263" spans="2:16" x14ac:dyDescent="0.45">
      <c r="B2263" s="4">
        <v>2262</v>
      </c>
      <c r="C2263" s="4" t="s">
        <v>27</v>
      </c>
      <c r="D2263" s="4" t="s">
        <v>16</v>
      </c>
      <c r="E2263" s="4" t="s">
        <v>35</v>
      </c>
      <c r="F2263" s="4" t="s">
        <v>28</v>
      </c>
      <c r="G2263" s="4" t="s">
        <v>19</v>
      </c>
      <c r="H2263" s="4" t="s">
        <v>36</v>
      </c>
      <c r="I2263" s="4">
        <v>59</v>
      </c>
      <c r="J2263" s="5">
        <v>60.3</v>
      </c>
      <c r="K2263" s="6">
        <v>1.51</v>
      </c>
      <c r="L2263" s="4">
        <v>5</v>
      </c>
      <c r="M2263" s="4">
        <v>141</v>
      </c>
      <c r="N2263" s="4">
        <v>90</v>
      </c>
      <c r="O2263" s="4" t="s">
        <v>26</v>
      </c>
      <c r="P2263" s="7" t="s">
        <v>19</v>
      </c>
    </row>
    <row r="2264" spans="2:16" x14ac:dyDescent="0.45">
      <c r="B2264" s="4">
        <v>2263</v>
      </c>
      <c r="C2264" s="4" t="s">
        <v>27</v>
      </c>
      <c r="D2264" s="4" t="s">
        <v>23</v>
      </c>
      <c r="E2264" s="4" t="s">
        <v>17</v>
      </c>
      <c r="F2264" s="4" t="s">
        <v>24</v>
      </c>
      <c r="G2264" s="4" t="s">
        <v>19</v>
      </c>
      <c r="H2264" s="4" t="s">
        <v>32</v>
      </c>
      <c r="I2264" s="4">
        <v>2</v>
      </c>
      <c r="J2264" s="5">
        <v>9.6999999999999993</v>
      </c>
      <c r="K2264" s="6">
        <v>0.69</v>
      </c>
      <c r="L2264" s="4">
        <v>1</v>
      </c>
      <c r="M2264" s="4">
        <v>101</v>
      </c>
      <c r="N2264" s="4">
        <v>146</v>
      </c>
      <c r="O2264" s="4" t="s">
        <v>26</v>
      </c>
      <c r="P2264" s="7" t="s">
        <v>19</v>
      </c>
    </row>
    <row r="2265" spans="2:16" x14ac:dyDescent="0.45">
      <c r="B2265" s="4">
        <v>2264</v>
      </c>
      <c r="C2265" s="4" t="s">
        <v>27</v>
      </c>
      <c r="D2265" s="4" t="s">
        <v>23</v>
      </c>
      <c r="E2265" s="4" t="s">
        <v>17</v>
      </c>
      <c r="F2265" s="4" t="s">
        <v>18</v>
      </c>
      <c r="G2265" s="4" t="s">
        <v>19</v>
      </c>
      <c r="H2265" s="4" t="s">
        <v>28</v>
      </c>
      <c r="I2265" s="4">
        <v>7</v>
      </c>
      <c r="J2265" s="5">
        <v>29</v>
      </c>
      <c r="K2265" s="6">
        <v>1.08</v>
      </c>
      <c r="L2265" s="4">
        <v>0</v>
      </c>
      <c r="M2265" s="4">
        <v>108</v>
      </c>
      <c r="N2265" s="4">
        <v>92</v>
      </c>
      <c r="O2265" s="4" t="s">
        <v>26</v>
      </c>
      <c r="P2265" s="7" t="s">
        <v>19</v>
      </c>
    </row>
    <row r="2266" spans="2:16" x14ac:dyDescent="0.45">
      <c r="B2266" s="4">
        <v>2265</v>
      </c>
      <c r="C2266" s="4" t="s">
        <v>27</v>
      </c>
      <c r="D2266" s="4" t="s">
        <v>16</v>
      </c>
      <c r="E2266" s="4" t="s">
        <v>17</v>
      </c>
      <c r="F2266" s="4" t="s">
        <v>18</v>
      </c>
      <c r="G2266" s="4" t="s">
        <v>19</v>
      </c>
      <c r="H2266" s="4" t="s">
        <v>34</v>
      </c>
      <c r="I2266" s="4">
        <v>58</v>
      </c>
      <c r="J2266" s="5">
        <v>56.7</v>
      </c>
      <c r="K2266" s="6">
        <v>1.73</v>
      </c>
      <c r="L2266" s="4">
        <v>0</v>
      </c>
      <c r="M2266" s="4">
        <v>114</v>
      </c>
      <c r="N2266" s="4">
        <v>85</v>
      </c>
      <c r="O2266" s="4" t="s">
        <v>26</v>
      </c>
      <c r="P2266" s="7" t="s">
        <v>19</v>
      </c>
    </row>
    <row r="2267" spans="2:16" x14ac:dyDescent="0.45">
      <c r="B2267" s="4">
        <v>2266</v>
      </c>
      <c r="C2267" s="4" t="s">
        <v>33</v>
      </c>
      <c r="D2267" s="4" t="s">
        <v>16</v>
      </c>
      <c r="E2267" s="4" t="s">
        <v>37</v>
      </c>
      <c r="F2267" s="4" t="s">
        <v>24</v>
      </c>
      <c r="G2267" s="4" t="s">
        <v>19</v>
      </c>
      <c r="H2267" s="4" t="s">
        <v>34</v>
      </c>
      <c r="I2267" s="4">
        <v>21</v>
      </c>
      <c r="J2267" s="5">
        <v>85.1</v>
      </c>
      <c r="K2267" s="6">
        <v>1.74</v>
      </c>
      <c r="L2267" s="4">
        <v>6</v>
      </c>
      <c r="M2267" s="4">
        <v>112</v>
      </c>
      <c r="N2267" s="4">
        <v>76</v>
      </c>
      <c r="O2267" s="4" t="s">
        <v>26</v>
      </c>
      <c r="P2267" s="7" t="s">
        <v>19</v>
      </c>
    </row>
    <row r="2268" spans="2:16" x14ac:dyDescent="0.45">
      <c r="B2268" s="4">
        <v>2267</v>
      </c>
      <c r="C2268" s="4" t="s">
        <v>27</v>
      </c>
      <c r="D2268" s="4" t="s">
        <v>23</v>
      </c>
      <c r="E2268" s="4" t="s">
        <v>35</v>
      </c>
      <c r="F2268" s="4" t="s">
        <v>24</v>
      </c>
      <c r="G2268" s="4" t="s">
        <v>30</v>
      </c>
      <c r="H2268" s="4" t="s">
        <v>36</v>
      </c>
      <c r="I2268" s="4">
        <v>38</v>
      </c>
      <c r="J2268" s="5">
        <v>59.9</v>
      </c>
      <c r="K2268" s="6">
        <v>1.69</v>
      </c>
      <c r="L2268" s="4">
        <v>10</v>
      </c>
      <c r="M2268" s="4">
        <v>145</v>
      </c>
      <c r="N2268" s="4">
        <v>97</v>
      </c>
      <c r="O2268" s="4" t="s">
        <v>21</v>
      </c>
      <c r="P2268" s="7" t="s">
        <v>30</v>
      </c>
    </row>
    <row r="2269" spans="2:16" x14ac:dyDescent="0.45">
      <c r="B2269" s="4">
        <v>2268</v>
      </c>
      <c r="C2269" s="4" t="s">
        <v>27</v>
      </c>
      <c r="D2269" s="4" t="s">
        <v>16</v>
      </c>
      <c r="E2269" s="4" t="s">
        <v>44</v>
      </c>
      <c r="F2269" s="4" t="s">
        <v>42</v>
      </c>
      <c r="G2269" s="4" t="s">
        <v>19</v>
      </c>
      <c r="H2269" s="4" t="s">
        <v>28</v>
      </c>
      <c r="I2269" s="4">
        <v>7</v>
      </c>
      <c r="J2269" s="5">
        <v>36.4</v>
      </c>
      <c r="K2269" s="6">
        <v>1.25</v>
      </c>
      <c r="L2269" s="4">
        <v>1</v>
      </c>
      <c r="M2269" s="4">
        <v>105</v>
      </c>
      <c r="N2269" s="4">
        <v>84</v>
      </c>
      <c r="O2269" s="4" t="s">
        <v>26</v>
      </c>
      <c r="P2269" s="7" t="s">
        <v>19</v>
      </c>
    </row>
    <row r="2270" spans="2:16" x14ac:dyDescent="0.45">
      <c r="B2270" s="4">
        <v>2269</v>
      </c>
      <c r="C2270" s="4" t="s">
        <v>22</v>
      </c>
      <c r="D2270" s="4" t="s">
        <v>16</v>
      </c>
      <c r="E2270" s="4" t="s">
        <v>35</v>
      </c>
      <c r="F2270" s="4" t="s">
        <v>18</v>
      </c>
      <c r="G2270" s="4" t="s">
        <v>19</v>
      </c>
      <c r="H2270" s="4" t="s">
        <v>36</v>
      </c>
      <c r="I2270" s="4">
        <v>43</v>
      </c>
      <c r="J2270" s="5">
        <v>90.8</v>
      </c>
      <c r="K2270" s="6">
        <v>1.77</v>
      </c>
      <c r="L2270" s="4">
        <v>3</v>
      </c>
      <c r="M2270" s="4">
        <v>138</v>
      </c>
      <c r="N2270" s="4">
        <v>101</v>
      </c>
      <c r="O2270" s="4" t="s">
        <v>21</v>
      </c>
      <c r="P2270" s="7" t="s">
        <v>19</v>
      </c>
    </row>
    <row r="2271" spans="2:16" x14ac:dyDescent="0.45">
      <c r="B2271" s="4">
        <v>2270</v>
      </c>
      <c r="C2271" s="4" t="s">
        <v>29</v>
      </c>
      <c r="D2271" s="4" t="s">
        <v>16</v>
      </c>
      <c r="E2271" s="4" t="s">
        <v>35</v>
      </c>
      <c r="F2271" s="4" t="s">
        <v>24</v>
      </c>
      <c r="G2271" s="4" t="s">
        <v>19</v>
      </c>
      <c r="H2271" s="4" t="s">
        <v>36</v>
      </c>
      <c r="I2271" s="4">
        <v>2</v>
      </c>
      <c r="J2271" s="5">
        <v>12.1</v>
      </c>
      <c r="K2271" s="6">
        <v>0.93</v>
      </c>
      <c r="L2271" s="4">
        <v>1</v>
      </c>
      <c r="M2271" s="4">
        <v>110</v>
      </c>
      <c r="N2271" s="4">
        <v>89</v>
      </c>
      <c r="O2271" s="4" t="s">
        <v>21</v>
      </c>
      <c r="P2271" s="7" t="s">
        <v>19</v>
      </c>
    </row>
    <row r="2272" spans="2:16" x14ac:dyDescent="0.45">
      <c r="B2272" s="4">
        <v>2271</v>
      </c>
      <c r="C2272" s="4" t="s">
        <v>22</v>
      </c>
      <c r="D2272" s="4" t="s">
        <v>16</v>
      </c>
      <c r="E2272" s="4" t="s">
        <v>17</v>
      </c>
      <c r="F2272" s="4" t="s">
        <v>42</v>
      </c>
      <c r="G2272" s="4" t="s">
        <v>19</v>
      </c>
      <c r="H2272" s="4" t="s">
        <v>20</v>
      </c>
      <c r="I2272" s="4">
        <v>12</v>
      </c>
      <c r="J2272" s="5">
        <v>56.4</v>
      </c>
      <c r="K2272" s="6">
        <v>1.59</v>
      </c>
      <c r="L2272" s="4">
        <v>5</v>
      </c>
      <c r="M2272" s="4">
        <v>109</v>
      </c>
      <c r="N2272" s="4">
        <v>99</v>
      </c>
      <c r="O2272" s="4" t="s">
        <v>21</v>
      </c>
      <c r="P2272" s="7" t="s">
        <v>19</v>
      </c>
    </row>
    <row r="2273" spans="2:16" x14ac:dyDescent="0.45">
      <c r="B2273" s="4">
        <v>2272</v>
      </c>
      <c r="C2273" s="4" t="s">
        <v>27</v>
      </c>
      <c r="D2273" s="4" t="s">
        <v>16</v>
      </c>
      <c r="E2273" s="4" t="s">
        <v>35</v>
      </c>
      <c r="F2273" s="4" t="s">
        <v>18</v>
      </c>
      <c r="G2273" s="4" t="s">
        <v>19</v>
      </c>
      <c r="H2273" s="4" t="s">
        <v>28</v>
      </c>
      <c r="I2273" s="4">
        <v>9</v>
      </c>
      <c r="J2273" s="5">
        <v>23.3</v>
      </c>
      <c r="K2273" s="6">
        <v>1.05</v>
      </c>
      <c r="L2273" s="4">
        <v>1</v>
      </c>
      <c r="M2273" s="4">
        <v>109</v>
      </c>
      <c r="N2273" s="4">
        <v>87</v>
      </c>
      <c r="O2273" s="4" t="s">
        <v>21</v>
      </c>
      <c r="P2273" s="7" t="s">
        <v>19</v>
      </c>
    </row>
    <row r="2274" spans="2:16" x14ac:dyDescent="0.45">
      <c r="B2274" s="4">
        <v>2273</v>
      </c>
      <c r="C2274" s="4" t="s">
        <v>22</v>
      </c>
      <c r="D2274" s="4" t="s">
        <v>23</v>
      </c>
      <c r="E2274" s="4" t="s">
        <v>44</v>
      </c>
      <c r="F2274" s="4" t="s">
        <v>24</v>
      </c>
      <c r="G2274" s="4" t="s">
        <v>19</v>
      </c>
      <c r="H2274" s="4" t="s">
        <v>28</v>
      </c>
      <c r="I2274" s="4">
        <v>18</v>
      </c>
      <c r="J2274" s="5">
        <v>45.2</v>
      </c>
      <c r="K2274" s="6">
        <v>1.52</v>
      </c>
      <c r="L2274" s="4">
        <v>6</v>
      </c>
      <c r="M2274" s="4">
        <v>117</v>
      </c>
      <c r="N2274" s="4">
        <v>86</v>
      </c>
      <c r="O2274" s="4" t="s">
        <v>21</v>
      </c>
      <c r="P2274" s="7" t="s">
        <v>19</v>
      </c>
    </row>
    <row r="2275" spans="2:16" x14ac:dyDescent="0.45">
      <c r="B2275" s="4">
        <v>2274</v>
      </c>
      <c r="C2275" s="4" t="s">
        <v>45</v>
      </c>
      <c r="D2275" s="4" t="s">
        <v>16</v>
      </c>
      <c r="E2275" s="4" t="s">
        <v>17</v>
      </c>
      <c r="F2275" s="4" t="s">
        <v>18</v>
      </c>
      <c r="G2275" s="4" t="s">
        <v>19</v>
      </c>
      <c r="H2275" s="4" t="s">
        <v>20</v>
      </c>
      <c r="I2275" s="4">
        <v>14</v>
      </c>
      <c r="J2275" s="5">
        <v>38.700000000000003</v>
      </c>
      <c r="K2275" s="6">
        <v>1.49</v>
      </c>
      <c r="L2275" s="4">
        <v>10</v>
      </c>
      <c r="M2275" s="4">
        <v>99</v>
      </c>
      <c r="N2275" s="4">
        <v>102</v>
      </c>
      <c r="O2275" s="4" t="s">
        <v>21</v>
      </c>
      <c r="P2275" s="7" t="s">
        <v>19</v>
      </c>
    </row>
    <row r="2276" spans="2:16" x14ac:dyDescent="0.45">
      <c r="B2276" s="4">
        <v>2275</v>
      </c>
      <c r="C2276" s="4" t="s">
        <v>41</v>
      </c>
      <c r="D2276" s="4" t="s">
        <v>16</v>
      </c>
      <c r="E2276" s="4" t="s">
        <v>17</v>
      </c>
      <c r="F2276" s="4" t="s">
        <v>18</v>
      </c>
      <c r="G2276" s="4" t="s">
        <v>19</v>
      </c>
      <c r="H2276" s="4" t="s">
        <v>36</v>
      </c>
      <c r="I2276" s="4">
        <v>3</v>
      </c>
      <c r="J2276" s="5">
        <v>7.8</v>
      </c>
      <c r="K2276" s="6">
        <v>1.04</v>
      </c>
      <c r="L2276" s="4">
        <v>5</v>
      </c>
      <c r="M2276" s="4">
        <v>130</v>
      </c>
      <c r="N2276" s="4">
        <v>86</v>
      </c>
      <c r="O2276" s="4" t="s">
        <v>21</v>
      </c>
      <c r="P2276" s="7" t="s">
        <v>19</v>
      </c>
    </row>
    <row r="2277" spans="2:16" x14ac:dyDescent="0.45">
      <c r="B2277" s="4">
        <v>2276</v>
      </c>
      <c r="C2277" s="4" t="s">
        <v>31</v>
      </c>
      <c r="D2277" s="4" t="s">
        <v>23</v>
      </c>
      <c r="E2277" s="4" t="s">
        <v>35</v>
      </c>
      <c r="F2277" s="4" t="s">
        <v>24</v>
      </c>
      <c r="G2277" s="4" t="s">
        <v>19</v>
      </c>
      <c r="H2277" s="4" t="s">
        <v>34</v>
      </c>
      <c r="I2277" s="4">
        <v>1</v>
      </c>
      <c r="J2277" s="5">
        <v>11.6</v>
      </c>
      <c r="K2277" s="6">
        <v>0.91</v>
      </c>
      <c r="L2277" s="4">
        <v>0</v>
      </c>
      <c r="M2277" s="4">
        <v>106</v>
      </c>
      <c r="N2277" s="4">
        <v>86</v>
      </c>
      <c r="O2277" s="4" t="s">
        <v>26</v>
      </c>
      <c r="P2277" s="7" t="s">
        <v>19</v>
      </c>
    </row>
    <row r="2278" spans="2:16" x14ac:dyDescent="0.45">
      <c r="B2278" s="4">
        <v>2277</v>
      </c>
      <c r="C2278" s="4" t="s">
        <v>33</v>
      </c>
      <c r="D2278" s="4" t="s">
        <v>23</v>
      </c>
      <c r="E2278" s="4" t="s">
        <v>17</v>
      </c>
      <c r="F2278" s="4" t="s">
        <v>24</v>
      </c>
      <c r="G2278" s="4" t="s">
        <v>19</v>
      </c>
      <c r="H2278" s="4" t="s">
        <v>20</v>
      </c>
      <c r="I2278" s="4">
        <v>2</v>
      </c>
      <c r="J2278" s="5">
        <v>12.6</v>
      </c>
      <c r="K2278" s="6">
        <v>0.76</v>
      </c>
      <c r="L2278" s="4">
        <v>8</v>
      </c>
      <c r="M2278" s="4">
        <v>113</v>
      </c>
      <c r="N2278" s="4">
        <v>102</v>
      </c>
      <c r="O2278" s="4" t="s">
        <v>21</v>
      </c>
      <c r="P2278" s="7" t="s">
        <v>19</v>
      </c>
    </row>
    <row r="2279" spans="2:16" x14ac:dyDescent="0.45">
      <c r="B2279" s="4">
        <v>2278</v>
      </c>
      <c r="C2279" s="4" t="s">
        <v>29</v>
      </c>
      <c r="D2279" s="4" t="s">
        <v>23</v>
      </c>
      <c r="E2279" s="4" t="s">
        <v>17</v>
      </c>
      <c r="F2279" s="4" t="s">
        <v>24</v>
      </c>
      <c r="G2279" s="4" t="s">
        <v>19</v>
      </c>
      <c r="H2279" s="4" t="s">
        <v>20</v>
      </c>
      <c r="I2279" s="4">
        <v>14</v>
      </c>
      <c r="J2279" s="5">
        <v>41.4</v>
      </c>
      <c r="K2279" s="6">
        <v>1.46</v>
      </c>
      <c r="L2279" s="4">
        <v>2</v>
      </c>
      <c r="M2279" s="4">
        <v>129</v>
      </c>
      <c r="N2279" s="4">
        <v>83</v>
      </c>
      <c r="O2279" s="4" t="s">
        <v>26</v>
      </c>
      <c r="P2279" s="7" t="s">
        <v>30</v>
      </c>
    </row>
    <row r="2280" spans="2:16" x14ac:dyDescent="0.45">
      <c r="B2280" s="4">
        <v>2279</v>
      </c>
      <c r="C2280" s="4" t="s">
        <v>45</v>
      </c>
      <c r="D2280" s="4" t="s">
        <v>23</v>
      </c>
      <c r="E2280" s="4" t="s">
        <v>44</v>
      </c>
      <c r="F2280" s="4" t="s">
        <v>18</v>
      </c>
      <c r="G2280" s="4" t="s">
        <v>30</v>
      </c>
      <c r="H2280" s="4" t="s">
        <v>28</v>
      </c>
      <c r="I2280" s="4">
        <v>43</v>
      </c>
      <c r="J2280" s="5">
        <v>70.3</v>
      </c>
      <c r="K2280" s="6">
        <v>1.88</v>
      </c>
      <c r="L2280" s="4">
        <v>5</v>
      </c>
      <c r="M2280" s="4">
        <v>109</v>
      </c>
      <c r="N2280" s="4">
        <v>87</v>
      </c>
      <c r="O2280" s="4" t="s">
        <v>26</v>
      </c>
      <c r="P2280" s="7" t="s">
        <v>19</v>
      </c>
    </row>
    <row r="2281" spans="2:16" x14ac:dyDescent="0.45">
      <c r="B2281" s="4">
        <v>2280</v>
      </c>
      <c r="C2281" s="4" t="s">
        <v>39</v>
      </c>
      <c r="D2281" s="4" t="s">
        <v>16</v>
      </c>
      <c r="E2281" s="4" t="s">
        <v>17</v>
      </c>
      <c r="F2281" s="4" t="s">
        <v>24</v>
      </c>
      <c r="G2281" s="4" t="s">
        <v>19</v>
      </c>
      <c r="H2281" s="4" t="s">
        <v>36</v>
      </c>
      <c r="I2281" s="4">
        <v>41</v>
      </c>
      <c r="J2281" s="5">
        <v>59.7</v>
      </c>
      <c r="K2281" s="6">
        <v>1.7</v>
      </c>
      <c r="L2281" s="4">
        <v>1</v>
      </c>
      <c r="M2281" s="4">
        <v>140</v>
      </c>
      <c r="N2281" s="4">
        <v>81</v>
      </c>
      <c r="O2281" s="4" t="s">
        <v>26</v>
      </c>
      <c r="P2281" s="7" t="s">
        <v>30</v>
      </c>
    </row>
    <row r="2282" spans="2:16" x14ac:dyDescent="0.45">
      <c r="B2282" s="4">
        <v>2281</v>
      </c>
      <c r="C2282" s="4" t="s">
        <v>40</v>
      </c>
      <c r="D2282" s="4" t="s">
        <v>16</v>
      </c>
      <c r="E2282" s="4" t="s">
        <v>17</v>
      </c>
      <c r="F2282" s="4" t="s">
        <v>28</v>
      </c>
      <c r="G2282" s="4" t="s">
        <v>19</v>
      </c>
      <c r="H2282" s="4" t="s">
        <v>25</v>
      </c>
      <c r="I2282" s="4">
        <v>44</v>
      </c>
      <c r="J2282" s="5">
        <v>88.4</v>
      </c>
      <c r="K2282" s="6">
        <v>1.77</v>
      </c>
      <c r="L2282" s="4">
        <v>9</v>
      </c>
      <c r="M2282" s="4">
        <v>119</v>
      </c>
      <c r="N2282" s="4">
        <v>93</v>
      </c>
      <c r="O2282" s="4" t="s">
        <v>21</v>
      </c>
      <c r="P2282" s="7" t="s">
        <v>19</v>
      </c>
    </row>
    <row r="2283" spans="2:16" x14ac:dyDescent="0.45">
      <c r="B2283" s="4">
        <v>2282</v>
      </c>
      <c r="C2283" s="4" t="s">
        <v>41</v>
      </c>
      <c r="D2283" s="4" t="s">
        <v>23</v>
      </c>
      <c r="E2283" s="4" t="s">
        <v>35</v>
      </c>
      <c r="F2283" s="4" t="s">
        <v>24</v>
      </c>
      <c r="G2283" s="4" t="s">
        <v>30</v>
      </c>
      <c r="H2283" s="4" t="s">
        <v>25</v>
      </c>
      <c r="I2283" s="4">
        <v>80</v>
      </c>
      <c r="J2283" s="5">
        <v>80.5</v>
      </c>
      <c r="K2283" s="6">
        <v>1.7</v>
      </c>
      <c r="L2283" s="4">
        <v>2</v>
      </c>
      <c r="M2283" s="4">
        <v>139</v>
      </c>
      <c r="N2283" s="4">
        <v>76</v>
      </c>
      <c r="O2283" s="4" t="s">
        <v>21</v>
      </c>
      <c r="P2283" s="7" t="s">
        <v>30</v>
      </c>
    </row>
    <row r="2284" spans="2:16" x14ac:dyDescent="0.45">
      <c r="B2284" s="4">
        <v>2283</v>
      </c>
      <c r="C2284" s="4" t="s">
        <v>33</v>
      </c>
      <c r="D2284" s="4" t="s">
        <v>16</v>
      </c>
      <c r="E2284" s="4" t="s">
        <v>37</v>
      </c>
      <c r="F2284" s="4" t="s">
        <v>18</v>
      </c>
      <c r="G2284" s="4" t="s">
        <v>19</v>
      </c>
      <c r="H2284" s="4" t="s">
        <v>25</v>
      </c>
      <c r="I2284" s="4">
        <v>5</v>
      </c>
      <c r="J2284" s="5">
        <v>26.6</v>
      </c>
      <c r="K2284" s="6">
        <v>1.32</v>
      </c>
      <c r="L2284" s="4">
        <v>2</v>
      </c>
      <c r="M2284" s="4">
        <v>93</v>
      </c>
      <c r="N2284" s="4">
        <v>85</v>
      </c>
      <c r="O2284" s="4" t="s">
        <v>21</v>
      </c>
      <c r="P2284" s="7" t="s">
        <v>19</v>
      </c>
    </row>
    <row r="2285" spans="2:16" x14ac:dyDescent="0.45">
      <c r="B2285" s="4">
        <v>2284</v>
      </c>
      <c r="C2285" s="4" t="s">
        <v>31</v>
      </c>
      <c r="D2285" s="4" t="s">
        <v>16</v>
      </c>
      <c r="E2285" s="4" t="s">
        <v>35</v>
      </c>
      <c r="F2285" s="4" t="s">
        <v>24</v>
      </c>
      <c r="G2285" s="4" t="s">
        <v>19</v>
      </c>
      <c r="H2285" s="4" t="s">
        <v>34</v>
      </c>
      <c r="I2285" s="4">
        <v>23</v>
      </c>
      <c r="J2285" s="5">
        <v>90.7</v>
      </c>
      <c r="K2285" s="6">
        <v>1.88</v>
      </c>
      <c r="L2285" s="4">
        <v>3</v>
      </c>
      <c r="M2285" s="4">
        <v>113</v>
      </c>
      <c r="N2285" s="4">
        <v>97</v>
      </c>
      <c r="O2285" s="4" t="s">
        <v>26</v>
      </c>
      <c r="P2285" s="7" t="s">
        <v>19</v>
      </c>
    </row>
    <row r="2286" spans="2:16" x14ac:dyDescent="0.45">
      <c r="B2286" s="4">
        <v>2285</v>
      </c>
      <c r="C2286" s="4" t="s">
        <v>43</v>
      </c>
      <c r="D2286" s="4" t="s">
        <v>16</v>
      </c>
      <c r="E2286" s="4" t="s">
        <v>17</v>
      </c>
      <c r="F2286" s="4" t="s">
        <v>18</v>
      </c>
      <c r="G2286" s="4" t="s">
        <v>30</v>
      </c>
      <c r="H2286" s="4" t="s">
        <v>32</v>
      </c>
      <c r="I2286" s="4">
        <v>22</v>
      </c>
      <c r="J2286" s="5">
        <v>92.9</v>
      </c>
      <c r="K2286" s="6">
        <v>1.6</v>
      </c>
      <c r="L2286" s="4">
        <v>1</v>
      </c>
      <c r="M2286" s="4">
        <v>115</v>
      </c>
      <c r="N2286" s="4">
        <v>174</v>
      </c>
      <c r="O2286" s="4" t="s">
        <v>21</v>
      </c>
      <c r="P2286" s="7" t="s">
        <v>19</v>
      </c>
    </row>
    <row r="2287" spans="2:16" x14ac:dyDescent="0.45">
      <c r="B2287" s="4">
        <v>2286</v>
      </c>
      <c r="C2287" s="4" t="s">
        <v>29</v>
      </c>
      <c r="D2287" s="4" t="s">
        <v>16</v>
      </c>
      <c r="E2287" s="4" t="s">
        <v>37</v>
      </c>
      <c r="F2287" s="4" t="s">
        <v>24</v>
      </c>
      <c r="G2287" s="4" t="s">
        <v>30</v>
      </c>
      <c r="H2287" s="4" t="s">
        <v>34</v>
      </c>
      <c r="I2287" s="4">
        <v>24</v>
      </c>
      <c r="J2287" s="5">
        <v>64.900000000000006</v>
      </c>
      <c r="K2287" s="6">
        <v>1.62</v>
      </c>
      <c r="L2287" s="4">
        <v>7</v>
      </c>
      <c r="M2287" s="4">
        <v>107</v>
      </c>
      <c r="N2287" s="4">
        <v>104</v>
      </c>
      <c r="O2287" s="4" t="s">
        <v>21</v>
      </c>
      <c r="P2287" s="7" t="s">
        <v>19</v>
      </c>
    </row>
    <row r="2288" spans="2:16" x14ac:dyDescent="0.45">
      <c r="B2288" s="4">
        <v>2287</v>
      </c>
      <c r="C2288" s="4" t="s">
        <v>39</v>
      </c>
      <c r="D2288" s="4" t="s">
        <v>16</v>
      </c>
      <c r="E2288" s="4" t="s">
        <v>35</v>
      </c>
      <c r="F2288" s="4" t="s">
        <v>18</v>
      </c>
      <c r="G2288" s="4" t="s">
        <v>19</v>
      </c>
      <c r="H2288" s="4" t="s">
        <v>36</v>
      </c>
      <c r="I2288" s="4">
        <v>12</v>
      </c>
      <c r="J2288" s="5">
        <v>56.7</v>
      </c>
      <c r="K2288" s="6">
        <v>1.58</v>
      </c>
      <c r="L2288" s="4">
        <v>3</v>
      </c>
      <c r="M2288" s="4">
        <v>125</v>
      </c>
      <c r="N2288" s="4">
        <v>70</v>
      </c>
      <c r="O2288" s="4" t="s">
        <v>26</v>
      </c>
      <c r="P2288" s="7" t="s">
        <v>19</v>
      </c>
    </row>
    <row r="2289" spans="2:16" x14ac:dyDescent="0.45">
      <c r="B2289" s="4">
        <v>2288</v>
      </c>
      <c r="C2289" s="4" t="s">
        <v>39</v>
      </c>
      <c r="D2289" s="4" t="s">
        <v>16</v>
      </c>
      <c r="E2289" s="4" t="s">
        <v>44</v>
      </c>
      <c r="F2289" s="4" t="s">
        <v>42</v>
      </c>
      <c r="G2289" s="4" t="s">
        <v>19</v>
      </c>
      <c r="H2289" s="4" t="s">
        <v>38</v>
      </c>
      <c r="I2289" s="4">
        <v>4</v>
      </c>
      <c r="J2289" s="5">
        <v>6.1</v>
      </c>
      <c r="K2289" s="6">
        <v>0.75</v>
      </c>
      <c r="L2289" s="4">
        <v>8</v>
      </c>
      <c r="M2289" s="4">
        <v>103</v>
      </c>
      <c r="N2289" s="4">
        <v>103</v>
      </c>
      <c r="O2289" s="4" t="s">
        <v>21</v>
      </c>
      <c r="P2289" s="7" t="s">
        <v>19</v>
      </c>
    </row>
    <row r="2290" spans="2:16" x14ac:dyDescent="0.45">
      <c r="B2290" s="4">
        <v>2289</v>
      </c>
      <c r="C2290" s="4" t="s">
        <v>39</v>
      </c>
      <c r="D2290" s="4" t="s">
        <v>16</v>
      </c>
      <c r="E2290" s="4" t="s">
        <v>17</v>
      </c>
      <c r="F2290" s="4" t="s">
        <v>18</v>
      </c>
      <c r="G2290" s="4" t="s">
        <v>19</v>
      </c>
      <c r="H2290" s="4" t="s">
        <v>34</v>
      </c>
      <c r="I2290" s="4">
        <v>11</v>
      </c>
      <c r="J2290" s="5">
        <v>18.399999999999999</v>
      </c>
      <c r="K2290" s="6">
        <v>1.34</v>
      </c>
      <c r="L2290" s="4">
        <v>3</v>
      </c>
      <c r="M2290" s="4">
        <v>113</v>
      </c>
      <c r="N2290" s="4">
        <v>94</v>
      </c>
      <c r="O2290" s="4" t="s">
        <v>26</v>
      </c>
      <c r="P2290" s="7" t="s">
        <v>19</v>
      </c>
    </row>
    <row r="2291" spans="2:16" x14ac:dyDescent="0.45">
      <c r="B2291" s="4">
        <v>2290</v>
      </c>
      <c r="C2291" s="4" t="s">
        <v>39</v>
      </c>
      <c r="D2291" s="4" t="s">
        <v>16</v>
      </c>
      <c r="E2291" s="4" t="s">
        <v>17</v>
      </c>
      <c r="F2291" s="4" t="s">
        <v>18</v>
      </c>
      <c r="G2291" s="4" t="s">
        <v>19</v>
      </c>
      <c r="H2291" s="4" t="s">
        <v>38</v>
      </c>
      <c r="I2291" s="4">
        <v>8</v>
      </c>
      <c r="J2291" s="5">
        <v>20.9</v>
      </c>
      <c r="K2291" s="6">
        <v>1.2</v>
      </c>
      <c r="L2291" s="4">
        <v>2</v>
      </c>
      <c r="M2291" s="4">
        <v>111</v>
      </c>
      <c r="N2291" s="4">
        <v>88</v>
      </c>
      <c r="O2291" s="4" t="s">
        <v>26</v>
      </c>
      <c r="P2291" s="7" t="s">
        <v>19</v>
      </c>
    </row>
    <row r="2292" spans="2:16" x14ac:dyDescent="0.45">
      <c r="B2292" s="4">
        <v>2291</v>
      </c>
      <c r="C2292" s="4" t="s">
        <v>43</v>
      </c>
      <c r="D2292" s="4" t="s">
        <v>16</v>
      </c>
      <c r="E2292" s="4" t="s">
        <v>17</v>
      </c>
      <c r="F2292" s="4" t="s">
        <v>24</v>
      </c>
      <c r="G2292" s="4" t="s">
        <v>30</v>
      </c>
      <c r="H2292" s="4" t="s">
        <v>36</v>
      </c>
      <c r="I2292" s="4">
        <v>47</v>
      </c>
      <c r="J2292" s="5">
        <v>91.2</v>
      </c>
      <c r="K2292" s="6">
        <v>1.75</v>
      </c>
      <c r="L2292" s="4">
        <v>2</v>
      </c>
      <c r="M2292" s="4">
        <v>140</v>
      </c>
      <c r="N2292" s="4">
        <v>96</v>
      </c>
      <c r="O2292" s="4" t="s">
        <v>21</v>
      </c>
      <c r="P2292" s="7" t="s">
        <v>19</v>
      </c>
    </row>
    <row r="2293" spans="2:16" x14ac:dyDescent="0.45">
      <c r="B2293" s="4">
        <v>2292</v>
      </c>
      <c r="C2293" s="4" t="s">
        <v>15</v>
      </c>
      <c r="D2293" s="4" t="s">
        <v>23</v>
      </c>
      <c r="E2293" s="4" t="s">
        <v>17</v>
      </c>
      <c r="F2293" s="4" t="s">
        <v>18</v>
      </c>
      <c r="G2293" s="4" t="s">
        <v>30</v>
      </c>
      <c r="H2293" s="4" t="s">
        <v>36</v>
      </c>
      <c r="I2293" s="4">
        <v>16</v>
      </c>
      <c r="J2293" s="5">
        <v>64.7</v>
      </c>
      <c r="K2293" s="6">
        <v>1.73</v>
      </c>
      <c r="L2293" s="4">
        <v>1</v>
      </c>
      <c r="M2293" s="4">
        <v>118</v>
      </c>
      <c r="N2293" s="4">
        <v>98</v>
      </c>
      <c r="O2293" s="4" t="s">
        <v>26</v>
      </c>
      <c r="P2293" s="7" t="s">
        <v>19</v>
      </c>
    </row>
    <row r="2294" spans="2:16" x14ac:dyDescent="0.45">
      <c r="B2294" s="4">
        <v>2293</v>
      </c>
      <c r="C2294" s="4" t="s">
        <v>45</v>
      </c>
      <c r="D2294" s="4" t="s">
        <v>16</v>
      </c>
      <c r="E2294" s="4" t="s">
        <v>35</v>
      </c>
      <c r="F2294" s="4" t="s">
        <v>18</v>
      </c>
      <c r="G2294" s="4" t="s">
        <v>30</v>
      </c>
      <c r="H2294" s="4" t="s">
        <v>28</v>
      </c>
      <c r="I2294" s="4">
        <v>5</v>
      </c>
      <c r="J2294" s="5">
        <v>23.2</v>
      </c>
      <c r="K2294" s="6">
        <v>1.0900000000000001</v>
      </c>
      <c r="L2294" s="4">
        <v>2</v>
      </c>
      <c r="M2294" s="4">
        <v>94</v>
      </c>
      <c r="N2294" s="4">
        <v>89</v>
      </c>
      <c r="O2294" s="4" t="s">
        <v>26</v>
      </c>
      <c r="P2294" s="7" t="s">
        <v>19</v>
      </c>
    </row>
    <row r="2295" spans="2:16" x14ac:dyDescent="0.45">
      <c r="B2295" s="4">
        <v>2294</v>
      </c>
      <c r="C2295" s="4" t="s">
        <v>39</v>
      </c>
      <c r="D2295" s="4" t="s">
        <v>23</v>
      </c>
      <c r="E2295" s="4" t="s">
        <v>17</v>
      </c>
      <c r="F2295" s="4" t="s">
        <v>18</v>
      </c>
      <c r="G2295" s="4" t="s">
        <v>30</v>
      </c>
      <c r="H2295" s="4" t="s">
        <v>32</v>
      </c>
      <c r="I2295" s="4">
        <v>25</v>
      </c>
      <c r="J2295" s="5">
        <v>69.599999999999994</v>
      </c>
      <c r="K2295" s="6">
        <v>1.72</v>
      </c>
      <c r="L2295" s="4">
        <v>3</v>
      </c>
      <c r="M2295" s="4">
        <v>119</v>
      </c>
      <c r="N2295" s="4">
        <v>150</v>
      </c>
      <c r="O2295" s="4" t="s">
        <v>26</v>
      </c>
      <c r="P2295" s="7" t="s">
        <v>19</v>
      </c>
    </row>
    <row r="2296" spans="2:16" x14ac:dyDescent="0.45">
      <c r="B2296" s="4">
        <v>2295</v>
      </c>
      <c r="C2296" s="4" t="s">
        <v>22</v>
      </c>
      <c r="D2296" s="4" t="s">
        <v>23</v>
      </c>
      <c r="E2296" s="4" t="s">
        <v>17</v>
      </c>
      <c r="F2296" s="4" t="s">
        <v>24</v>
      </c>
      <c r="G2296" s="4" t="s">
        <v>19</v>
      </c>
      <c r="H2296" s="4" t="s">
        <v>28</v>
      </c>
      <c r="I2296" s="4">
        <v>21</v>
      </c>
      <c r="J2296" s="5">
        <v>63.5</v>
      </c>
      <c r="K2296" s="6">
        <v>1.51</v>
      </c>
      <c r="L2296" s="4">
        <v>1</v>
      </c>
      <c r="M2296" s="4">
        <v>108</v>
      </c>
      <c r="N2296" s="4">
        <v>97</v>
      </c>
      <c r="O2296" s="4" t="s">
        <v>26</v>
      </c>
      <c r="P2296" s="7" t="s">
        <v>19</v>
      </c>
    </row>
    <row r="2297" spans="2:16" x14ac:dyDescent="0.45">
      <c r="B2297" s="4">
        <v>2296</v>
      </c>
      <c r="C2297" s="4" t="s">
        <v>45</v>
      </c>
      <c r="D2297" s="4" t="s">
        <v>23</v>
      </c>
      <c r="E2297" s="4" t="s">
        <v>35</v>
      </c>
      <c r="F2297" s="4" t="s">
        <v>28</v>
      </c>
      <c r="G2297" s="4" t="s">
        <v>19</v>
      </c>
      <c r="H2297" s="4" t="s">
        <v>28</v>
      </c>
      <c r="I2297" s="4">
        <v>36</v>
      </c>
      <c r="J2297" s="5">
        <v>75.8</v>
      </c>
      <c r="K2297" s="6">
        <v>1.85</v>
      </c>
      <c r="L2297" s="4">
        <v>2</v>
      </c>
      <c r="M2297" s="4">
        <v>120</v>
      </c>
      <c r="N2297" s="4">
        <v>82</v>
      </c>
      <c r="O2297" s="4" t="s">
        <v>26</v>
      </c>
      <c r="P2297" s="7" t="s">
        <v>19</v>
      </c>
    </row>
    <row r="2298" spans="2:16" x14ac:dyDescent="0.45">
      <c r="B2298" s="4">
        <v>2297</v>
      </c>
      <c r="C2298" s="4" t="s">
        <v>15</v>
      </c>
      <c r="D2298" s="4" t="s">
        <v>23</v>
      </c>
      <c r="E2298" s="4" t="s">
        <v>17</v>
      </c>
      <c r="F2298" s="4" t="s">
        <v>28</v>
      </c>
      <c r="G2298" s="4" t="s">
        <v>19</v>
      </c>
      <c r="H2298" s="4" t="s">
        <v>28</v>
      </c>
      <c r="I2298" s="4">
        <v>83</v>
      </c>
      <c r="J2298" s="5">
        <v>67.2</v>
      </c>
      <c r="K2298" s="6">
        <v>1.75</v>
      </c>
      <c r="L2298" s="4">
        <v>1</v>
      </c>
      <c r="M2298" s="4">
        <v>146</v>
      </c>
      <c r="N2298" s="4">
        <v>93</v>
      </c>
      <c r="O2298" s="4" t="s">
        <v>21</v>
      </c>
      <c r="P2298" s="7" t="s">
        <v>30</v>
      </c>
    </row>
    <row r="2299" spans="2:16" x14ac:dyDescent="0.45">
      <c r="B2299" s="4">
        <v>2298</v>
      </c>
      <c r="C2299" s="4" t="s">
        <v>39</v>
      </c>
      <c r="D2299" s="4" t="s">
        <v>16</v>
      </c>
      <c r="E2299" s="4" t="s">
        <v>44</v>
      </c>
      <c r="F2299" s="4" t="s">
        <v>24</v>
      </c>
      <c r="G2299" s="4" t="s">
        <v>19</v>
      </c>
      <c r="H2299" s="4" t="s">
        <v>25</v>
      </c>
      <c r="I2299" s="4">
        <v>16</v>
      </c>
      <c r="J2299" s="5">
        <v>43</v>
      </c>
      <c r="K2299" s="6">
        <v>1.6</v>
      </c>
      <c r="L2299" s="4">
        <v>4</v>
      </c>
      <c r="M2299" s="4">
        <v>118</v>
      </c>
      <c r="N2299" s="4">
        <v>105</v>
      </c>
      <c r="O2299" s="4" t="s">
        <v>26</v>
      </c>
      <c r="P2299" s="7" t="s">
        <v>30</v>
      </c>
    </row>
    <row r="2300" spans="2:16" x14ac:dyDescent="0.45">
      <c r="B2300" s="4">
        <v>2299</v>
      </c>
      <c r="C2300" s="4" t="s">
        <v>29</v>
      </c>
      <c r="D2300" s="4" t="s">
        <v>23</v>
      </c>
      <c r="E2300" s="4" t="s">
        <v>17</v>
      </c>
      <c r="F2300" s="4" t="s">
        <v>42</v>
      </c>
      <c r="G2300" s="4" t="s">
        <v>19</v>
      </c>
      <c r="H2300" s="4" t="s">
        <v>34</v>
      </c>
      <c r="I2300" s="4">
        <v>4</v>
      </c>
      <c r="J2300" s="5">
        <v>8.4</v>
      </c>
      <c r="K2300" s="6">
        <v>0.61</v>
      </c>
      <c r="L2300" s="4">
        <v>3</v>
      </c>
      <c r="M2300" s="4">
        <v>110</v>
      </c>
      <c r="N2300" s="4">
        <v>82</v>
      </c>
      <c r="O2300" s="4" t="s">
        <v>21</v>
      </c>
      <c r="P2300" s="7" t="s">
        <v>19</v>
      </c>
    </row>
    <row r="2301" spans="2:16" x14ac:dyDescent="0.45">
      <c r="B2301" s="4">
        <v>2300</v>
      </c>
      <c r="C2301" s="4" t="s">
        <v>31</v>
      </c>
      <c r="D2301" s="4" t="s">
        <v>23</v>
      </c>
      <c r="E2301" s="4" t="s">
        <v>17</v>
      </c>
      <c r="F2301" s="4" t="s">
        <v>18</v>
      </c>
      <c r="G2301" s="4" t="s">
        <v>19</v>
      </c>
      <c r="H2301" s="4" t="s">
        <v>32</v>
      </c>
      <c r="I2301" s="4">
        <v>11</v>
      </c>
      <c r="J2301" s="5">
        <v>36.9</v>
      </c>
      <c r="K2301" s="6">
        <v>1.33</v>
      </c>
      <c r="L2301" s="4">
        <v>2</v>
      </c>
      <c r="M2301" s="4">
        <v>105</v>
      </c>
      <c r="N2301" s="4">
        <v>187</v>
      </c>
      <c r="O2301" s="4" t="s">
        <v>21</v>
      </c>
      <c r="P2301" s="7" t="s">
        <v>30</v>
      </c>
    </row>
    <row r="2302" spans="2:16" x14ac:dyDescent="0.45">
      <c r="B2302" s="4">
        <v>2301</v>
      </c>
      <c r="C2302" s="4" t="s">
        <v>43</v>
      </c>
      <c r="D2302" s="4" t="s">
        <v>16</v>
      </c>
      <c r="E2302" s="4" t="s">
        <v>17</v>
      </c>
      <c r="F2302" s="4" t="s">
        <v>24</v>
      </c>
      <c r="G2302" s="4" t="s">
        <v>19</v>
      </c>
      <c r="H2302" s="4" t="s">
        <v>20</v>
      </c>
      <c r="I2302" s="4">
        <v>11</v>
      </c>
      <c r="J2302" s="5">
        <v>37.799999999999997</v>
      </c>
      <c r="K2302" s="6">
        <v>1.17</v>
      </c>
      <c r="L2302" s="4">
        <v>3</v>
      </c>
      <c r="M2302" s="4">
        <v>117</v>
      </c>
      <c r="N2302" s="4">
        <v>72</v>
      </c>
      <c r="O2302" s="4" t="s">
        <v>26</v>
      </c>
      <c r="P2302" s="7" t="s">
        <v>19</v>
      </c>
    </row>
    <row r="2303" spans="2:16" x14ac:dyDescent="0.45">
      <c r="B2303" s="4">
        <v>2302</v>
      </c>
      <c r="C2303" s="4" t="s">
        <v>27</v>
      </c>
      <c r="D2303" s="4" t="s">
        <v>16</v>
      </c>
      <c r="E2303" s="4" t="s">
        <v>17</v>
      </c>
      <c r="F2303" s="4" t="s">
        <v>24</v>
      </c>
      <c r="G2303" s="4" t="s">
        <v>19</v>
      </c>
      <c r="H2303" s="4" t="s">
        <v>36</v>
      </c>
      <c r="I2303" s="4">
        <v>65</v>
      </c>
      <c r="J2303" s="5">
        <v>86</v>
      </c>
      <c r="K2303" s="6">
        <v>1.54</v>
      </c>
      <c r="L2303" s="4">
        <v>3</v>
      </c>
      <c r="M2303" s="4">
        <v>134</v>
      </c>
      <c r="N2303" s="4">
        <v>90</v>
      </c>
      <c r="O2303" s="4" t="s">
        <v>26</v>
      </c>
      <c r="P2303" s="7" t="s">
        <v>19</v>
      </c>
    </row>
    <row r="2304" spans="2:16" x14ac:dyDescent="0.45">
      <c r="B2304" s="4">
        <v>2303</v>
      </c>
      <c r="C2304" s="4" t="s">
        <v>22</v>
      </c>
      <c r="D2304" s="4" t="s">
        <v>16</v>
      </c>
      <c r="E2304" s="4" t="s">
        <v>35</v>
      </c>
      <c r="F2304" s="4" t="s">
        <v>24</v>
      </c>
      <c r="G2304" s="4" t="s">
        <v>19</v>
      </c>
      <c r="H2304" s="4" t="s">
        <v>32</v>
      </c>
      <c r="I2304" s="4">
        <v>5</v>
      </c>
      <c r="J2304" s="5">
        <v>27.6</v>
      </c>
      <c r="K2304" s="6">
        <v>1.17</v>
      </c>
      <c r="L2304" s="4">
        <v>5</v>
      </c>
      <c r="M2304" s="4">
        <v>99</v>
      </c>
      <c r="N2304" s="4">
        <v>120</v>
      </c>
      <c r="O2304" s="4" t="s">
        <v>26</v>
      </c>
      <c r="P2304" s="7" t="s">
        <v>19</v>
      </c>
    </row>
    <row r="2305" spans="2:16" x14ac:dyDescent="0.45">
      <c r="B2305" s="4">
        <v>2304</v>
      </c>
      <c r="C2305" s="4" t="s">
        <v>31</v>
      </c>
      <c r="D2305" s="4" t="s">
        <v>16</v>
      </c>
      <c r="E2305" s="4" t="s">
        <v>35</v>
      </c>
      <c r="F2305" s="4" t="s">
        <v>24</v>
      </c>
      <c r="G2305" s="4" t="s">
        <v>19</v>
      </c>
      <c r="H2305" s="4" t="s">
        <v>20</v>
      </c>
      <c r="I2305" s="4">
        <v>31</v>
      </c>
      <c r="J2305" s="5">
        <v>73.5</v>
      </c>
      <c r="K2305" s="6">
        <v>1.73</v>
      </c>
      <c r="L2305" s="4">
        <v>5</v>
      </c>
      <c r="M2305" s="4">
        <v>106</v>
      </c>
      <c r="N2305" s="4">
        <v>74</v>
      </c>
      <c r="O2305" s="4" t="s">
        <v>26</v>
      </c>
      <c r="P2305" s="7" t="s">
        <v>19</v>
      </c>
    </row>
    <row r="2306" spans="2:16" x14ac:dyDescent="0.45">
      <c r="B2306" s="4">
        <v>2305</v>
      </c>
      <c r="C2306" s="4" t="s">
        <v>39</v>
      </c>
      <c r="D2306" s="4" t="s">
        <v>16</v>
      </c>
      <c r="E2306" s="4" t="s">
        <v>35</v>
      </c>
      <c r="F2306" s="4" t="s">
        <v>28</v>
      </c>
      <c r="G2306" s="4" t="s">
        <v>19</v>
      </c>
      <c r="H2306" s="4" t="s">
        <v>36</v>
      </c>
      <c r="I2306" s="4">
        <v>24</v>
      </c>
      <c r="J2306" s="5">
        <v>63</v>
      </c>
      <c r="K2306" s="6">
        <v>1.51</v>
      </c>
      <c r="L2306" s="4">
        <v>0</v>
      </c>
      <c r="M2306" s="4">
        <v>122</v>
      </c>
      <c r="N2306" s="4">
        <v>104</v>
      </c>
      <c r="O2306" s="4" t="s">
        <v>26</v>
      </c>
      <c r="P2306" s="7" t="s">
        <v>19</v>
      </c>
    </row>
    <row r="2307" spans="2:16" x14ac:dyDescent="0.45">
      <c r="B2307" s="4">
        <v>2306</v>
      </c>
      <c r="C2307" s="4" t="s">
        <v>40</v>
      </c>
      <c r="D2307" s="4" t="s">
        <v>23</v>
      </c>
      <c r="E2307" s="4" t="s">
        <v>35</v>
      </c>
      <c r="F2307" s="4" t="s">
        <v>28</v>
      </c>
      <c r="G2307" s="4" t="s">
        <v>19</v>
      </c>
      <c r="H2307" s="4" t="s">
        <v>28</v>
      </c>
      <c r="I2307" s="4">
        <v>15</v>
      </c>
      <c r="J2307" s="5">
        <v>60.8</v>
      </c>
      <c r="K2307" s="6">
        <v>1.6</v>
      </c>
      <c r="L2307" s="4">
        <v>8</v>
      </c>
      <c r="M2307" s="4">
        <v>123</v>
      </c>
      <c r="N2307" s="4">
        <v>87</v>
      </c>
      <c r="O2307" s="4" t="s">
        <v>26</v>
      </c>
      <c r="P2307" s="7" t="s">
        <v>30</v>
      </c>
    </row>
    <row r="2308" spans="2:16" x14ac:dyDescent="0.45">
      <c r="B2308" s="4">
        <v>2307</v>
      </c>
      <c r="C2308" s="4" t="s">
        <v>45</v>
      </c>
      <c r="D2308" s="4" t="s">
        <v>23</v>
      </c>
      <c r="E2308" s="4" t="s">
        <v>17</v>
      </c>
      <c r="F2308" s="4" t="s">
        <v>28</v>
      </c>
      <c r="G2308" s="4" t="s">
        <v>19</v>
      </c>
      <c r="H2308" s="4" t="s">
        <v>20</v>
      </c>
      <c r="I2308" s="4">
        <v>8</v>
      </c>
      <c r="J2308" s="5">
        <v>32.200000000000003</v>
      </c>
      <c r="K2308" s="6">
        <v>1.33</v>
      </c>
      <c r="L2308" s="4">
        <v>5</v>
      </c>
      <c r="M2308" s="4">
        <v>116</v>
      </c>
      <c r="N2308" s="4">
        <v>82</v>
      </c>
      <c r="O2308" s="4" t="s">
        <v>26</v>
      </c>
      <c r="P2308" s="7" t="s">
        <v>19</v>
      </c>
    </row>
    <row r="2309" spans="2:16" x14ac:dyDescent="0.45">
      <c r="B2309" s="4">
        <v>2308</v>
      </c>
      <c r="C2309" s="4" t="s">
        <v>31</v>
      </c>
      <c r="D2309" s="4" t="s">
        <v>23</v>
      </c>
      <c r="E2309" s="4" t="s">
        <v>35</v>
      </c>
      <c r="F2309" s="4" t="s">
        <v>28</v>
      </c>
      <c r="G2309" s="4" t="s">
        <v>19</v>
      </c>
      <c r="H2309" s="4" t="s">
        <v>20</v>
      </c>
      <c r="I2309" s="4">
        <v>37</v>
      </c>
      <c r="J2309" s="5">
        <v>72.2</v>
      </c>
      <c r="K2309" s="6">
        <v>1.73</v>
      </c>
      <c r="L2309" s="4">
        <v>4</v>
      </c>
      <c r="M2309" s="4">
        <v>126</v>
      </c>
      <c r="N2309" s="4">
        <v>82</v>
      </c>
      <c r="O2309" s="4" t="s">
        <v>26</v>
      </c>
      <c r="P2309" s="7" t="s">
        <v>19</v>
      </c>
    </row>
    <row r="2310" spans="2:16" x14ac:dyDescent="0.45">
      <c r="B2310" s="4">
        <v>2309</v>
      </c>
      <c r="C2310" s="4" t="s">
        <v>22</v>
      </c>
      <c r="D2310" s="4" t="s">
        <v>23</v>
      </c>
      <c r="E2310" s="4" t="s">
        <v>35</v>
      </c>
      <c r="F2310" s="4" t="s">
        <v>24</v>
      </c>
      <c r="G2310" s="4" t="s">
        <v>19</v>
      </c>
      <c r="H2310" s="4" t="s">
        <v>34</v>
      </c>
      <c r="I2310" s="4">
        <v>42</v>
      </c>
      <c r="J2310" s="5">
        <v>83.9</v>
      </c>
      <c r="K2310" s="6">
        <v>1.87</v>
      </c>
      <c r="L2310" s="4">
        <v>2</v>
      </c>
      <c r="M2310" s="4">
        <v>121</v>
      </c>
      <c r="N2310" s="4">
        <v>105</v>
      </c>
      <c r="O2310" s="4" t="s">
        <v>21</v>
      </c>
      <c r="P2310" s="7" t="s">
        <v>30</v>
      </c>
    </row>
    <row r="2311" spans="2:16" x14ac:dyDescent="0.45">
      <c r="B2311" s="4">
        <v>2310</v>
      </c>
      <c r="C2311" s="4" t="s">
        <v>27</v>
      </c>
      <c r="D2311" s="4" t="s">
        <v>23</v>
      </c>
      <c r="E2311" s="4" t="s">
        <v>17</v>
      </c>
      <c r="F2311" s="4" t="s">
        <v>28</v>
      </c>
      <c r="G2311" s="4" t="s">
        <v>19</v>
      </c>
      <c r="H2311" s="4" t="s">
        <v>28</v>
      </c>
      <c r="I2311" s="4">
        <v>12</v>
      </c>
      <c r="J2311" s="5">
        <v>60.1</v>
      </c>
      <c r="K2311" s="6">
        <v>1.7</v>
      </c>
      <c r="L2311" s="4">
        <v>2</v>
      </c>
      <c r="M2311" s="4">
        <v>101</v>
      </c>
      <c r="N2311" s="4">
        <v>98</v>
      </c>
      <c r="O2311" s="4" t="s">
        <v>26</v>
      </c>
      <c r="P2311" s="7" t="s">
        <v>19</v>
      </c>
    </row>
    <row r="2312" spans="2:16" x14ac:dyDescent="0.45">
      <c r="B2312" s="4">
        <v>2311</v>
      </c>
      <c r="C2312" s="4" t="s">
        <v>43</v>
      </c>
      <c r="D2312" s="4" t="s">
        <v>23</v>
      </c>
      <c r="E2312" s="4" t="s">
        <v>35</v>
      </c>
      <c r="F2312" s="4" t="s">
        <v>28</v>
      </c>
      <c r="G2312" s="4" t="s">
        <v>30</v>
      </c>
      <c r="H2312" s="4" t="s">
        <v>28</v>
      </c>
      <c r="I2312" s="4">
        <v>51</v>
      </c>
      <c r="J2312" s="5">
        <v>91.9</v>
      </c>
      <c r="K2312" s="6">
        <v>1.56</v>
      </c>
      <c r="L2312" s="4">
        <v>1</v>
      </c>
      <c r="M2312" s="4">
        <v>126</v>
      </c>
      <c r="N2312" s="4">
        <v>77</v>
      </c>
      <c r="O2312" s="4" t="s">
        <v>26</v>
      </c>
      <c r="P2312" s="7" t="s">
        <v>19</v>
      </c>
    </row>
    <row r="2313" spans="2:16" x14ac:dyDescent="0.45">
      <c r="B2313" s="4">
        <v>2312</v>
      </c>
      <c r="C2313" s="4" t="s">
        <v>22</v>
      </c>
      <c r="D2313" s="4" t="s">
        <v>23</v>
      </c>
      <c r="E2313" s="4" t="s">
        <v>17</v>
      </c>
      <c r="F2313" s="4" t="s">
        <v>18</v>
      </c>
      <c r="G2313" s="4" t="s">
        <v>19</v>
      </c>
      <c r="H2313" s="4" t="s">
        <v>28</v>
      </c>
      <c r="I2313" s="4">
        <v>17</v>
      </c>
      <c r="J2313" s="5">
        <v>61.9</v>
      </c>
      <c r="K2313" s="6">
        <v>1.64</v>
      </c>
      <c r="L2313" s="4">
        <v>6</v>
      </c>
      <c r="M2313" s="4">
        <v>103</v>
      </c>
      <c r="N2313" s="4">
        <v>81</v>
      </c>
      <c r="O2313" s="4" t="s">
        <v>21</v>
      </c>
      <c r="P2313" s="7" t="s">
        <v>19</v>
      </c>
    </row>
    <row r="2314" spans="2:16" x14ac:dyDescent="0.45">
      <c r="B2314" s="4">
        <v>2313</v>
      </c>
      <c r="C2314" s="4" t="s">
        <v>27</v>
      </c>
      <c r="D2314" s="4" t="s">
        <v>16</v>
      </c>
      <c r="E2314" s="4" t="s">
        <v>17</v>
      </c>
      <c r="F2314" s="4" t="s">
        <v>24</v>
      </c>
      <c r="G2314" s="4" t="s">
        <v>19</v>
      </c>
      <c r="H2314" s="4" t="s">
        <v>25</v>
      </c>
      <c r="I2314" s="4">
        <v>25</v>
      </c>
      <c r="J2314" s="5">
        <v>57.5</v>
      </c>
      <c r="K2314" s="6">
        <v>1.86</v>
      </c>
      <c r="L2314" s="4">
        <v>1</v>
      </c>
      <c r="M2314" s="4">
        <v>122</v>
      </c>
      <c r="N2314" s="4">
        <v>94</v>
      </c>
      <c r="O2314" s="4" t="s">
        <v>21</v>
      </c>
      <c r="P2314" s="7" t="s">
        <v>19</v>
      </c>
    </row>
    <row r="2315" spans="2:16" x14ac:dyDescent="0.45">
      <c r="B2315" s="4">
        <v>2314</v>
      </c>
      <c r="C2315" s="4" t="s">
        <v>41</v>
      </c>
      <c r="D2315" s="4" t="s">
        <v>16</v>
      </c>
      <c r="E2315" s="4" t="s">
        <v>17</v>
      </c>
      <c r="F2315" s="4" t="s">
        <v>18</v>
      </c>
      <c r="G2315" s="4" t="s">
        <v>19</v>
      </c>
      <c r="H2315" s="4" t="s">
        <v>20</v>
      </c>
      <c r="I2315" s="4">
        <v>82</v>
      </c>
      <c r="J2315" s="5">
        <v>84.2</v>
      </c>
      <c r="K2315" s="6">
        <v>1.61</v>
      </c>
      <c r="L2315" s="4">
        <v>2</v>
      </c>
      <c r="M2315" s="4">
        <v>135</v>
      </c>
      <c r="N2315" s="4">
        <v>78</v>
      </c>
      <c r="O2315" s="4" t="s">
        <v>21</v>
      </c>
      <c r="P2315" s="7" t="s">
        <v>30</v>
      </c>
    </row>
    <row r="2316" spans="2:16" x14ac:dyDescent="0.45">
      <c r="B2316" s="4">
        <v>2315</v>
      </c>
      <c r="C2316" s="4" t="s">
        <v>39</v>
      </c>
      <c r="D2316" s="4" t="s">
        <v>16</v>
      </c>
      <c r="E2316" s="4" t="s">
        <v>35</v>
      </c>
      <c r="F2316" s="4" t="s">
        <v>24</v>
      </c>
      <c r="G2316" s="4" t="s">
        <v>19</v>
      </c>
      <c r="H2316" s="4" t="s">
        <v>28</v>
      </c>
      <c r="I2316" s="4">
        <v>3</v>
      </c>
      <c r="J2316" s="5">
        <v>16.7</v>
      </c>
      <c r="K2316" s="6">
        <v>0.92</v>
      </c>
      <c r="L2316" s="4">
        <v>3</v>
      </c>
      <c r="M2316" s="4">
        <v>92</v>
      </c>
      <c r="N2316" s="4">
        <v>101</v>
      </c>
      <c r="O2316" s="4" t="s">
        <v>21</v>
      </c>
      <c r="P2316" s="7" t="s">
        <v>19</v>
      </c>
    </row>
    <row r="2317" spans="2:16" x14ac:dyDescent="0.45">
      <c r="B2317" s="4">
        <v>2316</v>
      </c>
      <c r="C2317" s="4" t="s">
        <v>39</v>
      </c>
      <c r="D2317" s="4" t="s">
        <v>23</v>
      </c>
      <c r="E2317" s="4" t="s">
        <v>17</v>
      </c>
      <c r="F2317" s="4" t="s">
        <v>42</v>
      </c>
      <c r="G2317" s="4" t="s">
        <v>19</v>
      </c>
      <c r="H2317" s="4" t="s">
        <v>34</v>
      </c>
      <c r="I2317" s="4">
        <v>1</v>
      </c>
      <c r="J2317" s="5">
        <v>16.399999999999999</v>
      </c>
      <c r="K2317" s="6">
        <v>0.81</v>
      </c>
      <c r="L2317" s="4">
        <v>5</v>
      </c>
      <c r="M2317" s="4">
        <v>97</v>
      </c>
      <c r="N2317" s="4">
        <v>73</v>
      </c>
      <c r="O2317" s="4" t="s">
        <v>21</v>
      </c>
      <c r="P2317" s="7" t="s">
        <v>30</v>
      </c>
    </row>
    <row r="2318" spans="2:16" x14ac:dyDescent="0.45">
      <c r="B2318" s="4">
        <v>2317</v>
      </c>
      <c r="C2318" s="4" t="s">
        <v>22</v>
      </c>
      <c r="D2318" s="4" t="s">
        <v>23</v>
      </c>
      <c r="E2318" s="4" t="s">
        <v>17</v>
      </c>
      <c r="F2318" s="4" t="s">
        <v>18</v>
      </c>
      <c r="G2318" s="4" t="s">
        <v>30</v>
      </c>
      <c r="H2318" s="4" t="s">
        <v>32</v>
      </c>
      <c r="I2318" s="4">
        <v>20</v>
      </c>
      <c r="J2318" s="5">
        <v>64.400000000000006</v>
      </c>
      <c r="K2318" s="6">
        <v>1.89</v>
      </c>
      <c r="L2318" s="4">
        <v>2</v>
      </c>
      <c r="M2318" s="4">
        <v>107</v>
      </c>
      <c r="N2318" s="4">
        <v>162</v>
      </c>
      <c r="O2318" s="4" t="s">
        <v>26</v>
      </c>
      <c r="P2318" s="7" t="s">
        <v>19</v>
      </c>
    </row>
    <row r="2319" spans="2:16" x14ac:dyDescent="0.45">
      <c r="B2319" s="4">
        <v>2318</v>
      </c>
      <c r="C2319" s="4" t="s">
        <v>22</v>
      </c>
      <c r="D2319" s="4" t="s">
        <v>23</v>
      </c>
      <c r="E2319" s="4" t="s">
        <v>37</v>
      </c>
      <c r="F2319" s="4" t="s">
        <v>24</v>
      </c>
      <c r="G2319" s="4" t="s">
        <v>30</v>
      </c>
      <c r="H2319" s="4" t="s">
        <v>36</v>
      </c>
      <c r="I2319" s="4">
        <v>3</v>
      </c>
      <c r="J2319" s="5">
        <v>17.5</v>
      </c>
      <c r="K2319" s="6">
        <v>0.82</v>
      </c>
      <c r="L2319" s="4">
        <v>1</v>
      </c>
      <c r="M2319" s="4">
        <v>122</v>
      </c>
      <c r="N2319" s="4">
        <v>73</v>
      </c>
      <c r="O2319" s="4" t="s">
        <v>21</v>
      </c>
      <c r="P2319" s="7" t="s">
        <v>19</v>
      </c>
    </row>
    <row r="2320" spans="2:16" x14ac:dyDescent="0.45">
      <c r="B2320" s="4">
        <v>2319</v>
      </c>
      <c r="C2320" s="4" t="s">
        <v>40</v>
      </c>
      <c r="D2320" s="4" t="s">
        <v>23</v>
      </c>
      <c r="E2320" s="4" t="s">
        <v>35</v>
      </c>
      <c r="F2320" s="4" t="s">
        <v>24</v>
      </c>
      <c r="G2320" s="4" t="s">
        <v>19</v>
      </c>
      <c r="H2320" s="4" t="s">
        <v>20</v>
      </c>
      <c r="I2320" s="4">
        <v>28</v>
      </c>
      <c r="J2320" s="5">
        <v>83.2</v>
      </c>
      <c r="K2320" s="6">
        <v>1.51</v>
      </c>
      <c r="L2320" s="4">
        <v>2</v>
      </c>
      <c r="M2320" s="4">
        <v>106</v>
      </c>
      <c r="N2320" s="4">
        <v>74</v>
      </c>
      <c r="O2320" s="4" t="s">
        <v>26</v>
      </c>
      <c r="P2320" s="7" t="s">
        <v>19</v>
      </c>
    </row>
    <row r="2321" spans="2:16" x14ac:dyDescent="0.45">
      <c r="B2321" s="4">
        <v>2320</v>
      </c>
      <c r="C2321" s="4" t="s">
        <v>31</v>
      </c>
      <c r="D2321" s="4" t="s">
        <v>23</v>
      </c>
      <c r="E2321" s="4" t="s">
        <v>17</v>
      </c>
      <c r="F2321" s="4" t="s">
        <v>18</v>
      </c>
      <c r="G2321" s="4" t="s">
        <v>19</v>
      </c>
      <c r="H2321" s="4" t="s">
        <v>20</v>
      </c>
      <c r="I2321" s="4">
        <v>0</v>
      </c>
      <c r="J2321" s="5">
        <v>10.9</v>
      </c>
      <c r="K2321" s="6">
        <v>0.74</v>
      </c>
      <c r="L2321" s="4">
        <v>4</v>
      </c>
      <c r="M2321" s="4">
        <v>105</v>
      </c>
      <c r="N2321" s="4">
        <v>91</v>
      </c>
      <c r="O2321" s="4" t="s">
        <v>21</v>
      </c>
      <c r="P2321" s="7" t="s">
        <v>30</v>
      </c>
    </row>
    <row r="2322" spans="2:16" x14ac:dyDescent="0.45">
      <c r="B2322" s="4">
        <v>2321</v>
      </c>
      <c r="C2322" s="4" t="s">
        <v>41</v>
      </c>
      <c r="D2322" s="4" t="s">
        <v>16</v>
      </c>
      <c r="E2322" s="4" t="s">
        <v>35</v>
      </c>
      <c r="F2322" s="4" t="s">
        <v>28</v>
      </c>
      <c r="G2322" s="4" t="s">
        <v>19</v>
      </c>
      <c r="H2322" s="4" t="s">
        <v>36</v>
      </c>
      <c r="I2322" s="4">
        <v>24</v>
      </c>
      <c r="J2322" s="5">
        <v>92.8</v>
      </c>
      <c r="K2322" s="6">
        <v>1.49</v>
      </c>
      <c r="L2322" s="4">
        <v>1</v>
      </c>
      <c r="M2322" s="4">
        <v>120</v>
      </c>
      <c r="N2322" s="4">
        <v>81</v>
      </c>
      <c r="O2322" s="4" t="s">
        <v>26</v>
      </c>
      <c r="P2322" s="7" t="s">
        <v>19</v>
      </c>
    </row>
    <row r="2323" spans="2:16" x14ac:dyDescent="0.45">
      <c r="B2323" s="4">
        <v>2322</v>
      </c>
      <c r="C2323" s="4" t="s">
        <v>31</v>
      </c>
      <c r="D2323" s="4" t="s">
        <v>23</v>
      </c>
      <c r="E2323" s="4" t="s">
        <v>17</v>
      </c>
      <c r="F2323" s="4" t="s">
        <v>18</v>
      </c>
      <c r="G2323" s="4" t="s">
        <v>19</v>
      </c>
      <c r="H2323" s="4" t="s">
        <v>28</v>
      </c>
      <c r="I2323" s="4">
        <v>0</v>
      </c>
      <c r="J2323" s="5">
        <v>6.2</v>
      </c>
      <c r="K2323" s="6">
        <v>0.8</v>
      </c>
      <c r="L2323" s="4">
        <v>5</v>
      </c>
      <c r="M2323" s="4">
        <v>103</v>
      </c>
      <c r="N2323" s="4">
        <v>84</v>
      </c>
      <c r="O2323" s="4" t="s">
        <v>26</v>
      </c>
      <c r="P2323" s="7" t="s">
        <v>19</v>
      </c>
    </row>
    <row r="2324" spans="2:16" x14ac:dyDescent="0.45">
      <c r="B2324" s="4">
        <v>2323</v>
      </c>
      <c r="C2324" s="4" t="s">
        <v>27</v>
      </c>
      <c r="D2324" s="4" t="s">
        <v>16</v>
      </c>
      <c r="E2324" s="4" t="s">
        <v>44</v>
      </c>
      <c r="F2324" s="4" t="s">
        <v>24</v>
      </c>
      <c r="G2324" s="4" t="s">
        <v>19</v>
      </c>
      <c r="H2324" s="4" t="s">
        <v>25</v>
      </c>
      <c r="I2324" s="4">
        <v>18</v>
      </c>
      <c r="J2324" s="5">
        <v>75.099999999999994</v>
      </c>
      <c r="K2324" s="6">
        <v>1.78</v>
      </c>
      <c r="L2324" s="4">
        <v>0</v>
      </c>
      <c r="M2324" s="4">
        <v>96</v>
      </c>
      <c r="N2324" s="4">
        <v>73</v>
      </c>
      <c r="O2324" s="4" t="s">
        <v>26</v>
      </c>
      <c r="P2324" s="7" t="s">
        <v>19</v>
      </c>
    </row>
    <row r="2325" spans="2:16" x14ac:dyDescent="0.45">
      <c r="B2325" s="4">
        <v>2324</v>
      </c>
      <c r="C2325" s="4" t="s">
        <v>31</v>
      </c>
      <c r="D2325" s="4" t="s">
        <v>23</v>
      </c>
      <c r="E2325" s="4" t="s">
        <v>35</v>
      </c>
      <c r="F2325" s="4" t="s">
        <v>24</v>
      </c>
      <c r="G2325" s="4" t="s">
        <v>19</v>
      </c>
      <c r="H2325" s="4" t="s">
        <v>46</v>
      </c>
      <c r="I2325" s="4">
        <v>30</v>
      </c>
      <c r="J2325" s="5">
        <v>78.5</v>
      </c>
      <c r="K2325" s="6">
        <v>1.51</v>
      </c>
      <c r="L2325" s="4">
        <v>0</v>
      </c>
      <c r="M2325" s="4">
        <v>112</v>
      </c>
      <c r="N2325" s="4">
        <v>83</v>
      </c>
      <c r="O2325" s="4" t="s">
        <v>21</v>
      </c>
      <c r="P2325" s="7" t="s">
        <v>30</v>
      </c>
    </row>
    <row r="2326" spans="2:16" x14ac:dyDescent="0.45">
      <c r="B2326" s="4">
        <v>2325</v>
      </c>
      <c r="C2326" s="4" t="s">
        <v>29</v>
      </c>
      <c r="D2326" s="4" t="s">
        <v>23</v>
      </c>
      <c r="E2326" s="4" t="s">
        <v>17</v>
      </c>
      <c r="F2326" s="4" t="s">
        <v>28</v>
      </c>
      <c r="G2326" s="4" t="s">
        <v>19</v>
      </c>
      <c r="H2326" s="4" t="s">
        <v>28</v>
      </c>
      <c r="I2326" s="4">
        <v>45</v>
      </c>
      <c r="J2326" s="5">
        <v>50.8</v>
      </c>
      <c r="K2326" s="6">
        <v>1.51</v>
      </c>
      <c r="L2326" s="4">
        <v>4</v>
      </c>
      <c r="M2326" s="4">
        <v>127</v>
      </c>
      <c r="N2326" s="4">
        <v>74</v>
      </c>
      <c r="O2326" s="4" t="s">
        <v>21</v>
      </c>
      <c r="P2326" s="7" t="s">
        <v>30</v>
      </c>
    </row>
    <row r="2327" spans="2:16" x14ac:dyDescent="0.45">
      <c r="B2327" s="4">
        <v>2326</v>
      </c>
      <c r="C2327" s="4" t="s">
        <v>31</v>
      </c>
      <c r="D2327" s="4" t="s">
        <v>23</v>
      </c>
      <c r="E2327" s="4" t="s">
        <v>35</v>
      </c>
      <c r="F2327" s="4" t="s">
        <v>24</v>
      </c>
      <c r="G2327" s="4" t="s">
        <v>30</v>
      </c>
      <c r="H2327" s="4" t="s">
        <v>20</v>
      </c>
      <c r="I2327" s="4">
        <v>1</v>
      </c>
      <c r="J2327" s="5">
        <v>12</v>
      </c>
      <c r="K2327" s="6">
        <v>0.87</v>
      </c>
      <c r="L2327" s="4">
        <v>0</v>
      </c>
      <c r="M2327" s="4">
        <v>109</v>
      </c>
      <c r="N2327" s="4">
        <v>75</v>
      </c>
      <c r="O2327" s="4" t="s">
        <v>21</v>
      </c>
      <c r="P2327" s="7" t="s">
        <v>19</v>
      </c>
    </row>
    <row r="2328" spans="2:16" x14ac:dyDescent="0.45">
      <c r="B2328" s="4">
        <v>2327</v>
      </c>
      <c r="C2328" s="4" t="s">
        <v>39</v>
      </c>
      <c r="D2328" s="4" t="s">
        <v>16</v>
      </c>
      <c r="E2328" s="4" t="s">
        <v>35</v>
      </c>
      <c r="F2328" s="4" t="s">
        <v>24</v>
      </c>
      <c r="G2328" s="4" t="s">
        <v>30</v>
      </c>
      <c r="H2328" s="4" t="s">
        <v>36</v>
      </c>
      <c r="I2328" s="4">
        <v>20</v>
      </c>
      <c r="J2328" s="5">
        <v>92.9</v>
      </c>
      <c r="K2328" s="6">
        <v>1.86</v>
      </c>
      <c r="L2328" s="4">
        <v>9</v>
      </c>
      <c r="M2328" s="4">
        <v>139</v>
      </c>
      <c r="N2328" s="4">
        <v>72</v>
      </c>
      <c r="O2328" s="4" t="s">
        <v>26</v>
      </c>
      <c r="P2328" s="7" t="s">
        <v>19</v>
      </c>
    </row>
    <row r="2329" spans="2:16" x14ac:dyDescent="0.45">
      <c r="B2329" s="4">
        <v>2328</v>
      </c>
      <c r="C2329" s="4" t="s">
        <v>43</v>
      </c>
      <c r="D2329" s="4" t="s">
        <v>23</v>
      </c>
      <c r="E2329" s="4" t="s">
        <v>35</v>
      </c>
      <c r="F2329" s="4" t="s">
        <v>18</v>
      </c>
      <c r="G2329" s="4" t="s">
        <v>19</v>
      </c>
      <c r="H2329" s="4" t="s">
        <v>34</v>
      </c>
      <c r="I2329" s="4">
        <v>13</v>
      </c>
      <c r="J2329" s="5">
        <v>43.8</v>
      </c>
      <c r="K2329" s="6">
        <v>1.64</v>
      </c>
      <c r="L2329" s="4">
        <v>0</v>
      </c>
      <c r="M2329" s="4">
        <v>111</v>
      </c>
      <c r="N2329" s="4">
        <v>83</v>
      </c>
      <c r="O2329" s="4" t="s">
        <v>26</v>
      </c>
      <c r="P2329" s="7" t="s">
        <v>19</v>
      </c>
    </row>
    <row r="2330" spans="2:16" x14ac:dyDescent="0.45">
      <c r="B2330" s="4">
        <v>2329</v>
      </c>
      <c r="C2330" s="4" t="s">
        <v>45</v>
      </c>
      <c r="D2330" s="4" t="s">
        <v>23</v>
      </c>
      <c r="E2330" s="4" t="s">
        <v>35</v>
      </c>
      <c r="F2330" s="4" t="s">
        <v>24</v>
      </c>
      <c r="G2330" s="4" t="s">
        <v>19</v>
      </c>
      <c r="H2330" s="4" t="s">
        <v>34</v>
      </c>
      <c r="I2330" s="4">
        <v>10</v>
      </c>
      <c r="J2330" s="5">
        <v>36</v>
      </c>
      <c r="K2330" s="6">
        <v>1.34</v>
      </c>
      <c r="L2330" s="4">
        <v>4</v>
      </c>
      <c r="M2330" s="4">
        <v>109</v>
      </c>
      <c r="N2330" s="4">
        <v>80</v>
      </c>
      <c r="O2330" s="4" t="s">
        <v>26</v>
      </c>
      <c r="P2330" s="7" t="s">
        <v>19</v>
      </c>
    </row>
    <row r="2331" spans="2:16" x14ac:dyDescent="0.45">
      <c r="B2331" s="4">
        <v>2330</v>
      </c>
      <c r="C2331" s="4" t="s">
        <v>15</v>
      </c>
      <c r="D2331" s="4" t="s">
        <v>23</v>
      </c>
      <c r="E2331" s="4" t="s">
        <v>37</v>
      </c>
      <c r="F2331" s="4" t="s">
        <v>24</v>
      </c>
      <c r="G2331" s="4" t="s">
        <v>19</v>
      </c>
      <c r="H2331" s="4" t="s">
        <v>38</v>
      </c>
      <c r="I2331" s="4">
        <v>2</v>
      </c>
      <c r="J2331" s="5">
        <v>14.6</v>
      </c>
      <c r="K2331" s="6">
        <v>0.96</v>
      </c>
      <c r="L2331" s="4">
        <v>1</v>
      </c>
      <c r="M2331" s="4">
        <v>94</v>
      </c>
      <c r="N2331" s="4">
        <v>100</v>
      </c>
      <c r="O2331" s="4" t="s">
        <v>26</v>
      </c>
      <c r="P2331" s="7" t="s">
        <v>19</v>
      </c>
    </row>
    <row r="2332" spans="2:16" x14ac:dyDescent="0.45">
      <c r="B2332" s="4">
        <v>2331</v>
      </c>
      <c r="C2332" s="4" t="s">
        <v>31</v>
      </c>
      <c r="D2332" s="4" t="s">
        <v>23</v>
      </c>
      <c r="E2332" s="4" t="s">
        <v>17</v>
      </c>
      <c r="F2332" s="4" t="s">
        <v>18</v>
      </c>
      <c r="G2332" s="4" t="s">
        <v>19</v>
      </c>
      <c r="H2332" s="4" t="s">
        <v>20</v>
      </c>
      <c r="I2332" s="4">
        <v>7</v>
      </c>
      <c r="J2332" s="5">
        <v>20.8</v>
      </c>
      <c r="K2332" s="6">
        <v>1.21</v>
      </c>
      <c r="L2332" s="4">
        <v>2</v>
      </c>
      <c r="M2332" s="4">
        <v>106</v>
      </c>
      <c r="N2332" s="4">
        <v>96</v>
      </c>
      <c r="O2332" s="4" t="s">
        <v>21</v>
      </c>
      <c r="P2332" s="7" t="s">
        <v>30</v>
      </c>
    </row>
    <row r="2333" spans="2:16" x14ac:dyDescent="0.45">
      <c r="B2333" s="4">
        <v>2332</v>
      </c>
      <c r="C2333" s="4" t="s">
        <v>41</v>
      </c>
      <c r="D2333" s="4" t="s">
        <v>16</v>
      </c>
      <c r="E2333" s="4" t="s">
        <v>17</v>
      </c>
      <c r="F2333" s="4" t="s">
        <v>28</v>
      </c>
      <c r="G2333" s="4" t="s">
        <v>19</v>
      </c>
      <c r="H2333" s="4" t="s">
        <v>20</v>
      </c>
      <c r="I2333" s="4">
        <v>42</v>
      </c>
      <c r="J2333" s="5">
        <v>55.1</v>
      </c>
      <c r="K2333" s="6">
        <v>1.86</v>
      </c>
      <c r="L2333" s="4">
        <v>0</v>
      </c>
      <c r="M2333" s="4">
        <v>131</v>
      </c>
      <c r="N2333" s="4">
        <v>86</v>
      </c>
      <c r="O2333" s="4" t="s">
        <v>26</v>
      </c>
      <c r="P2333" s="7" t="s">
        <v>30</v>
      </c>
    </row>
    <row r="2334" spans="2:16" x14ac:dyDescent="0.45">
      <c r="B2334" s="4">
        <v>2333</v>
      </c>
      <c r="C2334" s="4" t="s">
        <v>22</v>
      </c>
      <c r="D2334" s="4" t="s">
        <v>16</v>
      </c>
      <c r="E2334" s="4" t="s">
        <v>35</v>
      </c>
      <c r="F2334" s="4" t="s">
        <v>18</v>
      </c>
      <c r="G2334" s="4" t="s">
        <v>19</v>
      </c>
      <c r="H2334" s="4" t="s">
        <v>20</v>
      </c>
      <c r="I2334" s="4">
        <v>11</v>
      </c>
      <c r="J2334" s="5">
        <v>19.399999999999999</v>
      </c>
      <c r="K2334" s="6">
        <v>1.3</v>
      </c>
      <c r="L2334" s="4">
        <v>2</v>
      </c>
      <c r="M2334" s="4">
        <v>99</v>
      </c>
      <c r="N2334" s="4">
        <v>74</v>
      </c>
      <c r="O2334" s="4" t="s">
        <v>21</v>
      </c>
      <c r="P2334" s="7" t="s">
        <v>19</v>
      </c>
    </row>
    <row r="2335" spans="2:16" x14ac:dyDescent="0.45">
      <c r="B2335" s="4">
        <v>2334</v>
      </c>
      <c r="C2335" s="4" t="s">
        <v>27</v>
      </c>
      <c r="D2335" s="4" t="s">
        <v>23</v>
      </c>
      <c r="E2335" s="4" t="s">
        <v>17</v>
      </c>
      <c r="F2335" s="4" t="s">
        <v>28</v>
      </c>
      <c r="G2335" s="4" t="s">
        <v>19</v>
      </c>
      <c r="H2335" s="4" t="s">
        <v>25</v>
      </c>
      <c r="I2335" s="4">
        <v>2</v>
      </c>
      <c r="J2335" s="5">
        <v>11.6</v>
      </c>
      <c r="K2335" s="6">
        <v>0.83</v>
      </c>
      <c r="L2335" s="4">
        <v>1</v>
      </c>
      <c r="M2335" s="4">
        <v>115</v>
      </c>
      <c r="N2335" s="4">
        <v>75</v>
      </c>
      <c r="O2335" s="4" t="s">
        <v>26</v>
      </c>
      <c r="P2335" s="7" t="s">
        <v>19</v>
      </c>
    </row>
    <row r="2336" spans="2:16" x14ac:dyDescent="0.45">
      <c r="B2336" s="4">
        <v>2335</v>
      </c>
      <c r="C2336" s="4" t="s">
        <v>15</v>
      </c>
      <c r="D2336" s="4" t="s">
        <v>23</v>
      </c>
      <c r="E2336" s="4" t="s">
        <v>17</v>
      </c>
      <c r="F2336" s="4" t="s">
        <v>28</v>
      </c>
      <c r="G2336" s="4" t="s">
        <v>19</v>
      </c>
      <c r="H2336" s="4" t="s">
        <v>28</v>
      </c>
      <c r="I2336" s="4">
        <v>6</v>
      </c>
      <c r="J2336" s="5">
        <v>18</v>
      </c>
      <c r="K2336" s="6">
        <v>1.19</v>
      </c>
      <c r="L2336" s="4">
        <v>4</v>
      </c>
      <c r="M2336" s="4">
        <v>102</v>
      </c>
      <c r="N2336" s="4">
        <v>75</v>
      </c>
      <c r="O2336" s="4" t="s">
        <v>21</v>
      </c>
      <c r="P2336" s="7" t="s">
        <v>19</v>
      </c>
    </row>
    <row r="2337" spans="2:16" x14ac:dyDescent="0.45">
      <c r="B2337" s="4">
        <v>2336</v>
      </c>
      <c r="C2337" s="4" t="s">
        <v>15</v>
      </c>
      <c r="D2337" s="4" t="s">
        <v>16</v>
      </c>
      <c r="E2337" s="4" t="s">
        <v>17</v>
      </c>
      <c r="F2337" s="4" t="s">
        <v>18</v>
      </c>
      <c r="G2337" s="4" t="s">
        <v>19</v>
      </c>
      <c r="H2337" s="4" t="s">
        <v>36</v>
      </c>
      <c r="I2337" s="4">
        <v>18</v>
      </c>
      <c r="J2337" s="5">
        <v>93.5</v>
      </c>
      <c r="K2337" s="6">
        <v>1.62</v>
      </c>
      <c r="L2337" s="4">
        <v>2</v>
      </c>
      <c r="M2337" s="4">
        <v>124</v>
      </c>
      <c r="N2337" s="4">
        <v>96</v>
      </c>
      <c r="O2337" s="4" t="s">
        <v>26</v>
      </c>
      <c r="P2337" s="7" t="s">
        <v>19</v>
      </c>
    </row>
    <row r="2338" spans="2:16" x14ac:dyDescent="0.45">
      <c r="B2338" s="4">
        <v>2337</v>
      </c>
      <c r="C2338" s="4" t="s">
        <v>41</v>
      </c>
      <c r="D2338" s="4" t="s">
        <v>23</v>
      </c>
      <c r="E2338" s="4" t="s">
        <v>35</v>
      </c>
      <c r="F2338" s="4" t="s">
        <v>24</v>
      </c>
      <c r="G2338" s="4" t="s">
        <v>19</v>
      </c>
      <c r="H2338" s="4" t="s">
        <v>38</v>
      </c>
      <c r="I2338" s="4">
        <v>26</v>
      </c>
      <c r="J2338" s="5">
        <v>91.5</v>
      </c>
      <c r="K2338" s="6">
        <v>1.56</v>
      </c>
      <c r="L2338" s="4">
        <v>10</v>
      </c>
      <c r="M2338" s="4">
        <v>115</v>
      </c>
      <c r="N2338" s="4">
        <v>102</v>
      </c>
      <c r="O2338" s="4" t="s">
        <v>26</v>
      </c>
      <c r="P2338" s="7" t="s">
        <v>19</v>
      </c>
    </row>
    <row r="2339" spans="2:16" x14ac:dyDescent="0.45">
      <c r="B2339" s="4">
        <v>2338</v>
      </c>
      <c r="C2339" s="4" t="s">
        <v>39</v>
      </c>
      <c r="D2339" s="4" t="s">
        <v>23</v>
      </c>
      <c r="E2339" s="4" t="s">
        <v>17</v>
      </c>
      <c r="F2339" s="4" t="s">
        <v>24</v>
      </c>
      <c r="G2339" s="4" t="s">
        <v>19</v>
      </c>
      <c r="H2339" s="4" t="s">
        <v>32</v>
      </c>
      <c r="I2339" s="4">
        <v>18</v>
      </c>
      <c r="J2339" s="5">
        <v>61.4</v>
      </c>
      <c r="K2339" s="6">
        <v>1.54</v>
      </c>
      <c r="L2339" s="4">
        <v>4</v>
      </c>
      <c r="M2339" s="4">
        <v>96</v>
      </c>
      <c r="N2339" s="4">
        <v>132</v>
      </c>
      <c r="O2339" s="4" t="s">
        <v>26</v>
      </c>
      <c r="P2339" s="7" t="s">
        <v>19</v>
      </c>
    </row>
    <row r="2340" spans="2:16" x14ac:dyDescent="0.45">
      <c r="B2340" s="4">
        <v>2339</v>
      </c>
      <c r="C2340" s="4" t="s">
        <v>31</v>
      </c>
      <c r="D2340" s="4" t="s">
        <v>16</v>
      </c>
      <c r="E2340" s="4" t="s">
        <v>35</v>
      </c>
      <c r="F2340" s="4" t="s">
        <v>18</v>
      </c>
      <c r="G2340" s="4" t="s">
        <v>19</v>
      </c>
      <c r="H2340" s="4" t="s">
        <v>20</v>
      </c>
      <c r="I2340" s="4">
        <v>13</v>
      </c>
      <c r="J2340" s="5">
        <v>41</v>
      </c>
      <c r="K2340" s="6">
        <v>1.59</v>
      </c>
      <c r="L2340" s="4">
        <v>7</v>
      </c>
      <c r="M2340" s="4">
        <v>106</v>
      </c>
      <c r="N2340" s="4">
        <v>100</v>
      </c>
      <c r="O2340" s="4" t="s">
        <v>26</v>
      </c>
      <c r="P2340" s="7" t="s">
        <v>19</v>
      </c>
    </row>
    <row r="2341" spans="2:16" x14ac:dyDescent="0.45">
      <c r="B2341" s="4">
        <v>2340</v>
      </c>
      <c r="C2341" s="4" t="s">
        <v>39</v>
      </c>
      <c r="D2341" s="4" t="s">
        <v>16</v>
      </c>
      <c r="E2341" s="4" t="s">
        <v>17</v>
      </c>
      <c r="F2341" s="4" t="s">
        <v>24</v>
      </c>
      <c r="G2341" s="4" t="s">
        <v>19</v>
      </c>
      <c r="H2341" s="4" t="s">
        <v>25</v>
      </c>
      <c r="I2341" s="4">
        <v>11</v>
      </c>
      <c r="J2341" s="5">
        <v>26.3</v>
      </c>
      <c r="K2341" s="6">
        <v>1.32</v>
      </c>
      <c r="L2341" s="4">
        <v>6</v>
      </c>
      <c r="M2341" s="4">
        <v>98</v>
      </c>
      <c r="N2341" s="4">
        <v>83</v>
      </c>
      <c r="O2341" s="4" t="s">
        <v>26</v>
      </c>
      <c r="P2341" s="7" t="s">
        <v>19</v>
      </c>
    </row>
    <row r="2342" spans="2:16" x14ac:dyDescent="0.45">
      <c r="B2342" s="4">
        <v>2341</v>
      </c>
      <c r="C2342" s="4" t="s">
        <v>31</v>
      </c>
      <c r="D2342" s="4" t="s">
        <v>23</v>
      </c>
      <c r="E2342" s="4" t="s">
        <v>35</v>
      </c>
      <c r="F2342" s="4" t="s">
        <v>28</v>
      </c>
      <c r="G2342" s="4" t="s">
        <v>19</v>
      </c>
      <c r="H2342" s="4" t="s">
        <v>28</v>
      </c>
      <c r="I2342" s="4">
        <v>10</v>
      </c>
      <c r="J2342" s="5">
        <v>21.1</v>
      </c>
      <c r="K2342" s="6">
        <v>1.22</v>
      </c>
      <c r="L2342" s="4">
        <v>0</v>
      </c>
      <c r="M2342" s="4">
        <v>94</v>
      </c>
      <c r="N2342" s="4">
        <v>97</v>
      </c>
      <c r="O2342" s="4" t="s">
        <v>21</v>
      </c>
      <c r="P2342" s="7" t="s">
        <v>19</v>
      </c>
    </row>
    <row r="2343" spans="2:16" x14ac:dyDescent="0.45">
      <c r="B2343" s="4">
        <v>2342</v>
      </c>
      <c r="C2343" s="4" t="s">
        <v>41</v>
      </c>
      <c r="D2343" s="4" t="s">
        <v>23</v>
      </c>
      <c r="E2343" s="4" t="s">
        <v>17</v>
      </c>
      <c r="F2343" s="4" t="s">
        <v>42</v>
      </c>
      <c r="G2343" s="4" t="s">
        <v>19</v>
      </c>
      <c r="H2343" s="4" t="s">
        <v>28</v>
      </c>
      <c r="I2343" s="4">
        <v>9</v>
      </c>
      <c r="J2343" s="5">
        <v>21.9</v>
      </c>
      <c r="K2343" s="6">
        <v>1.41</v>
      </c>
      <c r="L2343" s="4">
        <v>2</v>
      </c>
      <c r="M2343" s="4">
        <v>106</v>
      </c>
      <c r="N2343" s="4">
        <v>100</v>
      </c>
      <c r="O2343" s="4" t="s">
        <v>26</v>
      </c>
      <c r="P2343" s="7" t="s">
        <v>30</v>
      </c>
    </row>
    <row r="2344" spans="2:16" x14ac:dyDescent="0.45">
      <c r="B2344" s="4">
        <v>2343</v>
      </c>
      <c r="C2344" s="4" t="s">
        <v>33</v>
      </c>
      <c r="D2344" s="4" t="s">
        <v>16</v>
      </c>
      <c r="E2344" s="4" t="s">
        <v>35</v>
      </c>
      <c r="F2344" s="4" t="s">
        <v>24</v>
      </c>
      <c r="G2344" s="4" t="s">
        <v>30</v>
      </c>
      <c r="H2344" s="4" t="s">
        <v>25</v>
      </c>
      <c r="I2344" s="4">
        <v>64</v>
      </c>
      <c r="J2344" s="5">
        <v>63.1</v>
      </c>
      <c r="K2344" s="6">
        <v>1.69</v>
      </c>
      <c r="L2344" s="4">
        <v>2</v>
      </c>
      <c r="M2344" s="4">
        <v>125</v>
      </c>
      <c r="N2344" s="4">
        <v>87</v>
      </c>
      <c r="O2344" s="4" t="s">
        <v>26</v>
      </c>
      <c r="P2344" s="7" t="s">
        <v>30</v>
      </c>
    </row>
    <row r="2345" spans="2:16" x14ac:dyDescent="0.45">
      <c r="B2345" s="4">
        <v>2344</v>
      </c>
      <c r="C2345" s="4" t="s">
        <v>15</v>
      </c>
      <c r="D2345" s="4" t="s">
        <v>16</v>
      </c>
      <c r="E2345" s="4" t="s">
        <v>35</v>
      </c>
      <c r="F2345" s="4" t="s">
        <v>24</v>
      </c>
      <c r="G2345" s="4" t="s">
        <v>30</v>
      </c>
      <c r="H2345" s="4" t="s">
        <v>28</v>
      </c>
      <c r="I2345" s="4">
        <v>6</v>
      </c>
      <c r="J2345" s="5">
        <v>24.2</v>
      </c>
      <c r="K2345" s="6">
        <v>1.1100000000000001</v>
      </c>
      <c r="L2345" s="4">
        <v>4</v>
      </c>
      <c r="M2345" s="4">
        <v>111</v>
      </c>
      <c r="N2345" s="4">
        <v>99</v>
      </c>
      <c r="O2345" s="4" t="s">
        <v>26</v>
      </c>
      <c r="P2345" s="7" t="s">
        <v>19</v>
      </c>
    </row>
    <row r="2346" spans="2:16" x14ac:dyDescent="0.45">
      <c r="B2346" s="4">
        <v>2345</v>
      </c>
      <c r="C2346" s="4" t="s">
        <v>22</v>
      </c>
      <c r="D2346" s="4" t="s">
        <v>16</v>
      </c>
      <c r="E2346" s="4" t="s">
        <v>37</v>
      </c>
      <c r="F2346" s="4" t="s">
        <v>24</v>
      </c>
      <c r="G2346" s="4" t="s">
        <v>19</v>
      </c>
      <c r="H2346" s="4" t="s">
        <v>36</v>
      </c>
      <c r="I2346" s="4">
        <v>34</v>
      </c>
      <c r="J2346" s="5">
        <v>45.8</v>
      </c>
      <c r="K2346" s="6">
        <v>1.61</v>
      </c>
      <c r="L2346" s="4">
        <v>4</v>
      </c>
      <c r="M2346" s="4">
        <v>133</v>
      </c>
      <c r="N2346" s="4">
        <v>78</v>
      </c>
      <c r="O2346" s="4" t="s">
        <v>26</v>
      </c>
      <c r="P2346" s="7" t="s">
        <v>19</v>
      </c>
    </row>
    <row r="2347" spans="2:16" x14ac:dyDescent="0.45">
      <c r="B2347" s="4">
        <v>2346</v>
      </c>
      <c r="C2347" s="4" t="s">
        <v>27</v>
      </c>
      <c r="D2347" s="4" t="s">
        <v>23</v>
      </c>
      <c r="E2347" s="4" t="s">
        <v>35</v>
      </c>
      <c r="F2347" s="4" t="s">
        <v>18</v>
      </c>
      <c r="G2347" s="4" t="s">
        <v>19</v>
      </c>
      <c r="H2347" s="4" t="s">
        <v>20</v>
      </c>
      <c r="I2347" s="4">
        <v>33</v>
      </c>
      <c r="J2347" s="5">
        <v>65.900000000000006</v>
      </c>
      <c r="K2347" s="6">
        <v>1.73</v>
      </c>
      <c r="L2347" s="4">
        <v>4</v>
      </c>
      <c r="M2347" s="4">
        <v>129</v>
      </c>
      <c r="N2347" s="4">
        <v>97</v>
      </c>
      <c r="O2347" s="4" t="s">
        <v>26</v>
      </c>
      <c r="P2347" s="7" t="s">
        <v>30</v>
      </c>
    </row>
    <row r="2348" spans="2:16" x14ac:dyDescent="0.45">
      <c r="B2348" s="4">
        <v>2347</v>
      </c>
      <c r="C2348" s="4" t="s">
        <v>29</v>
      </c>
      <c r="D2348" s="4" t="s">
        <v>23</v>
      </c>
      <c r="E2348" s="4" t="s">
        <v>37</v>
      </c>
      <c r="F2348" s="4" t="s">
        <v>18</v>
      </c>
      <c r="G2348" s="4" t="s">
        <v>19</v>
      </c>
      <c r="H2348" s="4" t="s">
        <v>20</v>
      </c>
      <c r="I2348" s="4">
        <v>39</v>
      </c>
      <c r="J2348" s="5">
        <v>89.2</v>
      </c>
      <c r="K2348" s="6">
        <v>1.66</v>
      </c>
      <c r="L2348" s="4">
        <v>1</v>
      </c>
      <c r="M2348" s="4">
        <v>111</v>
      </c>
      <c r="N2348" s="4">
        <v>89</v>
      </c>
      <c r="O2348" s="4" t="s">
        <v>26</v>
      </c>
      <c r="P2348" s="7" t="s">
        <v>19</v>
      </c>
    </row>
    <row r="2349" spans="2:16" x14ac:dyDescent="0.45">
      <c r="B2349" s="4">
        <v>2348</v>
      </c>
      <c r="C2349" s="4" t="s">
        <v>29</v>
      </c>
      <c r="D2349" s="4" t="s">
        <v>23</v>
      </c>
      <c r="E2349" s="4" t="s">
        <v>35</v>
      </c>
      <c r="F2349" s="4" t="s">
        <v>18</v>
      </c>
      <c r="G2349" s="4" t="s">
        <v>30</v>
      </c>
      <c r="H2349" s="4" t="s">
        <v>38</v>
      </c>
      <c r="I2349" s="4">
        <v>3</v>
      </c>
      <c r="J2349" s="5">
        <v>7.1</v>
      </c>
      <c r="K2349" s="6">
        <v>0.93</v>
      </c>
      <c r="L2349" s="4">
        <v>0</v>
      </c>
      <c r="M2349" s="4">
        <v>108</v>
      </c>
      <c r="N2349" s="4">
        <v>101</v>
      </c>
      <c r="O2349" s="4" t="s">
        <v>26</v>
      </c>
      <c r="P2349" s="7" t="s">
        <v>19</v>
      </c>
    </row>
    <row r="2350" spans="2:16" x14ac:dyDescent="0.45">
      <c r="B2350" s="4">
        <v>2349</v>
      </c>
      <c r="C2350" s="4" t="s">
        <v>45</v>
      </c>
      <c r="D2350" s="4" t="s">
        <v>23</v>
      </c>
      <c r="E2350" s="4" t="s">
        <v>44</v>
      </c>
      <c r="F2350" s="4" t="s">
        <v>42</v>
      </c>
      <c r="G2350" s="4" t="s">
        <v>19</v>
      </c>
      <c r="H2350" s="4" t="s">
        <v>38</v>
      </c>
      <c r="I2350" s="4">
        <v>19</v>
      </c>
      <c r="J2350" s="5">
        <v>72.599999999999994</v>
      </c>
      <c r="K2350" s="6">
        <v>1.53</v>
      </c>
      <c r="L2350" s="4">
        <v>3</v>
      </c>
      <c r="M2350" s="4">
        <v>109</v>
      </c>
      <c r="N2350" s="4">
        <v>96</v>
      </c>
      <c r="O2350" s="4" t="s">
        <v>26</v>
      </c>
      <c r="P2350" s="7" t="s">
        <v>19</v>
      </c>
    </row>
    <row r="2351" spans="2:16" x14ac:dyDescent="0.45">
      <c r="B2351" s="4">
        <v>2350</v>
      </c>
      <c r="C2351" s="4" t="s">
        <v>27</v>
      </c>
      <c r="D2351" s="4" t="s">
        <v>23</v>
      </c>
      <c r="E2351" s="4" t="s">
        <v>37</v>
      </c>
      <c r="F2351" s="4" t="s">
        <v>24</v>
      </c>
      <c r="G2351" s="4" t="s">
        <v>19</v>
      </c>
      <c r="H2351" s="4" t="s">
        <v>25</v>
      </c>
      <c r="I2351" s="4">
        <v>12</v>
      </c>
      <c r="J2351" s="5">
        <v>41.8</v>
      </c>
      <c r="K2351" s="6">
        <v>1.69</v>
      </c>
      <c r="L2351" s="4">
        <v>4</v>
      </c>
      <c r="M2351" s="4">
        <v>114</v>
      </c>
      <c r="N2351" s="4">
        <v>83</v>
      </c>
      <c r="O2351" s="4" t="s">
        <v>21</v>
      </c>
      <c r="P2351" s="7" t="s">
        <v>19</v>
      </c>
    </row>
    <row r="2352" spans="2:16" x14ac:dyDescent="0.45">
      <c r="B2352" s="4">
        <v>2351</v>
      </c>
      <c r="C2352" s="4" t="s">
        <v>33</v>
      </c>
      <c r="D2352" s="4" t="s">
        <v>23</v>
      </c>
      <c r="E2352" s="4" t="s">
        <v>17</v>
      </c>
      <c r="F2352" s="4" t="s">
        <v>28</v>
      </c>
      <c r="G2352" s="4" t="s">
        <v>19</v>
      </c>
      <c r="H2352" s="4" t="s">
        <v>46</v>
      </c>
      <c r="I2352" s="4">
        <v>2</v>
      </c>
      <c r="J2352" s="5">
        <v>17.3</v>
      </c>
      <c r="K2352" s="6">
        <v>0.95</v>
      </c>
      <c r="L2352" s="4">
        <v>1</v>
      </c>
      <c r="M2352" s="4">
        <v>114</v>
      </c>
      <c r="N2352" s="4">
        <v>102</v>
      </c>
      <c r="O2352" s="4" t="s">
        <v>26</v>
      </c>
      <c r="P2352" s="7" t="s">
        <v>19</v>
      </c>
    </row>
    <row r="2353" spans="2:16" x14ac:dyDescent="0.45">
      <c r="B2353" s="4">
        <v>2352</v>
      </c>
      <c r="C2353" s="4" t="s">
        <v>40</v>
      </c>
      <c r="D2353" s="4" t="s">
        <v>23</v>
      </c>
      <c r="E2353" s="4" t="s">
        <v>17</v>
      </c>
      <c r="F2353" s="4" t="s">
        <v>24</v>
      </c>
      <c r="G2353" s="4" t="s">
        <v>19</v>
      </c>
      <c r="H2353" s="4" t="s">
        <v>25</v>
      </c>
      <c r="I2353" s="4">
        <v>4</v>
      </c>
      <c r="J2353" s="5">
        <v>14.8</v>
      </c>
      <c r="K2353" s="6">
        <v>0.96</v>
      </c>
      <c r="L2353" s="4">
        <v>0</v>
      </c>
      <c r="M2353" s="4">
        <v>101</v>
      </c>
      <c r="N2353" s="4">
        <v>77</v>
      </c>
      <c r="O2353" s="4" t="s">
        <v>21</v>
      </c>
      <c r="P2353" s="7" t="s">
        <v>30</v>
      </c>
    </row>
    <row r="2354" spans="2:16" x14ac:dyDescent="0.45">
      <c r="B2354" s="4">
        <v>2353</v>
      </c>
      <c r="C2354" s="4" t="s">
        <v>22</v>
      </c>
      <c r="D2354" s="4" t="s">
        <v>23</v>
      </c>
      <c r="E2354" s="4" t="s">
        <v>35</v>
      </c>
      <c r="F2354" s="4" t="s">
        <v>42</v>
      </c>
      <c r="G2354" s="4" t="s">
        <v>19</v>
      </c>
      <c r="H2354" s="4" t="s">
        <v>20</v>
      </c>
      <c r="I2354" s="4">
        <v>2</v>
      </c>
      <c r="J2354" s="5">
        <v>15.8</v>
      </c>
      <c r="K2354" s="6">
        <v>0.68</v>
      </c>
      <c r="L2354" s="4">
        <v>0</v>
      </c>
      <c r="M2354" s="4">
        <v>107</v>
      </c>
      <c r="N2354" s="4">
        <v>90</v>
      </c>
      <c r="O2354" s="4" t="s">
        <v>26</v>
      </c>
      <c r="P2354" s="7" t="s">
        <v>19</v>
      </c>
    </row>
    <row r="2355" spans="2:16" x14ac:dyDescent="0.45">
      <c r="B2355" s="4">
        <v>2354</v>
      </c>
      <c r="C2355" s="4" t="s">
        <v>22</v>
      </c>
      <c r="D2355" s="4" t="s">
        <v>16</v>
      </c>
      <c r="E2355" s="4" t="s">
        <v>44</v>
      </c>
      <c r="F2355" s="4" t="s">
        <v>28</v>
      </c>
      <c r="G2355" s="4" t="s">
        <v>30</v>
      </c>
      <c r="H2355" s="4" t="s">
        <v>32</v>
      </c>
      <c r="I2355" s="4">
        <v>13</v>
      </c>
      <c r="J2355" s="5">
        <v>59.5</v>
      </c>
      <c r="K2355" s="6">
        <v>1.67</v>
      </c>
      <c r="L2355" s="4">
        <v>5</v>
      </c>
      <c r="M2355" s="4">
        <v>104</v>
      </c>
      <c r="N2355" s="4">
        <v>137</v>
      </c>
      <c r="O2355" s="4" t="s">
        <v>26</v>
      </c>
      <c r="P2355" s="7" t="s">
        <v>19</v>
      </c>
    </row>
    <row r="2356" spans="2:16" x14ac:dyDescent="0.45">
      <c r="B2356" s="4">
        <v>2355</v>
      </c>
      <c r="C2356" s="4" t="s">
        <v>43</v>
      </c>
      <c r="D2356" s="4" t="s">
        <v>16</v>
      </c>
      <c r="E2356" s="4" t="s">
        <v>17</v>
      </c>
      <c r="F2356" s="4" t="s">
        <v>18</v>
      </c>
      <c r="G2356" s="4" t="s">
        <v>19</v>
      </c>
      <c r="H2356" s="4" t="s">
        <v>20</v>
      </c>
      <c r="I2356" s="4">
        <v>39</v>
      </c>
      <c r="J2356" s="5">
        <v>45.7</v>
      </c>
      <c r="K2356" s="6">
        <v>1.85</v>
      </c>
      <c r="L2356" s="4">
        <v>2</v>
      </c>
      <c r="M2356" s="4">
        <v>114</v>
      </c>
      <c r="N2356" s="4">
        <v>102</v>
      </c>
      <c r="O2356" s="4" t="s">
        <v>21</v>
      </c>
      <c r="P2356" s="7" t="s">
        <v>19</v>
      </c>
    </row>
    <row r="2357" spans="2:16" x14ac:dyDescent="0.45">
      <c r="B2357" s="4">
        <v>2356</v>
      </c>
      <c r="C2357" s="4" t="s">
        <v>41</v>
      </c>
      <c r="D2357" s="4" t="s">
        <v>23</v>
      </c>
      <c r="E2357" s="4" t="s">
        <v>17</v>
      </c>
      <c r="F2357" s="4" t="s">
        <v>18</v>
      </c>
      <c r="G2357" s="4" t="s">
        <v>19</v>
      </c>
      <c r="H2357" s="4" t="s">
        <v>28</v>
      </c>
      <c r="I2357" s="4">
        <v>7</v>
      </c>
      <c r="J2357" s="5">
        <v>20.8</v>
      </c>
      <c r="K2357" s="6">
        <v>1.45</v>
      </c>
      <c r="L2357" s="4">
        <v>2</v>
      </c>
      <c r="M2357" s="4">
        <v>112</v>
      </c>
      <c r="N2357" s="4">
        <v>84</v>
      </c>
      <c r="O2357" s="4" t="s">
        <v>26</v>
      </c>
      <c r="P2357" s="7" t="s">
        <v>19</v>
      </c>
    </row>
    <row r="2358" spans="2:16" x14ac:dyDescent="0.45">
      <c r="B2358" s="4">
        <v>2357</v>
      </c>
      <c r="C2358" s="4" t="s">
        <v>27</v>
      </c>
      <c r="D2358" s="4" t="s">
        <v>23</v>
      </c>
      <c r="E2358" s="4" t="s">
        <v>17</v>
      </c>
      <c r="F2358" s="4" t="s">
        <v>24</v>
      </c>
      <c r="G2358" s="4" t="s">
        <v>19</v>
      </c>
      <c r="H2358" s="4" t="s">
        <v>36</v>
      </c>
      <c r="I2358" s="4">
        <v>10</v>
      </c>
      <c r="J2358" s="5">
        <v>20.6</v>
      </c>
      <c r="K2358" s="6">
        <v>1.42</v>
      </c>
      <c r="L2358" s="4">
        <v>1</v>
      </c>
      <c r="M2358" s="4">
        <v>128</v>
      </c>
      <c r="N2358" s="4">
        <v>105</v>
      </c>
      <c r="O2358" s="4" t="s">
        <v>21</v>
      </c>
      <c r="P2358" s="7" t="s">
        <v>19</v>
      </c>
    </row>
    <row r="2359" spans="2:16" x14ac:dyDescent="0.45">
      <c r="B2359" s="4">
        <v>2358</v>
      </c>
      <c r="C2359" s="4" t="s">
        <v>40</v>
      </c>
      <c r="D2359" s="4" t="s">
        <v>16</v>
      </c>
      <c r="E2359" s="4" t="s">
        <v>17</v>
      </c>
      <c r="F2359" s="4" t="s">
        <v>24</v>
      </c>
      <c r="G2359" s="4" t="s">
        <v>30</v>
      </c>
      <c r="H2359" s="4" t="s">
        <v>20</v>
      </c>
      <c r="I2359" s="4">
        <v>25</v>
      </c>
      <c r="J2359" s="5">
        <v>60</v>
      </c>
      <c r="K2359" s="6">
        <v>1.89</v>
      </c>
      <c r="L2359" s="4">
        <v>2</v>
      </c>
      <c r="M2359" s="4">
        <v>111</v>
      </c>
      <c r="N2359" s="4">
        <v>70</v>
      </c>
      <c r="O2359" s="4" t="s">
        <v>21</v>
      </c>
      <c r="P2359" s="7" t="s">
        <v>19</v>
      </c>
    </row>
    <row r="2360" spans="2:16" x14ac:dyDescent="0.45">
      <c r="B2360" s="4">
        <v>2359</v>
      </c>
      <c r="C2360" s="4" t="s">
        <v>40</v>
      </c>
      <c r="D2360" s="4" t="s">
        <v>23</v>
      </c>
      <c r="E2360" s="4" t="s">
        <v>35</v>
      </c>
      <c r="F2360" s="4" t="s">
        <v>24</v>
      </c>
      <c r="G2360" s="4" t="s">
        <v>19</v>
      </c>
      <c r="H2360" s="4" t="s">
        <v>28</v>
      </c>
      <c r="I2360" s="4">
        <v>24</v>
      </c>
      <c r="J2360" s="5">
        <v>86.5</v>
      </c>
      <c r="K2360" s="6">
        <v>1.59</v>
      </c>
      <c r="L2360" s="4">
        <v>1</v>
      </c>
      <c r="M2360" s="4">
        <v>104</v>
      </c>
      <c r="N2360" s="4">
        <v>73</v>
      </c>
      <c r="O2360" s="4" t="s">
        <v>26</v>
      </c>
      <c r="P2360" s="7" t="s">
        <v>30</v>
      </c>
    </row>
    <row r="2361" spans="2:16" x14ac:dyDescent="0.45">
      <c r="B2361" s="4">
        <v>2360</v>
      </c>
      <c r="C2361" s="4" t="s">
        <v>27</v>
      </c>
      <c r="D2361" s="4" t="s">
        <v>16</v>
      </c>
      <c r="E2361" s="4" t="s">
        <v>17</v>
      </c>
      <c r="F2361" s="4" t="s">
        <v>18</v>
      </c>
      <c r="G2361" s="4" t="s">
        <v>30</v>
      </c>
      <c r="H2361" s="4" t="s">
        <v>28</v>
      </c>
      <c r="I2361" s="4">
        <v>24</v>
      </c>
      <c r="J2361" s="5">
        <v>91.2</v>
      </c>
      <c r="K2361" s="6">
        <v>1.89</v>
      </c>
      <c r="L2361" s="4">
        <v>0</v>
      </c>
      <c r="M2361" s="4">
        <v>106</v>
      </c>
      <c r="N2361" s="4">
        <v>97</v>
      </c>
      <c r="O2361" s="4" t="s">
        <v>21</v>
      </c>
      <c r="P2361" s="7" t="s">
        <v>19</v>
      </c>
    </row>
    <row r="2362" spans="2:16" x14ac:dyDescent="0.45">
      <c r="B2362" s="4">
        <v>2361</v>
      </c>
      <c r="C2362" s="4" t="s">
        <v>22</v>
      </c>
      <c r="D2362" s="4" t="s">
        <v>23</v>
      </c>
      <c r="E2362" s="4" t="s">
        <v>44</v>
      </c>
      <c r="F2362" s="4" t="s">
        <v>24</v>
      </c>
      <c r="G2362" s="4" t="s">
        <v>30</v>
      </c>
      <c r="H2362" s="4" t="s">
        <v>34</v>
      </c>
      <c r="I2362" s="4">
        <v>10</v>
      </c>
      <c r="J2362" s="5">
        <v>31.5</v>
      </c>
      <c r="K2362" s="6">
        <v>1.38</v>
      </c>
      <c r="L2362" s="4">
        <v>3</v>
      </c>
      <c r="M2362" s="4">
        <v>102</v>
      </c>
      <c r="N2362" s="4">
        <v>82</v>
      </c>
      <c r="O2362" s="4" t="s">
        <v>21</v>
      </c>
      <c r="P2362" s="7" t="s">
        <v>19</v>
      </c>
    </row>
    <row r="2363" spans="2:16" x14ac:dyDescent="0.45">
      <c r="B2363" s="4">
        <v>2362</v>
      </c>
      <c r="C2363" s="4" t="s">
        <v>43</v>
      </c>
      <c r="D2363" s="4" t="s">
        <v>23</v>
      </c>
      <c r="E2363" s="4" t="s">
        <v>35</v>
      </c>
      <c r="F2363" s="4" t="s">
        <v>24</v>
      </c>
      <c r="G2363" s="4" t="s">
        <v>19</v>
      </c>
      <c r="H2363" s="4" t="s">
        <v>34</v>
      </c>
      <c r="I2363" s="4">
        <v>5</v>
      </c>
      <c r="J2363" s="5">
        <v>30.8</v>
      </c>
      <c r="K2363" s="6">
        <v>1.1100000000000001</v>
      </c>
      <c r="L2363" s="4">
        <v>1</v>
      </c>
      <c r="M2363" s="4">
        <v>94</v>
      </c>
      <c r="N2363" s="4">
        <v>89</v>
      </c>
      <c r="O2363" s="4" t="s">
        <v>26</v>
      </c>
      <c r="P2363" s="7" t="s">
        <v>19</v>
      </c>
    </row>
    <row r="2364" spans="2:16" x14ac:dyDescent="0.45">
      <c r="B2364" s="4">
        <v>2363</v>
      </c>
      <c r="C2364" s="4" t="s">
        <v>41</v>
      </c>
      <c r="D2364" s="4" t="s">
        <v>23</v>
      </c>
      <c r="E2364" s="4" t="s">
        <v>17</v>
      </c>
      <c r="F2364" s="4" t="s">
        <v>18</v>
      </c>
      <c r="G2364" s="4" t="s">
        <v>30</v>
      </c>
      <c r="H2364" s="4" t="s">
        <v>20</v>
      </c>
      <c r="I2364" s="4">
        <v>0</v>
      </c>
      <c r="J2364" s="5">
        <v>8.8000000000000007</v>
      </c>
      <c r="K2364" s="6">
        <v>0.82</v>
      </c>
      <c r="L2364" s="4">
        <v>1</v>
      </c>
      <c r="M2364" s="4">
        <v>118</v>
      </c>
      <c r="N2364" s="4">
        <v>76</v>
      </c>
      <c r="O2364" s="4" t="s">
        <v>21</v>
      </c>
      <c r="P2364" s="7" t="s">
        <v>30</v>
      </c>
    </row>
    <row r="2365" spans="2:16" x14ac:dyDescent="0.45">
      <c r="B2365" s="4">
        <v>2364</v>
      </c>
      <c r="C2365" s="4" t="s">
        <v>22</v>
      </c>
      <c r="D2365" s="4" t="s">
        <v>23</v>
      </c>
      <c r="E2365" s="4" t="s">
        <v>35</v>
      </c>
      <c r="F2365" s="4" t="s">
        <v>24</v>
      </c>
      <c r="G2365" s="4" t="s">
        <v>19</v>
      </c>
      <c r="H2365" s="4" t="s">
        <v>28</v>
      </c>
      <c r="I2365" s="4">
        <v>2</v>
      </c>
      <c r="J2365" s="5">
        <v>13.9</v>
      </c>
      <c r="K2365" s="6">
        <v>0.88</v>
      </c>
      <c r="L2365" s="4">
        <v>2</v>
      </c>
      <c r="M2365" s="4">
        <v>100</v>
      </c>
      <c r="N2365" s="4">
        <v>91</v>
      </c>
      <c r="O2365" s="4" t="s">
        <v>21</v>
      </c>
      <c r="P2365" s="7" t="s">
        <v>19</v>
      </c>
    </row>
    <row r="2366" spans="2:16" x14ac:dyDescent="0.45">
      <c r="B2366" s="4">
        <v>2365</v>
      </c>
      <c r="C2366" s="4" t="s">
        <v>27</v>
      </c>
      <c r="D2366" s="4" t="s">
        <v>23</v>
      </c>
      <c r="E2366" s="4" t="s">
        <v>35</v>
      </c>
      <c r="F2366" s="4" t="s">
        <v>24</v>
      </c>
      <c r="G2366" s="4" t="s">
        <v>19</v>
      </c>
      <c r="H2366" s="4" t="s">
        <v>32</v>
      </c>
      <c r="I2366" s="4">
        <v>77</v>
      </c>
      <c r="J2366" s="5">
        <v>45.9</v>
      </c>
      <c r="K2366" s="6">
        <v>1.59</v>
      </c>
      <c r="L2366" s="4">
        <v>1</v>
      </c>
      <c r="M2366" s="4">
        <v>138</v>
      </c>
      <c r="N2366" s="4">
        <v>164</v>
      </c>
      <c r="O2366" s="4" t="s">
        <v>21</v>
      </c>
      <c r="P2366" s="7" t="s">
        <v>19</v>
      </c>
    </row>
    <row r="2367" spans="2:16" x14ac:dyDescent="0.45">
      <c r="B2367" s="4">
        <v>2366</v>
      </c>
      <c r="C2367" s="4" t="s">
        <v>40</v>
      </c>
      <c r="D2367" s="4" t="s">
        <v>16</v>
      </c>
      <c r="E2367" s="4" t="s">
        <v>35</v>
      </c>
      <c r="F2367" s="4" t="s">
        <v>18</v>
      </c>
      <c r="G2367" s="4" t="s">
        <v>19</v>
      </c>
      <c r="H2367" s="4" t="s">
        <v>20</v>
      </c>
      <c r="I2367" s="4">
        <v>15</v>
      </c>
      <c r="J2367" s="5">
        <v>46.8</v>
      </c>
      <c r="K2367" s="6">
        <v>1.71</v>
      </c>
      <c r="L2367" s="4">
        <v>3</v>
      </c>
      <c r="M2367" s="4">
        <v>96</v>
      </c>
      <c r="N2367" s="4">
        <v>78</v>
      </c>
      <c r="O2367" s="4" t="s">
        <v>21</v>
      </c>
      <c r="P2367" s="7" t="s">
        <v>19</v>
      </c>
    </row>
    <row r="2368" spans="2:16" x14ac:dyDescent="0.45">
      <c r="B2368" s="4">
        <v>2367</v>
      </c>
      <c r="C2368" s="4" t="s">
        <v>27</v>
      </c>
      <c r="D2368" s="4" t="s">
        <v>16</v>
      </c>
      <c r="E2368" s="4" t="s">
        <v>35</v>
      </c>
      <c r="F2368" s="4" t="s">
        <v>28</v>
      </c>
      <c r="G2368" s="4" t="s">
        <v>30</v>
      </c>
      <c r="H2368" s="4" t="s">
        <v>20</v>
      </c>
      <c r="I2368" s="4">
        <v>43</v>
      </c>
      <c r="J2368" s="5">
        <v>49.7</v>
      </c>
      <c r="K2368" s="6">
        <v>1.82</v>
      </c>
      <c r="L2368" s="4">
        <v>4</v>
      </c>
      <c r="M2368" s="4">
        <v>103</v>
      </c>
      <c r="N2368" s="4">
        <v>101</v>
      </c>
      <c r="O2368" s="4" t="s">
        <v>21</v>
      </c>
      <c r="P2368" s="7" t="s">
        <v>19</v>
      </c>
    </row>
    <row r="2369" spans="2:16" x14ac:dyDescent="0.45">
      <c r="B2369" s="4">
        <v>2368</v>
      </c>
      <c r="C2369" s="4" t="s">
        <v>15</v>
      </c>
      <c r="D2369" s="4" t="s">
        <v>16</v>
      </c>
      <c r="E2369" s="4" t="s">
        <v>35</v>
      </c>
      <c r="F2369" s="4" t="s">
        <v>28</v>
      </c>
      <c r="G2369" s="4" t="s">
        <v>30</v>
      </c>
      <c r="H2369" s="4" t="s">
        <v>46</v>
      </c>
      <c r="I2369" s="4">
        <v>19</v>
      </c>
      <c r="J2369" s="5">
        <v>45.4</v>
      </c>
      <c r="K2369" s="6">
        <v>1.69</v>
      </c>
      <c r="L2369" s="4">
        <v>2</v>
      </c>
      <c r="M2369" s="4">
        <v>101</v>
      </c>
      <c r="N2369" s="4">
        <v>81</v>
      </c>
      <c r="O2369" s="4" t="s">
        <v>21</v>
      </c>
      <c r="P2369" s="7" t="s">
        <v>19</v>
      </c>
    </row>
    <row r="2370" spans="2:16" x14ac:dyDescent="0.45">
      <c r="B2370" s="4">
        <v>2369</v>
      </c>
      <c r="C2370" s="4" t="s">
        <v>15</v>
      </c>
      <c r="D2370" s="4" t="s">
        <v>16</v>
      </c>
      <c r="E2370" s="4" t="s">
        <v>35</v>
      </c>
      <c r="F2370" s="4" t="s">
        <v>24</v>
      </c>
      <c r="G2370" s="4" t="s">
        <v>30</v>
      </c>
      <c r="H2370" s="4" t="s">
        <v>38</v>
      </c>
      <c r="I2370" s="4">
        <v>19</v>
      </c>
      <c r="J2370" s="5">
        <v>59.8</v>
      </c>
      <c r="K2370" s="6">
        <v>1.64</v>
      </c>
      <c r="L2370" s="4">
        <v>1</v>
      </c>
      <c r="M2370" s="4">
        <v>114</v>
      </c>
      <c r="N2370" s="4">
        <v>89</v>
      </c>
      <c r="O2370" s="4" t="s">
        <v>21</v>
      </c>
      <c r="P2370" s="7" t="s">
        <v>19</v>
      </c>
    </row>
    <row r="2371" spans="2:16" x14ac:dyDescent="0.45">
      <c r="B2371" s="4">
        <v>2370</v>
      </c>
      <c r="C2371" s="4" t="s">
        <v>22</v>
      </c>
      <c r="D2371" s="4" t="s">
        <v>16</v>
      </c>
      <c r="E2371" s="4" t="s">
        <v>17</v>
      </c>
      <c r="F2371" s="4" t="s">
        <v>24</v>
      </c>
      <c r="G2371" s="4" t="s">
        <v>19</v>
      </c>
      <c r="H2371" s="4" t="s">
        <v>20</v>
      </c>
      <c r="I2371" s="4">
        <v>27</v>
      </c>
      <c r="J2371" s="5">
        <v>62.1</v>
      </c>
      <c r="K2371" s="6">
        <v>1.54</v>
      </c>
      <c r="L2371" s="4">
        <v>1</v>
      </c>
      <c r="M2371" s="4">
        <v>118</v>
      </c>
      <c r="N2371" s="4">
        <v>100</v>
      </c>
      <c r="O2371" s="4" t="s">
        <v>26</v>
      </c>
      <c r="P2371" s="7" t="s">
        <v>19</v>
      </c>
    </row>
    <row r="2372" spans="2:16" x14ac:dyDescent="0.45">
      <c r="B2372" s="4">
        <v>2371</v>
      </c>
      <c r="C2372" s="4" t="s">
        <v>40</v>
      </c>
      <c r="D2372" s="4" t="s">
        <v>23</v>
      </c>
      <c r="E2372" s="4" t="s">
        <v>35</v>
      </c>
      <c r="F2372" s="4" t="s">
        <v>24</v>
      </c>
      <c r="G2372" s="4" t="s">
        <v>30</v>
      </c>
      <c r="H2372" s="4" t="s">
        <v>25</v>
      </c>
      <c r="I2372" s="4">
        <v>7</v>
      </c>
      <c r="J2372" s="5">
        <v>26.5</v>
      </c>
      <c r="K2372" s="6">
        <v>1.22</v>
      </c>
      <c r="L2372" s="4">
        <v>6</v>
      </c>
      <c r="M2372" s="4">
        <v>101</v>
      </c>
      <c r="N2372" s="4">
        <v>70</v>
      </c>
      <c r="O2372" s="4" t="s">
        <v>26</v>
      </c>
      <c r="P2372" s="7" t="s">
        <v>19</v>
      </c>
    </row>
    <row r="2373" spans="2:16" x14ac:dyDescent="0.45">
      <c r="B2373" s="4">
        <v>2372</v>
      </c>
      <c r="C2373" s="4" t="s">
        <v>31</v>
      </c>
      <c r="D2373" s="4" t="s">
        <v>16</v>
      </c>
      <c r="E2373" s="4" t="s">
        <v>17</v>
      </c>
      <c r="F2373" s="4" t="s">
        <v>28</v>
      </c>
      <c r="G2373" s="4" t="s">
        <v>19</v>
      </c>
      <c r="H2373" s="4" t="s">
        <v>34</v>
      </c>
      <c r="I2373" s="4">
        <v>22</v>
      </c>
      <c r="J2373" s="5">
        <v>89.8</v>
      </c>
      <c r="K2373" s="6">
        <v>1.69</v>
      </c>
      <c r="L2373" s="4">
        <v>0</v>
      </c>
      <c r="M2373" s="4">
        <v>128</v>
      </c>
      <c r="N2373" s="4">
        <v>71</v>
      </c>
      <c r="O2373" s="4" t="s">
        <v>26</v>
      </c>
      <c r="P2373" s="7" t="s">
        <v>30</v>
      </c>
    </row>
    <row r="2374" spans="2:16" x14ac:dyDescent="0.45">
      <c r="B2374" s="4">
        <v>2373</v>
      </c>
      <c r="C2374" s="4" t="s">
        <v>41</v>
      </c>
      <c r="D2374" s="4" t="s">
        <v>23</v>
      </c>
      <c r="E2374" s="4" t="s">
        <v>44</v>
      </c>
      <c r="F2374" s="4" t="s">
        <v>28</v>
      </c>
      <c r="G2374" s="4" t="s">
        <v>19</v>
      </c>
      <c r="H2374" s="4" t="s">
        <v>28</v>
      </c>
      <c r="I2374" s="4">
        <v>17</v>
      </c>
      <c r="J2374" s="5">
        <v>38.4</v>
      </c>
      <c r="K2374" s="6">
        <v>1.68</v>
      </c>
      <c r="L2374" s="4">
        <v>6</v>
      </c>
      <c r="M2374" s="4">
        <v>106</v>
      </c>
      <c r="N2374" s="4">
        <v>102</v>
      </c>
      <c r="O2374" s="4" t="s">
        <v>26</v>
      </c>
      <c r="P2374" s="7" t="s">
        <v>30</v>
      </c>
    </row>
    <row r="2375" spans="2:16" x14ac:dyDescent="0.45">
      <c r="B2375" s="4">
        <v>2374</v>
      </c>
      <c r="C2375" s="4" t="s">
        <v>29</v>
      </c>
      <c r="D2375" s="4" t="s">
        <v>16</v>
      </c>
      <c r="E2375" s="4" t="s">
        <v>17</v>
      </c>
      <c r="F2375" s="4" t="s">
        <v>18</v>
      </c>
      <c r="G2375" s="4" t="s">
        <v>30</v>
      </c>
      <c r="H2375" s="4" t="s">
        <v>38</v>
      </c>
      <c r="I2375" s="4">
        <v>76</v>
      </c>
      <c r="J2375" s="5">
        <v>76.900000000000006</v>
      </c>
      <c r="K2375" s="6">
        <v>1.84</v>
      </c>
      <c r="L2375" s="4">
        <v>4</v>
      </c>
      <c r="M2375" s="4">
        <v>133</v>
      </c>
      <c r="N2375" s="4">
        <v>89</v>
      </c>
      <c r="O2375" s="4" t="s">
        <v>21</v>
      </c>
      <c r="P2375" s="7" t="s">
        <v>19</v>
      </c>
    </row>
    <row r="2376" spans="2:16" x14ac:dyDescent="0.45">
      <c r="B2376" s="4">
        <v>2375</v>
      </c>
      <c r="C2376" s="4" t="s">
        <v>22</v>
      </c>
      <c r="D2376" s="4" t="s">
        <v>23</v>
      </c>
      <c r="E2376" s="4" t="s">
        <v>35</v>
      </c>
      <c r="F2376" s="4" t="s">
        <v>18</v>
      </c>
      <c r="G2376" s="4" t="s">
        <v>19</v>
      </c>
      <c r="H2376" s="4" t="s">
        <v>20</v>
      </c>
      <c r="I2376" s="4">
        <v>7</v>
      </c>
      <c r="J2376" s="5">
        <v>18.100000000000001</v>
      </c>
      <c r="K2376" s="6">
        <v>1.07</v>
      </c>
      <c r="L2376" s="4">
        <v>9</v>
      </c>
      <c r="M2376" s="4">
        <v>102</v>
      </c>
      <c r="N2376" s="4">
        <v>92</v>
      </c>
      <c r="O2376" s="4" t="s">
        <v>21</v>
      </c>
      <c r="P2376" s="7" t="s">
        <v>19</v>
      </c>
    </row>
    <row r="2377" spans="2:16" x14ac:dyDescent="0.45">
      <c r="B2377" s="4">
        <v>2376</v>
      </c>
      <c r="C2377" s="4" t="s">
        <v>22</v>
      </c>
      <c r="D2377" s="4" t="s">
        <v>16</v>
      </c>
      <c r="E2377" s="4" t="s">
        <v>37</v>
      </c>
      <c r="F2377" s="4" t="s">
        <v>28</v>
      </c>
      <c r="G2377" s="4" t="s">
        <v>19</v>
      </c>
      <c r="H2377" s="4" t="s">
        <v>36</v>
      </c>
      <c r="I2377" s="4">
        <v>0</v>
      </c>
      <c r="J2377" s="5">
        <v>15.2</v>
      </c>
      <c r="K2377" s="6">
        <v>0.92</v>
      </c>
      <c r="L2377" s="4">
        <v>10</v>
      </c>
      <c r="M2377" s="4">
        <v>120</v>
      </c>
      <c r="N2377" s="4">
        <v>86</v>
      </c>
      <c r="O2377" s="4" t="s">
        <v>26</v>
      </c>
      <c r="P2377" s="7" t="s">
        <v>19</v>
      </c>
    </row>
    <row r="2378" spans="2:16" x14ac:dyDescent="0.45">
      <c r="B2378" s="4">
        <v>2377</v>
      </c>
      <c r="C2378" s="4" t="s">
        <v>39</v>
      </c>
      <c r="D2378" s="4" t="s">
        <v>23</v>
      </c>
      <c r="E2378" s="4" t="s">
        <v>35</v>
      </c>
      <c r="F2378" s="4" t="s">
        <v>24</v>
      </c>
      <c r="G2378" s="4" t="s">
        <v>30</v>
      </c>
      <c r="H2378" s="4" t="s">
        <v>20</v>
      </c>
      <c r="I2378" s="4">
        <v>31</v>
      </c>
      <c r="J2378" s="5">
        <v>89.8</v>
      </c>
      <c r="K2378" s="6">
        <v>1.83</v>
      </c>
      <c r="L2378" s="4">
        <v>1</v>
      </c>
      <c r="M2378" s="4">
        <v>127</v>
      </c>
      <c r="N2378" s="4">
        <v>90</v>
      </c>
      <c r="O2378" s="4" t="s">
        <v>21</v>
      </c>
      <c r="P2378" s="7" t="s">
        <v>30</v>
      </c>
    </row>
    <row r="2379" spans="2:16" x14ac:dyDescent="0.45">
      <c r="B2379" s="4">
        <v>2378</v>
      </c>
      <c r="C2379" s="4" t="s">
        <v>31</v>
      </c>
      <c r="D2379" s="4" t="s">
        <v>23</v>
      </c>
      <c r="E2379" s="4" t="s">
        <v>35</v>
      </c>
      <c r="F2379" s="4" t="s">
        <v>24</v>
      </c>
      <c r="G2379" s="4" t="s">
        <v>19</v>
      </c>
      <c r="H2379" s="4" t="s">
        <v>20</v>
      </c>
      <c r="I2379" s="4">
        <v>33</v>
      </c>
      <c r="J2379" s="5">
        <v>61.7</v>
      </c>
      <c r="K2379" s="6">
        <v>1.61</v>
      </c>
      <c r="L2379" s="4">
        <v>3</v>
      </c>
      <c r="M2379" s="4">
        <v>116</v>
      </c>
      <c r="N2379" s="4">
        <v>103</v>
      </c>
      <c r="O2379" s="4" t="s">
        <v>26</v>
      </c>
      <c r="P2379" s="7" t="s">
        <v>19</v>
      </c>
    </row>
    <row r="2380" spans="2:16" x14ac:dyDescent="0.45">
      <c r="B2380" s="4">
        <v>2379</v>
      </c>
      <c r="C2380" s="4" t="s">
        <v>22</v>
      </c>
      <c r="D2380" s="4" t="s">
        <v>23</v>
      </c>
      <c r="E2380" s="4" t="s">
        <v>17</v>
      </c>
      <c r="F2380" s="4" t="s">
        <v>28</v>
      </c>
      <c r="G2380" s="4" t="s">
        <v>19</v>
      </c>
      <c r="H2380" s="4" t="s">
        <v>46</v>
      </c>
      <c r="I2380" s="4">
        <v>9</v>
      </c>
      <c r="J2380" s="5">
        <v>30.4</v>
      </c>
      <c r="K2380" s="6">
        <v>1.1499999999999999</v>
      </c>
      <c r="L2380" s="4">
        <v>2</v>
      </c>
      <c r="M2380" s="4">
        <v>114</v>
      </c>
      <c r="N2380" s="4">
        <v>99</v>
      </c>
      <c r="O2380" s="4" t="s">
        <v>21</v>
      </c>
      <c r="P2380" s="7" t="s">
        <v>19</v>
      </c>
    </row>
    <row r="2381" spans="2:16" x14ac:dyDescent="0.45">
      <c r="B2381" s="4">
        <v>2380</v>
      </c>
      <c r="C2381" s="4" t="s">
        <v>22</v>
      </c>
      <c r="D2381" s="4" t="s">
        <v>23</v>
      </c>
      <c r="E2381" s="4" t="s">
        <v>44</v>
      </c>
      <c r="F2381" s="4" t="s">
        <v>28</v>
      </c>
      <c r="G2381" s="4" t="s">
        <v>19</v>
      </c>
      <c r="H2381" s="4" t="s">
        <v>36</v>
      </c>
      <c r="I2381" s="4">
        <v>11</v>
      </c>
      <c r="J2381" s="5">
        <v>24.1</v>
      </c>
      <c r="K2381" s="6">
        <v>1.34</v>
      </c>
      <c r="L2381" s="4">
        <v>3</v>
      </c>
      <c r="M2381" s="4">
        <v>132</v>
      </c>
      <c r="N2381" s="4">
        <v>81</v>
      </c>
      <c r="O2381" s="4" t="s">
        <v>21</v>
      </c>
      <c r="P2381" s="7" t="s">
        <v>19</v>
      </c>
    </row>
    <row r="2382" spans="2:16" x14ac:dyDescent="0.45">
      <c r="B2382" s="4">
        <v>2381</v>
      </c>
      <c r="C2382" s="4" t="s">
        <v>27</v>
      </c>
      <c r="D2382" s="4" t="s">
        <v>23</v>
      </c>
      <c r="E2382" s="4" t="s">
        <v>35</v>
      </c>
      <c r="F2382" s="4" t="s">
        <v>24</v>
      </c>
      <c r="G2382" s="4" t="s">
        <v>19</v>
      </c>
      <c r="H2382" s="4" t="s">
        <v>36</v>
      </c>
      <c r="I2382" s="4">
        <v>13</v>
      </c>
      <c r="J2382" s="5">
        <v>60.2</v>
      </c>
      <c r="K2382" s="6">
        <v>1.63</v>
      </c>
      <c r="L2382" s="4">
        <v>5</v>
      </c>
      <c r="M2382" s="4">
        <v>131</v>
      </c>
      <c r="N2382" s="4">
        <v>84</v>
      </c>
      <c r="O2382" s="4" t="s">
        <v>26</v>
      </c>
      <c r="P2382" s="7" t="s">
        <v>30</v>
      </c>
    </row>
    <row r="2383" spans="2:16" x14ac:dyDescent="0.45">
      <c r="B2383" s="4">
        <v>2382</v>
      </c>
      <c r="C2383" s="4" t="s">
        <v>40</v>
      </c>
      <c r="D2383" s="4" t="s">
        <v>16</v>
      </c>
      <c r="E2383" s="4" t="s">
        <v>17</v>
      </c>
      <c r="F2383" s="4" t="s">
        <v>24</v>
      </c>
      <c r="G2383" s="4" t="s">
        <v>19</v>
      </c>
      <c r="H2383" s="4" t="s">
        <v>38</v>
      </c>
      <c r="I2383" s="4">
        <v>60</v>
      </c>
      <c r="J2383" s="5">
        <v>68.900000000000006</v>
      </c>
      <c r="K2383" s="6">
        <v>1.72</v>
      </c>
      <c r="L2383" s="4">
        <v>1</v>
      </c>
      <c r="M2383" s="4">
        <v>130</v>
      </c>
      <c r="N2383" s="4">
        <v>98</v>
      </c>
      <c r="O2383" s="4" t="s">
        <v>26</v>
      </c>
      <c r="P2383" s="7" t="s">
        <v>19</v>
      </c>
    </row>
    <row r="2384" spans="2:16" x14ac:dyDescent="0.45">
      <c r="B2384" s="4">
        <v>2383</v>
      </c>
      <c r="C2384" s="4" t="s">
        <v>15</v>
      </c>
      <c r="D2384" s="4" t="s">
        <v>16</v>
      </c>
      <c r="E2384" s="4" t="s">
        <v>44</v>
      </c>
      <c r="F2384" s="4" t="s">
        <v>28</v>
      </c>
      <c r="G2384" s="4" t="s">
        <v>19</v>
      </c>
      <c r="H2384" s="4" t="s">
        <v>36</v>
      </c>
      <c r="I2384" s="4">
        <v>25</v>
      </c>
      <c r="J2384" s="5">
        <v>70.7</v>
      </c>
      <c r="K2384" s="6">
        <v>1.51</v>
      </c>
      <c r="L2384" s="4">
        <v>6</v>
      </c>
      <c r="M2384" s="4">
        <v>127</v>
      </c>
      <c r="N2384" s="4">
        <v>83</v>
      </c>
      <c r="O2384" s="4" t="s">
        <v>26</v>
      </c>
      <c r="P2384" s="7" t="s">
        <v>30</v>
      </c>
    </row>
    <row r="2385" spans="2:16" x14ac:dyDescent="0.45">
      <c r="B2385" s="4">
        <v>2384</v>
      </c>
      <c r="C2385" s="4" t="s">
        <v>33</v>
      </c>
      <c r="D2385" s="4" t="s">
        <v>23</v>
      </c>
      <c r="E2385" s="4" t="s">
        <v>35</v>
      </c>
      <c r="F2385" s="4" t="s">
        <v>42</v>
      </c>
      <c r="G2385" s="4" t="s">
        <v>19</v>
      </c>
      <c r="H2385" s="4" t="s">
        <v>36</v>
      </c>
      <c r="I2385" s="4">
        <v>16</v>
      </c>
      <c r="J2385" s="5">
        <v>49</v>
      </c>
      <c r="K2385" s="6">
        <v>1.59</v>
      </c>
      <c r="L2385" s="4">
        <v>4</v>
      </c>
      <c r="M2385" s="4">
        <v>130</v>
      </c>
      <c r="N2385" s="4">
        <v>94</v>
      </c>
      <c r="O2385" s="4" t="s">
        <v>26</v>
      </c>
      <c r="P2385" s="7" t="s">
        <v>19</v>
      </c>
    </row>
    <row r="2386" spans="2:16" x14ac:dyDescent="0.45">
      <c r="B2386" s="4">
        <v>2385</v>
      </c>
      <c r="C2386" s="4" t="s">
        <v>27</v>
      </c>
      <c r="D2386" s="4" t="s">
        <v>16</v>
      </c>
      <c r="E2386" s="4" t="s">
        <v>17</v>
      </c>
      <c r="F2386" s="4" t="s">
        <v>24</v>
      </c>
      <c r="G2386" s="4" t="s">
        <v>19</v>
      </c>
      <c r="H2386" s="4" t="s">
        <v>25</v>
      </c>
      <c r="I2386" s="4">
        <v>43</v>
      </c>
      <c r="J2386" s="5">
        <v>80.599999999999994</v>
      </c>
      <c r="K2386" s="6">
        <v>1.49</v>
      </c>
      <c r="L2386" s="4">
        <v>1</v>
      </c>
      <c r="M2386" s="4">
        <v>116</v>
      </c>
      <c r="N2386" s="4">
        <v>82</v>
      </c>
      <c r="O2386" s="4" t="s">
        <v>26</v>
      </c>
      <c r="P2386" s="7" t="s">
        <v>19</v>
      </c>
    </row>
    <row r="2387" spans="2:16" x14ac:dyDescent="0.45">
      <c r="B2387" s="4">
        <v>2386</v>
      </c>
      <c r="C2387" s="4" t="s">
        <v>39</v>
      </c>
      <c r="D2387" s="4" t="s">
        <v>23</v>
      </c>
      <c r="E2387" s="4" t="s">
        <v>35</v>
      </c>
      <c r="F2387" s="4" t="s">
        <v>42</v>
      </c>
      <c r="G2387" s="4" t="s">
        <v>19</v>
      </c>
      <c r="H2387" s="4" t="s">
        <v>32</v>
      </c>
      <c r="I2387" s="4">
        <v>13</v>
      </c>
      <c r="J2387" s="5">
        <v>57.6</v>
      </c>
      <c r="K2387" s="6">
        <v>1.59</v>
      </c>
      <c r="L2387" s="4">
        <v>4</v>
      </c>
      <c r="M2387" s="4">
        <v>105</v>
      </c>
      <c r="N2387" s="4">
        <v>157</v>
      </c>
      <c r="O2387" s="4" t="s">
        <v>26</v>
      </c>
      <c r="P2387" s="7" t="s">
        <v>19</v>
      </c>
    </row>
    <row r="2388" spans="2:16" x14ac:dyDescent="0.45">
      <c r="B2388" s="4">
        <v>2387</v>
      </c>
      <c r="C2388" s="4" t="s">
        <v>22</v>
      </c>
      <c r="D2388" s="4" t="s">
        <v>16</v>
      </c>
      <c r="E2388" s="4" t="s">
        <v>35</v>
      </c>
      <c r="F2388" s="4" t="s">
        <v>24</v>
      </c>
      <c r="G2388" s="4" t="s">
        <v>30</v>
      </c>
      <c r="H2388" s="4" t="s">
        <v>20</v>
      </c>
      <c r="I2388" s="4">
        <v>21</v>
      </c>
      <c r="J2388" s="5">
        <v>91.4</v>
      </c>
      <c r="K2388" s="6">
        <v>1.54</v>
      </c>
      <c r="L2388" s="4">
        <v>5</v>
      </c>
      <c r="M2388" s="4">
        <v>113</v>
      </c>
      <c r="N2388" s="4">
        <v>81</v>
      </c>
      <c r="O2388" s="4" t="s">
        <v>21</v>
      </c>
      <c r="P2388" s="7" t="s">
        <v>19</v>
      </c>
    </row>
    <row r="2389" spans="2:16" x14ac:dyDescent="0.45">
      <c r="B2389" s="4">
        <v>2388</v>
      </c>
      <c r="C2389" s="4" t="s">
        <v>45</v>
      </c>
      <c r="D2389" s="4" t="s">
        <v>16</v>
      </c>
      <c r="E2389" s="4" t="s">
        <v>17</v>
      </c>
      <c r="F2389" s="4" t="s">
        <v>28</v>
      </c>
      <c r="G2389" s="4" t="s">
        <v>19</v>
      </c>
      <c r="H2389" s="4" t="s">
        <v>25</v>
      </c>
      <c r="I2389" s="4">
        <v>24</v>
      </c>
      <c r="J2389" s="5">
        <v>64.599999999999994</v>
      </c>
      <c r="K2389" s="6">
        <v>1.74</v>
      </c>
      <c r="L2389" s="4">
        <v>5</v>
      </c>
      <c r="M2389" s="4">
        <v>107</v>
      </c>
      <c r="N2389" s="4">
        <v>78</v>
      </c>
      <c r="O2389" s="4" t="s">
        <v>26</v>
      </c>
      <c r="P2389" s="7" t="s">
        <v>19</v>
      </c>
    </row>
    <row r="2390" spans="2:16" x14ac:dyDescent="0.45">
      <c r="B2390" s="4">
        <v>2389</v>
      </c>
      <c r="C2390" s="4" t="s">
        <v>45</v>
      </c>
      <c r="D2390" s="4" t="s">
        <v>23</v>
      </c>
      <c r="E2390" s="4" t="s">
        <v>35</v>
      </c>
      <c r="F2390" s="4" t="s">
        <v>24</v>
      </c>
      <c r="G2390" s="4" t="s">
        <v>19</v>
      </c>
      <c r="H2390" s="4" t="s">
        <v>36</v>
      </c>
      <c r="I2390" s="4">
        <v>56</v>
      </c>
      <c r="J2390" s="5">
        <v>56.5</v>
      </c>
      <c r="K2390" s="6">
        <v>1.67</v>
      </c>
      <c r="L2390" s="4">
        <v>2</v>
      </c>
      <c r="M2390" s="4">
        <v>127</v>
      </c>
      <c r="N2390" s="4">
        <v>101</v>
      </c>
      <c r="O2390" s="4" t="s">
        <v>26</v>
      </c>
      <c r="P2390" s="7" t="s">
        <v>19</v>
      </c>
    </row>
    <row r="2391" spans="2:16" x14ac:dyDescent="0.45">
      <c r="B2391" s="4">
        <v>2390</v>
      </c>
      <c r="C2391" s="4" t="s">
        <v>43</v>
      </c>
      <c r="D2391" s="4" t="s">
        <v>16</v>
      </c>
      <c r="E2391" s="4" t="s">
        <v>17</v>
      </c>
      <c r="F2391" s="4" t="s">
        <v>18</v>
      </c>
      <c r="G2391" s="4" t="s">
        <v>19</v>
      </c>
      <c r="H2391" s="4" t="s">
        <v>28</v>
      </c>
      <c r="I2391" s="4">
        <v>7</v>
      </c>
      <c r="J2391" s="5">
        <v>20.9</v>
      </c>
      <c r="K2391" s="6">
        <v>1.1200000000000001</v>
      </c>
      <c r="L2391" s="4">
        <v>7</v>
      </c>
      <c r="M2391" s="4">
        <v>100</v>
      </c>
      <c r="N2391" s="4">
        <v>87</v>
      </c>
      <c r="O2391" s="4" t="s">
        <v>26</v>
      </c>
      <c r="P2391" s="7" t="s">
        <v>19</v>
      </c>
    </row>
    <row r="2392" spans="2:16" x14ac:dyDescent="0.45">
      <c r="B2392" s="4">
        <v>2391</v>
      </c>
      <c r="C2392" s="4" t="s">
        <v>27</v>
      </c>
      <c r="D2392" s="4" t="s">
        <v>16</v>
      </c>
      <c r="E2392" s="4" t="s">
        <v>17</v>
      </c>
      <c r="F2392" s="4" t="s">
        <v>24</v>
      </c>
      <c r="G2392" s="4" t="s">
        <v>19</v>
      </c>
      <c r="H2392" s="4" t="s">
        <v>25</v>
      </c>
      <c r="I2392" s="4">
        <v>2</v>
      </c>
      <c r="J2392" s="5">
        <v>14.4</v>
      </c>
      <c r="K2392" s="6">
        <v>0.82</v>
      </c>
      <c r="L2392" s="4">
        <v>5</v>
      </c>
      <c r="M2392" s="4">
        <v>91</v>
      </c>
      <c r="N2392" s="4">
        <v>99</v>
      </c>
      <c r="O2392" s="4" t="s">
        <v>26</v>
      </c>
      <c r="P2392" s="7" t="s">
        <v>19</v>
      </c>
    </row>
    <row r="2393" spans="2:16" x14ac:dyDescent="0.45">
      <c r="B2393" s="4">
        <v>2392</v>
      </c>
      <c r="C2393" s="4" t="s">
        <v>41</v>
      </c>
      <c r="D2393" s="4" t="s">
        <v>23</v>
      </c>
      <c r="E2393" s="4" t="s">
        <v>35</v>
      </c>
      <c r="F2393" s="4" t="s">
        <v>42</v>
      </c>
      <c r="G2393" s="4" t="s">
        <v>19</v>
      </c>
      <c r="H2393" s="4" t="s">
        <v>34</v>
      </c>
      <c r="I2393" s="4">
        <v>4</v>
      </c>
      <c r="J2393" s="5">
        <v>12.9</v>
      </c>
      <c r="K2393" s="6">
        <v>1.02</v>
      </c>
      <c r="L2393" s="4">
        <v>5</v>
      </c>
      <c r="M2393" s="4">
        <v>101</v>
      </c>
      <c r="N2393" s="4">
        <v>93</v>
      </c>
      <c r="O2393" s="4" t="s">
        <v>21</v>
      </c>
      <c r="P2393" s="7" t="s">
        <v>19</v>
      </c>
    </row>
    <row r="2394" spans="2:16" x14ac:dyDescent="0.45">
      <c r="B2394" s="4">
        <v>2393</v>
      </c>
      <c r="C2394" s="4" t="s">
        <v>40</v>
      </c>
      <c r="D2394" s="4" t="s">
        <v>23</v>
      </c>
      <c r="E2394" s="4" t="s">
        <v>37</v>
      </c>
      <c r="F2394" s="4" t="s">
        <v>28</v>
      </c>
      <c r="G2394" s="4" t="s">
        <v>19</v>
      </c>
      <c r="H2394" s="4" t="s">
        <v>36</v>
      </c>
      <c r="I2394" s="4">
        <v>36</v>
      </c>
      <c r="J2394" s="5">
        <v>75.8</v>
      </c>
      <c r="K2394" s="6">
        <v>1.86</v>
      </c>
      <c r="L2394" s="4">
        <v>7</v>
      </c>
      <c r="M2394" s="4">
        <v>138</v>
      </c>
      <c r="N2394" s="4">
        <v>84</v>
      </c>
      <c r="O2394" s="4" t="s">
        <v>26</v>
      </c>
      <c r="P2394" s="7" t="s">
        <v>19</v>
      </c>
    </row>
    <row r="2395" spans="2:16" x14ac:dyDescent="0.45">
      <c r="B2395" s="4">
        <v>2394</v>
      </c>
      <c r="C2395" s="4" t="s">
        <v>15</v>
      </c>
      <c r="D2395" s="4" t="s">
        <v>23</v>
      </c>
      <c r="E2395" s="4" t="s">
        <v>35</v>
      </c>
      <c r="F2395" s="4" t="s">
        <v>18</v>
      </c>
      <c r="G2395" s="4" t="s">
        <v>19</v>
      </c>
      <c r="H2395" s="4" t="s">
        <v>38</v>
      </c>
      <c r="I2395" s="4">
        <v>30</v>
      </c>
      <c r="J2395" s="5">
        <v>68.599999999999994</v>
      </c>
      <c r="K2395" s="6">
        <v>1.64</v>
      </c>
      <c r="L2395" s="4">
        <v>2</v>
      </c>
      <c r="M2395" s="4">
        <v>113</v>
      </c>
      <c r="N2395" s="4">
        <v>95</v>
      </c>
      <c r="O2395" s="4" t="s">
        <v>21</v>
      </c>
      <c r="P2395" s="7" t="s">
        <v>19</v>
      </c>
    </row>
    <row r="2396" spans="2:16" x14ac:dyDescent="0.45">
      <c r="B2396" s="4">
        <v>2395</v>
      </c>
      <c r="C2396" s="4" t="s">
        <v>29</v>
      </c>
      <c r="D2396" s="4" t="s">
        <v>23</v>
      </c>
      <c r="E2396" s="4" t="s">
        <v>17</v>
      </c>
      <c r="F2396" s="4" t="s">
        <v>24</v>
      </c>
      <c r="G2396" s="4" t="s">
        <v>30</v>
      </c>
      <c r="H2396" s="4" t="s">
        <v>28</v>
      </c>
      <c r="I2396" s="4">
        <v>29</v>
      </c>
      <c r="J2396" s="5">
        <v>78.599999999999994</v>
      </c>
      <c r="K2396" s="6">
        <v>1.73</v>
      </c>
      <c r="L2396" s="4">
        <v>1</v>
      </c>
      <c r="M2396" s="4">
        <v>108</v>
      </c>
      <c r="N2396" s="4">
        <v>103</v>
      </c>
      <c r="O2396" s="4" t="s">
        <v>21</v>
      </c>
      <c r="P2396" s="7" t="s">
        <v>30</v>
      </c>
    </row>
    <row r="2397" spans="2:16" x14ac:dyDescent="0.45">
      <c r="B2397" s="4">
        <v>2396</v>
      </c>
      <c r="C2397" s="4" t="s">
        <v>40</v>
      </c>
      <c r="D2397" s="4" t="s">
        <v>23</v>
      </c>
      <c r="E2397" s="4" t="s">
        <v>17</v>
      </c>
      <c r="F2397" s="4" t="s">
        <v>24</v>
      </c>
      <c r="G2397" s="4" t="s">
        <v>30</v>
      </c>
      <c r="H2397" s="4" t="s">
        <v>28</v>
      </c>
      <c r="I2397" s="4">
        <v>24</v>
      </c>
      <c r="J2397" s="5">
        <v>56.9</v>
      </c>
      <c r="K2397" s="6">
        <v>1.69</v>
      </c>
      <c r="L2397" s="4">
        <v>2</v>
      </c>
      <c r="M2397" s="4">
        <v>110</v>
      </c>
      <c r="N2397" s="4">
        <v>72</v>
      </c>
      <c r="O2397" s="4" t="s">
        <v>21</v>
      </c>
      <c r="P2397" s="7" t="s">
        <v>30</v>
      </c>
    </row>
    <row r="2398" spans="2:16" x14ac:dyDescent="0.45">
      <c r="B2398" s="4">
        <v>2397</v>
      </c>
      <c r="C2398" s="4" t="s">
        <v>27</v>
      </c>
      <c r="D2398" s="4" t="s">
        <v>23</v>
      </c>
      <c r="E2398" s="4" t="s">
        <v>35</v>
      </c>
      <c r="F2398" s="4" t="s">
        <v>18</v>
      </c>
      <c r="G2398" s="4" t="s">
        <v>19</v>
      </c>
      <c r="H2398" s="4" t="s">
        <v>20</v>
      </c>
      <c r="I2398" s="4">
        <v>22</v>
      </c>
      <c r="J2398" s="5">
        <v>77.099999999999994</v>
      </c>
      <c r="K2398" s="6">
        <v>1.68</v>
      </c>
      <c r="L2398" s="4">
        <v>9</v>
      </c>
      <c r="M2398" s="4">
        <v>117</v>
      </c>
      <c r="N2398" s="4">
        <v>99</v>
      </c>
      <c r="O2398" s="4" t="s">
        <v>26</v>
      </c>
      <c r="P2398" s="7" t="s">
        <v>30</v>
      </c>
    </row>
    <row r="2399" spans="2:16" x14ac:dyDescent="0.45">
      <c r="B2399" s="4">
        <v>2398</v>
      </c>
      <c r="C2399" s="4" t="s">
        <v>45</v>
      </c>
      <c r="D2399" s="4" t="s">
        <v>16</v>
      </c>
      <c r="E2399" s="4" t="s">
        <v>35</v>
      </c>
      <c r="F2399" s="4" t="s">
        <v>18</v>
      </c>
      <c r="G2399" s="4" t="s">
        <v>19</v>
      </c>
      <c r="H2399" s="4" t="s">
        <v>32</v>
      </c>
      <c r="I2399" s="4">
        <v>48</v>
      </c>
      <c r="J2399" s="5">
        <v>51.5</v>
      </c>
      <c r="K2399" s="6">
        <v>1.6</v>
      </c>
      <c r="L2399" s="4">
        <v>1</v>
      </c>
      <c r="M2399" s="4">
        <v>127</v>
      </c>
      <c r="N2399" s="4">
        <v>145</v>
      </c>
      <c r="O2399" s="4" t="s">
        <v>26</v>
      </c>
      <c r="P2399" s="7" t="s">
        <v>19</v>
      </c>
    </row>
    <row r="2400" spans="2:16" x14ac:dyDescent="0.45">
      <c r="B2400" s="4">
        <v>2399</v>
      </c>
      <c r="C2400" s="4" t="s">
        <v>45</v>
      </c>
      <c r="D2400" s="4" t="s">
        <v>16</v>
      </c>
      <c r="E2400" s="4" t="s">
        <v>35</v>
      </c>
      <c r="F2400" s="4" t="s">
        <v>24</v>
      </c>
      <c r="G2400" s="4" t="s">
        <v>19</v>
      </c>
      <c r="H2400" s="4" t="s">
        <v>38</v>
      </c>
      <c r="I2400" s="4">
        <v>35</v>
      </c>
      <c r="J2400" s="5">
        <v>71.2</v>
      </c>
      <c r="K2400" s="6">
        <v>1.65</v>
      </c>
      <c r="L2400" s="4">
        <v>7</v>
      </c>
      <c r="M2400" s="4">
        <v>115</v>
      </c>
      <c r="N2400" s="4">
        <v>92</v>
      </c>
      <c r="O2400" s="4" t="s">
        <v>26</v>
      </c>
      <c r="P2400" s="7" t="s">
        <v>19</v>
      </c>
    </row>
    <row r="2401" spans="2:16" x14ac:dyDescent="0.45">
      <c r="B2401" s="4">
        <v>2400</v>
      </c>
      <c r="C2401" s="4" t="s">
        <v>31</v>
      </c>
      <c r="D2401" s="4" t="s">
        <v>23</v>
      </c>
      <c r="E2401" s="4" t="s">
        <v>17</v>
      </c>
      <c r="F2401" s="4" t="s">
        <v>28</v>
      </c>
      <c r="G2401" s="4" t="s">
        <v>19</v>
      </c>
      <c r="H2401" s="4" t="s">
        <v>20</v>
      </c>
      <c r="I2401" s="4">
        <v>16</v>
      </c>
      <c r="J2401" s="5">
        <v>43.6</v>
      </c>
      <c r="K2401" s="6">
        <v>1.52</v>
      </c>
      <c r="L2401" s="4">
        <v>8</v>
      </c>
      <c r="M2401" s="4">
        <v>104</v>
      </c>
      <c r="N2401" s="4">
        <v>85</v>
      </c>
      <c r="O2401" s="4" t="s">
        <v>21</v>
      </c>
      <c r="P2401" s="7" t="s">
        <v>19</v>
      </c>
    </row>
    <row r="2402" spans="2:16" x14ac:dyDescent="0.45">
      <c r="B2402" s="4">
        <v>2401</v>
      </c>
      <c r="C2402" s="4" t="s">
        <v>15</v>
      </c>
      <c r="D2402" s="4" t="s">
        <v>16</v>
      </c>
      <c r="E2402" s="4" t="s">
        <v>37</v>
      </c>
      <c r="F2402" s="4" t="s">
        <v>28</v>
      </c>
      <c r="G2402" s="4" t="s">
        <v>19</v>
      </c>
      <c r="H2402" s="4" t="s">
        <v>32</v>
      </c>
      <c r="I2402" s="4">
        <v>41</v>
      </c>
      <c r="J2402" s="5">
        <v>78.2</v>
      </c>
      <c r="K2402" s="6">
        <v>1.62</v>
      </c>
      <c r="L2402" s="4">
        <v>5</v>
      </c>
      <c r="M2402" s="4">
        <v>108</v>
      </c>
      <c r="N2402" s="4">
        <v>122</v>
      </c>
      <c r="O2402" s="4" t="s">
        <v>26</v>
      </c>
      <c r="P2402" s="7" t="s">
        <v>19</v>
      </c>
    </row>
    <row r="2403" spans="2:16" x14ac:dyDescent="0.45">
      <c r="B2403" s="4">
        <v>2402</v>
      </c>
      <c r="C2403" s="4" t="s">
        <v>22</v>
      </c>
      <c r="D2403" s="4" t="s">
        <v>23</v>
      </c>
      <c r="E2403" s="4" t="s">
        <v>17</v>
      </c>
      <c r="F2403" s="4" t="s">
        <v>18</v>
      </c>
      <c r="G2403" s="4" t="s">
        <v>19</v>
      </c>
      <c r="H2403" s="4" t="s">
        <v>38</v>
      </c>
      <c r="I2403" s="4">
        <v>25</v>
      </c>
      <c r="J2403" s="5">
        <v>77.099999999999994</v>
      </c>
      <c r="K2403" s="6">
        <v>1.86</v>
      </c>
      <c r="L2403" s="4">
        <v>2</v>
      </c>
      <c r="M2403" s="4">
        <v>119</v>
      </c>
      <c r="N2403" s="4">
        <v>100</v>
      </c>
      <c r="O2403" s="4" t="s">
        <v>26</v>
      </c>
      <c r="P2403" s="7" t="s">
        <v>19</v>
      </c>
    </row>
    <row r="2404" spans="2:16" x14ac:dyDescent="0.45">
      <c r="B2404" s="4">
        <v>2403</v>
      </c>
      <c r="C2404" s="4" t="s">
        <v>22</v>
      </c>
      <c r="D2404" s="4" t="s">
        <v>16</v>
      </c>
      <c r="E2404" s="4" t="s">
        <v>17</v>
      </c>
      <c r="F2404" s="4" t="s">
        <v>18</v>
      </c>
      <c r="G2404" s="4" t="s">
        <v>19</v>
      </c>
      <c r="H2404" s="4" t="s">
        <v>36</v>
      </c>
      <c r="I2404" s="4">
        <v>33</v>
      </c>
      <c r="J2404" s="5">
        <v>91.7</v>
      </c>
      <c r="K2404" s="6">
        <v>1.68</v>
      </c>
      <c r="L2404" s="4">
        <v>1</v>
      </c>
      <c r="M2404" s="4">
        <v>135</v>
      </c>
      <c r="N2404" s="4">
        <v>80</v>
      </c>
      <c r="O2404" s="4" t="s">
        <v>21</v>
      </c>
      <c r="P2404" s="7" t="s">
        <v>19</v>
      </c>
    </row>
    <row r="2405" spans="2:16" x14ac:dyDescent="0.45">
      <c r="B2405" s="4">
        <v>2404</v>
      </c>
      <c r="C2405" s="4" t="s">
        <v>27</v>
      </c>
      <c r="D2405" s="4" t="s">
        <v>23</v>
      </c>
      <c r="E2405" s="4" t="s">
        <v>17</v>
      </c>
      <c r="F2405" s="4" t="s">
        <v>24</v>
      </c>
      <c r="G2405" s="4" t="s">
        <v>19</v>
      </c>
      <c r="H2405" s="4" t="s">
        <v>20</v>
      </c>
      <c r="I2405" s="4">
        <v>63</v>
      </c>
      <c r="J2405" s="5">
        <v>46.3</v>
      </c>
      <c r="K2405" s="6">
        <v>1.87</v>
      </c>
      <c r="L2405" s="4">
        <v>6</v>
      </c>
      <c r="M2405" s="4">
        <v>118</v>
      </c>
      <c r="N2405" s="4">
        <v>84</v>
      </c>
      <c r="O2405" s="4" t="s">
        <v>26</v>
      </c>
      <c r="P2405" s="7" t="s">
        <v>19</v>
      </c>
    </row>
    <row r="2406" spans="2:16" x14ac:dyDescent="0.45">
      <c r="B2406" s="4">
        <v>2405</v>
      </c>
      <c r="C2406" s="4" t="s">
        <v>22</v>
      </c>
      <c r="D2406" s="4" t="s">
        <v>23</v>
      </c>
      <c r="E2406" s="4" t="s">
        <v>17</v>
      </c>
      <c r="F2406" s="4" t="s">
        <v>28</v>
      </c>
      <c r="G2406" s="4" t="s">
        <v>19</v>
      </c>
      <c r="H2406" s="4" t="s">
        <v>36</v>
      </c>
      <c r="I2406" s="4">
        <v>13</v>
      </c>
      <c r="J2406" s="5">
        <v>46</v>
      </c>
      <c r="K2406" s="6">
        <v>1.59</v>
      </c>
      <c r="L2406" s="4">
        <v>3</v>
      </c>
      <c r="M2406" s="4">
        <v>129</v>
      </c>
      <c r="N2406" s="4">
        <v>88</v>
      </c>
      <c r="O2406" s="4" t="s">
        <v>26</v>
      </c>
      <c r="P2406" s="7" t="s">
        <v>19</v>
      </c>
    </row>
    <row r="2407" spans="2:16" x14ac:dyDescent="0.45">
      <c r="B2407" s="4">
        <v>2406</v>
      </c>
      <c r="C2407" s="4" t="s">
        <v>45</v>
      </c>
      <c r="D2407" s="4" t="s">
        <v>16</v>
      </c>
      <c r="E2407" s="4" t="s">
        <v>17</v>
      </c>
      <c r="F2407" s="4" t="s">
        <v>28</v>
      </c>
      <c r="G2407" s="4" t="s">
        <v>19</v>
      </c>
      <c r="H2407" s="4" t="s">
        <v>20</v>
      </c>
      <c r="I2407" s="4">
        <v>9</v>
      </c>
      <c r="J2407" s="5">
        <v>25.1</v>
      </c>
      <c r="K2407" s="6">
        <v>1.41</v>
      </c>
      <c r="L2407" s="4">
        <v>8</v>
      </c>
      <c r="M2407" s="4">
        <v>115</v>
      </c>
      <c r="N2407" s="4">
        <v>102</v>
      </c>
      <c r="O2407" s="4" t="s">
        <v>21</v>
      </c>
      <c r="P2407" s="7" t="s">
        <v>19</v>
      </c>
    </row>
    <row r="2408" spans="2:16" x14ac:dyDescent="0.45">
      <c r="B2408" s="4">
        <v>2407</v>
      </c>
      <c r="C2408" s="4" t="s">
        <v>27</v>
      </c>
      <c r="D2408" s="4" t="s">
        <v>23</v>
      </c>
      <c r="E2408" s="4" t="s">
        <v>35</v>
      </c>
      <c r="F2408" s="4" t="s">
        <v>18</v>
      </c>
      <c r="G2408" s="4" t="s">
        <v>19</v>
      </c>
      <c r="H2408" s="4" t="s">
        <v>20</v>
      </c>
      <c r="I2408" s="4">
        <v>42</v>
      </c>
      <c r="J2408" s="5">
        <v>55.2</v>
      </c>
      <c r="K2408" s="6">
        <v>1.49</v>
      </c>
      <c r="L2408" s="4">
        <v>2</v>
      </c>
      <c r="M2408" s="4">
        <v>119</v>
      </c>
      <c r="N2408" s="4">
        <v>74</v>
      </c>
      <c r="O2408" s="4" t="s">
        <v>21</v>
      </c>
      <c r="P2408" s="7" t="s">
        <v>30</v>
      </c>
    </row>
    <row r="2409" spans="2:16" x14ac:dyDescent="0.45">
      <c r="B2409" s="4">
        <v>2408</v>
      </c>
      <c r="C2409" s="4" t="s">
        <v>22</v>
      </c>
      <c r="D2409" s="4" t="s">
        <v>16</v>
      </c>
      <c r="E2409" s="4" t="s">
        <v>17</v>
      </c>
      <c r="F2409" s="4" t="s">
        <v>18</v>
      </c>
      <c r="G2409" s="4" t="s">
        <v>19</v>
      </c>
      <c r="H2409" s="4" t="s">
        <v>20</v>
      </c>
      <c r="I2409" s="4">
        <v>42</v>
      </c>
      <c r="J2409" s="5">
        <v>83.8</v>
      </c>
      <c r="K2409" s="6">
        <v>1.55</v>
      </c>
      <c r="L2409" s="4">
        <v>2</v>
      </c>
      <c r="M2409" s="4">
        <v>112</v>
      </c>
      <c r="N2409" s="4">
        <v>82</v>
      </c>
      <c r="O2409" s="4" t="s">
        <v>21</v>
      </c>
      <c r="P2409" s="7" t="s">
        <v>19</v>
      </c>
    </row>
    <row r="2410" spans="2:16" x14ac:dyDescent="0.45">
      <c r="B2410" s="4">
        <v>2409</v>
      </c>
      <c r="C2410" s="4" t="s">
        <v>39</v>
      </c>
      <c r="D2410" s="4" t="s">
        <v>23</v>
      </c>
      <c r="E2410" s="4" t="s">
        <v>17</v>
      </c>
      <c r="F2410" s="4" t="s">
        <v>24</v>
      </c>
      <c r="G2410" s="4" t="s">
        <v>19</v>
      </c>
      <c r="H2410" s="4" t="s">
        <v>20</v>
      </c>
      <c r="I2410" s="4">
        <v>7</v>
      </c>
      <c r="J2410" s="5">
        <v>32.299999999999997</v>
      </c>
      <c r="K2410" s="6">
        <v>1.05</v>
      </c>
      <c r="L2410" s="4">
        <v>0</v>
      </c>
      <c r="M2410" s="4">
        <v>101</v>
      </c>
      <c r="N2410" s="4">
        <v>82</v>
      </c>
      <c r="O2410" s="4" t="s">
        <v>21</v>
      </c>
      <c r="P2410" s="7" t="s">
        <v>19</v>
      </c>
    </row>
    <row r="2411" spans="2:16" x14ac:dyDescent="0.45">
      <c r="B2411" s="4">
        <v>2410</v>
      </c>
      <c r="C2411" s="4" t="s">
        <v>22</v>
      </c>
      <c r="D2411" s="4" t="s">
        <v>16</v>
      </c>
      <c r="E2411" s="4" t="s">
        <v>35</v>
      </c>
      <c r="F2411" s="4" t="s">
        <v>28</v>
      </c>
      <c r="G2411" s="4" t="s">
        <v>19</v>
      </c>
      <c r="H2411" s="4" t="s">
        <v>38</v>
      </c>
      <c r="I2411" s="4">
        <v>51</v>
      </c>
      <c r="J2411" s="5">
        <v>74</v>
      </c>
      <c r="K2411" s="6">
        <v>1.76</v>
      </c>
      <c r="L2411" s="4">
        <v>4</v>
      </c>
      <c r="M2411" s="4">
        <v>121</v>
      </c>
      <c r="N2411" s="4">
        <v>97</v>
      </c>
      <c r="O2411" s="4" t="s">
        <v>21</v>
      </c>
      <c r="P2411" s="7" t="s">
        <v>19</v>
      </c>
    </row>
    <row r="2412" spans="2:16" x14ac:dyDescent="0.45">
      <c r="B2412" s="4">
        <v>2411</v>
      </c>
      <c r="C2412" s="4" t="s">
        <v>41</v>
      </c>
      <c r="D2412" s="4" t="s">
        <v>23</v>
      </c>
      <c r="E2412" s="4" t="s">
        <v>17</v>
      </c>
      <c r="F2412" s="4" t="s">
        <v>18</v>
      </c>
      <c r="G2412" s="4" t="s">
        <v>19</v>
      </c>
      <c r="H2412" s="4" t="s">
        <v>36</v>
      </c>
      <c r="I2412" s="4">
        <v>61</v>
      </c>
      <c r="J2412" s="5">
        <v>89.7</v>
      </c>
      <c r="K2412" s="6">
        <v>1.72</v>
      </c>
      <c r="L2412" s="4">
        <v>1</v>
      </c>
      <c r="M2412" s="4">
        <v>154</v>
      </c>
      <c r="N2412" s="4">
        <v>101</v>
      </c>
      <c r="O2412" s="4" t="s">
        <v>26</v>
      </c>
      <c r="P2412" s="7" t="s">
        <v>19</v>
      </c>
    </row>
    <row r="2413" spans="2:16" x14ac:dyDescent="0.45">
      <c r="B2413" s="4">
        <v>2412</v>
      </c>
      <c r="C2413" s="4" t="s">
        <v>27</v>
      </c>
      <c r="D2413" s="4" t="s">
        <v>23</v>
      </c>
      <c r="E2413" s="4" t="s">
        <v>35</v>
      </c>
      <c r="F2413" s="4" t="s">
        <v>18</v>
      </c>
      <c r="G2413" s="4" t="s">
        <v>30</v>
      </c>
      <c r="H2413" s="4" t="s">
        <v>36</v>
      </c>
      <c r="I2413" s="4">
        <v>83</v>
      </c>
      <c r="J2413" s="5">
        <v>92.3</v>
      </c>
      <c r="K2413" s="6">
        <v>1.81</v>
      </c>
      <c r="L2413" s="4">
        <v>5</v>
      </c>
      <c r="M2413" s="4">
        <v>152</v>
      </c>
      <c r="N2413" s="4">
        <v>83</v>
      </c>
      <c r="O2413" s="4" t="s">
        <v>26</v>
      </c>
      <c r="P2413" s="7" t="s">
        <v>30</v>
      </c>
    </row>
    <row r="2414" spans="2:16" x14ac:dyDescent="0.45">
      <c r="B2414" s="4">
        <v>2413</v>
      </c>
      <c r="C2414" s="4" t="s">
        <v>29</v>
      </c>
      <c r="D2414" s="4" t="s">
        <v>23</v>
      </c>
      <c r="E2414" s="4" t="s">
        <v>35</v>
      </c>
      <c r="F2414" s="4" t="s">
        <v>24</v>
      </c>
      <c r="G2414" s="4" t="s">
        <v>19</v>
      </c>
      <c r="H2414" s="4" t="s">
        <v>20</v>
      </c>
      <c r="I2414" s="4">
        <v>22</v>
      </c>
      <c r="J2414" s="5">
        <v>80.7</v>
      </c>
      <c r="K2414" s="6">
        <v>1.87</v>
      </c>
      <c r="L2414" s="4">
        <v>3</v>
      </c>
      <c r="M2414" s="4">
        <v>120</v>
      </c>
      <c r="N2414" s="4">
        <v>78</v>
      </c>
      <c r="O2414" s="4" t="s">
        <v>26</v>
      </c>
      <c r="P2414" s="7" t="s">
        <v>19</v>
      </c>
    </row>
    <row r="2415" spans="2:16" x14ac:dyDescent="0.45">
      <c r="B2415" s="4">
        <v>2414</v>
      </c>
      <c r="C2415" s="4" t="s">
        <v>41</v>
      </c>
      <c r="D2415" s="4" t="s">
        <v>23</v>
      </c>
      <c r="E2415" s="4" t="s">
        <v>35</v>
      </c>
      <c r="F2415" s="4" t="s">
        <v>18</v>
      </c>
      <c r="G2415" s="4" t="s">
        <v>19</v>
      </c>
      <c r="H2415" s="4" t="s">
        <v>28</v>
      </c>
      <c r="I2415" s="4">
        <v>22</v>
      </c>
      <c r="J2415" s="5">
        <v>94</v>
      </c>
      <c r="K2415" s="6">
        <v>1.64</v>
      </c>
      <c r="L2415" s="4">
        <v>3</v>
      </c>
      <c r="M2415" s="4">
        <v>115</v>
      </c>
      <c r="N2415" s="4">
        <v>95</v>
      </c>
      <c r="O2415" s="4" t="s">
        <v>26</v>
      </c>
      <c r="P2415" s="7" t="s">
        <v>30</v>
      </c>
    </row>
    <row r="2416" spans="2:16" x14ac:dyDescent="0.45">
      <c r="B2416" s="4">
        <v>2415</v>
      </c>
      <c r="C2416" s="4" t="s">
        <v>27</v>
      </c>
      <c r="D2416" s="4" t="s">
        <v>16</v>
      </c>
      <c r="E2416" s="4" t="s">
        <v>37</v>
      </c>
      <c r="F2416" s="4" t="s">
        <v>24</v>
      </c>
      <c r="G2416" s="4" t="s">
        <v>19</v>
      </c>
      <c r="H2416" s="4" t="s">
        <v>20</v>
      </c>
      <c r="I2416" s="4">
        <v>37</v>
      </c>
      <c r="J2416" s="5">
        <v>64.2</v>
      </c>
      <c r="K2416" s="6">
        <v>1.78</v>
      </c>
      <c r="L2416" s="4">
        <v>2</v>
      </c>
      <c r="M2416" s="4">
        <v>110</v>
      </c>
      <c r="N2416" s="4">
        <v>89</v>
      </c>
      <c r="O2416" s="4" t="s">
        <v>26</v>
      </c>
      <c r="P2416" s="7" t="s">
        <v>19</v>
      </c>
    </row>
    <row r="2417" spans="2:16" x14ac:dyDescent="0.45">
      <c r="B2417" s="4">
        <v>2416</v>
      </c>
      <c r="C2417" s="4" t="s">
        <v>43</v>
      </c>
      <c r="D2417" s="4" t="s">
        <v>23</v>
      </c>
      <c r="E2417" s="4" t="s">
        <v>37</v>
      </c>
      <c r="F2417" s="4" t="s">
        <v>24</v>
      </c>
      <c r="G2417" s="4" t="s">
        <v>30</v>
      </c>
      <c r="H2417" s="4" t="s">
        <v>28</v>
      </c>
      <c r="I2417" s="4">
        <v>17</v>
      </c>
      <c r="J2417" s="5">
        <v>57.1</v>
      </c>
      <c r="K2417" s="6">
        <v>1.64</v>
      </c>
      <c r="L2417" s="4">
        <v>10</v>
      </c>
      <c r="M2417" s="4">
        <v>118</v>
      </c>
      <c r="N2417" s="4">
        <v>89</v>
      </c>
      <c r="O2417" s="4" t="s">
        <v>21</v>
      </c>
      <c r="P2417" s="7" t="s">
        <v>19</v>
      </c>
    </row>
    <row r="2418" spans="2:16" x14ac:dyDescent="0.45">
      <c r="B2418" s="4">
        <v>2417</v>
      </c>
      <c r="C2418" s="4" t="s">
        <v>31</v>
      </c>
      <c r="D2418" s="4" t="s">
        <v>16</v>
      </c>
      <c r="E2418" s="4" t="s">
        <v>35</v>
      </c>
      <c r="F2418" s="4" t="s">
        <v>18</v>
      </c>
      <c r="G2418" s="4" t="s">
        <v>30</v>
      </c>
      <c r="H2418" s="4" t="s">
        <v>28</v>
      </c>
      <c r="I2418" s="4">
        <v>56</v>
      </c>
      <c r="J2418" s="5">
        <v>45.5</v>
      </c>
      <c r="K2418" s="6">
        <v>1.78</v>
      </c>
      <c r="L2418" s="4">
        <v>6</v>
      </c>
      <c r="M2418" s="4">
        <v>112</v>
      </c>
      <c r="N2418" s="4">
        <v>89</v>
      </c>
      <c r="O2418" s="4" t="s">
        <v>21</v>
      </c>
      <c r="P2418" s="7" t="s">
        <v>19</v>
      </c>
    </row>
    <row r="2419" spans="2:16" x14ac:dyDescent="0.45">
      <c r="B2419" s="4">
        <v>2418</v>
      </c>
      <c r="C2419" s="4" t="s">
        <v>31</v>
      </c>
      <c r="D2419" s="4" t="s">
        <v>23</v>
      </c>
      <c r="E2419" s="4" t="s">
        <v>35</v>
      </c>
      <c r="F2419" s="4" t="s">
        <v>18</v>
      </c>
      <c r="G2419" s="4" t="s">
        <v>30</v>
      </c>
      <c r="H2419" s="4" t="s">
        <v>20</v>
      </c>
      <c r="I2419" s="4">
        <v>41</v>
      </c>
      <c r="J2419" s="5">
        <v>67.7</v>
      </c>
      <c r="K2419" s="6">
        <v>1.54</v>
      </c>
      <c r="L2419" s="4">
        <v>6</v>
      </c>
      <c r="M2419" s="4">
        <v>112</v>
      </c>
      <c r="N2419" s="4">
        <v>87</v>
      </c>
      <c r="O2419" s="4" t="s">
        <v>26</v>
      </c>
      <c r="P2419" s="7" t="s">
        <v>30</v>
      </c>
    </row>
    <row r="2420" spans="2:16" x14ac:dyDescent="0.45">
      <c r="B2420" s="4">
        <v>2419</v>
      </c>
      <c r="C2420" s="4" t="s">
        <v>41</v>
      </c>
      <c r="D2420" s="4" t="s">
        <v>16</v>
      </c>
      <c r="E2420" s="4" t="s">
        <v>35</v>
      </c>
      <c r="F2420" s="4" t="s">
        <v>28</v>
      </c>
      <c r="G2420" s="4" t="s">
        <v>30</v>
      </c>
      <c r="H2420" s="4" t="s">
        <v>32</v>
      </c>
      <c r="I2420" s="4">
        <v>0</v>
      </c>
      <c r="J2420" s="5">
        <v>16.7</v>
      </c>
      <c r="K2420" s="6">
        <v>0.74</v>
      </c>
      <c r="L2420" s="4">
        <v>1</v>
      </c>
      <c r="M2420" s="4">
        <v>92</v>
      </c>
      <c r="N2420" s="4">
        <v>153</v>
      </c>
      <c r="O2420" s="4" t="s">
        <v>21</v>
      </c>
      <c r="P2420" s="7" t="s">
        <v>19</v>
      </c>
    </row>
    <row r="2421" spans="2:16" x14ac:dyDescent="0.45">
      <c r="B2421" s="4">
        <v>2420</v>
      </c>
      <c r="C2421" s="4" t="s">
        <v>33</v>
      </c>
      <c r="D2421" s="4" t="s">
        <v>23</v>
      </c>
      <c r="E2421" s="4" t="s">
        <v>17</v>
      </c>
      <c r="F2421" s="4" t="s">
        <v>28</v>
      </c>
      <c r="G2421" s="4" t="s">
        <v>30</v>
      </c>
      <c r="H2421" s="4" t="s">
        <v>28</v>
      </c>
      <c r="I2421" s="4">
        <v>9</v>
      </c>
      <c r="J2421" s="5">
        <v>27.8</v>
      </c>
      <c r="K2421" s="6">
        <v>1.1399999999999999</v>
      </c>
      <c r="L2421" s="4">
        <v>0</v>
      </c>
      <c r="M2421" s="4">
        <v>116</v>
      </c>
      <c r="N2421" s="4">
        <v>83</v>
      </c>
      <c r="O2421" s="4" t="s">
        <v>21</v>
      </c>
      <c r="P2421" s="7" t="s">
        <v>19</v>
      </c>
    </row>
    <row r="2422" spans="2:16" x14ac:dyDescent="0.45">
      <c r="B2422" s="4">
        <v>2421</v>
      </c>
      <c r="C2422" s="4" t="s">
        <v>41</v>
      </c>
      <c r="D2422" s="4" t="s">
        <v>16</v>
      </c>
      <c r="E2422" s="4" t="s">
        <v>37</v>
      </c>
      <c r="F2422" s="4" t="s">
        <v>28</v>
      </c>
      <c r="G2422" s="4" t="s">
        <v>19</v>
      </c>
      <c r="H2422" s="4" t="s">
        <v>20</v>
      </c>
      <c r="I2422" s="4">
        <v>18</v>
      </c>
      <c r="J2422" s="5">
        <v>75.8</v>
      </c>
      <c r="K2422" s="6">
        <v>1.86</v>
      </c>
      <c r="L2422" s="4">
        <v>3</v>
      </c>
      <c r="M2422" s="4">
        <v>96</v>
      </c>
      <c r="N2422" s="4">
        <v>74</v>
      </c>
      <c r="O2422" s="4" t="s">
        <v>21</v>
      </c>
      <c r="P2422" s="7" t="s">
        <v>19</v>
      </c>
    </row>
    <row r="2423" spans="2:16" x14ac:dyDescent="0.45">
      <c r="B2423" s="4">
        <v>2422</v>
      </c>
      <c r="C2423" s="4" t="s">
        <v>45</v>
      </c>
      <c r="D2423" s="4" t="s">
        <v>23</v>
      </c>
      <c r="E2423" s="4" t="s">
        <v>35</v>
      </c>
      <c r="F2423" s="4" t="s">
        <v>18</v>
      </c>
      <c r="G2423" s="4" t="s">
        <v>19</v>
      </c>
      <c r="H2423" s="4" t="s">
        <v>20</v>
      </c>
      <c r="I2423" s="4">
        <v>27</v>
      </c>
      <c r="J2423" s="5">
        <v>46.3</v>
      </c>
      <c r="K2423" s="6">
        <v>1.75</v>
      </c>
      <c r="L2423" s="4">
        <v>6</v>
      </c>
      <c r="M2423" s="4">
        <v>101</v>
      </c>
      <c r="N2423" s="4">
        <v>100</v>
      </c>
      <c r="O2423" s="4" t="s">
        <v>21</v>
      </c>
      <c r="P2423" s="7" t="s">
        <v>19</v>
      </c>
    </row>
    <row r="2424" spans="2:16" x14ac:dyDescent="0.45">
      <c r="B2424" s="4">
        <v>2423</v>
      </c>
      <c r="C2424" s="4" t="s">
        <v>43</v>
      </c>
      <c r="D2424" s="4" t="s">
        <v>23</v>
      </c>
      <c r="E2424" s="4" t="s">
        <v>17</v>
      </c>
      <c r="F2424" s="4" t="s">
        <v>28</v>
      </c>
      <c r="G2424" s="4" t="s">
        <v>19</v>
      </c>
      <c r="H2424" s="4" t="s">
        <v>32</v>
      </c>
      <c r="I2424" s="4">
        <v>19</v>
      </c>
      <c r="J2424" s="5">
        <v>89.2</v>
      </c>
      <c r="K2424" s="6">
        <v>1.73</v>
      </c>
      <c r="L2424" s="4">
        <v>5</v>
      </c>
      <c r="M2424" s="4">
        <v>110</v>
      </c>
      <c r="N2424" s="4">
        <v>178</v>
      </c>
      <c r="O2424" s="4" t="s">
        <v>26</v>
      </c>
      <c r="P2424" s="7" t="s">
        <v>19</v>
      </c>
    </row>
    <row r="2425" spans="2:16" x14ac:dyDescent="0.45">
      <c r="B2425" s="4">
        <v>2424</v>
      </c>
      <c r="C2425" s="4" t="s">
        <v>29</v>
      </c>
      <c r="D2425" s="4" t="s">
        <v>23</v>
      </c>
      <c r="E2425" s="4" t="s">
        <v>17</v>
      </c>
      <c r="F2425" s="4" t="s">
        <v>24</v>
      </c>
      <c r="G2425" s="4" t="s">
        <v>19</v>
      </c>
      <c r="H2425" s="4" t="s">
        <v>38</v>
      </c>
      <c r="I2425" s="4">
        <v>87</v>
      </c>
      <c r="J2425" s="5">
        <v>88.1</v>
      </c>
      <c r="K2425" s="6">
        <v>1.74</v>
      </c>
      <c r="L2425" s="4">
        <v>3</v>
      </c>
      <c r="M2425" s="4">
        <v>131</v>
      </c>
      <c r="N2425" s="4">
        <v>94</v>
      </c>
      <c r="O2425" s="4" t="s">
        <v>26</v>
      </c>
      <c r="P2425" s="7" t="s">
        <v>19</v>
      </c>
    </row>
    <row r="2426" spans="2:16" x14ac:dyDescent="0.45">
      <c r="B2426" s="4">
        <v>2425</v>
      </c>
      <c r="C2426" s="4" t="s">
        <v>31</v>
      </c>
      <c r="D2426" s="4" t="s">
        <v>23</v>
      </c>
      <c r="E2426" s="4" t="s">
        <v>35</v>
      </c>
      <c r="F2426" s="4" t="s">
        <v>24</v>
      </c>
      <c r="G2426" s="4" t="s">
        <v>19</v>
      </c>
      <c r="H2426" s="4" t="s">
        <v>32</v>
      </c>
      <c r="I2426" s="4">
        <v>19</v>
      </c>
      <c r="J2426" s="5">
        <v>52.2</v>
      </c>
      <c r="K2426" s="6">
        <v>1.87</v>
      </c>
      <c r="L2426" s="4">
        <v>1</v>
      </c>
      <c r="M2426" s="4">
        <v>124</v>
      </c>
      <c r="N2426" s="4">
        <v>151</v>
      </c>
      <c r="O2426" s="4" t="s">
        <v>26</v>
      </c>
      <c r="P2426" s="7" t="s">
        <v>30</v>
      </c>
    </row>
    <row r="2427" spans="2:16" x14ac:dyDescent="0.45">
      <c r="B2427" s="4">
        <v>2426</v>
      </c>
      <c r="C2427" s="4" t="s">
        <v>41</v>
      </c>
      <c r="D2427" s="4" t="s">
        <v>23</v>
      </c>
      <c r="E2427" s="4" t="s">
        <v>17</v>
      </c>
      <c r="F2427" s="4" t="s">
        <v>24</v>
      </c>
      <c r="G2427" s="4" t="s">
        <v>30</v>
      </c>
      <c r="H2427" s="4" t="s">
        <v>38</v>
      </c>
      <c r="I2427" s="4">
        <v>0</v>
      </c>
      <c r="J2427" s="5">
        <v>14.7</v>
      </c>
      <c r="K2427" s="6">
        <v>0.86</v>
      </c>
      <c r="L2427" s="4">
        <v>6</v>
      </c>
      <c r="M2427" s="4">
        <v>95</v>
      </c>
      <c r="N2427" s="4">
        <v>96</v>
      </c>
      <c r="O2427" s="4" t="s">
        <v>21</v>
      </c>
      <c r="P2427" s="7" t="s">
        <v>19</v>
      </c>
    </row>
    <row r="2428" spans="2:16" x14ac:dyDescent="0.45">
      <c r="B2428" s="4">
        <v>2427</v>
      </c>
      <c r="C2428" s="4" t="s">
        <v>22</v>
      </c>
      <c r="D2428" s="4" t="s">
        <v>16</v>
      </c>
      <c r="E2428" s="4" t="s">
        <v>35</v>
      </c>
      <c r="F2428" s="4" t="s">
        <v>18</v>
      </c>
      <c r="G2428" s="4" t="s">
        <v>19</v>
      </c>
      <c r="H2428" s="4" t="s">
        <v>38</v>
      </c>
      <c r="I2428" s="4">
        <v>7</v>
      </c>
      <c r="J2428" s="5">
        <v>26</v>
      </c>
      <c r="K2428" s="6">
        <v>1.37</v>
      </c>
      <c r="L2428" s="4">
        <v>7</v>
      </c>
      <c r="M2428" s="4">
        <v>99</v>
      </c>
      <c r="N2428" s="4">
        <v>71</v>
      </c>
      <c r="O2428" s="4" t="s">
        <v>26</v>
      </c>
      <c r="P2428" s="7" t="s">
        <v>19</v>
      </c>
    </row>
    <row r="2429" spans="2:16" x14ac:dyDescent="0.45">
      <c r="B2429" s="4">
        <v>2428</v>
      </c>
      <c r="C2429" s="4" t="s">
        <v>43</v>
      </c>
      <c r="D2429" s="4" t="s">
        <v>16</v>
      </c>
      <c r="E2429" s="4" t="s">
        <v>44</v>
      </c>
      <c r="F2429" s="4" t="s">
        <v>28</v>
      </c>
      <c r="G2429" s="4" t="s">
        <v>19</v>
      </c>
      <c r="H2429" s="4" t="s">
        <v>28</v>
      </c>
      <c r="I2429" s="4">
        <v>8</v>
      </c>
      <c r="J2429" s="5">
        <v>35.1</v>
      </c>
      <c r="K2429" s="6">
        <v>1.28</v>
      </c>
      <c r="L2429" s="4">
        <v>2</v>
      </c>
      <c r="M2429" s="4">
        <v>114</v>
      </c>
      <c r="N2429" s="4">
        <v>96</v>
      </c>
      <c r="O2429" s="4" t="s">
        <v>26</v>
      </c>
      <c r="P2429" s="7" t="s">
        <v>19</v>
      </c>
    </row>
    <row r="2430" spans="2:16" x14ac:dyDescent="0.45">
      <c r="B2430" s="4">
        <v>2429</v>
      </c>
      <c r="C2430" s="4" t="s">
        <v>39</v>
      </c>
      <c r="D2430" s="4" t="s">
        <v>16</v>
      </c>
      <c r="E2430" s="4" t="s">
        <v>17</v>
      </c>
      <c r="F2430" s="4" t="s">
        <v>24</v>
      </c>
      <c r="G2430" s="4" t="s">
        <v>19</v>
      </c>
      <c r="H2430" s="4" t="s">
        <v>25</v>
      </c>
      <c r="I2430" s="4">
        <v>8</v>
      </c>
      <c r="J2430" s="5">
        <v>25.1</v>
      </c>
      <c r="K2430" s="6">
        <v>1.4</v>
      </c>
      <c r="L2430" s="4">
        <v>6</v>
      </c>
      <c r="M2430" s="4">
        <v>94</v>
      </c>
      <c r="N2430" s="4">
        <v>98</v>
      </c>
      <c r="O2430" s="4" t="s">
        <v>21</v>
      </c>
      <c r="P2430" s="7" t="s">
        <v>19</v>
      </c>
    </row>
    <row r="2431" spans="2:16" x14ac:dyDescent="0.45">
      <c r="B2431" s="4">
        <v>2430</v>
      </c>
      <c r="C2431" s="4" t="s">
        <v>29</v>
      </c>
      <c r="D2431" s="4" t="s">
        <v>16</v>
      </c>
      <c r="E2431" s="4" t="s">
        <v>17</v>
      </c>
      <c r="F2431" s="4" t="s">
        <v>28</v>
      </c>
      <c r="G2431" s="4" t="s">
        <v>30</v>
      </c>
      <c r="H2431" s="4" t="s">
        <v>36</v>
      </c>
      <c r="I2431" s="4">
        <v>42</v>
      </c>
      <c r="J2431" s="5">
        <v>58.7</v>
      </c>
      <c r="K2431" s="6">
        <v>1.73</v>
      </c>
      <c r="L2431" s="4">
        <v>2</v>
      </c>
      <c r="M2431" s="4">
        <v>140</v>
      </c>
      <c r="N2431" s="4">
        <v>76</v>
      </c>
      <c r="O2431" s="4" t="s">
        <v>21</v>
      </c>
      <c r="P2431" s="7" t="s">
        <v>19</v>
      </c>
    </row>
    <row r="2432" spans="2:16" x14ac:dyDescent="0.45">
      <c r="B2432" s="4">
        <v>2431</v>
      </c>
      <c r="C2432" s="4" t="s">
        <v>27</v>
      </c>
      <c r="D2432" s="4" t="s">
        <v>16</v>
      </c>
      <c r="E2432" s="4" t="s">
        <v>37</v>
      </c>
      <c r="F2432" s="4" t="s">
        <v>24</v>
      </c>
      <c r="G2432" s="4" t="s">
        <v>19</v>
      </c>
      <c r="H2432" s="4" t="s">
        <v>36</v>
      </c>
      <c r="I2432" s="4">
        <v>21</v>
      </c>
      <c r="J2432" s="5">
        <v>74.2</v>
      </c>
      <c r="K2432" s="6">
        <v>1.62</v>
      </c>
      <c r="L2432" s="4">
        <v>1</v>
      </c>
      <c r="M2432" s="4">
        <v>134</v>
      </c>
      <c r="N2432" s="4">
        <v>71</v>
      </c>
      <c r="O2432" s="4" t="s">
        <v>21</v>
      </c>
      <c r="P2432" s="7" t="s">
        <v>19</v>
      </c>
    </row>
    <row r="2433" spans="2:16" x14ac:dyDescent="0.45">
      <c r="B2433" s="4">
        <v>2432</v>
      </c>
      <c r="C2433" s="4" t="s">
        <v>22</v>
      </c>
      <c r="D2433" s="4" t="s">
        <v>16</v>
      </c>
      <c r="E2433" s="4" t="s">
        <v>44</v>
      </c>
      <c r="F2433" s="4" t="s">
        <v>24</v>
      </c>
      <c r="G2433" s="4" t="s">
        <v>19</v>
      </c>
      <c r="H2433" s="4" t="s">
        <v>20</v>
      </c>
      <c r="I2433" s="4">
        <v>26</v>
      </c>
      <c r="J2433" s="5">
        <v>73.3</v>
      </c>
      <c r="K2433" s="6">
        <v>1.58</v>
      </c>
      <c r="L2433" s="4">
        <v>0</v>
      </c>
      <c r="M2433" s="4">
        <v>103</v>
      </c>
      <c r="N2433" s="4">
        <v>87</v>
      </c>
      <c r="O2433" s="4" t="s">
        <v>26</v>
      </c>
      <c r="P2433" s="7" t="s">
        <v>19</v>
      </c>
    </row>
    <row r="2434" spans="2:16" x14ac:dyDescent="0.45">
      <c r="B2434" s="4">
        <v>2433</v>
      </c>
      <c r="C2434" s="4" t="s">
        <v>29</v>
      </c>
      <c r="D2434" s="4" t="s">
        <v>16</v>
      </c>
      <c r="E2434" s="4" t="s">
        <v>17</v>
      </c>
      <c r="F2434" s="4" t="s">
        <v>18</v>
      </c>
      <c r="G2434" s="4" t="s">
        <v>19</v>
      </c>
      <c r="H2434" s="4" t="s">
        <v>20</v>
      </c>
      <c r="I2434" s="4">
        <v>23</v>
      </c>
      <c r="J2434" s="5">
        <v>58.1</v>
      </c>
      <c r="K2434" s="6">
        <v>1.79</v>
      </c>
      <c r="L2434" s="4">
        <v>0</v>
      </c>
      <c r="M2434" s="4">
        <v>104</v>
      </c>
      <c r="N2434" s="4">
        <v>74</v>
      </c>
      <c r="O2434" s="4" t="s">
        <v>21</v>
      </c>
      <c r="P2434" s="7" t="s">
        <v>19</v>
      </c>
    </row>
    <row r="2435" spans="2:16" x14ac:dyDescent="0.45">
      <c r="B2435" s="4">
        <v>2434</v>
      </c>
      <c r="C2435" s="4" t="s">
        <v>15</v>
      </c>
      <c r="D2435" s="4" t="s">
        <v>23</v>
      </c>
      <c r="E2435" s="4" t="s">
        <v>37</v>
      </c>
      <c r="F2435" s="4" t="s">
        <v>24</v>
      </c>
      <c r="G2435" s="4" t="s">
        <v>19</v>
      </c>
      <c r="H2435" s="4" t="s">
        <v>38</v>
      </c>
      <c r="I2435" s="4">
        <v>13</v>
      </c>
      <c r="J2435" s="5">
        <v>59.6</v>
      </c>
      <c r="K2435" s="6">
        <v>1.54</v>
      </c>
      <c r="L2435" s="4">
        <v>0</v>
      </c>
      <c r="M2435" s="4">
        <v>114</v>
      </c>
      <c r="N2435" s="4">
        <v>89</v>
      </c>
      <c r="O2435" s="4" t="s">
        <v>21</v>
      </c>
      <c r="P2435" s="7" t="s">
        <v>19</v>
      </c>
    </row>
    <row r="2436" spans="2:16" x14ac:dyDescent="0.45">
      <c r="B2436" s="4">
        <v>2435</v>
      </c>
      <c r="C2436" s="4" t="s">
        <v>15</v>
      </c>
      <c r="D2436" s="4" t="s">
        <v>16</v>
      </c>
      <c r="E2436" s="4" t="s">
        <v>35</v>
      </c>
      <c r="F2436" s="4" t="s">
        <v>24</v>
      </c>
      <c r="G2436" s="4" t="s">
        <v>30</v>
      </c>
      <c r="H2436" s="4" t="s">
        <v>38</v>
      </c>
      <c r="I2436" s="4">
        <v>80</v>
      </c>
      <c r="J2436" s="5">
        <v>64.099999999999994</v>
      </c>
      <c r="K2436" s="6">
        <v>1.84</v>
      </c>
      <c r="L2436" s="4">
        <v>6</v>
      </c>
      <c r="M2436" s="4">
        <v>121</v>
      </c>
      <c r="N2436" s="4">
        <v>75</v>
      </c>
      <c r="O2436" s="4" t="s">
        <v>21</v>
      </c>
      <c r="P2436" s="7" t="s">
        <v>19</v>
      </c>
    </row>
    <row r="2437" spans="2:16" x14ac:dyDescent="0.45">
      <c r="B2437" s="4">
        <v>2436</v>
      </c>
      <c r="C2437" s="4" t="s">
        <v>29</v>
      </c>
      <c r="D2437" s="4" t="s">
        <v>16</v>
      </c>
      <c r="E2437" s="4" t="s">
        <v>17</v>
      </c>
      <c r="F2437" s="4" t="s">
        <v>18</v>
      </c>
      <c r="G2437" s="4" t="s">
        <v>19</v>
      </c>
      <c r="H2437" s="4" t="s">
        <v>25</v>
      </c>
      <c r="I2437" s="4">
        <v>52</v>
      </c>
      <c r="J2437" s="5">
        <v>85.3</v>
      </c>
      <c r="K2437" s="6">
        <v>1.51</v>
      </c>
      <c r="L2437" s="4">
        <v>1</v>
      </c>
      <c r="M2437" s="4">
        <v>108</v>
      </c>
      <c r="N2437" s="4">
        <v>88</v>
      </c>
      <c r="O2437" s="4" t="s">
        <v>21</v>
      </c>
      <c r="P2437" s="7" t="s">
        <v>19</v>
      </c>
    </row>
    <row r="2438" spans="2:16" x14ac:dyDescent="0.45">
      <c r="B2438" s="4">
        <v>2437</v>
      </c>
      <c r="C2438" s="4" t="s">
        <v>15</v>
      </c>
      <c r="D2438" s="4" t="s">
        <v>23</v>
      </c>
      <c r="E2438" s="4" t="s">
        <v>35</v>
      </c>
      <c r="F2438" s="4" t="s">
        <v>28</v>
      </c>
      <c r="G2438" s="4" t="s">
        <v>19</v>
      </c>
      <c r="H2438" s="4" t="s">
        <v>34</v>
      </c>
      <c r="I2438" s="4">
        <v>49</v>
      </c>
      <c r="J2438" s="5">
        <v>92</v>
      </c>
      <c r="K2438" s="6">
        <v>1.64</v>
      </c>
      <c r="L2438" s="4">
        <v>9</v>
      </c>
      <c r="M2438" s="4">
        <v>124</v>
      </c>
      <c r="N2438" s="4">
        <v>84</v>
      </c>
      <c r="O2438" s="4" t="s">
        <v>26</v>
      </c>
      <c r="P2438" s="7" t="s">
        <v>19</v>
      </c>
    </row>
    <row r="2439" spans="2:16" x14ac:dyDescent="0.45">
      <c r="B2439" s="4">
        <v>2438</v>
      </c>
      <c r="C2439" s="4" t="s">
        <v>43</v>
      </c>
      <c r="D2439" s="4" t="s">
        <v>16</v>
      </c>
      <c r="E2439" s="4" t="s">
        <v>17</v>
      </c>
      <c r="F2439" s="4" t="s">
        <v>24</v>
      </c>
      <c r="G2439" s="4" t="s">
        <v>30</v>
      </c>
      <c r="H2439" s="4" t="s">
        <v>36</v>
      </c>
      <c r="I2439" s="4">
        <v>30</v>
      </c>
      <c r="J2439" s="5">
        <v>76.7</v>
      </c>
      <c r="K2439" s="6">
        <v>1.64</v>
      </c>
      <c r="L2439" s="4">
        <v>2</v>
      </c>
      <c r="M2439" s="4">
        <v>127</v>
      </c>
      <c r="N2439" s="4">
        <v>89</v>
      </c>
      <c r="O2439" s="4" t="s">
        <v>21</v>
      </c>
      <c r="P2439" s="7" t="s">
        <v>19</v>
      </c>
    </row>
    <row r="2440" spans="2:16" x14ac:dyDescent="0.45">
      <c r="B2440" s="4">
        <v>2439</v>
      </c>
      <c r="C2440" s="4" t="s">
        <v>27</v>
      </c>
      <c r="D2440" s="4" t="s">
        <v>23</v>
      </c>
      <c r="E2440" s="4" t="s">
        <v>35</v>
      </c>
      <c r="F2440" s="4" t="s">
        <v>18</v>
      </c>
      <c r="G2440" s="4" t="s">
        <v>19</v>
      </c>
      <c r="H2440" s="4" t="s">
        <v>25</v>
      </c>
      <c r="I2440" s="4">
        <v>38</v>
      </c>
      <c r="J2440" s="5">
        <v>65.5</v>
      </c>
      <c r="K2440" s="6">
        <v>1.56</v>
      </c>
      <c r="L2440" s="4">
        <v>1</v>
      </c>
      <c r="M2440" s="4">
        <v>106</v>
      </c>
      <c r="N2440" s="4">
        <v>76</v>
      </c>
      <c r="O2440" s="4" t="s">
        <v>21</v>
      </c>
      <c r="P2440" s="7" t="s">
        <v>19</v>
      </c>
    </row>
    <row r="2441" spans="2:16" x14ac:dyDescent="0.45">
      <c r="B2441" s="4">
        <v>2440</v>
      </c>
      <c r="C2441" s="4" t="s">
        <v>27</v>
      </c>
      <c r="D2441" s="4" t="s">
        <v>16</v>
      </c>
      <c r="E2441" s="4" t="s">
        <v>35</v>
      </c>
      <c r="F2441" s="4" t="s">
        <v>42</v>
      </c>
      <c r="G2441" s="4" t="s">
        <v>19</v>
      </c>
      <c r="H2441" s="4" t="s">
        <v>38</v>
      </c>
      <c r="I2441" s="4">
        <v>54</v>
      </c>
      <c r="J2441" s="5">
        <v>61.8</v>
      </c>
      <c r="K2441" s="6">
        <v>1.57</v>
      </c>
      <c r="L2441" s="4">
        <v>1</v>
      </c>
      <c r="M2441" s="4">
        <v>118</v>
      </c>
      <c r="N2441" s="4">
        <v>99</v>
      </c>
      <c r="O2441" s="4" t="s">
        <v>21</v>
      </c>
      <c r="P2441" s="7" t="s">
        <v>19</v>
      </c>
    </row>
    <row r="2442" spans="2:16" x14ac:dyDescent="0.45">
      <c r="B2442" s="4">
        <v>2441</v>
      </c>
      <c r="C2442" s="4" t="s">
        <v>45</v>
      </c>
      <c r="D2442" s="4" t="s">
        <v>16</v>
      </c>
      <c r="E2442" s="4" t="s">
        <v>35</v>
      </c>
      <c r="F2442" s="4" t="s">
        <v>42</v>
      </c>
      <c r="G2442" s="4" t="s">
        <v>19</v>
      </c>
      <c r="H2442" s="4" t="s">
        <v>28</v>
      </c>
      <c r="I2442" s="4">
        <v>10</v>
      </c>
      <c r="J2442" s="5">
        <v>20.100000000000001</v>
      </c>
      <c r="K2442" s="6">
        <v>1.21</v>
      </c>
      <c r="L2442" s="4">
        <v>6</v>
      </c>
      <c r="M2442" s="4">
        <v>107</v>
      </c>
      <c r="N2442" s="4">
        <v>100</v>
      </c>
      <c r="O2442" s="4" t="s">
        <v>26</v>
      </c>
      <c r="P2442" s="7" t="s">
        <v>19</v>
      </c>
    </row>
    <row r="2443" spans="2:16" x14ac:dyDescent="0.45">
      <c r="B2443" s="4">
        <v>2442</v>
      </c>
      <c r="C2443" s="4" t="s">
        <v>15</v>
      </c>
      <c r="D2443" s="4" t="s">
        <v>23</v>
      </c>
      <c r="E2443" s="4" t="s">
        <v>17</v>
      </c>
      <c r="F2443" s="4" t="s">
        <v>28</v>
      </c>
      <c r="G2443" s="4" t="s">
        <v>19</v>
      </c>
      <c r="H2443" s="4" t="s">
        <v>20</v>
      </c>
      <c r="I2443" s="4">
        <v>4</v>
      </c>
      <c r="J2443" s="5">
        <v>17.2</v>
      </c>
      <c r="K2443" s="6">
        <v>0.83</v>
      </c>
      <c r="L2443" s="4">
        <v>2</v>
      </c>
      <c r="M2443" s="4">
        <v>112</v>
      </c>
      <c r="N2443" s="4">
        <v>96</v>
      </c>
      <c r="O2443" s="4" t="s">
        <v>26</v>
      </c>
      <c r="P2443" s="7" t="s">
        <v>19</v>
      </c>
    </row>
    <row r="2444" spans="2:16" x14ac:dyDescent="0.45">
      <c r="B2444" s="4">
        <v>2443</v>
      </c>
      <c r="C2444" s="4" t="s">
        <v>39</v>
      </c>
      <c r="D2444" s="4" t="s">
        <v>23</v>
      </c>
      <c r="E2444" s="4" t="s">
        <v>37</v>
      </c>
      <c r="F2444" s="4" t="s">
        <v>24</v>
      </c>
      <c r="G2444" s="4" t="s">
        <v>19</v>
      </c>
      <c r="H2444" s="4" t="s">
        <v>25</v>
      </c>
      <c r="I2444" s="4">
        <v>33</v>
      </c>
      <c r="J2444" s="5">
        <v>88.5</v>
      </c>
      <c r="K2444" s="6">
        <v>1.65</v>
      </c>
      <c r="L2444" s="4">
        <v>1</v>
      </c>
      <c r="M2444" s="4">
        <v>112</v>
      </c>
      <c r="N2444" s="4">
        <v>72</v>
      </c>
      <c r="O2444" s="4" t="s">
        <v>26</v>
      </c>
      <c r="P2444" s="7" t="s">
        <v>30</v>
      </c>
    </row>
    <row r="2445" spans="2:16" x14ac:dyDescent="0.45">
      <c r="B2445" s="4">
        <v>2444</v>
      </c>
      <c r="C2445" s="4" t="s">
        <v>22</v>
      </c>
      <c r="D2445" s="4" t="s">
        <v>23</v>
      </c>
      <c r="E2445" s="4" t="s">
        <v>17</v>
      </c>
      <c r="F2445" s="4" t="s">
        <v>24</v>
      </c>
      <c r="G2445" s="4" t="s">
        <v>19</v>
      </c>
      <c r="H2445" s="4" t="s">
        <v>32</v>
      </c>
      <c r="I2445" s="4">
        <v>11</v>
      </c>
      <c r="J2445" s="5">
        <v>29.5</v>
      </c>
      <c r="K2445" s="6">
        <v>1.1200000000000001</v>
      </c>
      <c r="L2445" s="4">
        <v>6</v>
      </c>
      <c r="M2445" s="4">
        <v>94</v>
      </c>
      <c r="N2445" s="4">
        <v>120</v>
      </c>
      <c r="O2445" s="4" t="s">
        <v>26</v>
      </c>
      <c r="P2445" s="7" t="s">
        <v>19</v>
      </c>
    </row>
    <row r="2446" spans="2:16" x14ac:dyDescent="0.45">
      <c r="B2446" s="4">
        <v>2445</v>
      </c>
      <c r="C2446" s="4" t="s">
        <v>41</v>
      </c>
      <c r="D2446" s="4" t="s">
        <v>16</v>
      </c>
      <c r="E2446" s="4" t="s">
        <v>17</v>
      </c>
      <c r="F2446" s="4" t="s">
        <v>24</v>
      </c>
      <c r="G2446" s="4" t="s">
        <v>19</v>
      </c>
      <c r="H2446" s="4" t="s">
        <v>20</v>
      </c>
      <c r="I2446" s="4">
        <v>55</v>
      </c>
      <c r="J2446" s="5">
        <v>72.7</v>
      </c>
      <c r="K2446" s="6">
        <v>1.75</v>
      </c>
      <c r="L2446" s="4">
        <v>5</v>
      </c>
      <c r="M2446" s="4">
        <v>124</v>
      </c>
      <c r="N2446" s="4">
        <v>97</v>
      </c>
      <c r="O2446" s="4" t="s">
        <v>21</v>
      </c>
      <c r="P2446" s="7" t="s">
        <v>19</v>
      </c>
    </row>
    <row r="2447" spans="2:16" x14ac:dyDescent="0.45">
      <c r="B2447" s="4">
        <v>2446</v>
      </c>
      <c r="C2447" s="4" t="s">
        <v>41</v>
      </c>
      <c r="D2447" s="4" t="s">
        <v>23</v>
      </c>
      <c r="E2447" s="4" t="s">
        <v>35</v>
      </c>
      <c r="F2447" s="4" t="s">
        <v>24</v>
      </c>
      <c r="G2447" s="4" t="s">
        <v>19</v>
      </c>
      <c r="H2447" s="4" t="s">
        <v>34</v>
      </c>
      <c r="I2447" s="4">
        <v>42</v>
      </c>
      <c r="J2447" s="5">
        <v>71.599999999999994</v>
      </c>
      <c r="K2447" s="6">
        <v>1.9</v>
      </c>
      <c r="L2447" s="4">
        <v>2</v>
      </c>
      <c r="M2447" s="4">
        <v>105</v>
      </c>
      <c r="N2447" s="4">
        <v>97</v>
      </c>
      <c r="O2447" s="4" t="s">
        <v>26</v>
      </c>
      <c r="P2447" s="7" t="s">
        <v>19</v>
      </c>
    </row>
    <row r="2448" spans="2:16" x14ac:dyDescent="0.45">
      <c r="B2448" s="4">
        <v>2447</v>
      </c>
      <c r="C2448" s="4" t="s">
        <v>39</v>
      </c>
      <c r="D2448" s="4" t="s">
        <v>23</v>
      </c>
      <c r="E2448" s="4" t="s">
        <v>17</v>
      </c>
      <c r="F2448" s="4" t="s">
        <v>18</v>
      </c>
      <c r="G2448" s="4" t="s">
        <v>30</v>
      </c>
      <c r="H2448" s="4" t="s">
        <v>28</v>
      </c>
      <c r="I2448" s="4">
        <v>16</v>
      </c>
      <c r="J2448" s="5">
        <v>64.099999999999994</v>
      </c>
      <c r="K2448" s="6">
        <v>1.66</v>
      </c>
      <c r="L2448" s="4">
        <v>3</v>
      </c>
      <c r="M2448" s="4">
        <v>119</v>
      </c>
      <c r="N2448" s="4">
        <v>104</v>
      </c>
      <c r="O2448" s="4" t="s">
        <v>21</v>
      </c>
      <c r="P2448" s="7" t="s">
        <v>19</v>
      </c>
    </row>
    <row r="2449" spans="2:16" x14ac:dyDescent="0.45">
      <c r="B2449" s="4">
        <v>2448</v>
      </c>
      <c r="C2449" s="4" t="s">
        <v>41</v>
      </c>
      <c r="D2449" s="4" t="s">
        <v>23</v>
      </c>
      <c r="E2449" s="4" t="s">
        <v>17</v>
      </c>
      <c r="F2449" s="4" t="s">
        <v>18</v>
      </c>
      <c r="G2449" s="4" t="s">
        <v>19</v>
      </c>
      <c r="H2449" s="4" t="s">
        <v>32</v>
      </c>
      <c r="I2449" s="4">
        <v>16</v>
      </c>
      <c r="J2449" s="5">
        <v>57.2</v>
      </c>
      <c r="K2449" s="6">
        <v>1.65</v>
      </c>
      <c r="L2449" s="4">
        <v>9</v>
      </c>
      <c r="M2449" s="4">
        <v>113</v>
      </c>
      <c r="N2449" s="4">
        <v>125</v>
      </c>
      <c r="O2449" s="4" t="s">
        <v>26</v>
      </c>
      <c r="P2449" s="7" t="s">
        <v>19</v>
      </c>
    </row>
    <row r="2450" spans="2:16" x14ac:dyDescent="0.45">
      <c r="B2450" s="4">
        <v>2449</v>
      </c>
      <c r="C2450" s="4" t="s">
        <v>39</v>
      </c>
      <c r="D2450" s="4" t="s">
        <v>23</v>
      </c>
      <c r="E2450" s="4" t="s">
        <v>35</v>
      </c>
      <c r="F2450" s="4" t="s">
        <v>24</v>
      </c>
      <c r="G2450" s="4" t="s">
        <v>19</v>
      </c>
      <c r="H2450" s="4" t="s">
        <v>36</v>
      </c>
      <c r="I2450" s="4">
        <v>18</v>
      </c>
      <c r="J2450" s="5">
        <v>47.5</v>
      </c>
      <c r="K2450" s="6">
        <v>1.75</v>
      </c>
      <c r="L2450" s="4">
        <v>2</v>
      </c>
      <c r="M2450" s="4">
        <v>133</v>
      </c>
      <c r="N2450" s="4">
        <v>94</v>
      </c>
      <c r="O2450" s="4" t="s">
        <v>21</v>
      </c>
      <c r="P2450" s="7" t="s">
        <v>19</v>
      </c>
    </row>
    <row r="2451" spans="2:16" x14ac:dyDescent="0.45">
      <c r="B2451" s="4">
        <v>2450</v>
      </c>
      <c r="C2451" s="4" t="s">
        <v>27</v>
      </c>
      <c r="D2451" s="4" t="s">
        <v>16</v>
      </c>
      <c r="E2451" s="4" t="s">
        <v>37</v>
      </c>
      <c r="F2451" s="4" t="s">
        <v>24</v>
      </c>
      <c r="G2451" s="4" t="s">
        <v>19</v>
      </c>
      <c r="H2451" s="4" t="s">
        <v>36</v>
      </c>
      <c r="I2451" s="4">
        <v>19</v>
      </c>
      <c r="J2451" s="5">
        <v>66.599999999999994</v>
      </c>
      <c r="K2451" s="6">
        <v>1.5</v>
      </c>
      <c r="L2451" s="4">
        <v>4</v>
      </c>
      <c r="M2451" s="4">
        <v>129</v>
      </c>
      <c r="N2451" s="4">
        <v>98</v>
      </c>
      <c r="O2451" s="4" t="s">
        <v>26</v>
      </c>
      <c r="P2451" s="7" t="s">
        <v>19</v>
      </c>
    </row>
    <row r="2452" spans="2:16" x14ac:dyDescent="0.45">
      <c r="B2452" s="4">
        <v>2451</v>
      </c>
      <c r="C2452" s="4" t="s">
        <v>43</v>
      </c>
      <c r="D2452" s="4" t="s">
        <v>16</v>
      </c>
      <c r="E2452" s="4" t="s">
        <v>17</v>
      </c>
      <c r="F2452" s="4" t="s">
        <v>18</v>
      </c>
      <c r="G2452" s="4" t="s">
        <v>19</v>
      </c>
      <c r="H2452" s="4" t="s">
        <v>38</v>
      </c>
      <c r="I2452" s="4">
        <v>32</v>
      </c>
      <c r="J2452" s="5">
        <v>89.8</v>
      </c>
      <c r="K2452" s="6">
        <v>1.86</v>
      </c>
      <c r="L2452" s="4">
        <v>2</v>
      </c>
      <c r="M2452" s="4">
        <v>104</v>
      </c>
      <c r="N2452" s="4">
        <v>73</v>
      </c>
      <c r="O2452" s="4" t="s">
        <v>21</v>
      </c>
      <c r="P2452" s="7" t="s">
        <v>19</v>
      </c>
    </row>
    <row r="2453" spans="2:16" x14ac:dyDescent="0.45">
      <c r="B2453" s="4">
        <v>2452</v>
      </c>
      <c r="C2453" s="4" t="s">
        <v>15</v>
      </c>
      <c r="D2453" s="4" t="s">
        <v>16</v>
      </c>
      <c r="E2453" s="4" t="s">
        <v>17</v>
      </c>
      <c r="F2453" s="4" t="s">
        <v>24</v>
      </c>
      <c r="G2453" s="4" t="s">
        <v>19</v>
      </c>
      <c r="H2453" s="4" t="s">
        <v>28</v>
      </c>
      <c r="I2453" s="4">
        <v>19</v>
      </c>
      <c r="J2453" s="5">
        <v>58.8</v>
      </c>
      <c r="K2453" s="6">
        <v>1.8</v>
      </c>
      <c r="L2453" s="4">
        <v>3</v>
      </c>
      <c r="M2453" s="4">
        <v>120</v>
      </c>
      <c r="N2453" s="4">
        <v>76</v>
      </c>
      <c r="O2453" s="4" t="s">
        <v>21</v>
      </c>
      <c r="P2453" s="7" t="s">
        <v>19</v>
      </c>
    </row>
    <row r="2454" spans="2:16" x14ac:dyDescent="0.45">
      <c r="B2454" s="4">
        <v>2453</v>
      </c>
      <c r="C2454" s="4" t="s">
        <v>27</v>
      </c>
      <c r="D2454" s="4" t="s">
        <v>16</v>
      </c>
      <c r="E2454" s="4" t="s">
        <v>17</v>
      </c>
      <c r="F2454" s="4" t="s">
        <v>24</v>
      </c>
      <c r="G2454" s="4" t="s">
        <v>19</v>
      </c>
      <c r="H2454" s="4" t="s">
        <v>46</v>
      </c>
      <c r="I2454" s="4">
        <v>6</v>
      </c>
      <c r="J2454" s="5">
        <v>27.8</v>
      </c>
      <c r="K2454" s="6">
        <v>1.2</v>
      </c>
      <c r="L2454" s="4">
        <v>6</v>
      </c>
      <c r="M2454" s="4">
        <v>112</v>
      </c>
      <c r="N2454" s="4">
        <v>101</v>
      </c>
      <c r="O2454" s="4" t="s">
        <v>26</v>
      </c>
      <c r="P2454" s="7" t="s">
        <v>19</v>
      </c>
    </row>
    <row r="2455" spans="2:16" x14ac:dyDescent="0.45">
      <c r="B2455" s="4">
        <v>2454</v>
      </c>
      <c r="C2455" s="4" t="s">
        <v>41</v>
      </c>
      <c r="D2455" s="4" t="s">
        <v>16</v>
      </c>
      <c r="E2455" s="4" t="s">
        <v>35</v>
      </c>
      <c r="F2455" s="4" t="s">
        <v>18</v>
      </c>
      <c r="G2455" s="4" t="s">
        <v>19</v>
      </c>
      <c r="H2455" s="4" t="s">
        <v>34</v>
      </c>
      <c r="I2455" s="4">
        <v>20</v>
      </c>
      <c r="J2455" s="5">
        <v>62.8</v>
      </c>
      <c r="K2455" s="6">
        <v>1.8</v>
      </c>
      <c r="L2455" s="4">
        <v>0</v>
      </c>
      <c r="M2455" s="4">
        <v>115</v>
      </c>
      <c r="N2455" s="4">
        <v>88</v>
      </c>
      <c r="O2455" s="4" t="s">
        <v>21</v>
      </c>
      <c r="P2455" s="7" t="s">
        <v>19</v>
      </c>
    </row>
    <row r="2456" spans="2:16" x14ac:dyDescent="0.45">
      <c r="B2456" s="4">
        <v>2455</v>
      </c>
      <c r="C2456" s="4" t="s">
        <v>31</v>
      </c>
      <c r="D2456" s="4" t="s">
        <v>16</v>
      </c>
      <c r="E2456" s="4" t="s">
        <v>35</v>
      </c>
      <c r="F2456" s="4" t="s">
        <v>18</v>
      </c>
      <c r="G2456" s="4" t="s">
        <v>30</v>
      </c>
      <c r="H2456" s="4" t="s">
        <v>20</v>
      </c>
      <c r="I2456" s="4">
        <v>21</v>
      </c>
      <c r="J2456" s="5">
        <v>70.599999999999994</v>
      </c>
      <c r="K2456" s="6">
        <v>1.51</v>
      </c>
      <c r="L2456" s="4">
        <v>2</v>
      </c>
      <c r="M2456" s="4">
        <v>110</v>
      </c>
      <c r="N2456" s="4">
        <v>88</v>
      </c>
      <c r="O2456" s="4" t="s">
        <v>26</v>
      </c>
      <c r="P2456" s="7" t="s">
        <v>30</v>
      </c>
    </row>
    <row r="2457" spans="2:16" x14ac:dyDescent="0.45">
      <c r="B2457" s="4">
        <v>2456</v>
      </c>
      <c r="C2457" s="4" t="s">
        <v>33</v>
      </c>
      <c r="D2457" s="4" t="s">
        <v>23</v>
      </c>
      <c r="E2457" s="4" t="s">
        <v>37</v>
      </c>
      <c r="F2457" s="4" t="s">
        <v>24</v>
      </c>
      <c r="G2457" s="4" t="s">
        <v>19</v>
      </c>
      <c r="H2457" s="4" t="s">
        <v>28</v>
      </c>
      <c r="I2457" s="4">
        <v>14</v>
      </c>
      <c r="J2457" s="5">
        <v>61.3</v>
      </c>
      <c r="K2457" s="6">
        <v>1.55</v>
      </c>
      <c r="L2457" s="4">
        <v>7</v>
      </c>
      <c r="M2457" s="4">
        <v>110</v>
      </c>
      <c r="N2457" s="4">
        <v>73</v>
      </c>
      <c r="O2457" s="4" t="s">
        <v>21</v>
      </c>
      <c r="P2457" s="7" t="s">
        <v>19</v>
      </c>
    </row>
    <row r="2458" spans="2:16" x14ac:dyDescent="0.45">
      <c r="B2458" s="4">
        <v>2457</v>
      </c>
      <c r="C2458" s="4" t="s">
        <v>22</v>
      </c>
      <c r="D2458" s="4" t="s">
        <v>23</v>
      </c>
      <c r="E2458" s="4" t="s">
        <v>44</v>
      </c>
      <c r="F2458" s="4" t="s">
        <v>24</v>
      </c>
      <c r="G2458" s="4" t="s">
        <v>19</v>
      </c>
      <c r="H2458" s="4" t="s">
        <v>28</v>
      </c>
      <c r="I2458" s="4">
        <v>10</v>
      </c>
      <c r="J2458" s="5">
        <v>33.799999999999997</v>
      </c>
      <c r="K2458" s="6">
        <v>1.4</v>
      </c>
      <c r="L2458" s="4">
        <v>4</v>
      </c>
      <c r="M2458" s="4">
        <v>114</v>
      </c>
      <c r="N2458" s="4">
        <v>74</v>
      </c>
      <c r="O2458" s="4" t="s">
        <v>26</v>
      </c>
      <c r="P2458" s="7" t="s">
        <v>19</v>
      </c>
    </row>
    <row r="2459" spans="2:16" x14ac:dyDescent="0.45">
      <c r="B2459" s="4">
        <v>2458</v>
      </c>
      <c r="C2459" s="4" t="s">
        <v>15</v>
      </c>
      <c r="D2459" s="4" t="s">
        <v>16</v>
      </c>
      <c r="E2459" s="4" t="s">
        <v>17</v>
      </c>
      <c r="F2459" s="4" t="s">
        <v>24</v>
      </c>
      <c r="G2459" s="4" t="s">
        <v>30</v>
      </c>
      <c r="H2459" s="4" t="s">
        <v>36</v>
      </c>
      <c r="I2459" s="4">
        <v>14</v>
      </c>
      <c r="J2459" s="5">
        <v>61.7</v>
      </c>
      <c r="K2459" s="6">
        <v>1.48</v>
      </c>
      <c r="L2459" s="4">
        <v>1</v>
      </c>
      <c r="M2459" s="4">
        <v>128</v>
      </c>
      <c r="N2459" s="4">
        <v>82</v>
      </c>
      <c r="O2459" s="4" t="s">
        <v>21</v>
      </c>
      <c r="P2459" s="7" t="s">
        <v>19</v>
      </c>
    </row>
    <row r="2460" spans="2:16" x14ac:dyDescent="0.45">
      <c r="B2460" s="4">
        <v>2459</v>
      </c>
      <c r="C2460" s="4" t="s">
        <v>41</v>
      </c>
      <c r="D2460" s="4" t="s">
        <v>16</v>
      </c>
      <c r="E2460" s="4" t="s">
        <v>17</v>
      </c>
      <c r="F2460" s="4" t="s">
        <v>24</v>
      </c>
      <c r="G2460" s="4" t="s">
        <v>30</v>
      </c>
      <c r="H2460" s="4" t="s">
        <v>28</v>
      </c>
      <c r="I2460" s="4">
        <v>31</v>
      </c>
      <c r="J2460" s="5">
        <v>73.900000000000006</v>
      </c>
      <c r="K2460" s="6">
        <v>1.64</v>
      </c>
      <c r="L2460" s="4">
        <v>0</v>
      </c>
      <c r="M2460" s="4">
        <v>101</v>
      </c>
      <c r="N2460" s="4">
        <v>89</v>
      </c>
      <c r="O2460" s="4" t="s">
        <v>26</v>
      </c>
      <c r="P2460" s="7" t="s">
        <v>19</v>
      </c>
    </row>
    <row r="2461" spans="2:16" x14ac:dyDescent="0.45">
      <c r="B2461" s="4">
        <v>2460</v>
      </c>
      <c r="C2461" s="4" t="s">
        <v>29</v>
      </c>
      <c r="D2461" s="4" t="s">
        <v>16</v>
      </c>
      <c r="E2461" s="4" t="s">
        <v>17</v>
      </c>
      <c r="F2461" s="4" t="s">
        <v>18</v>
      </c>
      <c r="G2461" s="4" t="s">
        <v>19</v>
      </c>
      <c r="H2461" s="4" t="s">
        <v>34</v>
      </c>
      <c r="I2461" s="4">
        <v>11</v>
      </c>
      <c r="J2461" s="5">
        <v>32</v>
      </c>
      <c r="K2461" s="6">
        <v>1.33</v>
      </c>
      <c r="L2461" s="4">
        <v>1</v>
      </c>
      <c r="M2461" s="4">
        <v>106</v>
      </c>
      <c r="N2461" s="4">
        <v>81</v>
      </c>
      <c r="O2461" s="4" t="s">
        <v>21</v>
      </c>
      <c r="P2461" s="7" t="s">
        <v>19</v>
      </c>
    </row>
    <row r="2462" spans="2:16" x14ac:dyDescent="0.45">
      <c r="B2462" s="4">
        <v>2461</v>
      </c>
      <c r="C2462" s="4" t="s">
        <v>43</v>
      </c>
      <c r="D2462" s="4" t="s">
        <v>23</v>
      </c>
      <c r="E2462" s="4" t="s">
        <v>35</v>
      </c>
      <c r="F2462" s="4" t="s">
        <v>18</v>
      </c>
      <c r="G2462" s="4" t="s">
        <v>19</v>
      </c>
      <c r="H2462" s="4" t="s">
        <v>25</v>
      </c>
      <c r="I2462" s="4">
        <v>29</v>
      </c>
      <c r="J2462" s="5">
        <v>48.7</v>
      </c>
      <c r="K2462" s="6">
        <v>1.51</v>
      </c>
      <c r="L2462" s="4">
        <v>6</v>
      </c>
      <c r="M2462" s="4">
        <v>127</v>
      </c>
      <c r="N2462" s="4">
        <v>82</v>
      </c>
      <c r="O2462" s="4" t="s">
        <v>26</v>
      </c>
      <c r="P2462" s="7" t="s">
        <v>30</v>
      </c>
    </row>
    <row r="2463" spans="2:16" x14ac:dyDescent="0.45">
      <c r="B2463" s="4">
        <v>2462</v>
      </c>
      <c r="C2463" s="4" t="s">
        <v>22</v>
      </c>
      <c r="D2463" s="4" t="s">
        <v>16</v>
      </c>
      <c r="E2463" s="4" t="s">
        <v>35</v>
      </c>
      <c r="F2463" s="4" t="s">
        <v>24</v>
      </c>
      <c r="G2463" s="4" t="s">
        <v>19</v>
      </c>
      <c r="H2463" s="4" t="s">
        <v>28</v>
      </c>
      <c r="I2463" s="4">
        <v>27</v>
      </c>
      <c r="J2463" s="5">
        <v>78.400000000000006</v>
      </c>
      <c r="K2463" s="6">
        <v>1.65</v>
      </c>
      <c r="L2463" s="4">
        <v>4</v>
      </c>
      <c r="M2463" s="4">
        <v>119</v>
      </c>
      <c r="N2463" s="4">
        <v>83</v>
      </c>
      <c r="O2463" s="4" t="s">
        <v>21</v>
      </c>
      <c r="P2463" s="7" t="s">
        <v>30</v>
      </c>
    </row>
    <row r="2464" spans="2:16" x14ac:dyDescent="0.45">
      <c r="B2464" s="4">
        <v>2463</v>
      </c>
      <c r="C2464" s="4" t="s">
        <v>43</v>
      </c>
      <c r="D2464" s="4" t="s">
        <v>23</v>
      </c>
      <c r="E2464" s="4" t="s">
        <v>17</v>
      </c>
      <c r="F2464" s="4" t="s">
        <v>18</v>
      </c>
      <c r="G2464" s="4" t="s">
        <v>19</v>
      </c>
      <c r="H2464" s="4" t="s">
        <v>28</v>
      </c>
      <c r="I2464" s="4">
        <v>31</v>
      </c>
      <c r="J2464" s="5">
        <v>74.3</v>
      </c>
      <c r="K2464" s="6">
        <v>1.66</v>
      </c>
      <c r="L2464" s="4">
        <v>1</v>
      </c>
      <c r="M2464" s="4">
        <v>106</v>
      </c>
      <c r="N2464" s="4">
        <v>86</v>
      </c>
      <c r="O2464" s="4" t="s">
        <v>26</v>
      </c>
      <c r="P2464" s="7" t="s">
        <v>19</v>
      </c>
    </row>
    <row r="2465" spans="2:16" x14ac:dyDescent="0.45">
      <c r="B2465" s="4">
        <v>2464</v>
      </c>
      <c r="C2465" s="4" t="s">
        <v>15</v>
      </c>
      <c r="D2465" s="4" t="s">
        <v>16</v>
      </c>
      <c r="E2465" s="4" t="s">
        <v>17</v>
      </c>
      <c r="F2465" s="4" t="s">
        <v>24</v>
      </c>
      <c r="G2465" s="4" t="s">
        <v>19</v>
      </c>
      <c r="H2465" s="4" t="s">
        <v>25</v>
      </c>
      <c r="I2465" s="4">
        <v>15</v>
      </c>
      <c r="J2465" s="5">
        <v>63.1</v>
      </c>
      <c r="K2465" s="6">
        <v>1.46</v>
      </c>
      <c r="L2465" s="4">
        <v>0</v>
      </c>
      <c r="M2465" s="4">
        <v>112</v>
      </c>
      <c r="N2465" s="4">
        <v>84</v>
      </c>
      <c r="O2465" s="4" t="s">
        <v>26</v>
      </c>
      <c r="P2465" s="7" t="s">
        <v>19</v>
      </c>
    </row>
    <row r="2466" spans="2:16" x14ac:dyDescent="0.45">
      <c r="B2466" s="4">
        <v>2465</v>
      </c>
      <c r="C2466" s="4" t="s">
        <v>33</v>
      </c>
      <c r="D2466" s="4" t="s">
        <v>16</v>
      </c>
      <c r="E2466" s="4" t="s">
        <v>35</v>
      </c>
      <c r="F2466" s="4" t="s">
        <v>18</v>
      </c>
      <c r="G2466" s="4" t="s">
        <v>30</v>
      </c>
      <c r="H2466" s="4" t="s">
        <v>36</v>
      </c>
      <c r="I2466" s="4">
        <v>34</v>
      </c>
      <c r="J2466" s="5">
        <v>71.2</v>
      </c>
      <c r="K2466" s="6">
        <v>1.7</v>
      </c>
      <c r="L2466" s="4">
        <v>2</v>
      </c>
      <c r="M2466" s="4">
        <v>134</v>
      </c>
      <c r="N2466" s="4">
        <v>99</v>
      </c>
      <c r="O2466" s="4" t="s">
        <v>26</v>
      </c>
      <c r="P2466" s="7" t="s">
        <v>19</v>
      </c>
    </row>
    <row r="2467" spans="2:16" x14ac:dyDescent="0.45">
      <c r="B2467" s="4">
        <v>2466</v>
      </c>
      <c r="C2467" s="4" t="s">
        <v>43</v>
      </c>
      <c r="D2467" s="4" t="s">
        <v>16</v>
      </c>
      <c r="E2467" s="4" t="s">
        <v>35</v>
      </c>
      <c r="F2467" s="4" t="s">
        <v>24</v>
      </c>
      <c r="G2467" s="4" t="s">
        <v>19</v>
      </c>
      <c r="H2467" s="4" t="s">
        <v>25</v>
      </c>
      <c r="I2467" s="4">
        <v>24</v>
      </c>
      <c r="J2467" s="5">
        <v>45.3</v>
      </c>
      <c r="K2467" s="6">
        <v>1.85</v>
      </c>
      <c r="L2467" s="4">
        <v>4</v>
      </c>
      <c r="M2467" s="4">
        <v>103</v>
      </c>
      <c r="N2467" s="4">
        <v>102</v>
      </c>
      <c r="O2467" s="4" t="s">
        <v>26</v>
      </c>
      <c r="P2467" s="7" t="s">
        <v>19</v>
      </c>
    </row>
    <row r="2468" spans="2:16" x14ac:dyDescent="0.45">
      <c r="B2468" s="4">
        <v>2467</v>
      </c>
      <c r="C2468" s="4" t="s">
        <v>45</v>
      </c>
      <c r="D2468" s="4" t="s">
        <v>16</v>
      </c>
      <c r="E2468" s="4" t="s">
        <v>17</v>
      </c>
      <c r="F2468" s="4" t="s">
        <v>28</v>
      </c>
      <c r="G2468" s="4" t="s">
        <v>19</v>
      </c>
      <c r="H2468" s="4" t="s">
        <v>36</v>
      </c>
      <c r="I2468" s="4">
        <v>43</v>
      </c>
      <c r="J2468" s="5">
        <v>94.8</v>
      </c>
      <c r="K2468" s="6">
        <v>1.6</v>
      </c>
      <c r="L2468" s="4">
        <v>2</v>
      </c>
      <c r="M2468" s="4">
        <v>142</v>
      </c>
      <c r="N2468" s="4">
        <v>101</v>
      </c>
      <c r="O2468" s="4" t="s">
        <v>21</v>
      </c>
      <c r="P2468" s="7" t="s">
        <v>19</v>
      </c>
    </row>
    <row r="2469" spans="2:16" x14ac:dyDescent="0.45">
      <c r="B2469" s="4">
        <v>2468</v>
      </c>
      <c r="C2469" s="4" t="s">
        <v>45</v>
      </c>
      <c r="D2469" s="4" t="s">
        <v>23</v>
      </c>
      <c r="E2469" s="4" t="s">
        <v>35</v>
      </c>
      <c r="F2469" s="4" t="s">
        <v>18</v>
      </c>
      <c r="G2469" s="4" t="s">
        <v>19</v>
      </c>
      <c r="H2469" s="4" t="s">
        <v>32</v>
      </c>
      <c r="I2469" s="4">
        <v>28</v>
      </c>
      <c r="J2469" s="5">
        <v>58.1</v>
      </c>
      <c r="K2469" s="6">
        <v>1.49</v>
      </c>
      <c r="L2469" s="4">
        <v>6</v>
      </c>
      <c r="M2469" s="4">
        <v>113</v>
      </c>
      <c r="N2469" s="4">
        <v>172</v>
      </c>
      <c r="O2469" s="4" t="s">
        <v>26</v>
      </c>
      <c r="P2469" s="7" t="s">
        <v>30</v>
      </c>
    </row>
    <row r="2470" spans="2:16" x14ac:dyDescent="0.45">
      <c r="B2470" s="4">
        <v>2469</v>
      </c>
      <c r="C2470" s="4" t="s">
        <v>41</v>
      </c>
      <c r="D2470" s="4" t="s">
        <v>16</v>
      </c>
      <c r="E2470" s="4" t="s">
        <v>17</v>
      </c>
      <c r="F2470" s="4" t="s">
        <v>24</v>
      </c>
      <c r="G2470" s="4" t="s">
        <v>19</v>
      </c>
      <c r="H2470" s="4" t="s">
        <v>34</v>
      </c>
      <c r="I2470" s="4">
        <v>1</v>
      </c>
      <c r="J2470" s="5">
        <v>12.6</v>
      </c>
      <c r="K2470" s="6">
        <v>0.92</v>
      </c>
      <c r="L2470" s="4">
        <v>6</v>
      </c>
      <c r="M2470" s="4">
        <v>110</v>
      </c>
      <c r="N2470" s="4">
        <v>87</v>
      </c>
      <c r="O2470" s="4" t="s">
        <v>21</v>
      </c>
      <c r="P2470" s="7" t="s">
        <v>19</v>
      </c>
    </row>
    <row r="2471" spans="2:16" x14ac:dyDescent="0.45">
      <c r="B2471" s="4">
        <v>2470</v>
      </c>
      <c r="C2471" s="4" t="s">
        <v>40</v>
      </c>
      <c r="D2471" s="4" t="s">
        <v>23</v>
      </c>
      <c r="E2471" s="4" t="s">
        <v>17</v>
      </c>
      <c r="F2471" s="4" t="s">
        <v>18</v>
      </c>
      <c r="G2471" s="4" t="s">
        <v>30</v>
      </c>
      <c r="H2471" s="4" t="s">
        <v>46</v>
      </c>
      <c r="I2471" s="4">
        <v>22</v>
      </c>
      <c r="J2471" s="5">
        <v>74.7</v>
      </c>
      <c r="K2471" s="6">
        <v>1.63</v>
      </c>
      <c r="L2471" s="4">
        <v>5</v>
      </c>
      <c r="M2471" s="4">
        <v>112</v>
      </c>
      <c r="N2471" s="4">
        <v>103</v>
      </c>
      <c r="O2471" s="4" t="s">
        <v>26</v>
      </c>
      <c r="P2471" s="7" t="s">
        <v>19</v>
      </c>
    </row>
    <row r="2472" spans="2:16" x14ac:dyDescent="0.45">
      <c r="B2472" s="4">
        <v>2471</v>
      </c>
      <c r="C2472" s="4" t="s">
        <v>41</v>
      </c>
      <c r="D2472" s="4" t="s">
        <v>23</v>
      </c>
      <c r="E2472" s="4" t="s">
        <v>17</v>
      </c>
      <c r="F2472" s="4" t="s">
        <v>42</v>
      </c>
      <c r="G2472" s="4" t="s">
        <v>19</v>
      </c>
      <c r="H2472" s="4" t="s">
        <v>36</v>
      </c>
      <c r="I2472" s="4">
        <v>5</v>
      </c>
      <c r="J2472" s="5">
        <v>30.4</v>
      </c>
      <c r="K2472" s="6">
        <v>1.41</v>
      </c>
      <c r="L2472" s="4">
        <v>9</v>
      </c>
      <c r="M2472" s="4">
        <v>122</v>
      </c>
      <c r="N2472" s="4">
        <v>90</v>
      </c>
      <c r="O2472" s="4" t="s">
        <v>26</v>
      </c>
      <c r="P2472" s="7" t="s">
        <v>19</v>
      </c>
    </row>
    <row r="2473" spans="2:16" x14ac:dyDescent="0.45">
      <c r="B2473" s="4">
        <v>2472</v>
      </c>
      <c r="C2473" s="4" t="s">
        <v>41</v>
      </c>
      <c r="D2473" s="4" t="s">
        <v>23</v>
      </c>
      <c r="E2473" s="4" t="s">
        <v>35</v>
      </c>
      <c r="F2473" s="4" t="s">
        <v>24</v>
      </c>
      <c r="G2473" s="4" t="s">
        <v>19</v>
      </c>
      <c r="H2473" s="4" t="s">
        <v>28</v>
      </c>
      <c r="I2473" s="4">
        <v>8</v>
      </c>
      <c r="J2473" s="5">
        <v>33.799999999999997</v>
      </c>
      <c r="K2473" s="6">
        <v>1.21</v>
      </c>
      <c r="L2473" s="4">
        <v>2</v>
      </c>
      <c r="M2473" s="4">
        <v>117</v>
      </c>
      <c r="N2473" s="4">
        <v>99</v>
      </c>
      <c r="O2473" s="4" t="s">
        <v>26</v>
      </c>
      <c r="P2473" s="7" t="s">
        <v>19</v>
      </c>
    </row>
    <row r="2474" spans="2:16" x14ac:dyDescent="0.45">
      <c r="B2474" s="4">
        <v>2473</v>
      </c>
      <c r="C2474" s="4" t="s">
        <v>40</v>
      </c>
      <c r="D2474" s="4" t="s">
        <v>16</v>
      </c>
      <c r="E2474" s="4" t="s">
        <v>35</v>
      </c>
      <c r="F2474" s="4" t="s">
        <v>24</v>
      </c>
      <c r="G2474" s="4" t="s">
        <v>19</v>
      </c>
      <c r="H2474" s="4" t="s">
        <v>25</v>
      </c>
      <c r="I2474" s="4">
        <v>7</v>
      </c>
      <c r="J2474" s="5">
        <v>18.8</v>
      </c>
      <c r="K2474" s="6">
        <v>1.42</v>
      </c>
      <c r="L2474" s="4">
        <v>2</v>
      </c>
      <c r="M2474" s="4">
        <v>99</v>
      </c>
      <c r="N2474" s="4">
        <v>97</v>
      </c>
      <c r="O2474" s="4" t="s">
        <v>21</v>
      </c>
      <c r="P2474" s="7" t="s">
        <v>19</v>
      </c>
    </row>
    <row r="2475" spans="2:16" x14ac:dyDescent="0.45">
      <c r="B2475" s="4">
        <v>2474</v>
      </c>
      <c r="C2475" s="4" t="s">
        <v>43</v>
      </c>
      <c r="D2475" s="4" t="s">
        <v>16</v>
      </c>
      <c r="E2475" s="4" t="s">
        <v>37</v>
      </c>
      <c r="F2475" s="4" t="s">
        <v>24</v>
      </c>
      <c r="G2475" s="4" t="s">
        <v>30</v>
      </c>
      <c r="H2475" s="4" t="s">
        <v>25</v>
      </c>
      <c r="I2475" s="4">
        <v>59</v>
      </c>
      <c r="J2475" s="5">
        <v>59.5</v>
      </c>
      <c r="K2475" s="6">
        <v>1.78</v>
      </c>
      <c r="L2475" s="4">
        <v>0</v>
      </c>
      <c r="M2475" s="4">
        <v>119</v>
      </c>
      <c r="N2475" s="4">
        <v>71</v>
      </c>
      <c r="O2475" s="4" t="s">
        <v>26</v>
      </c>
      <c r="P2475" s="7" t="s">
        <v>19</v>
      </c>
    </row>
    <row r="2476" spans="2:16" x14ac:dyDescent="0.45">
      <c r="B2476" s="4">
        <v>2475</v>
      </c>
      <c r="C2476" s="4" t="s">
        <v>27</v>
      </c>
      <c r="D2476" s="4" t="s">
        <v>23</v>
      </c>
      <c r="E2476" s="4" t="s">
        <v>17</v>
      </c>
      <c r="F2476" s="4" t="s">
        <v>28</v>
      </c>
      <c r="G2476" s="4" t="s">
        <v>30</v>
      </c>
      <c r="H2476" s="4" t="s">
        <v>28</v>
      </c>
      <c r="I2476" s="4">
        <v>51</v>
      </c>
      <c r="J2476" s="5">
        <v>81.099999999999994</v>
      </c>
      <c r="K2476" s="6">
        <v>1.73</v>
      </c>
      <c r="L2476" s="4">
        <v>3</v>
      </c>
      <c r="M2476" s="4">
        <v>113</v>
      </c>
      <c r="N2476" s="4">
        <v>103</v>
      </c>
      <c r="O2476" s="4" t="s">
        <v>21</v>
      </c>
      <c r="P2476" s="7" t="s">
        <v>19</v>
      </c>
    </row>
    <row r="2477" spans="2:16" x14ac:dyDescent="0.45">
      <c r="B2477" s="4">
        <v>2476</v>
      </c>
      <c r="C2477" s="4" t="s">
        <v>27</v>
      </c>
      <c r="D2477" s="4" t="s">
        <v>16</v>
      </c>
      <c r="E2477" s="4" t="s">
        <v>35</v>
      </c>
      <c r="F2477" s="4" t="s">
        <v>18</v>
      </c>
      <c r="G2477" s="4" t="s">
        <v>19</v>
      </c>
      <c r="H2477" s="4" t="s">
        <v>28</v>
      </c>
      <c r="I2477" s="4">
        <v>37</v>
      </c>
      <c r="J2477" s="5">
        <v>89.8</v>
      </c>
      <c r="K2477" s="6">
        <v>1.86</v>
      </c>
      <c r="L2477" s="4">
        <v>10</v>
      </c>
      <c r="M2477" s="4">
        <v>119</v>
      </c>
      <c r="N2477" s="4">
        <v>71</v>
      </c>
      <c r="O2477" s="4" t="s">
        <v>26</v>
      </c>
      <c r="P2477" s="7" t="s">
        <v>19</v>
      </c>
    </row>
    <row r="2478" spans="2:16" x14ac:dyDescent="0.45">
      <c r="B2478" s="4">
        <v>2477</v>
      </c>
      <c r="C2478" s="4" t="s">
        <v>31</v>
      </c>
      <c r="D2478" s="4" t="s">
        <v>23</v>
      </c>
      <c r="E2478" s="4" t="s">
        <v>17</v>
      </c>
      <c r="F2478" s="4" t="s">
        <v>28</v>
      </c>
      <c r="G2478" s="4" t="s">
        <v>19</v>
      </c>
      <c r="H2478" s="4" t="s">
        <v>38</v>
      </c>
      <c r="I2478" s="4">
        <v>12</v>
      </c>
      <c r="J2478" s="5">
        <v>51.4</v>
      </c>
      <c r="K2478" s="6">
        <v>1.65</v>
      </c>
      <c r="L2478" s="4">
        <v>2</v>
      </c>
      <c r="M2478" s="4">
        <v>105</v>
      </c>
      <c r="N2478" s="4">
        <v>82</v>
      </c>
      <c r="O2478" s="4" t="s">
        <v>21</v>
      </c>
      <c r="P2478" s="7" t="s">
        <v>30</v>
      </c>
    </row>
    <row r="2479" spans="2:16" x14ac:dyDescent="0.45">
      <c r="B2479" s="4">
        <v>2478</v>
      </c>
      <c r="C2479" s="4" t="s">
        <v>29</v>
      </c>
      <c r="D2479" s="4" t="s">
        <v>23</v>
      </c>
      <c r="E2479" s="4" t="s">
        <v>35</v>
      </c>
      <c r="F2479" s="4" t="s">
        <v>24</v>
      </c>
      <c r="G2479" s="4" t="s">
        <v>19</v>
      </c>
      <c r="H2479" s="4" t="s">
        <v>20</v>
      </c>
      <c r="I2479" s="4">
        <v>6</v>
      </c>
      <c r="J2479" s="5">
        <v>22.6</v>
      </c>
      <c r="K2479" s="6">
        <v>1.37</v>
      </c>
      <c r="L2479" s="4">
        <v>3</v>
      </c>
      <c r="M2479" s="4">
        <v>105</v>
      </c>
      <c r="N2479" s="4">
        <v>74</v>
      </c>
      <c r="O2479" s="4" t="s">
        <v>26</v>
      </c>
      <c r="P2479" s="7" t="s">
        <v>30</v>
      </c>
    </row>
    <row r="2480" spans="2:16" x14ac:dyDescent="0.45">
      <c r="B2480" s="4">
        <v>2479</v>
      </c>
      <c r="C2480" s="4" t="s">
        <v>31</v>
      </c>
      <c r="D2480" s="4" t="s">
        <v>23</v>
      </c>
      <c r="E2480" s="4" t="s">
        <v>35</v>
      </c>
      <c r="F2480" s="4" t="s">
        <v>24</v>
      </c>
      <c r="G2480" s="4" t="s">
        <v>30</v>
      </c>
      <c r="H2480" s="4" t="s">
        <v>25</v>
      </c>
      <c r="I2480" s="4">
        <v>28</v>
      </c>
      <c r="J2480" s="5">
        <v>61.7</v>
      </c>
      <c r="K2480" s="6">
        <v>1.64</v>
      </c>
      <c r="L2480" s="4">
        <v>4</v>
      </c>
      <c r="M2480" s="4">
        <v>116</v>
      </c>
      <c r="N2480" s="4">
        <v>72</v>
      </c>
      <c r="O2480" s="4" t="s">
        <v>21</v>
      </c>
      <c r="P2480" s="7" t="s">
        <v>19</v>
      </c>
    </row>
    <row r="2481" spans="2:16" x14ac:dyDescent="0.45">
      <c r="B2481" s="4">
        <v>2480</v>
      </c>
      <c r="C2481" s="4" t="s">
        <v>45</v>
      </c>
      <c r="D2481" s="4" t="s">
        <v>16</v>
      </c>
      <c r="E2481" s="4" t="s">
        <v>37</v>
      </c>
      <c r="F2481" s="4" t="s">
        <v>24</v>
      </c>
      <c r="G2481" s="4" t="s">
        <v>19</v>
      </c>
      <c r="H2481" s="4" t="s">
        <v>20</v>
      </c>
      <c r="I2481" s="4">
        <v>35</v>
      </c>
      <c r="J2481" s="5">
        <v>88.7</v>
      </c>
      <c r="K2481" s="6">
        <v>1.86</v>
      </c>
      <c r="L2481" s="4">
        <v>2</v>
      </c>
      <c r="M2481" s="4">
        <v>124</v>
      </c>
      <c r="N2481" s="4">
        <v>87</v>
      </c>
      <c r="O2481" s="4" t="s">
        <v>26</v>
      </c>
      <c r="P2481" s="7" t="s">
        <v>19</v>
      </c>
    </row>
    <row r="2482" spans="2:16" x14ac:dyDescent="0.45">
      <c r="B2482" s="4">
        <v>2481</v>
      </c>
      <c r="C2482" s="4" t="s">
        <v>31</v>
      </c>
      <c r="D2482" s="4" t="s">
        <v>16</v>
      </c>
      <c r="E2482" s="4" t="s">
        <v>37</v>
      </c>
      <c r="F2482" s="4" t="s">
        <v>24</v>
      </c>
      <c r="G2482" s="4" t="s">
        <v>19</v>
      </c>
      <c r="H2482" s="4" t="s">
        <v>32</v>
      </c>
      <c r="I2482" s="4">
        <v>27</v>
      </c>
      <c r="J2482" s="5">
        <v>46.9</v>
      </c>
      <c r="K2482" s="6">
        <v>1.8</v>
      </c>
      <c r="L2482" s="4">
        <v>3</v>
      </c>
      <c r="M2482" s="4">
        <v>103</v>
      </c>
      <c r="N2482" s="4">
        <v>163</v>
      </c>
      <c r="O2482" s="4" t="s">
        <v>26</v>
      </c>
      <c r="P2482" s="7" t="s">
        <v>19</v>
      </c>
    </row>
    <row r="2483" spans="2:16" x14ac:dyDescent="0.45">
      <c r="B2483" s="4">
        <v>2482</v>
      </c>
      <c r="C2483" s="4" t="s">
        <v>31</v>
      </c>
      <c r="D2483" s="4" t="s">
        <v>23</v>
      </c>
      <c r="E2483" s="4" t="s">
        <v>35</v>
      </c>
      <c r="F2483" s="4" t="s">
        <v>24</v>
      </c>
      <c r="G2483" s="4" t="s">
        <v>19</v>
      </c>
      <c r="H2483" s="4" t="s">
        <v>20</v>
      </c>
      <c r="I2483" s="4">
        <v>21</v>
      </c>
      <c r="J2483" s="5">
        <v>64.900000000000006</v>
      </c>
      <c r="K2483" s="6">
        <v>1.69</v>
      </c>
      <c r="L2483" s="4">
        <v>4</v>
      </c>
      <c r="M2483" s="4">
        <v>111</v>
      </c>
      <c r="N2483" s="4">
        <v>80</v>
      </c>
      <c r="O2483" s="4" t="s">
        <v>21</v>
      </c>
      <c r="P2483" s="7" t="s">
        <v>19</v>
      </c>
    </row>
    <row r="2484" spans="2:16" x14ac:dyDescent="0.45">
      <c r="B2484" s="4">
        <v>2483</v>
      </c>
      <c r="C2484" s="4" t="s">
        <v>40</v>
      </c>
      <c r="D2484" s="4" t="s">
        <v>16</v>
      </c>
      <c r="E2484" s="4" t="s">
        <v>37</v>
      </c>
      <c r="F2484" s="4" t="s">
        <v>28</v>
      </c>
      <c r="G2484" s="4" t="s">
        <v>19</v>
      </c>
      <c r="H2484" s="4" t="s">
        <v>20</v>
      </c>
      <c r="I2484" s="4">
        <v>21</v>
      </c>
      <c r="J2484" s="5">
        <v>73.8</v>
      </c>
      <c r="K2484" s="6">
        <v>1.79</v>
      </c>
      <c r="L2484" s="4">
        <v>5</v>
      </c>
      <c r="M2484" s="4">
        <v>112</v>
      </c>
      <c r="N2484" s="4">
        <v>104</v>
      </c>
      <c r="O2484" s="4" t="s">
        <v>26</v>
      </c>
      <c r="P2484" s="7" t="s">
        <v>19</v>
      </c>
    </row>
    <row r="2485" spans="2:16" x14ac:dyDescent="0.45">
      <c r="B2485" s="4">
        <v>2484</v>
      </c>
      <c r="C2485" s="4" t="s">
        <v>22</v>
      </c>
      <c r="D2485" s="4" t="s">
        <v>16</v>
      </c>
      <c r="E2485" s="4" t="s">
        <v>17</v>
      </c>
      <c r="F2485" s="4" t="s">
        <v>18</v>
      </c>
      <c r="G2485" s="4" t="s">
        <v>19</v>
      </c>
      <c r="H2485" s="4" t="s">
        <v>20</v>
      </c>
      <c r="I2485" s="4">
        <v>35</v>
      </c>
      <c r="J2485" s="5">
        <v>78.900000000000006</v>
      </c>
      <c r="K2485" s="6">
        <v>1.58</v>
      </c>
      <c r="L2485" s="4">
        <v>2</v>
      </c>
      <c r="M2485" s="4">
        <v>109</v>
      </c>
      <c r="N2485" s="4">
        <v>104</v>
      </c>
      <c r="O2485" s="4" t="s">
        <v>21</v>
      </c>
      <c r="P2485" s="7" t="s">
        <v>19</v>
      </c>
    </row>
    <row r="2486" spans="2:16" x14ac:dyDescent="0.45">
      <c r="B2486" s="4">
        <v>2485</v>
      </c>
      <c r="C2486" s="4" t="s">
        <v>29</v>
      </c>
      <c r="D2486" s="4" t="s">
        <v>16</v>
      </c>
      <c r="E2486" s="4" t="s">
        <v>35</v>
      </c>
      <c r="F2486" s="4" t="s">
        <v>18</v>
      </c>
      <c r="G2486" s="4" t="s">
        <v>19</v>
      </c>
      <c r="H2486" s="4" t="s">
        <v>20</v>
      </c>
      <c r="I2486" s="4">
        <v>24</v>
      </c>
      <c r="J2486" s="5">
        <v>91.4</v>
      </c>
      <c r="K2486" s="6">
        <v>1.67</v>
      </c>
      <c r="L2486" s="4">
        <v>8</v>
      </c>
      <c r="M2486" s="4">
        <v>98</v>
      </c>
      <c r="N2486" s="4">
        <v>99</v>
      </c>
      <c r="O2486" s="4" t="s">
        <v>26</v>
      </c>
      <c r="P2486" s="7" t="s">
        <v>19</v>
      </c>
    </row>
    <row r="2487" spans="2:16" x14ac:dyDescent="0.45">
      <c r="B2487" s="4">
        <v>2486</v>
      </c>
      <c r="C2487" s="4" t="s">
        <v>45</v>
      </c>
      <c r="D2487" s="4" t="s">
        <v>16</v>
      </c>
      <c r="E2487" s="4" t="s">
        <v>44</v>
      </c>
      <c r="F2487" s="4" t="s">
        <v>24</v>
      </c>
      <c r="G2487" s="4" t="s">
        <v>30</v>
      </c>
      <c r="H2487" s="4" t="s">
        <v>20</v>
      </c>
      <c r="I2487" s="4">
        <v>55</v>
      </c>
      <c r="J2487" s="5">
        <v>59.8</v>
      </c>
      <c r="K2487" s="6">
        <v>1.89</v>
      </c>
      <c r="L2487" s="4">
        <v>3</v>
      </c>
      <c r="M2487" s="4">
        <v>125</v>
      </c>
      <c r="N2487" s="4">
        <v>91</v>
      </c>
      <c r="O2487" s="4" t="s">
        <v>21</v>
      </c>
      <c r="P2487" s="7" t="s">
        <v>19</v>
      </c>
    </row>
    <row r="2488" spans="2:16" x14ac:dyDescent="0.45">
      <c r="B2488" s="4">
        <v>2487</v>
      </c>
      <c r="C2488" s="4" t="s">
        <v>41</v>
      </c>
      <c r="D2488" s="4" t="s">
        <v>23</v>
      </c>
      <c r="E2488" s="4" t="s">
        <v>35</v>
      </c>
      <c r="F2488" s="4" t="s">
        <v>18</v>
      </c>
      <c r="G2488" s="4" t="s">
        <v>19</v>
      </c>
      <c r="H2488" s="4" t="s">
        <v>32</v>
      </c>
      <c r="I2488" s="4">
        <v>60</v>
      </c>
      <c r="J2488" s="5">
        <v>52.6</v>
      </c>
      <c r="K2488" s="6">
        <v>1.71</v>
      </c>
      <c r="L2488" s="4">
        <v>3</v>
      </c>
      <c r="M2488" s="4">
        <v>121</v>
      </c>
      <c r="N2488" s="4">
        <v>184</v>
      </c>
      <c r="O2488" s="4" t="s">
        <v>26</v>
      </c>
      <c r="P2488" s="7" t="s">
        <v>30</v>
      </c>
    </row>
    <row r="2489" spans="2:16" x14ac:dyDescent="0.45">
      <c r="B2489" s="4">
        <v>2488</v>
      </c>
      <c r="C2489" s="4" t="s">
        <v>33</v>
      </c>
      <c r="D2489" s="4" t="s">
        <v>16</v>
      </c>
      <c r="E2489" s="4" t="s">
        <v>44</v>
      </c>
      <c r="F2489" s="4" t="s">
        <v>18</v>
      </c>
      <c r="G2489" s="4" t="s">
        <v>30</v>
      </c>
      <c r="H2489" s="4" t="s">
        <v>38</v>
      </c>
      <c r="I2489" s="4">
        <v>32</v>
      </c>
      <c r="J2489" s="5">
        <v>76</v>
      </c>
      <c r="K2489" s="6">
        <v>1.86</v>
      </c>
      <c r="L2489" s="4">
        <v>1</v>
      </c>
      <c r="M2489" s="4">
        <v>116</v>
      </c>
      <c r="N2489" s="4">
        <v>80</v>
      </c>
      <c r="O2489" s="4" t="s">
        <v>21</v>
      </c>
      <c r="P2489" s="7" t="s">
        <v>19</v>
      </c>
    </row>
    <row r="2490" spans="2:16" x14ac:dyDescent="0.45">
      <c r="B2490" s="4">
        <v>2489</v>
      </c>
      <c r="C2490" s="4" t="s">
        <v>27</v>
      </c>
      <c r="D2490" s="4" t="s">
        <v>23</v>
      </c>
      <c r="E2490" s="4" t="s">
        <v>44</v>
      </c>
      <c r="F2490" s="4" t="s">
        <v>18</v>
      </c>
      <c r="G2490" s="4" t="s">
        <v>30</v>
      </c>
      <c r="H2490" s="4" t="s">
        <v>20</v>
      </c>
      <c r="I2490" s="4">
        <v>48</v>
      </c>
      <c r="J2490" s="5">
        <v>45.2</v>
      </c>
      <c r="K2490" s="6">
        <v>1.59</v>
      </c>
      <c r="L2490" s="4">
        <v>0</v>
      </c>
      <c r="M2490" s="4">
        <v>120</v>
      </c>
      <c r="N2490" s="4">
        <v>96</v>
      </c>
      <c r="O2490" s="4" t="s">
        <v>21</v>
      </c>
      <c r="P2490" s="7" t="s">
        <v>19</v>
      </c>
    </row>
    <row r="2491" spans="2:16" x14ac:dyDescent="0.45">
      <c r="B2491" s="4">
        <v>2490</v>
      </c>
      <c r="C2491" s="4" t="s">
        <v>27</v>
      </c>
      <c r="D2491" s="4" t="s">
        <v>23</v>
      </c>
      <c r="E2491" s="4" t="s">
        <v>17</v>
      </c>
      <c r="F2491" s="4" t="s">
        <v>24</v>
      </c>
      <c r="G2491" s="4" t="s">
        <v>30</v>
      </c>
      <c r="H2491" s="4" t="s">
        <v>20</v>
      </c>
      <c r="I2491" s="4">
        <v>42</v>
      </c>
      <c r="J2491" s="5">
        <v>88.5</v>
      </c>
      <c r="K2491" s="6">
        <v>1.49</v>
      </c>
      <c r="L2491" s="4">
        <v>2</v>
      </c>
      <c r="M2491" s="4">
        <v>113</v>
      </c>
      <c r="N2491" s="4">
        <v>81</v>
      </c>
      <c r="O2491" s="4" t="s">
        <v>21</v>
      </c>
      <c r="P2491" s="7" t="s">
        <v>30</v>
      </c>
    </row>
    <row r="2492" spans="2:16" x14ac:dyDescent="0.45">
      <c r="B2492" s="4">
        <v>2491</v>
      </c>
      <c r="C2492" s="4" t="s">
        <v>41</v>
      </c>
      <c r="D2492" s="4" t="s">
        <v>16</v>
      </c>
      <c r="E2492" s="4" t="s">
        <v>17</v>
      </c>
      <c r="F2492" s="4" t="s">
        <v>18</v>
      </c>
      <c r="G2492" s="4" t="s">
        <v>19</v>
      </c>
      <c r="H2492" s="4" t="s">
        <v>38</v>
      </c>
      <c r="I2492" s="4">
        <v>41</v>
      </c>
      <c r="J2492" s="5">
        <v>75</v>
      </c>
      <c r="K2492" s="6">
        <v>1.57</v>
      </c>
      <c r="L2492" s="4">
        <v>6</v>
      </c>
      <c r="M2492" s="4">
        <v>110</v>
      </c>
      <c r="N2492" s="4">
        <v>98</v>
      </c>
      <c r="O2492" s="4" t="s">
        <v>21</v>
      </c>
      <c r="P2492" s="7" t="s">
        <v>19</v>
      </c>
    </row>
    <row r="2493" spans="2:16" x14ac:dyDescent="0.45">
      <c r="B2493" s="4">
        <v>2492</v>
      </c>
      <c r="C2493" s="4" t="s">
        <v>45</v>
      </c>
      <c r="D2493" s="4" t="s">
        <v>23</v>
      </c>
      <c r="E2493" s="4" t="s">
        <v>44</v>
      </c>
      <c r="F2493" s="4" t="s">
        <v>28</v>
      </c>
      <c r="G2493" s="4" t="s">
        <v>30</v>
      </c>
      <c r="H2493" s="4" t="s">
        <v>34</v>
      </c>
      <c r="I2493" s="4">
        <v>4</v>
      </c>
      <c r="J2493" s="5">
        <v>18</v>
      </c>
      <c r="K2493" s="6">
        <v>0.68</v>
      </c>
      <c r="L2493" s="4">
        <v>7</v>
      </c>
      <c r="M2493" s="4">
        <v>107</v>
      </c>
      <c r="N2493" s="4">
        <v>100</v>
      </c>
      <c r="O2493" s="4" t="s">
        <v>26</v>
      </c>
      <c r="P2493" s="7" t="s">
        <v>19</v>
      </c>
    </row>
    <row r="2494" spans="2:16" x14ac:dyDescent="0.45">
      <c r="B2494" s="4">
        <v>2493</v>
      </c>
      <c r="C2494" s="4" t="s">
        <v>22</v>
      </c>
      <c r="D2494" s="4" t="s">
        <v>23</v>
      </c>
      <c r="E2494" s="4" t="s">
        <v>35</v>
      </c>
      <c r="F2494" s="4" t="s">
        <v>24</v>
      </c>
      <c r="G2494" s="4" t="s">
        <v>19</v>
      </c>
      <c r="H2494" s="4" t="s">
        <v>36</v>
      </c>
      <c r="I2494" s="4">
        <v>32</v>
      </c>
      <c r="J2494" s="5">
        <v>46.5</v>
      </c>
      <c r="K2494" s="6">
        <v>1.84</v>
      </c>
      <c r="L2494" s="4">
        <v>10</v>
      </c>
      <c r="M2494" s="4">
        <v>135</v>
      </c>
      <c r="N2494" s="4">
        <v>71</v>
      </c>
      <c r="O2494" s="4" t="s">
        <v>21</v>
      </c>
      <c r="P2494" s="7" t="s">
        <v>30</v>
      </c>
    </row>
    <row r="2495" spans="2:16" x14ac:dyDescent="0.45">
      <c r="B2495" s="4">
        <v>2494</v>
      </c>
      <c r="C2495" s="4" t="s">
        <v>29</v>
      </c>
      <c r="D2495" s="4" t="s">
        <v>23</v>
      </c>
      <c r="E2495" s="4" t="s">
        <v>35</v>
      </c>
      <c r="F2495" s="4" t="s">
        <v>24</v>
      </c>
      <c r="G2495" s="4" t="s">
        <v>19</v>
      </c>
      <c r="H2495" s="4" t="s">
        <v>34</v>
      </c>
      <c r="I2495" s="4">
        <v>21</v>
      </c>
      <c r="J2495" s="5">
        <v>65.3</v>
      </c>
      <c r="K2495" s="6">
        <v>1.65</v>
      </c>
      <c r="L2495" s="4">
        <v>3</v>
      </c>
      <c r="M2495" s="4">
        <v>99</v>
      </c>
      <c r="N2495" s="4">
        <v>101</v>
      </c>
      <c r="O2495" s="4" t="s">
        <v>21</v>
      </c>
      <c r="P2495" s="7" t="s">
        <v>19</v>
      </c>
    </row>
    <row r="2496" spans="2:16" x14ac:dyDescent="0.45">
      <c r="B2496" s="4">
        <v>2495</v>
      </c>
      <c r="C2496" s="4" t="s">
        <v>15</v>
      </c>
      <c r="D2496" s="4" t="s">
        <v>16</v>
      </c>
      <c r="E2496" s="4" t="s">
        <v>17</v>
      </c>
      <c r="F2496" s="4" t="s">
        <v>28</v>
      </c>
      <c r="G2496" s="4" t="s">
        <v>19</v>
      </c>
      <c r="H2496" s="4" t="s">
        <v>20</v>
      </c>
      <c r="I2496" s="4">
        <v>50</v>
      </c>
      <c r="J2496" s="5">
        <v>81.400000000000006</v>
      </c>
      <c r="K2496" s="6">
        <v>1.5</v>
      </c>
      <c r="L2496" s="4">
        <v>3</v>
      </c>
      <c r="M2496" s="4">
        <v>108</v>
      </c>
      <c r="N2496" s="4">
        <v>84</v>
      </c>
      <c r="O2496" s="4" t="s">
        <v>21</v>
      </c>
      <c r="P2496" s="7" t="s">
        <v>19</v>
      </c>
    </row>
    <row r="2497" spans="2:16" x14ac:dyDescent="0.45">
      <c r="B2497" s="4">
        <v>2496</v>
      </c>
      <c r="C2497" s="4" t="s">
        <v>27</v>
      </c>
      <c r="D2497" s="4" t="s">
        <v>16</v>
      </c>
      <c r="E2497" s="4" t="s">
        <v>35</v>
      </c>
      <c r="F2497" s="4" t="s">
        <v>28</v>
      </c>
      <c r="G2497" s="4" t="s">
        <v>19</v>
      </c>
      <c r="H2497" s="4" t="s">
        <v>28</v>
      </c>
      <c r="I2497" s="4">
        <v>18</v>
      </c>
      <c r="J2497" s="5">
        <v>45.7</v>
      </c>
      <c r="K2497" s="6">
        <v>1.82</v>
      </c>
      <c r="L2497" s="4">
        <v>2</v>
      </c>
      <c r="M2497" s="4">
        <v>103</v>
      </c>
      <c r="N2497" s="4">
        <v>103</v>
      </c>
      <c r="O2497" s="4" t="s">
        <v>26</v>
      </c>
      <c r="P2497" s="7" t="s">
        <v>19</v>
      </c>
    </row>
    <row r="2498" spans="2:16" x14ac:dyDescent="0.45">
      <c r="B2498" s="4">
        <v>2497</v>
      </c>
      <c r="C2498" s="4" t="s">
        <v>39</v>
      </c>
      <c r="D2498" s="4" t="s">
        <v>16</v>
      </c>
      <c r="E2498" s="4" t="s">
        <v>35</v>
      </c>
      <c r="F2498" s="4" t="s">
        <v>28</v>
      </c>
      <c r="G2498" s="4" t="s">
        <v>19</v>
      </c>
      <c r="H2498" s="4" t="s">
        <v>32</v>
      </c>
      <c r="I2498" s="4">
        <v>15</v>
      </c>
      <c r="J2498" s="5">
        <v>42.1</v>
      </c>
      <c r="K2498" s="6">
        <v>1.46</v>
      </c>
      <c r="L2498" s="4">
        <v>5</v>
      </c>
      <c r="M2498" s="4">
        <v>100</v>
      </c>
      <c r="N2498" s="4">
        <v>163</v>
      </c>
      <c r="O2498" s="4" t="s">
        <v>26</v>
      </c>
      <c r="P2498" s="7" t="s">
        <v>19</v>
      </c>
    </row>
    <row r="2499" spans="2:16" x14ac:dyDescent="0.45">
      <c r="B2499" s="4">
        <v>2498</v>
      </c>
      <c r="C2499" s="4" t="s">
        <v>41</v>
      </c>
      <c r="D2499" s="4" t="s">
        <v>23</v>
      </c>
      <c r="E2499" s="4" t="s">
        <v>17</v>
      </c>
      <c r="F2499" s="4" t="s">
        <v>28</v>
      </c>
      <c r="G2499" s="4" t="s">
        <v>19</v>
      </c>
      <c r="H2499" s="4" t="s">
        <v>28</v>
      </c>
      <c r="I2499" s="4">
        <v>19</v>
      </c>
      <c r="J2499" s="5">
        <v>94.6</v>
      </c>
      <c r="K2499" s="6">
        <v>1.55</v>
      </c>
      <c r="L2499" s="4">
        <v>4</v>
      </c>
      <c r="M2499" s="4">
        <v>103</v>
      </c>
      <c r="N2499" s="4">
        <v>84</v>
      </c>
      <c r="O2499" s="4" t="s">
        <v>26</v>
      </c>
      <c r="P2499" s="7" t="s">
        <v>19</v>
      </c>
    </row>
    <row r="2500" spans="2:16" x14ac:dyDescent="0.45">
      <c r="B2500" s="4">
        <v>2499</v>
      </c>
      <c r="C2500" s="4" t="s">
        <v>41</v>
      </c>
      <c r="D2500" s="4" t="s">
        <v>16</v>
      </c>
      <c r="E2500" s="4" t="s">
        <v>17</v>
      </c>
      <c r="F2500" s="4" t="s">
        <v>24</v>
      </c>
      <c r="G2500" s="4" t="s">
        <v>19</v>
      </c>
      <c r="H2500" s="4" t="s">
        <v>36</v>
      </c>
      <c r="I2500" s="4">
        <v>12</v>
      </c>
      <c r="J2500" s="5">
        <v>58.3</v>
      </c>
      <c r="K2500" s="6">
        <v>1.64</v>
      </c>
      <c r="L2500" s="4">
        <v>5</v>
      </c>
      <c r="M2500" s="4">
        <v>126</v>
      </c>
      <c r="N2500" s="4">
        <v>73</v>
      </c>
      <c r="O2500" s="4" t="s">
        <v>21</v>
      </c>
      <c r="P2500" s="7" t="s">
        <v>19</v>
      </c>
    </row>
    <row r="2501" spans="2:16" x14ac:dyDescent="0.45">
      <c r="B2501" s="8">
        <v>2500</v>
      </c>
      <c r="C2501" s="8" t="s">
        <v>40</v>
      </c>
      <c r="D2501" s="8" t="s">
        <v>23</v>
      </c>
      <c r="E2501" s="8" t="s">
        <v>35</v>
      </c>
      <c r="F2501" s="8" t="s">
        <v>18</v>
      </c>
      <c r="G2501" s="8" t="s">
        <v>19</v>
      </c>
      <c r="H2501" s="8" t="s">
        <v>28</v>
      </c>
      <c r="I2501" s="8">
        <v>22</v>
      </c>
      <c r="J2501" s="9">
        <v>47.8</v>
      </c>
      <c r="K2501" s="10">
        <v>1.78</v>
      </c>
      <c r="L2501" s="8">
        <v>0</v>
      </c>
      <c r="M2501" s="8">
        <v>98</v>
      </c>
      <c r="N2501" s="8">
        <v>100</v>
      </c>
      <c r="O2501" s="8" t="s">
        <v>26</v>
      </c>
      <c r="P2501" s="11" t="s">
        <v>19</v>
      </c>
    </row>
  </sheetData>
  <dataValidations count="1">
    <dataValidation type="list" allowBlank="1" showInputMessage="1" showErrorMessage="1" sqref="R2" xr:uid="{FCF1D834-3C58-4799-A799-42353BC061CE}">
      <formula1>$D$2:$D$2501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1E52-67EE-4FE1-8B2F-55EB422B183F}">
  <dimension ref="B1:X2501"/>
  <sheetViews>
    <sheetView tabSelected="1" zoomScaleNormal="100" workbookViewId="0">
      <pane ySplit="1" topLeftCell="A2" activePane="bottomLeft" state="frozen"/>
      <selection pane="bottomLeft" activeCell="X10" sqref="X10"/>
    </sheetView>
  </sheetViews>
  <sheetFormatPr defaultColWidth="8.6640625" defaultRowHeight="14.25" x14ac:dyDescent="0.45"/>
  <cols>
    <col min="2" max="2" width="7" customWidth="1"/>
    <col min="3" max="3" width="16" customWidth="1"/>
    <col min="4" max="4" width="12" customWidth="1"/>
    <col min="5" max="5" width="14" customWidth="1"/>
    <col min="6" max="6" width="13.46484375" customWidth="1"/>
    <col min="7" max="7" width="14.9296875" customWidth="1"/>
    <col min="8" max="8" width="13" customWidth="1"/>
    <col min="9" max="9" width="8" customWidth="1"/>
    <col min="10" max="10" width="10" customWidth="1"/>
    <col min="11" max="11" width="10.1328125" customWidth="1"/>
    <col min="12" max="12" width="15.33203125" customWidth="1"/>
    <col min="13" max="13" width="13" customWidth="1"/>
    <col min="14" max="14" width="15.33203125" customWidth="1"/>
    <col min="15" max="15" width="10" customWidth="1"/>
    <col min="16" max="16" width="10.1328125" customWidth="1"/>
    <col min="18" max="18" width="11.53125" customWidth="1"/>
    <col min="19" max="19" width="12.59765625" customWidth="1"/>
    <col min="20" max="20" width="11.73046875" customWidth="1"/>
    <col min="24" max="24" width="54.6640625" customWidth="1"/>
  </cols>
  <sheetData>
    <row r="1" spans="2:24" ht="26.25" x14ac:dyDescent="0.45">
      <c r="B1" s="2" t="s">
        <v>0</v>
      </c>
      <c r="C1" s="2" t="s">
        <v>1</v>
      </c>
      <c r="D1" s="2" t="s">
        <v>2</v>
      </c>
      <c r="E1" s="2" t="s">
        <v>3</v>
      </c>
      <c r="F1" s="16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S1" s="14" t="s">
        <v>52</v>
      </c>
      <c r="T1" s="12" t="s">
        <v>48</v>
      </c>
    </row>
    <row r="2" spans="2:24" x14ac:dyDescent="0.45">
      <c r="B2" s="4">
        <v>1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>
        <v>43</v>
      </c>
      <c r="J2" s="5">
        <v>83.4</v>
      </c>
      <c r="K2" s="6">
        <v>1.79</v>
      </c>
      <c r="L2" s="4">
        <v>5</v>
      </c>
      <c r="M2" s="4">
        <v>118</v>
      </c>
      <c r="N2" s="4">
        <v>78</v>
      </c>
      <c r="O2" s="4" t="s">
        <v>21</v>
      </c>
      <c r="P2" s="7" t="s">
        <v>19</v>
      </c>
      <c r="S2" t="s">
        <v>28</v>
      </c>
      <c r="T2">
        <f ca="1">ROUND(AVERAGEIF(H2:H2501,S2,I2477:I2501),0)</f>
        <v>25</v>
      </c>
      <c r="X2" s="20" t="s">
        <v>64</v>
      </c>
    </row>
    <row r="3" spans="2:24" x14ac:dyDescent="0.45">
      <c r="B3" s="4">
        <v>2</v>
      </c>
      <c r="C3" s="4" t="s">
        <v>22</v>
      </c>
      <c r="D3" s="4" t="s">
        <v>23</v>
      </c>
      <c r="E3" s="4" t="s">
        <v>17</v>
      </c>
      <c r="F3" s="4" t="s">
        <v>24</v>
      </c>
      <c r="G3" s="4" t="s">
        <v>19</v>
      </c>
      <c r="H3" s="4" t="s">
        <v>25</v>
      </c>
      <c r="I3" s="4">
        <v>4</v>
      </c>
      <c r="J3" s="5">
        <v>10.3</v>
      </c>
      <c r="K3" s="6">
        <v>1.05</v>
      </c>
      <c r="L3" s="4">
        <v>2</v>
      </c>
      <c r="M3" s="4">
        <v>110</v>
      </c>
      <c r="N3" s="4">
        <v>92</v>
      </c>
      <c r="O3" s="4" t="s">
        <v>26</v>
      </c>
      <c r="P3" s="7" t="s">
        <v>19</v>
      </c>
      <c r="X3" s="20" t="s">
        <v>62</v>
      </c>
    </row>
    <row r="4" spans="2:24" x14ac:dyDescent="0.45">
      <c r="B4" s="4">
        <v>3</v>
      </c>
      <c r="C4" s="4" t="s">
        <v>27</v>
      </c>
      <c r="D4" s="4" t="s">
        <v>23</v>
      </c>
      <c r="E4" s="4" t="s">
        <v>17</v>
      </c>
      <c r="F4" s="4" t="s">
        <v>24</v>
      </c>
      <c r="G4" s="4" t="s">
        <v>19</v>
      </c>
      <c r="H4" s="4" t="s">
        <v>25</v>
      </c>
      <c r="I4" s="4">
        <v>13</v>
      </c>
      <c r="J4" s="5">
        <v>49.4</v>
      </c>
      <c r="K4" s="6">
        <v>1.56</v>
      </c>
      <c r="L4" s="4">
        <v>2</v>
      </c>
      <c r="M4" s="4">
        <v>109</v>
      </c>
      <c r="N4" s="4">
        <v>87</v>
      </c>
      <c r="O4" s="4" t="s">
        <v>21</v>
      </c>
      <c r="P4" s="7" t="s">
        <v>19</v>
      </c>
      <c r="R4" t="s">
        <v>49</v>
      </c>
      <c r="S4" s="13">
        <f>AVERAGE(I2:I2501)</f>
        <v>26.896799999999999</v>
      </c>
      <c r="U4">
        <f>ROUND(S4,0)</f>
        <v>27</v>
      </c>
      <c r="V4">
        <f>ROUND(AVERAGE(I2:I2501),0)</f>
        <v>27</v>
      </c>
      <c r="X4" s="20" t="s">
        <v>63</v>
      </c>
    </row>
    <row r="5" spans="2:24" x14ac:dyDescent="0.45">
      <c r="B5" s="4">
        <v>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28</v>
      </c>
      <c r="I5" s="4">
        <v>22</v>
      </c>
      <c r="J5" s="5">
        <v>73.8</v>
      </c>
      <c r="K5" s="6">
        <v>1.82</v>
      </c>
      <c r="L5" s="4">
        <v>5</v>
      </c>
      <c r="M5" s="4">
        <v>117</v>
      </c>
      <c r="N5" s="4">
        <v>104</v>
      </c>
      <c r="O5" s="4" t="s">
        <v>26</v>
      </c>
      <c r="P5" s="7" t="s">
        <v>19</v>
      </c>
      <c r="R5" t="s">
        <v>50</v>
      </c>
      <c r="S5">
        <f>SUM(I2:I2501)</f>
        <v>67242</v>
      </c>
      <c r="X5" s="20" t="s">
        <v>65</v>
      </c>
    </row>
    <row r="6" spans="2:24" x14ac:dyDescent="0.45">
      <c r="B6" s="4">
        <v>5</v>
      </c>
      <c r="C6" s="4" t="s">
        <v>29</v>
      </c>
      <c r="D6" s="4" t="s">
        <v>16</v>
      </c>
      <c r="E6" s="4" t="s">
        <v>17</v>
      </c>
      <c r="F6" s="4" t="s">
        <v>24</v>
      </c>
      <c r="G6" s="4" t="s">
        <v>19</v>
      </c>
      <c r="H6" s="4" t="s">
        <v>28</v>
      </c>
      <c r="I6" s="4">
        <v>11</v>
      </c>
      <c r="J6" s="5">
        <v>36.6</v>
      </c>
      <c r="K6" s="6">
        <v>1.24</v>
      </c>
      <c r="L6" s="4">
        <v>10</v>
      </c>
      <c r="M6" s="4">
        <v>107</v>
      </c>
      <c r="N6" s="4">
        <v>90</v>
      </c>
      <c r="O6" s="4" t="s">
        <v>21</v>
      </c>
      <c r="P6" s="7" t="s">
        <v>19</v>
      </c>
      <c r="R6" t="s">
        <v>51</v>
      </c>
      <c r="S6">
        <f>SUMIF(H2:H2501,S2,I2:I2501)</f>
        <v>13866</v>
      </c>
      <c r="U6" t="s">
        <v>61</v>
      </c>
      <c r="V6">
        <f>_xlfn.VAR.S(I2:I2501)</f>
        <v>433.64840912364951</v>
      </c>
    </row>
    <row r="7" spans="2:24" x14ac:dyDescent="0.45">
      <c r="B7" s="4">
        <v>6</v>
      </c>
      <c r="C7" s="4" t="s">
        <v>22</v>
      </c>
      <c r="D7" s="4" t="s">
        <v>23</v>
      </c>
      <c r="E7" s="4" t="s">
        <v>17</v>
      </c>
      <c r="F7" s="4" t="s">
        <v>24</v>
      </c>
      <c r="G7" s="4" t="s">
        <v>19</v>
      </c>
      <c r="H7" s="4" t="s">
        <v>28</v>
      </c>
      <c r="I7" s="4">
        <v>4</v>
      </c>
      <c r="J7" s="5">
        <v>16.600000000000001</v>
      </c>
      <c r="K7" s="6">
        <v>0.67</v>
      </c>
      <c r="L7" s="4">
        <v>9</v>
      </c>
      <c r="M7" s="4">
        <v>121</v>
      </c>
      <c r="N7" s="4">
        <v>83</v>
      </c>
      <c r="O7" s="4" t="s">
        <v>26</v>
      </c>
      <c r="P7" s="7" t="s">
        <v>30</v>
      </c>
      <c r="R7" t="s">
        <v>53</v>
      </c>
      <c r="S7">
        <f>MEDIAN(I2:I2501)</f>
        <v>21</v>
      </c>
    </row>
    <row r="8" spans="2:24" x14ac:dyDescent="0.45">
      <c r="B8" s="4">
        <v>7</v>
      </c>
      <c r="C8" s="4" t="s">
        <v>31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32</v>
      </c>
      <c r="I8" s="4">
        <v>4</v>
      </c>
      <c r="J8" s="5">
        <v>7.2</v>
      </c>
      <c r="K8" s="6">
        <v>1.01</v>
      </c>
      <c r="L8" s="4">
        <v>4</v>
      </c>
      <c r="M8" s="4">
        <v>111</v>
      </c>
      <c r="N8" s="4">
        <v>151</v>
      </c>
      <c r="O8" s="4" t="s">
        <v>26</v>
      </c>
      <c r="P8" s="7" t="s">
        <v>19</v>
      </c>
      <c r="R8" t="s">
        <v>54</v>
      </c>
      <c r="S8">
        <f>MIN(I2:I2501)</f>
        <v>0</v>
      </c>
    </row>
    <row r="9" spans="2:24" x14ac:dyDescent="0.45">
      <c r="B9" s="4">
        <v>8</v>
      </c>
      <c r="C9" s="4" t="s">
        <v>33</v>
      </c>
      <c r="D9" s="4" t="s">
        <v>16</v>
      </c>
      <c r="E9" s="4" t="s">
        <v>17</v>
      </c>
      <c r="F9" s="4" t="s">
        <v>24</v>
      </c>
      <c r="G9" s="4" t="s">
        <v>19</v>
      </c>
      <c r="H9" s="4" t="s">
        <v>34</v>
      </c>
      <c r="I9" s="4">
        <v>11</v>
      </c>
      <c r="J9" s="5">
        <v>36.299999999999997</v>
      </c>
      <c r="K9" s="6">
        <v>1.1100000000000001</v>
      </c>
      <c r="L9" s="4">
        <v>0</v>
      </c>
      <c r="M9" s="4">
        <v>105</v>
      </c>
      <c r="N9" s="4">
        <v>89</v>
      </c>
      <c r="O9" s="4" t="s">
        <v>21</v>
      </c>
      <c r="P9" s="7" t="s">
        <v>19</v>
      </c>
      <c r="R9" t="s">
        <v>55</v>
      </c>
      <c r="S9">
        <f>MAX(I2:I2501)</f>
        <v>90</v>
      </c>
    </row>
    <row r="10" spans="2:24" x14ac:dyDescent="0.45">
      <c r="B10" s="4">
        <v>9</v>
      </c>
      <c r="C10" s="4" t="s">
        <v>27</v>
      </c>
      <c r="D10" s="4" t="s">
        <v>16</v>
      </c>
      <c r="E10" s="4" t="s">
        <v>35</v>
      </c>
      <c r="F10" s="4" t="s">
        <v>28</v>
      </c>
      <c r="G10" s="4" t="s">
        <v>30</v>
      </c>
      <c r="H10" s="4" t="s">
        <v>36</v>
      </c>
      <c r="I10" s="4">
        <v>36</v>
      </c>
      <c r="J10" s="5">
        <v>74.2</v>
      </c>
      <c r="K10" s="6">
        <v>1.61</v>
      </c>
      <c r="L10" s="4">
        <v>5</v>
      </c>
      <c r="M10" s="4">
        <v>153</v>
      </c>
      <c r="N10" s="4">
        <v>75</v>
      </c>
      <c r="O10" s="4" t="s">
        <v>21</v>
      </c>
      <c r="P10" s="7" t="s">
        <v>30</v>
      </c>
      <c r="R10" t="s">
        <v>56</v>
      </c>
      <c r="S10">
        <f>_xlfn.MODE.SNGL(I2:I2501)</f>
        <v>11</v>
      </c>
    </row>
    <row r="11" spans="2:24" x14ac:dyDescent="0.45">
      <c r="B11" s="4">
        <v>10</v>
      </c>
      <c r="C11" s="4" t="s">
        <v>31</v>
      </c>
      <c r="D11" s="4" t="s">
        <v>16</v>
      </c>
      <c r="E11" s="4" t="s">
        <v>37</v>
      </c>
      <c r="F11" s="4" t="s">
        <v>18</v>
      </c>
      <c r="G11" s="4" t="s">
        <v>19</v>
      </c>
      <c r="H11" s="4" t="s">
        <v>20</v>
      </c>
      <c r="I11" s="4">
        <v>63</v>
      </c>
      <c r="J11" s="5">
        <v>85.4</v>
      </c>
      <c r="K11" s="6">
        <v>1.65</v>
      </c>
      <c r="L11" s="4">
        <v>3</v>
      </c>
      <c r="M11" s="4">
        <v>114</v>
      </c>
      <c r="N11" s="4">
        <v>70</v>
      </c>
      <c r="O11" s="4" t="s">
        <v>26</v>
      </c>
      <c r="P11" s="7" t="s">
        <v>19</v>
      </c>
    </row>
    <row r="12" spans="2:24" x14ac:dyDescent="0.45">
      <c r="B12" s="4">
        <v>11</v>
      </c>
      <c r="C12" s="4" t="s">
        <v>15</v>
      </c>
      <c r="D12" s="4" t="s">
        <v>16</v>
      </c>
      <c r="E12" s="4" t="s">
        <v>35</v>
      </c>
      <c r="F12" s="4" t="s">
        <v>24</v>
      </c>
      <c r="G12" s="4" t="s">
        <v>30</v>
      </c>
      <c r="H12" s="4" t="s">
        <v>38</v>
      </c>
      <c r="I12" s="4">
        <v>20</v>
      </c>
      <c r="J12" s="5">
        <v>90.7</v>
      </c>
      <c r="K12" s="6">
        <v>1.67</v>
      </c>
      <c r="L12" s="4">
        <v>3</v>
      </c>
      <c r="M12" s="4">
        <v>108</v>
      </c>
      <c r="N12" s="4">
        <v>92</v>
      </c>
      <c r="O12" s="4" t="s">
        <v>21</v>
      </c>
      <c r="P12" s="7" t="s">
        <v>19</v>
      </c>
      <c r="R12" t="s">
        <v>4</v>
      </c>
      <c r="S12" s="15" t="s">
        <v>57</v>
      </c>
      <c r="T12" t="s">
        <v>58</v>
      </c>
    </row>
    <row r="13" spans="2:24" x14ac:dyDescent="0.45">
      <c r="B13" s="4">
        <v>12</v>
      </c>
      <c r="C13" s="4" t="s">
        <v>31</v>
      </c>
      <c r="D13" s="4" t="s">
        <v>16</v>
      </c>
      <c r="E13" s="4" t="s">
        <v>35</v>
      </c>
      <c r="F13" s="4" t="s">
        <v>18</v>
      </c>
      <c r="G13" s="4" t="s">
        <v>19</v>
      </c>
      <c r="H13" s="4" t="s">
        <v>20</v>
      </c>
      <c r="I13" s="4">
        <v>15</v>
      </c>
      <c r="J13" s="5">
        <v>39.200000000000003</v>
      </c>
      <c r="K13" s="6">
        <v>1.73</v>
      </c>
      <c r="L13" s="4">
        <v>3</v>
      </c>
      <c r="M13" s="4">
        <v>115</v>
      </c>
      <c r="N13" s="4">
        <v>86</v>
      </c>
      <c r="O13" s="4" t="s">
        <v>26</v>
      </c>
      <c r="P13" s="7" t="s">
        <v>19</v>
      </c>
      <c r="R13" t="s">
        <v>28</v>
      </c>
      <c r="S13">
        <f>COUNTIF($F$2:$F$2501,$R13)</f>
        <v>465</v>
      </c>
      <c r="T13" s="17">
        <f>$S13/$S$17</f>
        <v>0.186</v>
      </c>
    </row>
    <row r="14" spans="2:24" x14ac:dyDescent="0.45">
      <c r="B14" s="4">
        <v>13</v>
      </c>
      <c r="C14" s="4" t="s">
        <v>27</v>
      </c>
      <c r="D14" s="4" t="s">
        <v>23</v>
      </c>
      <c r="E14" s="4" t="s">
        <v>17</v>
      </c>
      <c r="F14" s="4" t="s">
        <v>18</v>
      </c>
      <c r="G14" s="4" t="s">
        <v>19</v>
      </c>
      <c r="H14" s="4" t="s">
        <v>36</v>
      </c>
      <c r="I14" s="4">
        <v>17</v>
      </c>
      <c r="J14" s="5">
        <v>48.5</v>
      </c>
      <c r="K14" s="6">
        <v>1.7</v>
      </c>
      <c r="L14" s="4">
        <v>2</v>
      </c>
      <c r="M14" s="4">
        <v>126</v>
      </c>
      <c r="N14" s="4">
        <v>82</v>
      </c>
      <c r="O14" s="4" t="s">
        <v>21</v>
      </c>
      <c r="P14" s="7" t="s">
        <v>30</v>
      </c>
      <c r="R14" t="s">
        <v>24</v>
      </c>
      <c r="S14">
        <f t="shared" ref="S14:S16" si="0">COUNTIF($F$2:$F$2501,$R14)</f>
        <v>1077</v>
      </c>
      <c r="T14" s="17">
        <f t="shared" ref="T14:T17" si="1">$S14/$S$17</f>
        <v>0.43080000000000002</v>
      </c>
    </row>
    <row r="15" spans="2:24" x14ac:dyDescent="0.45">
      <c r="B15" s="4">
        <v>14</v>
      </c>
      <c r="C15" s="4" t="s">
        <v>39</v>
      </c>
      <c r="D15" s="4" t="s">
        <v>16</v>
      </c>
      <c r="E15" s="4" t="s">
        <v>17</v>
      </c>
      <c r="F15" s="4" t="s">
        <v>24</v>
      </c>
      <c r="G15" s="4" t="s">
        <v>19</v>
      </c>
      <c r="H15" s="4" t="s">
        <v>34</v>
      </c>
      <c r="I15" s="4">
        <v>12</v>
      </c>
      <c r="J15" s="5">
        <v>40.6</v>
      </c>
      <c r="K15" s="6">
        <v>1.53</v>
      </c>
      <c r="L15" s="4">
        <v>1</v>
      </c>
      <c r="M15" s="4">
        <v>94</v>
      </c>
      <c r="N15" s="4">
        <v>73</v>
      </c>
      <c r="O15" s="4" t="s">
        <v>26</v>
      </c>
      <c r="P15" s="7" t="s">
        <v>19</v>
      </c>
      <c r="R15" t="s">
        <v>18</v>
      </c>
      <c r="S15">
        <f t="shared" si="0"/>
        <v>806</v>
      </c>
      <c r="T15" s="17">
        <f t="shared" si="1"/>
        <v>0.32240000000000002</v>
      </c>
    </row>
    <row r="16" spans="2:24" x14ac:dyDescent="0.45">
      <c r="B16" s="4">
        <v>15</v>
      </c>
      <c r="C16" s="4" t="s">
        <v>40</v>
      </c>
      <c r="D16" s="4" t="s">
        <v>23</v>
      </c>
      <c r="E16" s="4" t="s">
        <v>17</v>
      </c>
      <c r="F16" s="4" t="s">
        <v>18</v>
      </c>
      <c r="G16" s="4" t="s">
        <v>30</v>
      </c>
      <c r="H16" s="4" t="s">
        <v>20</v>
      </c>
      <c r="I16" s="4">
        <v>56</v>
      </c>
      <c r="J16" s="5">
        <v>71.900000000000006</v>
      </c>
      <c r="K16" s="6">
        <v>1.72</v>
      </c>
      <c r="L16" s="4">
        <v>1</v>
      </c>
      <c r="M16" s="4">
        <v>125</v>
      </c>
      <c r="N16" s="4">
        <v>89</v>
      </c>
      <c r="O16" s="4" t="s">
        <v>26</v>
      </c>
      <c r="P16" s="7" t="s">
        <v>19</v>
      </c>
      <c r="R16" t="s">
        <v>42</v>
      </c>
      <c r="S16">
        <f t="shared" si="0"/>
        <v>152</v>
      </c>
      <c r="T16" s="17">
        <f t="shared" si="1"/>
        <v>6.08E-2</v>
      </c>
    </row>
    <row r="17" spans="2:21" x14ac:dyDescent="0.45">
      <c r="B17" s="4">
        <v>16</v>
      </c>
      <c r="C17" s="4" t="s">
        <v>22</v>
      </c>
      <c r="D17" s="4" t="s">
        <v>23</v>
      </c>
      <c r="E17" s="4" t="s">
        <v>35</v>
      </c>
      <c r="F17" s="4" t="s">
        <v>24</v>
      </c>
      <c r="G17" s="4" t="s">
        <v>19</v>
      </c>
      <c r="H17" s="4" t="s">
        <v>20</v>
      </c>
      <c r="I17" s="4">
        <v>70</v>
      </c>
      <c r="J17" s="5">
        <v>62.8</v>
      </c>
      <c r="K17" s="6">
        <v>1.51</v>
      </c>
      <c r="L17" s="4">
        <v>5</v>
      </c>
      <c r="M17" s="4">
        <v>131</v>
      </c>
      <c r="N17" s="4">
        <v>81</v>
      </c>
      <c r="O17" s="4" t="s">
        <v>26</v>
      </c>
      <c r="P17" s="7" t="s">
        <v>30</v>
      </c>
      <c r="S17">
        <f>SUM(S13:S16)</f>
        <v>2500</v>
      </c>
      <c r="T17" s="17">
        <f>+SUM(T13:T16)</f>
        <v>1</v>
      </c>
    </row>
    <row r="18" spans="2:21" x14ac:dyDescent="0.45">
      <c r="B18" s="4">
        <v>17</v>
      </c>
      <c r="C18" s="4" t="s">
        <v>22</v>
      </c>
      <c r="D18" s="4" t="s">
        <v>23</v>
      </c>
      <c r="E18" s="4" t="s">
        <v>37</v>
      </c>
      <c r="F18" s="4" t="s">
        <v>28</v>
      </c>
      <c r="G18" s="4" t="s">
        <v>19</v>
      </c>
      <c r="H18" s="4" t="s">
        <v>20</v>
      </c>
      <c r="I18" s="4">
        <v>53</v>
      </c>
      <c r="J18" s="5">
        <v>49.8</v>
      </c>
      <c r="K18" s="6">
        <v>1.49</v>
      </c>
      <c r="L18" s="4">
        <v>0</v>
      </c>
      <c r="M18" s="4">
        <v>109</v>
      </c>
      <c r="N18" s="4">
        <v>94</v>
      </c>
      <c r="O18" s="4" t="s">
        <v>21</v>
      </c>
      <c r="P18" s="7" t="s">
        <v>19</v>
      </c>
    </row>
    <row r="19" spans="2:21" x14ac:dyDescent="0.45">
      <c r="B19" s="4">
        <v>18</v>
      </c>
      <c r="C19" s="4" t="s">
        <v>22</v>
      </c>
      <c r="D19" s="4" t="s">
        <v>16</v>
      </c>
      <c r="E19" s="4" t="s">
        <v>35</v>
      </c>
      <c r="F19" s="4" t="s">
        <v>18</v>
      </c>
      <c r="G19" s="4" t="s">
        <v>19</v>
      </c>
      <c r="H19" s="4" t="s">
        <v>25</v>
      </c>
      <c r="I19" s="4">
        <v>55</v>
      </c>
      <c r="J19" s="5">
        <v>66.3</v>
      </c>
      <c r="K19" s="6">
        <v>1.73</v>
      </c>
      <c r="L19" s="4">
        <v>4</v>
      </c>
      <c r="M19" s="4">
        <v>109</v>
      </c>
      <c r="N19" s="4">
        <v>83</v>
      </c>
      <c r="O19" s="4" t="s">
        <v>26</v>
      </c>
      <c r="P19" s="7" t="s">
        <v>19</v>
      </c>
    </row>
    <row r="20" spans="2:21" x14ac:dyDescent="0.45">
      <c r="B20" s="4">
        <v>19</v>
      </c>
      <c r="C20" s="4" t="s">
        <v>29</v>
      </c>
      <c r="D20" s="4" t="s">
        <v>16</v>
      </c>
      <c r="E20" s="4" t="s">
        <v>35</v>
      </c>
      <c r="F20" s="4" t="s">
        <v>24</v>
      </c>
      <c r="G20" s="4" t="s">
        <v>19</v>
      </c>
      <c r="H20" s="4" t="s">
        <v>20</v>
      </c>
      <c r="I20" s="4">
        <v>54</v>
      </c>
      <c r="J20" s="5">
        <v>92.9</v>
      </c>
      <c r="K20" s="6">
        <v>1.6</v>
      </c>
      <c r="L20" s="4">
        <v>5</v>
      </c>
      <c r="M20" s="4">
        <v>109</v>
      </c>
      <c r="N20" s="4">
        <v>97</v>
      </c>
      <c r="O20" s="4" t="s">
        <v>26</v>
      </c>
      <c r="P20" s="7" t="s">
        <v>19</v>
      </c>
      <c r="R20" t="s">
        <v>4</v>
      </c>
      <c r="S20" s="15" t="s">
        <v>59</v>
      </c>
      <c r="T20" t="s">
        <v>60</v>
      </c>
      <c r="U20" s="19" t="s">
        <v>13</v>
      </c>
    </row>
    <row r="21" spans="2:21" x14ac:dyDescent="0.45">
      <c r="B21" s="4">
        <v>20</v>
      </c>
      <c r="C21" s="4" t="s">
        <v>41</v>
      </c>
      <c r="D21" s="4" t="s">
        <v>16</v>
      </c>
      <c r="E21" s="4" t="s">
        <v>17</v>
      </c>
      <c r="F21" s="4" t="s">
        <v>24</v>
      </c>
      <c r="G21" s="4" t="s">
        <v>19</v>
      </c>
      <c r="H21" s="4" t="s">
        <v>38</v>
      </c>
      <c r="I21" s="4">
        <v>28</v>
      </c>
      <c r="J21" s="5">
        <v>74.8</v>
      </c>
      <c r="K21" s="6">
        <v>1.7</v>
      </c>
      <c r="L21" s="4">
        <v>9</v>
      </c>
      <c r="M21" s="4">
        <v>112</v>
      </c>
      <c r="N21" s="4">
        <v>74</v>
      </c>
      <c r="O21" s="4" t="s">
        <v>26</v>
      </c>
      <c r="P21" s="7" t="s">
        <v>30</v>
      </c>
      <c r="R21" t="s">
        <v>28</v>
      </c>
      <c r="S21" s="18">
        <f>ROUND(AVERAGEIF($F$2:$F$2501,$R21,I$2:I$2501),0)</f>
        <v>27</v>
      </c>
      <c r="T21" s="18">
        <f>ROUND(AVERAGEIF($F$2:$F$2501,$R21,J$2:J$2501),0)</f>
        <v>54</v>
      </c>
      <c r="U21" s="19"/>
    </row>
    <row r="22" spans="2:21" x14ac:dyDescent="0.45">
      <c r="B22" s="4">
        <v>21</v>
      </c>
      <c r="C22" s="4" t="s">
        <v>40</v>
      </c>
      <c r="D22" s="4" t="s">
        <v>23</v>
      </c>
      <c r="E22" s="4" t="s">
        <v>17</v>
      </c>
      <c r="F22" s="4" t="s">
        <v>18</v>
      </c>
      <c r="G22" s="4" t="s">
        <v>30</v>
      </c>
      <c r="H22" s="4" t="s">
        <v>20</v>
      </c>
      <c r="I22" s="4">
        <v>42</v>
      </c>
      <c r="J22" s="5">
        <v>57.7</v>
      </c>
      <c r="K22" s="6">
        <v>1.65</v>
      </c>
      <c r="L22" s="4">
        <v>1</v>
      </c>
      <c r="M22" s="4">
        <v>103</v>
      </c>
      <c r="N22" s="4">
        <v>80</v>
      </c>
      <c r="O22" s="4" t="s">
        <v>26</v>
      </c>
      <c r="P22" s="7" t="s">
        <v>19</v>
      </c>
      <c r="R22" t="s">
        <v>24</v>
      </c>
      <c r="S22" s="18">
        <f>ROUND(AVERAGEIF($F$2:$F$2501,$R22,I$2:I$2501),0)</f>
        <v>27</v>
      </c>
      <c r="T22" s="18">
        <f t="shared" ref="T22:T24" si="2">ROUND(AVERAGEIF($F$2:$F$2501,$R22,J$2:J$2501),0)</f>
        <v>55</v>
      </c>
      <c r="U22" s="19"/>
    </row>
    <row r="23" spans="2:21" x14ac:dyDescent="0.45">
      <c r="B23" s="4">
        <v>22</v>
      </c>
      <c r="C23" s="4" t="s">
        <v>29</v>
      </c>
      <c r="D23" s="4" t="s">
        <v>23</v>
      </c>
      <c r="E23" s="4" t="s">
        <v>35</v>
      </c>
      <c r="F23" s="4" t="s">
        <v>42</v>
      </c>
      <c r="G23" s="4" t="s">
        <v>19</v>
      </c>
      <c r="H23" s="4" t="s">
        <v>28</v>
      </c>
      <c r="I23" s="4">
        <v>41</v>
      </c>
      <c r="J23" s="5">
        <v>71</v>
      </c>
      <c r="K23" s="6">
        <v>1.62</v>
      </c>
      <c r="L23" s="4">
        <v>5</v>
      </c>
      <c r="M23" s="4">
        <v>104</v>
      </c>
      <c r="N23" s="4">
        <v>99</v>
      </c>
      <c r="O23" s="4" t="s">
        <v>26</v>
      </c>
      <c r="P23" s="7" t="s">
        <v>19</v>
      </c>
      <c r="R23" t="s">
        <v>18</v>
      </c>
      <c r="S23" s="18">
        <f t="shared" ref="S22:S24" si="3">ROUND(AVERAGEIF($F$2:$F$2501,$R23,I$2:I$2501),0)</f>
        <v>27</v>
      </c>
      <c r="T23" s="18">
        <f t="shared" si="2"/>
        <v>54</v>
      </c>
      <c r="U23" s="19"/>
    </row>
    <row r="24" spans="2:21" x14ac:dyDescent="0.45">
      <c r="B24" s="4">
        <v>23</v>
      </c>
      <c r="C24" s="4" t="s">
        <v>22</v>
      </c>
      <c r="D24" s="4" t="s">
        <v>23</v>
      </c>
      <c r="E24" s="4" t="s">
        <v>35</v>
      </c>
      <c r="F24" s="4" t="s">
        <v>24</v>
      </c>
      <c r="G24" s="4" t="s">
        <v>19</v>
      </c>
      <c r="H24" s="4" t="s">
        <v>20</v>
      </c>
      <c r="I24" s="4">
        <v>56</v>
      </c>
      <c r="J24" s="5">
        <v>86.5</v>
      </c>
      <c r="K24" s="6">
        <v>1.58</v>
      </c>
      <c r="L24" s="4">
        <v>2</v>
      </c>
      <c r="M24" s="4">
        <v>112</v>
      </c>
      <c r="N24" s="4">
        <v>83</v>
      </c>
      <c r="O24" s="4" t="s">
        <v>26</v>
      </c>
      <c r="P24" s="7" t="s">
        <v>19</v>
      </c>
      <c r="R24" t="s">
        <v>42</v>
      </c>
      <c r="S24" s="18">
        <f>ROUND(AVERAGEIF($F$2:$F$2501,$R24,I$2:I$2501),0)</f>
        <v>26</v>
      </c>
      <c r="T24" s="18">
        <f t="shared" si="2"/>
        <v>53</v>
      </c>
      <c r="U24" s="19"/>
    </row>
    <row r="25" spans="2:21" x14ac:dyDescent="0.45">
      <c r="B25" s="4">
        <v>24</v>
      </c>
      <c r="C25" s="4" t="s">
        <v>22</v>
      </c>
      <c r="D25" s="4" t="s">
        <v>16</v>
      </c>
      <c r="E25" s="4" t="s">
        <v>17</v>
      </c>
      <c r="F25" s="4" t="s">
        <v>18</v>
      </c>
      <c r="G25" s="4" t="s">
        <v>19</v>
      </c>
      <c r="H25" s="4" t="s">
        <v>20</v>
      </c>
      <c r="I25" s="4">
        <v>14</v>
      </c>
      <c r="J25" s="5">
        <v>63.8</v>
      </c>
      <c r="K25" s="6">
        <v>1.56</v>
      </c>
      <c r="L25" s="4">
        <v>3</v>
      </c>
      <c r="M25" s="4">
        <v>108</v>
      </c>
      <c r="N25" s="4">
        <v>76</v>
      </c>
      <c r="O25" s="4" t="s">
        <v>26</v>
      </c>
      <c r="P25" s="7" t="s">
        <v>30</v>
      </c>
    </row>
    <row r="26" spans="2:21" x14ac:dyDescent="0.45">
      <c r="B26" s="4">
        <v>25</v>
      </c>
      <c r="C26" s="4" t="s">
        <v>39</v>
      </c>
      <c r="D26" s="4" t="s">
        <v>16</v>
      </c>
      <c r="E26" s="4" t="s">
        <v>35</v>
      </c>
      <c r="F26" s="4" t="s">
        <v>18</v>
      </c>
      <c r="G26" s="4" t="s">
        <v>19</v>
      </c>
      <c r="H26" s="4" t="s">
        <v>28</v>
      </c>
      <c r="I26" s="4">
        <v>63</v>
      </c>
      <c r="J26" s="5">
        <v>64.7</v>
      </c>
      <c r="K26" s="6">
        <v>1.5</v>
      </c>
      <c r="L26" s="4">
        <v>3</v>
      </c>
      <c r="M26" s="4">
        <v>133</v>
      </c>
      <c r="N26" s="4">
        <v>98</v>
      </c>
      <c r="O26" s="4" t="s">
        <v>21</v>
      </c>
      <c r="P26" s="7" t="s">
        <v>19</v>
      </c>
    </row>
    <row r="27" spans="2:21" x14ac:dyDescent="0.45">
      <c r="B27" s="4">
        <v>26</v>
      </c>
      <c r="C27" s="4" t="s">
        <v>22</v>
      </c>
      <c r="D27" s="4" t="s">
        <v>16</v>
      </c>
      <c r="E27" s="4" t="s">
        <v>35</v>
      </c>
      <c r="F27" s="4" t="s">
        <v>28</v>
      </c>
      <c r="G27" s="4" t="s">
        <v>19</v>
      </c>
      <c r="H27" s="4" t="s">
        <v>36</v>
      </c>
      <c r="I27" s="4">
        <v>31</v>
      </c>
      <c r="J27" s="5">
        <v>72.099999999999994</v>
      </c>
      <c r="K27" s="6">
        <v>1.6</v>
      </c>
      <c r="L27" s="4">
        <v>2</v>
      </c>
      <c r="M27" s="4">
        <v>149</v>
      </c>
      <c r="N27" s="4">
        <v>70</v>
      </c>
      <c r="O27" s="4" t="s">
        <v>21</v>
      </c>
      <c r="P27" s="7" t="s">
        <v>30</v>
      </c>
    </row>
    <row r="28" spans="2:21" x14ac:dyDescent="0.45">
      <c r="B28" s="4">
        <v>27</v>
      </c>
      <c r="C28" s="4" t="s">
        <v>22</v>
      </c>
      <c r="D28" s="4" t="s">
        <v>16</v>
      </c>
      <c r="E28" s="4" t="s">
        <v>17</v>
      </c>
      <c r="F28" s="4" t="s">
        <v>18</v>
      </c>
      <c r="G28" s="4" t="s">
        <v>19</v>
      </c>
      <c r="H28" s="4" t="s">
        <v>28</v>
      </c>
      <c r="I28" s="4">
        <v>8</v>
      </c>
      <c r="J28" s="5">
        <v>20.9</v>
      </c>
      <c r="K28" s="6">
        <v>1.18</v>
      </c>
      <c r="L28" s="4">
        <v>0</v>
      </c>
      <c r="M28" s="4">
        <v>103</v>
      </c>
      <c r="N28" s="4">
        <v>95</v>
      </c>
      <c r="O28" s="4" t="s">
        <v>26</v>
      </c>
      <c r="P28" s="7" t="s">
        <v>30</v>
      </c>
    </row>
    <row r="29" spans="2:21" x14ac:dyDescent="0.45">
      <c r="B29" s="4">
        <v>28</v>
      </c>
      <c r="C29" s="4" t="s">
        <v>27</v>
      </c>
      <c r="D29" s="4" t="s">
        <v>16</v>
      </c>
      <c r="E29" s="4" t="s">
        <v>35</v>
      </c>
      <c r="F29" s="4" t="s">
        <v>24</v>
      </c>
      <c r="G29" s="4" t="s">
        <v>19</v>
      </c>
      <c r="H29" s="4" t="s">
        <v>36</v>
      </c>
      <c r="I29" s="4">
        <v>5</v>
      </c>
      <c r="J29" s="5">
        <v>32.5</v>
      </c>
      <c r="K29" s="6">
        <v>1.4</v>
      </c>
      <c r="L29" s="4">
        <v>2</v>
      </c>
      <c r="M29" s="4">
        <v>128</v>
      </c>
      <c r="N29" s="4">
        <v>82</v>
      </c>
      <c r="O29" s="4" t="s">
        <v>26</v>
      </c>
      <c r="P29" s="7" t="s">
        <v>19</v>
      </c>
    </row>
    <row r="30" spans="2:21" x14ac:dyDescent="0.45">
      <c r="B30" s="4">
        <v>29</v>
      </c>
      <c r="C30" s="4" t="s">
        <v>43</v>
      </c>
      <c r="D30" s="4" t="s">
        <v>23</v>
      </c>
      <c r="E30" s="4" t="s">
        <v>17</v>
      </c>
      <c r="F30" s="4" t="s">
        <v>18</v>
      </c>
      <c r="G30" s="4" t="s">
        <v>19</v>
      </c>
      <c r="H30" s="4" t="s">
        <v>32</v>
      </c>
      <c r="I30" s="4">
        <v>12</v>
      </c>
      <c r="J30" s="5">
        <v>59</v>
      </c>
      <c r="K30" s="6">
        <v>1.69</v>
      </c>
      <c r="L30" s="4">
        <v>1</v>
      </c>
      <c r="M30" s="4">
        <v>110</v>
      </c>
      <c r="N30" s="4">
        <v>138</v>
      </c>
      <c r="O30" s="4" t="s">
        <v>26</v>
      </c>
      <c r="P30" s="7" t="s">
        <v>19</v>
      </c>
    </row>
    <row r="31" spans="2:21" x14ac:dyDescent="0.45">
      <c r="B31" s="4">
        <v>30</v>
      </c>
      <c r="C31" s="4" t="s">
        <v>22</v>
      </c>
      <c r="D31" s="4" t="s">
        <v>23</v>
      </c>
      <c r="E31" s="4" t="s">
        <v>44</v>
      </c>
      <c r="F31" s="4" t="s">
        <v>18</v>
      </c>
      <c r="G31" s="4" t="s">
        <v>30</v>
      </c>
      <c r="H31" s="4" t="s">
        <v>34</v>
      </c>
      <c r="I31" s="4">
        <v>20</v>
      </c>
      <c r="J31" s="5">
        <v>86.6</v>
      </c>
      <c r="K31" s="6">
        <v>1.63</v>
      </c>
      <c r="L31" s="4">
        <v>3</v>
      </c>
      <c r="M31" s="4">
        <v>101</v>
      </c>
      <c r="N31" s="4">
        <v>85</v>
      </c>
      <c r="O31" s="4" t="s">
        <v>26</v>
      </c>
      <c r="P31" s="7" t="s">
        <v>19</v>
      </c>
    </row>
    <row r="32" spans="2:21" x14ac:dyDescent="0.45">
      <c r="B32" s="4">
        <v>31</v>
      </c>
      <c r="C32" s="4" t="s">
        <v>22</v>
      </c>
      <c r="D32" s="4" t="s">
        <v>16</v>
      </c>
      <c r="E32" s="4" t="s">
        <v>17</v>
      </c>
      <c r="F32" s="4" t="s">
        <v>24</v>
      </c>
      <c r="G32" s="4" t="s">
        <v>19</v>
      </c>
      <c r="H32" s="4" t="s">
        <v>34</v>
      </c>
      <c r="I32" s="4">
        <v>8</v>
      </c>
      <c r="J32" s="5">
        <v>37.4</v>
      </c>
      <c r="K32" s="6">
        <v>1.1399999999999999</v>
      </c>
      <c r="L32" s="4">
        <v>3</v>
      </c>
      <c r="M32" s="4">
        <v>95</v>
      </c>
      <c r="N32" s="4">
        <v>80</v>
      </c>
      <c r="O32" s="4" t="s">
        <v>21</v>
      </c>
      <c r="P32" s="7" t="s">
        <v>19</v>
      </c>
    </row>
    <row r="33" spans="2:16" x14ac:dyDescent="0.45">
      <c r="B33" s="4">
        <v>32</v>
      </c>
      <c r="C33" s="4" t="s">
        <v>40</v>
      </c>
      <c r="D33" s="4" t="s">
        <v>23</v>
      </c>
      <c r="E33" s="4" t="s">
        <v>35</v>
      </c>
      <c r="F33" s="4" t="s">
        <v>18</v>
      </c>
      <c r="G33" s="4" t="s">
        <v>19</v>
      </c>
      <c r="H33" s="4" t="s">
        <v>34</v>
      </c>
      <c r="I33" s="4">
        <v>62</v>
      </c>
      <c r="J33" s="5">
        <v>77.400000000000006</v>
      </c>
      <c r="K33" s="6">
        <v>1.66</v>
      </c>
      <c r="L33" s="4">
        <v>0</v>
      </c>
      <c r="M33" s="4">
        <v>119</v>
      </c>
      <c r="N33" s="4">
        <v>76</v>
      </c>
      <c r="O33" s="4" t="s">
        <v>26</v>
      </c>
      <c r="P33" s="7" t="s">
        <v>19</v>
      </c>
    </row>
    <row r="34" spans="2:16" x14ac:dyDescent="0.45">
      <c r="B34" s="4">
        <v>33</v>
      </c>
      <c r="C34" s="4" t="s">
        <v>39</v>
      </c>
      <c r="D34" s="4" t="s">
        <v>16</v>
      </c>
      <c r="E34" s="4" t="s">
        <v>35</v>
      </c>
      <c r="F34" s="4" t="s">
        <v>24</v>
      </c>
      <c r="G34" s="4" t="s">
        <v>19</v>
      </c>
      <c r="H34" s="4" t="s">
        <v>28</v>
      </c>
      <c r="I34" s="4">
        <v>60</v>
      </c>
      <c r="J34" s="5">
        <v>56</v>
      </c>
      <c r="K34" s="6">
        <v>1.5</v>
      </c>
      <c r="L34" s="4">
        <v>1</v>
      </c>
      <c r="M34" s="4">
        <v>129</v>
      </c>
      <c r="N34" s="4">
        <v>79</v>
      </c>
      <c r="O34" s="4" t="s">
        <v>26</v>
      </c>
      <c r="P34" s="7" t="s">
        <v>19</v>
      </c>
    </row>
    <row r="35" spans="2:16" x14ac:dyDescent="0.45">
      <c r="B35" s="4">
        <v>34</v>
      </c>
      <c r="C35" s="4" t="s">
        <v>45</v>
      </c>
      <c r="D35" s="4" t="s">
        <v>23</v>
      </c>
      <c r="E35" s="4" t="s">
        <v>17</v>
      </c>
      <c r="F35" s="4" t="s">
        <v>24</v>
      </c>
      <c r="G35" s="4" t="s">
        <v>19</v>
      </c>
      <c r="H35" s="4" t="s">
        <v>20</v>
      </c>
      <c r="I35" s="4">
        <v>15</v>
      </c>
      <c r="J35" s="5">
        <v>64.3</v>
      </c>
      <c r="K35" s="6">
        <v>1.5</v>
      </c>
      <c r="L35" s="4">
        <v>8</v>
      </c>
      <c r="M35" s="4">
        <v>100</v>
      </c>
      <c r="N35" s="4">
        <v>94</v>
      </c>
      <c r="O35" s="4" t="s">
        <v>26</v>
      </c>
      <c r="P35" s="7" t="s">
        <v>19</v>
      </c>
    </row>
    <row r="36" spans="2:16" x14ac:dyDescent="0.45">
      <c r="B36" s="4">
        <v>35</v>
      </c>
      <c r="C36" s="4" t="s">
        <v>27</v>
      </c>
      <c r="D36" s="4" t="s">
        <v>23</v>
      </c>
      <c r="E36" s="4" t="s">
        <v>17</v>
      </c>
      <c r="F36" s="4" t="s">
        <v>24</v>
      </c>
      <c r="G36" s="4" t="s">
        <v>30</v>
      </c>
      <c r="H36" s="4" t="s">
        <v>20</v>
      </c>
      <c r="I36" s="4">
        <v>46</v>
      </c>
      <c r="J36" s="5">
        <v>94.4</v>
      </c>
      <c r="K36" s="6">
        <v>1.79</v>
      </c>
      <c r="L36" s="4">
        <v>10</v>
      </c>
      <c r="M36" s="4">
        <v>134</v>
      </c>
      <c r="N36" s="4">
        <v>82</v>
      </c>
      <c r="O36" s="4" t="s">
        <v>26</v>
      </c>
      <c r="P36" s="7" t="s">
        <v>30</v>
      </c>
    </row>
    <row r="37" spans="2:16" x14ac:dyDescent="0.45">
      <c r="B37" s="4">
        <v>36</v>
      </c>
      <c r="C37" s="4" t="s">
        <v>41</v>
      </c>
      <c r="D37" s="4" t="s">
        <v>16</v>
      </c>
      <c r="E37" s="4" t="s">
        <v>35</v>
      </c>
      <c r="F37" s="4" t="s">
        <v>18</v>
      </c>
      <c r="G37" s="4" t="s">
        <v>19</v>
      </c>
      <c r="H37" s="4" t="s">
        <v>20</v>
      </c>
      <c r="I37" s="4">
        <v>12</v>
      </c>
      <c r="J37" s="5">
        <v>50.6</v>
      </c>
      <c r="K37" s="6">
        <v>1.7</v>
      </c>
      <c r="L37" s="4">
        <v>2</v>
      </c>
      <c r="M37" s="4">
        <v>106</v>
      </c>
      <c r="N37" s="4">
        <v>96</v>
      </c>
      <c r="O37" s="4" t="s">
        <v>26</v>
      </c>
      <c r="P37" s="7" t="s">
        <v>19</v>
      </c>
    </row>
    <row r="38" spans="2:16" x14ac:dyDescent="0.45">
      <c r="B38" s="4">
        <v>37</v>
      </c>
      <c r="C38" s="4" t="s">
        <v>41</v>
      </c>
      <c r="D38" s="4" t="s">
        <v>16</v>
      </c>
      <c r="E38" s="4" t="s">
        <v>17</v>
      </c>
      <c r="F38" s="4" t="s">
        <v>18</v>
      </c>
      <c r="G38" s="4" t="s">
        <v>19</v>
      </c>
      <c r="H38" s="4" t="s">
        <v>25</v>
      </c>
      <c r="I38" s="4">
        <v>19</v>
      </c>
      <c r="J38" s="5">
        <v>87.7</v>
      </c>
      <c r="K38" s="6">
        <v>1.74</v>
      </c>
      <c r="L38" s="4">
        <v>9</v>
      </c>
      <c r="M38" s="4">
        <v>111</v>
      </c>
      <c r="N38" s="4">
        <v>87</v>
      </c>
      <c r="O38" s="4" t="s">
        <v>26</v>
      </c>
      <c r="P38" s="7" t="s">
        <v>19</v>
      </c>
    </row>
    <row r="39" spans="2:16" x14ac:dyDescent="0.45">
      <c r="B39" s="4">
        <v>38</v>
      </c>
      <c r="C39" s="4" t="s">
        <v>22</v>
      </c>
      <c r="D39" s="4" t="s">
        <v>23</v>
      </c>
      <c r="E39" s="4" t="s">
        <v>35</v>
      </c>
      <c r="F39" s="4" t="s">
        <v>24</v>
      </c>
      <c r="G39" s="4" t="s">
        <v>19</v>
      </c>
      <c r="H39" s="4" t="s">
        <v>38</v>
      </c>
      <c r="I39" s="4">
        <v>81</v>
      </c>
      <c r="J39" s="5">
        <v>50.3</v>
      </c>
      <c r="K39" s="6">
        <v>1.64</v>
      </c>
      <c r="L39" s="4">
        <v>3</v>
      </c>
      <c r="M39" s="4">
        <v>120</v>
      </c>
      <c r="N39" s="4">
        <v>86</v>
      </c>
      <c r="O39" s="4" t="s">
        <v>26</v>
      </c>
      <c r="P39" s="7" t="s">
        <v>19</v>
      </c>
    </row>
    <row r="40" spans="2:16" x14ac:dyDescent="0.45">
      <c r="B40" s="4">
        <v>39</v>
      </c>
      <c r="C40" s="4" t="s">
        <v>31</v>
      </c>
      <c r="D40" s="4" t="s">
        <v>16</v>
      </c>
      <c r="E40" s="4" t="s">
        <v>17</v>
      </c>
      <c r="F40" s="4" t="s">
        <v>24</v>
      </c>
      <c r="G40" s="4" t="s">
        <v>19</v>
      </c>
      <c r="H40" s="4" t="s">
        <v>34</v>
      </c>
      <c r="I40" s="4">
        <v>23</v>
      </c>
      <c r="J40" s="5">
        <v>63.2</v>
      </c>
      <c r="K40" s="6">
        <v>1.84</v>
      </c>
      <c r="L40" s="4">
        <v>4</v>
      </c>
      <c r="M40" s="4">
        <v>110</v>
      </c>
      <c r="N40" s="4">
        <v>95</v>
      </c>
      <c r="O40" s="4" t="s">
        <v>26</v>
      </c>
      <c r="P40" s="7" t="s">
        <v>19</v>
      </c>
    </row>
    <row r="41" spans="2:16" x14ac:dyDescent="0.45">
      <c r="B41" s="4">
        <v>40</v>
      </c>
      <c r="C41" s="4" t="s">
        <v>31</v>
      </c>
      <c r="D41" s="4" t="s">
        <v>16</v>
      </c>
      <c r="E41" s="4" t="s">
        <v>17</v>
      </c>
      <c r="F41" s="4" t="s">
        <v>28</v>
      </c>
      <c r="G41" s="4" t="s">
        <v>19</v>
      </c>
      <c r="H41" s="4" t="s">
        <v>28</v>
      </c>
      <c r="I41" s="4">
        <v>26</v>
      </c>
      <c r="J41" s="5">
        <v>86</v>
      </c>
      <c r="K41" s="6">
        <v>1.61</v>
      </c>
      <c r="L41" s="4">
        <v>1</v>
      </c>
      <c r="M41" s="4">
        <v>122</v>
      </c>
      <c r="N41" s="4">
        <v>94</v>
      </c>
      <c r="O41" s="4" t="s">
        <v>21</v>
      </c>
      <c r="P41" s="7" t="s">
        <v>19</v>
      </c>
    </row>
    <row r="42" spans="2:16" x14ac:dyDescent="0.45">
      <c r="B42" s="4">
        <v>41</v>
      </c>
      <c r="C42" s="4" t="s">
        <v>15</v>
      </c>
      <c r="D42" s="4" t="s">
        <v>23</v>
      </c>
      <c r="E42" s="4" t="s">
        <v>17</v>
      </c>
      <c r="F42" s="4" t="s">
        <v>18</v>
      </c>
      <c r="G42" s="4" t="s">
        <v>19</v>
      </c>
      <c r="H42" s="4" t="s">
        <v>32</v>
      </c>
      <c r="I42" s="4">
        <v>45</v>
      </c>
      <c r="J42" s="5">
        <v>89.4</v>
      </c>
      <c r="K42" s="6">
        <v>1.7</v>
      </c>
      <c r="L42" s="4">
        <v>0</v>
      </c>
      <c r="M42" s="4">
        <v>126</v>
      </c>
      <c r="N42" s="4">
        <v>149</v>
      </c>
      <c r="O42" s="4" t="s">
        <v>26</v>
      </c>
      <c r="P42" s="7" t="s">
        <v>30</v>
      </c>
    </row>
    <row r="43" spans="2:16" x14ac:dyDescent="0.45">
      <c r="B43" s="4">
        <v>42</v>
      </c>
      <c r="C43" s="4" t="s">
        <v>29</v>
      </c>
      <c r="D43" s="4" t="s">
        <v>16</v>
      </c>
      <c r="E43" s="4" t="s">
        <v>35</v>
      </c>
      <c r="F43" s="4" t="s">
        <v>24</v>
      </c>
      <c r="G43" s="4" t="s">
        <v>19</v>
      </c>
      <c r="H43" s="4" t="s">
        <v>25</v>
      </c>
      <c r="I43" s="4">
        <v>0</v>
      </c>
      <c r="J43" s="5">
        <v>15.8</v>
      </c>
      <c r="K43" s="6">
        <v>0.69</v>
      </c>
      <c r="L43" s="4">
        <v>2</v>
      </c>
      <c r="M43" s="4">
        <v>101</v>
      </c>
      <c r="N43" s="4">
        <v>99</v>
      </c>
      <c r="O43" s="4" t="s">
        <v>26</v>
      </c>
      <c r="P43" s="7" t="s">
        <v>19</v>
      </c>
    </row>
    <row r="44" spans="2:16" x14ac:dyDescent="0.45">
      <c r="B44" s="4">
        <v>43</v>
      </c>
      <c r="C44" s="4" t="s">
        <v>31</v>
      </c>
      <c r="D44" s="4" t="s">
        <v>23</v>
      </c>
      <c r="E44" s="4" t="s">
        <v>37</v>
      </c>
      <c r="F44" s="4" t="s">
        <v>24</v>
      </c>
      <c r="G44" s="4" t="s">
        <v>19</v>
      </c>
      <c r="H44" s="4" t="s">
        <v>28</v>
      </c>
      <c r="I44" s="4">
        <v>20</v>
      </c>
      <c r="J44" s="5">
        <v>76.5</v>
      </c>
      <c r="K44" s="6">
        <v>1.89</v>
      </c>
      <c r="L44" s="4">
        <v>2</v>
      </c>
      <c r="M44" s="4">
        <v>120</v>
      </c>
      <c r="N44" s="4">
        <v>91</v>
      </c>
      <c r="O44" s="4" t="s">
        <v>21</v>
      </c>
      <c r="P44" s="7" t="s">
        <v>19</v>
      </c>
    </row>
    <row r="45" spans="2:16" x14ac:dyDescent="0.45">
      <c r="B45" s="4">
        <v>44</v>
      </c>
      <c r="C45" s="4" t="s">
        <v>15</v>
      </c>
      <c r="D45" s="4" t="s">
        <v>16</v>
      </c>
      <c r="E45" s="4" t="s">
        <v>17</v>
      </c>
      <c r="F45" s="4" t="s">
        <v>28</v>
      </c>
      <c r="G45" s="4" t="s">
        <v>19</v>
      </c>
      <c r="H45" s="4" t="s">
        <v>38</v>
      </c>
      <c r="I45" s="4">
        <v>2</v>
      </c>
      <c r="J45" s="5">
        <v>16.8</v>
      </c>
      <c r="K45" s="6">
        <v>0.8</v>
      </c>
      <c r="L45" s="4">
        <v>9</v>
      </c>
      <c r="M45" s="4">
        <v>101</v>
      </c>
      <c r="N45" s="4">
        <v>89</v>
      </c>
      <c r="O45" s="4" t="s">
        <v>21</v>
      </c>
      <c r="P45" s="7" t="s">
        <v>19</v>
      </c>
    </row>
    <row r="46" spans="2:16" x14ac:dyDescent="0.45">
      <c r="B46" s="4">
        <v>45</v>
      </c>
      <c r="C46" s="4" t="s">
        <v>15</v>
      </c>
      <c r="D46" s="4" t="s">
        <v>16</v>
      </c>
      <c r="E46" s="4" t="s">
        <v>17</v>
      </c>
      <c r="F46" s="4" t="s">
        <v>24</v>
      </c>
      <c r="G46" s="4" t="s">
        <v>19</v>
      </c>
      <c r="H46" s="4" t="s">
        <v>46</v>
      </c>
      <c r="I46" s="4">
        <v>19</v>
      </c>
      <c r="J46" s="5">
        <v>51.9</v>
      </c>
      <c r="K46" s="6">
        <v>1.69</v>
      </c>
      <c r="L46" s="4">
        <v>5</v>
      </c>
      <c r="M46" s="4">
        <v>110</v>
      </c>
      <c r="N46" s="4">
        <v>104</v>
      </c>
      <c r="O46" s="4" t="s">
        <v>26</v>
      </c>
      <c r="P46" s="7" t="s">
        <v>19</v>
      </c>
    </row>
    <row r="47" spans="2:16" x14ac:dyDescent="0.45">
      <c r="B47" s="4">
        <v>46</v>
      </c>
      <c r="C47" s="4" t="s">
        <v>40</v>
      </c>
      <c r="D47" s="4" t="s">
        <v>16</v>
      </c>
      <c r="E47" s="4" t="s">
        <v>17</v>
      </c>
      <c r="F47" s="4" t="s">
        <v>42</v>
      </c>
      <c r="G47" s="4" t="s">
        <v>19</v>
      </c>
      <c r="H47" s="4" t="s">
        <v>34</v>
      </c>
      <c r="I47" s="4">
        <v>39</v>
      </c>
      <c r="J47" s="5">
        <v>84.8</v>
      </c>
      <c r="K47" s="6">
        <v>1.71</v>
      </c>
      <c r="L47" s="4">
        <v>6</v>
      </c>
      <c r="M47" s="4">
        <v>125</v>
      </c>
      <c r="N47" s="4">
        <v>98</v>
      </c>
      <c r="O47" s="4" t="s">
        <v>26</v>
      </c>
      <c r="P47" s="7" t="s">
        <v>19</v>
      </c>
    </row>
    <row r="48" spans="2:16" x14ac:dyDescent="0.45">
      <c r="B48" s="4">
        <v>47</v>
      </c>
      <c r="C48" s="4" t="s">
        <v>39</v>
      </c>
      <c r="D48" s="4" t="s">
        <v>23</v>
      </c>
      <c r="E48" s="4" t="s">
        <v>35</v>
      </c>
      <c r="F48" s="4" t="s">
        <v>24</v>
      </c>
      <c r="G48" s="4" t="s">
        <v>19</v>
      </c>
      <c r="H48" s="4" t="s">
        <v>20</v>
      </c>
      <c r="I48" s="4">
        <v>59</v>
      </c>
      <c r="J48" s="5">
        <v>52.7</v>
      </c>
      <c r="K48" s="6">
        <v>1.71</v>
      </c>
      <c r="L48" s="4">
        <v>2</v>
      </c>
      <c r="M48" s="4">
        <v>108</v>
      </c>
      <c r="N48" s="4">
        <v>84</v>
      </c>
      <c r="O48" s="4" t="s">
        <v>26</v>
      </c>
      <c r="P48" s="7" t="s">
        <v>19</v>
      </c>
    </row>
    <row r="49" spans="2:16" x14ac:dyDescent="0.45">
      <c r="B49" s="4">
        <v>48</v>
      </c>
      <c r="C49" s="4" t="s">
        <v>31</v>
      </c>
      <c r="D49" s="4" t="s">
        <v>16</v>
      </c>
      <c r="E49" s="4" t="s">
        <v>35</v>
      </c>
      <c r="F49" s="4" t="s">
        <v>28</v>
      </c>
      <c r="G49" s="4" t="s">
        <v>19</v>
      </c>
      <c r="H49" s="4" t="s">
        <v>38</v>
      </c>
      <c r="I49" s="4">
        <v>35</v>
      </c>
      <c r="J49" s="5">
        <v>68.5</v>
      </c>
      <c r="K49" s="6">
        <v>1.61</v>
      </c>
      <c r="L49" s="4">
        <v>2</v>
      </c>
      <c r="M49" s="4">
        <v>123</v>
      </c>
      <c r="N49" s="4">
        <v>94</v>
      </c>
      <c r="O49" s="4" t="s">
        <v>26</v>
      </c>
      <c r="P49" s="7" t="s">
        <v>19</v>
      </c>
    </row>
    <row r="50" spans="2:16" x14ac:dyDescent="0.45">
      <c r="B50" s="4">
        <v>49</v>
      </c>
      <c r="C50" s="4" t="s">
        <v>40</v>
      </c>
      <c r="D50" s="4" t="s">
        <v>16</v>
      </c>
      <c r="E50" s="4" t="s">
        <v>17</v>
      </c>
      <c r="F50" s="4" t="s">
        <v>24</v>
      </c>
      <c r="G50" s="4" t="s">
        <v>19</v>
      </c>
      <c r="H50" s="4" t="s">
        <v>36</v>
      </c>
      <c r="I50" s="4">
        <v>43</v>
      </c>
      <c r="J50" s="5">
        <v>71.5</v>
      </c>
      <c r="K50" s="6">
        <v>1.64</v>
      </c>
      <c r="L50" s="4">
        <v>3</v>
      </c>
      <c r="M50" s="4">
        <v>131</v>
      </c>
      <c r="N50" s="4">
        <v>89</v>
      </c>
      <c r="O50" s="4" t="s">
        <v>26</v>
      </c>
      <c r="P50" s="7" t="s">
        <v>19</v>
      </c>
    </row>
    <row r="51" spans="2:16" x14ac:dyDescent="0.45">
      <c r="B51" s="4">
        <v>50</v>
      </c>
      <c r="C51" s="4" t="s">
        <v>27</v>
      </c>
      <c r="D51" s="4" t="s">
        <v>23</v>
      </c>
      <c r="E51" s="4" t="s">
        <v>44</v>
      </c>
      <c r="F51" s="4" t="s">
        <v>24</v>
      </c>
      <c r="G51" s="4" t="s">
        <v>19</v>
      </c>
      <c r="H51" s="4" t="s">
        <v>28</v>
      </c>
      <c r="I51" s="4">
        <v>23</v>
      </c>
      <c r="J51" s="5">
        <v>73.099999999999994</v>
      </c>
      <c r="K51" s="6">
        <v>1.7</v>
      </c>
      <c r="L51" s="4">
        <v>5</v>
      </c>
      <c r="M51" s="4">
        <v>118</v>
      </c>
      <c r="N51" s="4">
        <v>86</v>
      </c>
      <c r="O51" s="4" t="s">
        <v>26</v>
      </c>
      <c r="P51" s="7" t="s">
        <v>30</v>
      </c>
    </row>
    <row r="52" spans="2:16" x14ac:dyDescent="0.45">
      <c r="B52" s="4">
        <v>51</v>
      </c>
      <c r="C52" s="4" t="s">
        <v>27</v>
      </c>
      <c r="D52" s="4" t="s">
        <v>16</v>
      </c>
      <c r="E52" s="4" t="s">
        <v>17</v>
      </c>
      <c r="F52" s="4" t="s">
        <v>24</v>
      </c>
      <c r="G52" s="4" t="s">
        <v>30</v>
      </c>
      <c r="H52" s="4" t="s">
        <v>34</v>
      </c>
      <c r="I52" s="4">
        <v>30</v>
      </c>
      <c r="J52" s="5">
        <v>49.2</v>
      </c>
      <c r="K52" s="6">
        <v>1.86</v>
      </c>
      <c r="L52" s="4">
        <v>1</v>
      </c>
      <c r="M52" s="4">
        <v>122</v>
      </c>
      <c r="N52" s="4">
        <v>78</v>
      </c>
      <c r="O52" s="4" t="s">
        <v>26</v>
      </c>
      <c r="P52" s="7" t="s">
        <v>19</v>
      </c>
    </row>
    <row r="53" spans="2:16" x14ac:dyDescent="0.45">
      <c r="B53" s="4">
        <v>52</v>
      </c>
      <c r="C53" s="4" t="s">
        <v>27</v>
      </c>
      <c r="D53" s="4" t="s">
        <v>16</v>
      </c>
      <c r="E53" s="4" t="s">
        <v>17</v>
      </c>
      <c r="F53" s="4" t="s">
        <v>18</v>
      </c>
      <c r="G53" s="4" t="s">
        <v>19</v>
      </c>
      <c r="H53" s="4" t="s">
        <v>20</v>
      </c>
      <c r="I53" s="4">
        <v>87</v>
      </c>
      <c r="J53" s="5">
        <v>76.5</v>
      </c>
      <c r="K53" s="6">
        <v>1.88</v>
      </c>
      <c r="L53" s="4">
        <v>0</v>
      </c>
      <c r="M53" s="4">
        <v>139</v>
      </c>
      <c r="N53" s="4">
        <v>100</v>
      </c>
      <c r="O53" s="4" t="s">
        <v>26</v>
      </c>
      <c r="P53" s="7" t="s">
        <v>19</v>
      </c>
    </row>
    <row r="54" spans="2:16" x14ac:dyDescent="0.45">
      <c r="B54" s="4">
        <v>53</v>
      </c>
      <c r="C54" s="4" t="s">
        <v>31</v>
      </c>
      <c r="D54" s="4" t="s">
        <v>16</v>
      </c>
      <c r="E54" s="4" t="s">
        <v>17</v>
      </c>
      <c r="F54" s="4" t="s">
        <v>24</v>
      </c>
      <c r="G54" s="4" t="s">
        <v>30</v>
      </c>
      <c r="H54" s="4" t="s">
        <v>20</v>
      </c>
      <c r="I54" s="4">
        <v>10</v>
      </c>
      <c r="J54" s="5">
        <v>19.399999999999999</v>
      </c>
      <c r="K54" s="6">
        <v>1.42</v>
      </c>
      <c r="L54" s="4">
        <v>4</v>
      </c>
      <c r="M54" s="4">
        <v>113</v>
      </c>
      <c r="N54" s="4">
        <v>88</v>
      </c>
      <c r="O54" s="4" t="s">
        <v>21</v>
      </c>
      <c r="P54" s="7" t="s">
        <v>30</v>
      </c>
    </row>
    <row r="55" spans="2:16" x14ac:dyDescent="0.45">
      <c r="B55" s="4">
        <v>54</v>
      </c>
      <c r="C55" s="4" t="s">
        <v>29</v>
      </c>
      <c r="D55" s="4" t="s">
        <v>16</v>
      </c>
      <c r="E55" s="4" t="s">
        <v>35</v>
      </c>
      <c r="F55" s="4" t="s">
        <v>24</v>
      </c>
      <c r="G55" s="4" t="s">
        <v>19</v>
      </c>
      <c r="H55" s="4" t="s">
        <v>32</v>
      </c>
      <c r="I55" s="4">
        <v>6</v>
      </c>
      <c r="J55" s="5">
        <v>30.5</v>
      </c>
      <c r="K55" s="6">
        <v>1.23</v>
      </c>
      <c r="L55" s="4">
        <v>1</v>
      </c>
      <c r="M55" s="4">
        <v>96</v>
      </c>
      <c r="N55" s="4">
        <v>155</v>
      </c>
      <c r="O55" s="4" t="s">
        <v>26</v>
      </c>
      <c r="P55" s="7" t="s">
        <v>19</v>
      </c>
    </row>
    <row r="56" spans="2:16" x14ac:dyDescent="0.45">
      <c r="B56" s="4">
        <v>55</v>
      </c>
      <c r="C56" s="4" t="s">
        <v>41</v>
      </c>
      <c r="D56" s="4" t="s">
        <v>16</v>
      </c>
      <c r="E56" s="4" t="s">
        <v>17</v>
      </c>
      <c r="F56" s="4" t="s">
        <v>24</v>
      </c>
      <c r="G56" s="4" t="s">
        <v>19</v>
      </c>
      <c r="H56" s="4" t="s">
        <v>20</v>
      </c>
      <c r="I56" s="4">
        <v>83</v>
      </c>
      <c r="J56" s="5">
        <v>86.1</v>
      </c>
      <c r="K56" s="6">
        <v>1.81</v>
      </c>
      <c r="L56" s="4">
        <v>3</v>
      </c>
      <c r="M56" s="4">
        <v>132</v>
      </c>
      <c r="N56" s="4">
        <v>94</v>
      </c>
      <c r="O56" s="4" t="s">
        <v>21</v>
      </c>
      <c r="P56" s="7" t="s">
        <v>19</v>
      </c>
    </row>
    <row r="57" spans="2:16" x14ac:dyDescent="0.45">
      <c r="B57" s="4">
        <v>56</v>
      </c>
      <c r="C57" s="4" t="s">
        <v>41</v>
      </c>
      <c r="D57" s="4" t="s">
        <v>16</v>
      </c>
      <c r="E57" s="4" t="s">
        <v>35</v>
      </c>
      <c r="F57" s="4" t="s">
        <v>28</v>
      </c>
      <c r="G57" s="4" t="s">
        <v>19</v>
      </c>
      <c r="H57" s="4" t="s">
        <v>28</v>
      </c>
      <c r="I57" s="4">
        <v>24</v>
      </c>
      <c r="J57" s="5">
        <v>49.2</v>
      </c>
      <c r="K57" s="6">
        <v>1.88</v>
      </c>
      <c r="L57" s="4">
        <v>4</v>
      </c>
      <c r="M57" s="4">
        <v>98</v>
      </c>
      <c r="N57" s="4">
        <v>79</v>
      </c>
      <c r="O57" s="4" t="s">
        <v>21</v>
      </c>
      <c r="P57" s="7" t="s">
        <v>19</v>
      </c>
    </row>
    <row r="58" spans="2:16" x14ac:dyDescent="0.45">
      <c r="B58" s="4">
        <v>57</v>
      </c>
      <c r="C58" s="4" t="s">
        <v>15</v>
      </c>
      <c r="D58" s="4" t="s">
        <v>16</v>
      </c>
      <c r="E58" s="4" t="s">
        <v>37</v>
      </c>
      <c r="F58" s="4" t="s">
        <v>24</v>
      </c>
      <c r="G58" s="4" t="s">
        <v>19</v>
      </c>
      <c r="H58" s="4" t="s">
        <v>28</v>
      </c>
      <c r="I58" s="4">
        <v>25</v>
      </c>
      <c r="J58" s="5">
        <v>81.8</v>
      </c>
      <c r="K58" s="6">
        <v>1.62</v>
      </c>
      <c r="L58" s="4">
        <v>4</v>
      </c>
      <c r="M58" s="4">
        <v>112</v>
      </c>
      <c r="N58" s="4">
        <v>78</v>
      </c>
      <c r="O58" s="4" t="s">
        <v>26</v>
      </c>
      <c r="P58" s="7" t="s">
        <v>19</v>
      </c>
    </row>
    <row r="59" spans="2:16" x14ac:dyDescent="0.45">
      <c r="B59" s="4">
        <v>58</v>
      </c>
      <c r="C59" s="4" t="s">
        <v>29</v>
      </c>
      <c r="D59" s="4" t="s">
        <v>16</v>
      </c>
      <c r="E59" s="4" t="s">
        <v>17</v>
      </c>
      <c r="F59" s="4" t="s">
        <v>24</v>
      </c>
      <c r="G59" s="4" t="s">
        <v>19</v>
      </c>
      <c r="H59" s="4" t="s">
        <v>20</v>
      </c>
      <c r="I59" s="4">
        <v>34</v>
      </c>
      <c r="J59" s="5">
        <v>46</v>
      </c>
      <c r="K59" s="6">
        <v>1.87</v>
      </c>
      <c r="L59" s="4">
        <v>3</v>
      </c>
      <c r="M59" s="4">
        <v>130</v>
      </c>
      <c r="N59" s="4">
        <v>92</v>
      </c>
      <c r="O59" s="4" t="s">
        <v>26</v>
      </c>
      <c r="P59" s="7" t="s">
        <v>30</v>
      </c>
    </row>
    <row r="60" spans="2:16" x14ac:dyDescent="0.45">
      <c r="B60" s="4">
        <v>59</v>
      </c>
      <c r="C60" s="4" t="s">
        <v>40</v>
      </c>
      <c r="D60" s="4" t="s">
        <v>23</v>
      </c>
      <c r="E60" s="4" t="s">
        <v>35</v>
      </c>
      <c r="F60" s="4" t="s">
        <v>24</v>
      </c>
      <c r="G60" s="4" t="s">
        <v>19</v>
      </c>
      <c r="H60" s="4" t="s">
        <v>28</v>
      </c>
      <c r="I60" s="4">
        <v>22</v>
      </c>
      <c r="J60" s="5">
        <v>57.5</v>
      </c>
      <c r="K60" s="6">
        <v>1.83</v>
      </c>
      <c r="L60" s="4">
        <v>5</v>
      </c>
      <c r="M60" s="4">
        <v>107</v>
      </c>
      <c r="N60" s="4">
        <v>80</v>
      </c>
      <c r="O60" s="4" t="s">
        <v>26</v>
      </c>
      <c r="P60" s="7" t="s">
        <v>19</v>
      </c>
    </row>
    <row r="61" spans="2:16" x14ac:dyDescent="0.45">
      <c r="B61" s="4">
        <v>60</v>
      </c>
      <c r="C61" s="4" t="s">
        <v>41</v>
      </c>
      <c r="D61" s="4" t="s">
        <v>23</v>
      </c>
      <c r="E61" s="4" t="s">
        <v>17</v>
      </c>
      <c r="F61" s="4" t="s">
        <v>28</v>
      </c>
      <c r="G61" s="4" t="s">
        <v>19</v>
      </c>
      <c r="H61" s="4" t="s">
        <v>25</v>
      </c>
      <c r="I61" s="4">
        <v>37</v>
      </c>
      <c r="J61" s="5">
        <v>61.3</v>
      </c>
      <c r="K61" s="6">
        <v>1.77</v>
      </c>
      <c r="L61" s="4">
        <v>5</v>
      </c>
      <c r="M61" s="4">
        <v>111</v>
      </c>
      <c r="N61" s="4">
        <v>82</v>
      </c>
      <c r="O61" s="4" t="s">
        <v>21</v>
      </c>
      <c r="P61" s="7" t="s">
        <v>30</v>
      </c>
    </row>
    <row r="62" spans="2:16" x14ac:dyDescent="0.45">
      <c r="B62" s="4">
        <v>61</v>
      </c>
      <c r="C62" s="4" t="s">
        <v>29</v>
      </c>
      <c r="D62" s="4" t="s">
        <v>23</v>
      </c>
      <c r="E62" s="4" t="s">
        <v>17</v>
      </c>
      <c r="F62" s="4" t="s">
        <v>18</v>
      </c>
      <c r="G62" s="4" t="s">
        <v>19</v>
      </c>
      <c r="H62" s="4" t="s">
        <v>46</v>
      </c>
      <c r="I62" s="4">
        <v>59</v>
      </c>
      <c r="J62" s="5">
        <v>46.9</v>
      </c>
      <c r="K62" s="6">
        <v>1.69</v>
      </c>
      <c r="L62" s="4">
        <v>4</v>
      </c>
      <c r="M62" s="4">
        <v>117</v>
      </c>
      <c r="N62" s="4">
        <v>85</v>
      </c>
      <c r="O62" s="4" t="s">
        <v>26</v>
      </c>
      <c r="P62" s="7" t="s">
        <v>30</v>
      </c>
    </row>
    <row r="63" spans="2:16" x14ac:dyDescent="0.45">
      <c r="B63" s="4">
        <v>62</v>
      </c>
      <c r="C63" s="4" t="s">
        <v>22</v>
      </c>
      <c r="D63" s="4" t="s">
        <v>23</v>
      </c>
      <c r="E63" s="4" t="s">
        <v>35</v>
      </c>
      <c r="F63" s="4" t="s">
        <v>24</v>
      </c>
      <c r="G63" s="4" t="s">
        <v>30</v>
      </c>
      <c r="H63" s="4" t="s">
        <v>34</v>
      </c>
      <c r="I63" s="4">
        <v>35</v>
      </c>
      <c r="J63" s="5">
        <v>56.3</v>
      </c>
      <c r="K63" s="6">
        <v>1.83</v>
      </c>
      <c r="L63" s="4">
        <v>4</v>
      </c>
      <c r="M63" s="4">
        <v>123</v>
      </c>
      <c r="N63" s="4">
        <v>101</v>
      </c>
      <c r="O63" s="4" t="s">
        <v>21</v>
      </c>
      <c r="P63" s="7" t="s">
        <v>19</v>
      </c>
    </row>
    <row r="64" spans="2:16" x14ac:dyDescent="0.45">
      <c r="B64" s="4">
        <v>63</v>
      </c>
      <c r="C64" s="4" t="s">
        <v>33</v>
      </c>
      <c r="D64" s="4" t="s">
        <v>16</v>
      </c>
      <c r="E64" s="4" t="s">
        <v>17</v>
      </c>
      <c r="F64" s="4" t="s">
        <v>18</v>
      </c>
      <c r="G64" s="4" t="s">
        <v>19</v>
      </c>
      <c r="H64" s="4" t="s">
        <v>46</v>
      </c>
      <c r="I64" s="4">
        <v>41</v>
      </c>
      <c r="J64" s="5">
        <v>66.5</v>
      </c>
      <c r="K64" s="6">
        <v>1.66</v>
      </c>
      <c r="L64" s="4">
        <v>4</v>
      </c>
      <c r="M64" s="4">
        <v>125</v>
      </c>
      <c r="N64" s="4">
        <v>100</v>
      </c>
      <c r="O64" s="4" t="s">
        <v>26</v>
      </c>
      <c r="P64" s="7" t="s">
        <v>19</v>
      </c>
    </row>
    <row r="65" spans="2:16" x14ac:dyDescent="0.45">
      <c r="B65" s="4">
        <v>64</v>
      </c>
      <c r="C65" s="4" t="s">
        <v>27</v>
      </c>
      <c r="D65" s="4" t="s">
        <v>16</v>
      </c>
      <c r="E65" s="4" t="s">
        <v>35</v>
      </c>
      <c r="F65" s="4" t="s">
        <v>18</v>
      </c>
      <c r="G65" s="4" t="s">
        <v>19</v>
      </c>
      <c r="H65" s="4" t="s">
        <v>20</v>
      </c>
      <c r="I65" s="4">
        <v>9</v>
      </c>
      <c r="J65" s="5">
        <v>21.1</v>
      </c>
      <c r="K65" s="6">
        <v>1.45</v>
      </c>
      <c r="L65" s="4">
        <v>3</v>
      </c>
      <c r="M65" s="4">
        <v>102</v>
      </c>
      <c r="N65" s="4">
        <v>89</v>
      </c>
      <c r="O65" s="4" t="s">
        <v>26</v>
      </c>
      <c r="P65" s="7" t="s">
        <v>19</v>
      </c>
    </row>
    <row r="66" spans="2:16" x14ac:dyDescent="0.45">
      <c r="B66" s="4">
        <v>65</v>
      </c>
      <c r="C66" s="4" t="s">
        <v>33</v>
      </c>
      <c r="D66" s="4" t="s">
        <v>23</v>
      </c>
      <c r="E66" s="4" t="s">
        <v>35</v>
      </c>
      <c r="F66" s="4" t="s">
        <v>24</v>
      </c>
      <c r="G66" s="4" t="s">
        <v>19</v>
      </c>
      <c r="H66" s="4" t="s">
        <v>36</v>
      </c>
      <c r="I66" s="4">
        <v>3</v>
      </c>
      <c r="J66" s="5">
        <v>7.2</v>
      </c>
      <c r="K66" s="6">
        <v>1</v>
      </c>
      <c r="L66" s="4">
        <v>0</v>
      </c>
      <c r="M66" s="4">
        <v>116</v>
      </c>
      <c r="N66" s="4">
        <v>92</v>
      </c>
      <c r="O66" s="4" t="s">
        <v>21</v>
      </c>
      <c r="P66" s="7" t="s">
        <v>19</v>
      </c>
    </row>
    <row r="67" spans="2:16" x14ac:dyDescent="0.45">
      <c r="B67" s="4">
        <v>66</v>
      </c>
      <c r="C67" s="4" t="s">
        <v>15</v>
      </c>
      <c r="D67" s="4" t="s">
        <v>23</v>
      </c>
      <c r="E67" s="4" t="s">
        <v>17</v>
      </c>
      <c r="F67" s="4" t="s">
        <v>18</v>
      </c>
      <c r="G67" s="4" t="s">
        <v>19</v>
      </c>
      <c r="H67" s="4" t="s">
        <v>32</v>
      </c>
      <c r="I67" s="4">
        <v>5</v>
      </c>
      <c r="J67" s="5">
        <v>37</v>
      </c>
      <c r="K67" s="6">
        <v>1.23</v>
      </c>
      <c r="L67" s="4">
        <v>7</v>
      </c>
      <c r="M67" s="4">
        <v>114</v>
      </c>
      <c r="N67" s="4">
        <v>178</v>
      </c>
      <c r="O67" s="4" t="s">
        <v>26</v>
      </c>
      <c r="P67" s="7" t="s">
        <v>19</v>
      </c>
    </row>
    <row r="68" spans="2:16" x14ac:dyDescent="0.45">
      <c r="B68" s="4">
        <v>67</v>
      </c>
      <c r="C68" s="4" t="s">
        <v>27</v>
      </c>
      <c r="D68" s="4" t="s">
        <v>23</v>
      </c>
      <c r="E68" s="4" t="s">
        <v>35</v>
      </c>
      <c r="F68" s="4" t="s">
        <v>24</v>
      </c>
      <c r="G68" s="4" t="s">
        <v>19</v>
      </c>
      <c r="H68" s="4" t="s">
        <v>20</v>
      </c>
      <c r="I68" s="4">
        <v>20</v>
      </c>
      <c r="J68" s="5">
        <v>65.400000000000006</v>
      </c>
      <c r="K68" s="6">
        <v>1.9</v>
      </c>
      <c r="L68" s="4">
        <v>2</v>
      </c>
      <c r="M68" s="4">
        <v>98</v>
      </c>
      <c r="N68" s="4">
        <v>95</v>
      </c>
      <c r="O68" s="4" t="s">
        <v>26</v>
      </c>
      <c r="P68" s="7" t="s">
        <v>19</v>
      </c>
    </row>
    <row r="69" spans="2:16" x14ac:dyDescent="0.45">
      <c r="B69" s="4">
        <v>68</v>
      </c>
      <c r="C69" s="4" t="s">
        <v>29</v>
      </c>
      <c r="D69" s="4" t="s">
        <v>23</v>
      </c>
      <c r="E69" s="4" t="s">
        <v>35</v>
      </c>
      <c r="F69" s="4" t="s">
        <v>28</v>
      </c>
      <c r="G69" s="4" t="s">
        <v>19</v>
      </c>
      <c r="H69" s="4" t="s">
        <v>36</v>
      </c>
      <c r="I69" s="4">
        <v>12</v>
      </c>
      <c r="J69" s="5">
        <v>44.1</v>
      </c>
      <c r="K69" s="6">
        <v>1.48</v>
      </c>
      <c r="L69" s="4">
        <v>8</v>
      </c>
      <c r="M69" s="4">
        <v>119</v>
      </c>
      <c r="N69" s="4">
        <v>73</v>
      </c>
      <c r="O69" s="4" t="s">
        <v>26</v>
      </c>
      <c r="P69" s="7" t="s">
        <v>19</v>
      </c>
    </row>
    <row r="70" spans="2:16" x14ac:dyDescent="0.45">
      <c r="B70" s="4">
        <v>69</v>
      </c>
      <c r="C70" s="4" t="s">
        <v>27</v>
      </c>
      <c r="D70" s="4" t="s">
        <v>23</v>
      </c>
      <c r="E70" s="4" t="s">
        <v>17</v>
      </c>
      <c r="F70" s="4" t="s">
        <v>18</v>
      </c>
      <c r="G70" s="4" t="s">
        <v>19</v>
      </c>
      <c r="H70" s="4" t="s">
        <v>20</v>
      </c>
      <c r="I70" s="4">
        <v>23</v>
      </c>
      <c r="J70" s="5">
        <v>75.5</v>
      </c>
      <c r="K70" s="6">
        <v>1.49</v>
      </c>
      <c r="L70" s="4">
        <v>3</v>
      </c>
      <c r="M70" s="4">
        <v>104</v>
      </c>
      <c r="N70" s="4">
        <v>96</v>
      </c>
      <c r="O70" s="4" t="s">
        <v>26</v>
      </c>
      <c r="P70" s="7" t="s">
        <v>19</v>
      </c>
    </row>
    <row r="71" spans="2:16" x14ac:dyDescent="0.45">
      <c r="B71" s="4">
        <v>70</v>
      </c>
      <c r="C71" s="4" t="s">
        <v>43</v>
      </c>
      <c r="D71" s="4" t="s">
        <v>23</v>
      </c>
      <c r="E71" s="4" t="s">
        <v>37</v>
      </c>
      <c r="F71" s="4" t="s">
        <v>18</v>
      </c>
      <c r="G71" s="4" t="s">
        <v>19</v>
      </c>
      <c r="H71" s="4" t="s">
        <v>46</v>
      </c>
      <c r="I71" s="4">
        <v>74</v>
      </c>
      <c r="J71" s="5">
        <v>45.1</v>
      </c>
      <c r="K71" s="6">
        <v>1.73</v>
      </c>
      <c r="L71" s="4">
        <v>1</v>
      </c>
      <c r="M71" s="4">
        <v>135</v>
      </c>
      <c r="N71" s="4">
        <v>95</v>
      </c>
      <c r="O71" s="4" t="s">
        <v>26</v>
      </c>
      <c r="P71" s="7" t="s">
        <v>30</v>
      </c>
    </row>
    <row r="72" spans="2:16" x14ac:dyDescent="0.45">
      <c r="B72" s="4">
        <v>71</v>
      </c>
      <c r="C72" s="4" t="s">
        <v>33</v>
      </c>
      <c r="D72" s="4" t="s">
        <v>23</v>
      </c>
      <c r="E72" s="4" t="s">
        <v>35</v>
      </c>
      <c r="F72" s="4" t="s">
        <v>18</v>
      </c>
      <c r="G72" s="4" t="s">
        <v>19</v>
      </c>
      <c r="H72" s="4" t="s">
        <v>36</v>
      </c>
      <c r="I72" s="4">
        <v>78</v>
      </c>
      <c r="J72" s="5">
        <v>61.2</v>
      </c>
      <c r="K72" s="6">
        <v>1.67</v>
      </c>
      <c r="L72" s="4">
        <v>2</v>
      </c>
      <c r="M72" s="4">
        <v>132</v>
      </c>
      <c r="N72" s="4">
        <v>96</v>
      </c>
      <c r="O72" s="4" t="s">
        <v>26</v>
      </c>
      <c r="P72" s="7" t="s">
        <v>19</v>
      </c>
    </row>
    <row r="73" spans="2:16" x14ac:dyDescent="0.45">
      <c r="B73" s="4">
        <v>72</v>
      </c>
      <c r="C73" s="4" t="s">
        <v>27</v>
      </c>
      <c r="D73" s="4" t="s">
        <v>16</v>
      </c>
      <c r="E73" s="4" t="s">
        <v>35</v>
      </c>
      <c r="F73" s="4" t="s">
        <v>24</v>
      </c>
      <c r="G73" s="4" t="s">
        <v>19</v>
      </c>
      <c r="H73" s="4" t="s">
        <v>20</v>
      </c>
      <c r="I73" s="4">
        <v>23</v>
      </c>
      <c r="J73" s="5">
        <v>61.5</v>
      </c>
      <c r="K73" s="6">
        <v>1.53</v>
      </c>
      <c r="L73" s="4">
        <v>1</v>
      </c>
      <c r="M73" s="4">
        <v>104</v>
      </c>
      <c r="N73" s="4">
        <v>100</v>
      </c>
      <c r="O73" s="4" t="s">
        <v>21</v>
      </c>
      <c r="P73" s="7" t="s">
        <v>19</v>
      </c>
    </row>
    <row r="74" spans="2:16" x14ac:dyDescent="0.45">
      <c r="B74" s="4">
        <v>73</v>
      </c>
      <c r="C74" s="4" t="s">
        <v>27</v>
      </c>
      <c r="D74" s="4" t="s">
        <v>23</v>
      </c>
      <c r="E74" s="4" t="s">
        <v>35</v>
      </c>
      <c r="F74" s="4" t="s">
        <v>28</v>
      </c>
      <c r="G74" s="4" t="s">
        <v>19</v>
      </c>
      <c r="H74" s="4" t="s">
        <v>25</v>
      </c>
      <c r="I74" s="4">
        <v>82</v>
      </c>
      <c r="J74" s="5">
        <v>71.8</v>
      </c>
      <c r="K74" s="6">
        <v>1.76</v>
      </c>
      <c r="L74" s="4">
        <v>4</v>
      </c>
      <c r="M74" s="4">
        <v>116</v>
      </c>
      <c r="N74" s="4">
        <v>74</v>
      </c>
      <c r="O74" s="4" t="s">
        <v>21</v>
      </c>
      <c r="P74" s="7" t="s">
        <v>19</v>
      </c>
    </row>
    <row r="75" spans="2:16" x14ac:dyDescent="0.45">
      <c r="B75" s="4">
        <v>74</v>
      </c>
      <c r="C75" s="4" t="s">
        <v>43</v>
      </c>
      <c r="D75" s="4" t="s">
        <v>23</v>
      </c>
      <c r="E75" s="4" t="s">
        <v>17</v>
      </c>
      <c r="F75" s="4" t="s">
        <v>28</v>
      </c>
      <c r="G75" s="4" t="s">
        <v>19</v>
      </c>
      <c r="H75" s="4" t="s">
        <v>28</v>
      </c>
      <c r="I75" s="4">
        <v>57</v>
      </c>
      <c r="J75" s="5">
        <v>86.7</v>
      </c>
      <c r="K75" s="6">
        <v>1.67</v>
      </c>
      <c r="L75" s="4">
        <v>5</v>
      </c>
      <c r="M75" s="4">
        <v>135</v>
      </c>
      <c r="N75" s="4">
        <v>84</v>
      </c>
      <c r="O75" s="4" t="s">
        <v>21</v>
      </c>
      <c r="P75" s="7" t="s">
        <v>30</v>
      </c>
    </row>
    <row r="76" spans="2:16" x14ac:dyDescent="0.45">
      <c r="B76" s="4">
        <v>75</v>
      </c>
      <c r="C76" s="4" t="s">
        <v>41</v>
      </c>
      <c r="D76" s="4" t="s">
        <v>16</v>
      </c>
      <c r="E76" s="4" t="s">
        <v>17</v>
      </c>
      <c r="F76" s="4" t="s">
        <v>24</v>
      </c>
      <c r="G76" s="4" t="s">
        <v>30</v>
      </c>
      <c r="H76" s="4" t="s">
        <v>34</v>
      </c>
      <c r="I76" s="4">
        <v>62</v>
      </c>
      <c r="J76" s="5">
        <v>47.4</v>
      </c>
      <c r="K76" s="6">
        <v>1.65</v>
      </c>
      <c r="L76" s="4">
        <v>2</v>
      </c>
      <c r="M76" s="4">
        <v>132</v>
      </c>
      <c r="N76" s="4">
        <v>85</v>
      </c>
      <c r="O76" s="4" t="s">
        <v>21</v>
      </c>
      <c r="P76" s="7" t="s">
        <v>30</v>
      </c>
    </row>
    <row r="77" spans="2:16" x14ac:dyDescent="0.45">
      <c r="B77" s="4">
        <v>76</v>
      </c>
      <c r="C77" s="4" t="s">
        <v>22</v>
      </c>
      <c r="D77" s="4" t="s">
        <v>16</v>
      </c>
      <c r="E77" s="4" t="s">
        <v>35</v>
      </c>
      <c r="F77" s="4" t="s">
        <v>18</v>
      </c>
      <c r="G77" s="4" t="s">
        <v>19</v>
      </c>
      <c r="H77" s="4" t="s">
        <v>32</v>
      </c>
      <c r="I77" s="4">
        <v>41</v>
      </c>
      <c r="J77" s="5">
        <v>53</v>
      </c>
      <c r="K77" s="6">
        <v>1.57</v>
      </c>
      <c r="L77" s="4">
        <v>5</v>
      </c>
      <c r="M77" s="4">
        <v>110</v>
      </c>
      <c r="N77" s="4">
        <v>151</v>
      </c>
      <c r="O77" s="4" t="s">
        <v>26</v>
      </c>
      <c r="P77" s="7" t="s">
        <v>19</v>
      </c>
    </row>
    <row r="78" spans="2:16" x14ac:dyDescent="0.45">
      <c r="B78" s="4">
        <v>77</v>
      </c>
      <c r="C78" s="4" t="s">
        <v>41</v>
      </c>
      <c r="D78" s="4" t="s">
        <v>23</v>
      </c>
      <c r="E78" s="4" t="s">
        <v>37</v>
      </c>
      <c r="F78" s="4" t="s">
        <v>18</v>
      </c>
      <c r="G78" s="4" t="s">
        <v>30</v>
      </c>
      <c r="H78" s="4" t="s">
        <v>36</v>
      </c>
      <c r="I78" s="4">
        <v>31</v>
      </c>
      <c r="J78" s="5">
        <v>72</v>
      </c>
      <c r="K78" s="6">
        <v>1.52</v>
      </c>
      <c r="L78" s="4">
        <v>1</v>
      </c>
      <c r="M78" s="4">
        <v>141</v>
      </c>
      <c r="N78" s="4">
        <v>82</v>
      </c>
      <c r="O78" s="4" t="s">
        <v>21</v>
      </c>
      <c r="P78" s="7" t="s">
        <v>30</v>
      </c>
    </row>
    <row r="79" spans="2:16" x14ac:dyDescent="0.45">
      <c r="B79" s="4">
        <v>78</v>
      </c>
      <c r="C79" s="4" t="s">
        <v>27</v>
      </c>
      <c r="D79" s="4" t="s">
        <v>23</v>
      </c>
      <c r="E79" s="4" t="s">
        <v>35</v>
      </c>
      <c r="F79" s="4" t="s">
        <v>24</v>
      </c>
      <c r="G79" s="4" t="s">
        <v>19</v>
      </c>
      <c r="H79" s="4" t="s">
        <v>46</v>
      </c>
      <c r="I79" s="4">
        <v>18</v>
      </c>
      <c r="J79" s="5">
        <v>63</v>
      </c>
      <c r="K79" s="6">
        <v>1.55</v>
      </c>
      <c r="L79" s="4">
        <v>0</v>
      </c>
      <c r="M79" s="4">
        <v>115</v>
      </c>
      <c r="N79" s="4">
        <v>105</v>
      </c>
      <c r="O79" s="4" t="s">
        <v>26</v>
      </c>
      <c r="P79" s="7" t="s">
        <v>30</v>
      </c>
    </row>
    <row r="80" spans="2:16" x14ac:dyDescent="0.45">
      <c r="B80" s="4">
        <v>79</v>
      </c>
      <c r="C80" s="4" t="s">
        <v>27</v>
      </c>
      <c r="D80" s="4" t="s">
        <v>16</v>
      </c>
      <c r="E80" s="4" t="s">
        <v>35</v>
      </c>
      <c r="F80" s="4" t="s">
        <v>24</v>
      </c>
      <c r="G80" s="4" t="s">
        <v>19</v>
      </c>
      <c r="H80" s="4" t="s">
        <v>20</v>
      </c>
      <c r="I80" s="4">
        <v>26</v>
      </c>
      <c r="J80" s="5">
        <v>67.7</v>
      </c>
      <c r="K80" s="6">
        <v>1.54</v>
      </c>
      <c r="L80" s="4">
        <v>7</v>
      </c>
      <c r="M80" s="4">
        <v>122</v>
      </c>
      <c r="N80" s="4">
        <v>95</v>
      </c>
      <c r="O80" s="4" t="s">
        <v>26</v>
      </c>
      <c r="P80" s="7" t="s">
        <v>19</v>
      </c>
    </row>
    <row r="81" spans="2:16" x14ac:dyDescent="0.45">
      <c r="B81" s="4">
        <v>80</v>
      </c>
      <c r="C81" s="4" t="s">
        <v>31</v>
      </c>
      <c r="D81" s="4" t="s">
        <v>23</v>
      </c>
      <c r="E81" s="4" t="s">
        <v>37</v>
      </c>
      <c r="F81" s="4" t="s">
        <v>18</v>
      </c>
      <c r="G81" s="4" t="s">
        <v>30</v>
      </c>
      <c r="H81" s="4" t="s">
        <v>34</v>
      </c>
      <c r="I81" s="4">
        <v>87</v>
      </c>
      <c r="J81" s="5">
        <v>48.4</v>
      </c>
      <c r="K81" s="6">
        <v>1.5</v>
      </c>
      <c r="L81" s="4">
        <v>5</v>
      </c>
      <c r="M81" s="4">
        <v>118</v>
      </c>
      <c r="N81" s="4">
        <v>77</v>
      </c>
      <c r="O81" s="4" t="s">
        <v>21</v>
      </c>
      <c r="P81" s="7" t="s">
        <v>19</v>
      </c>
    </row>
    <row r="82" spans="2:16" x14ac:dyDescent="0.45">
      <c r="B82" s="4">
        <v>81</v>
      </c>
      <c r="C82" s="4" t="s">
        <v>31</v>
      </c>
      <c r="D82" s="4" t="s">
        <v>16</v>
      </c>
      <c r="E82" s="4" t="s">
        <v>35</v>
      </c>
      <c r="F82" s="4" t="s">
        <v>24</v>
      </c>
      <c r="G82" s="4" t="s">
        <v>30</v>
      </c>
      <c r="H82" s="4" t="s">
        <v>28</v>
      </c>
      <c r="I82" s="4">
        <v>23</v>
      </c>
      <c r="J82" s="5">
        <v>72</v>
      </c>
      <c r="K82" s="6">
        <v>1.77</v>
      </c>
      <c r="L82" s="4">
        <v>4</v>
      </c>
      <c r="M82" s="4">
        <v>98</v>
      </c>
      <c r="N82" s="4">
        <v>99</v>
      </c>
      <c r="O82" s="4" t="s">
        <v>21</v>
      </c>
      <c r="P82" s="7" t="s">
        <v>19</v>
      </c>
    </row>
    <row r="83" spans="2:16" x14ac:dyDescent="0.45">
      <c r="B83" s="4">
        <v>82</v>
      </c>
      <c r="C83" s="4" t="s">
        <v>22</v>
      </c>
      <c r="D83" s="4" t="s">
        <v>16</v>
      </c>
      <c r="E83" s="4" t="s">
        <v>17</v>
      </c>
      <c r="F83" s="4" t="s">
        <v>18</v>
      </c>
      <c r="G83" s="4" t="s">
        <v>19</v>
      </c>
      <c r="H83" s="4" t="s">
        <v>25</v>
      </c>
      <c r="I83" s="4">
        <v>4</v>
      </c>
      <c r="J83" s="5">
        <v>15.6</v>
      </c>
      <c r="K83" s="6">
        <v>0.84</v>
      </c>
      <c r="L83" s="4">
        <v>3</v>
      </c>
      <c r="M83" s="4">
        <v>110</v>
      </c>
      <c r="N83" s="4">
        <v>92</v>
      </c>
      <c r="O83" s="4" t="s">
        <v>21</v>
      </c>
      <c r="P83" s="7" t="s">
        <v>19</v>
      </c>
    </row>
    <row r="84" spans="2:16" x14ac:dyDescent="0.45">
      <c r="B84" s="4">
        <v>83</v>
      </c>
      <c r="C84" s="4" t="s">
        <v>43</v>
      </c>
      <c r="D84" s="4" t="s">
        <v>16</v>
      </c>
      <c r="E84" s="4" t="s">
        <v>17</v>
      </c>
      <c r="F84" s="4" t="s">
        <v>42</v>
      </c>
      <c r="G84" s="4" t="s">
        <v>19</v>
      </c>
      <c r="H84" s="4" t="s">
        <v>36</v>
      </c>
      <c r="I84" s="4">
        <v>60</v>
      </c>
      <c r="J84" s="5">
        <v>77.3</v>
      </c>
      <c r="K84" s="6">
        <v>1.78</v>
      </c>
      <c r="L84" s="4">
        <v>2</v>
      </c>
      <c r="M84" s="4">
        <v>127</v>
      </c>
      <c r="N84" s="4">
        <v>85</v>
      </c>
      <c r="O84" s="4" t="s">
        <v>21</v>
      </c>
      <c r="P84" s="7" t="s">
        <v>19</v>
      </c>
    </row>
    <row r="85" spans="2:16" x14ac:dyDescent="0.45">
      <c r="B85" s="4">
        <v>84</v>
      </c>
      <c r="C85" s="4" t="s">
        <v>22</v>
      </c>
      <c r="D85" s="4" t="s">
        <v>23</v>
      </c>
      <c r="E85" s="4" t="s">
        <v>35</v>
      </c>
      <c r="F85" s="4" t="s">
        <v>42</v>
      </c>
      <c r="G85" s="4" t="s">
        <v>19</v>
      </c>
      <c r="H85" s="4" t="s">
        <v>20</v>
      </c>
      <c r="I85" s="4">
        <v>17</v>
      </c>
      <c r="J85" s="5">
        <v>55.4</v>
      </c>
      <c r="K85" s="6">
        <v>1.69</v>
      </c>
      <c r="L85" s="4">
        <v>5</v>
      </c>
      <c r="M85" s="4">
        <v>113</v>
      </c>
      <c r="N85" s="4">
        <v>81</v>
      </c>
      <c r="O85" s="4" t="s">
        <v>21</v>
      </c>
      <c r="P85" s="7" t="s">
        <v>19</v>
      </c>
    </row>
    <row r="86" spans="2:16" x14ac:dyDescent="0.45">
      <c r="B86" s="4">
        <v>85</v>
      </c>
      <c r="C86" s="4" t="s">
        <v>41</v>
      </c>
      <c r="D86" s="4" t="s">
        <v>23</v>
      </c>
      <c r="E86" s="4" t="s">
        <v>17</v>
      </c>
      <c r="F86" s="4" t="s">
        <v>24</v>
      </c>
      <c r="G86" s="4" t="s">
        <v>19</v>
      </c>
      <c r="H86" s="4" t="s">
        <v>20</v>
      </c>
      <c r="I86" s="4">
        <v>18</v>
      </c>
      <c r="J86" s="5">
        <v>73.599999999999994</v>
      </c>
      <c r="K86" s="6">
        <v>1.79</v>
      </c>
      <c r="L86" s="4">
        <v>4</v>
      </c>
      <c r="M86" s="4">
        <v>108</v>
      </c>
      <c r="N86" s="4">
        <v>97</v>
      </c>
      <c r="O86" s="4" t="s">
        <v>26</v>
      </c>
      <c r="P86" s="7" t="s">
        <v>19</v>
      </c>
    </row>
    <row r="87" spans="2:16" x14ac:dyDescent="0.45">
      <c r="B87" s="4">
        <v>86</v>
      </c>
      <c r="C87" s="4" t="s">
        <v>33</v>
      </c>
      <c r="D87" s="4" t="s">
        <v>23</v>
      </c>
      <c r="E87" s="4" t="s">
        <v>44</v>
      </c>
      <c r="F87" s="4" t="s">
        <v>18</v>
      </c>
      <c r="G87" s="4" t="s">
        <v>19</v>
      </c>
      <c r="H87" s="4" t="s">
        <v>36</v>
      </c>
      <c r="I87" s="4">
        <v>30</v>
      </c>
      <c r="J87" s="5">
        <v>81.099999999999994</v>
      </c>
      <c r="K87" s="6">
        <v>1.55</v>
      </c>
      <c r="L87" s="4">
        <v>1</v>
      </c>
      <c r="M87" s="4">
        <v>135</v>
      </c>
      <c r="N87" s="4">
        <v>72</v>
      </c>
      <c r="O87" s="4" t="s">
        <v>26</v>
      </c>
      <c r="P87" s="7" t="s">
        <v>30</v>
      </c>
    </row>
    <row r="88" spans="2:16" x14ac:dyDescent="0.45">
      <c r="B88" s="4">
        <v>87</v>
      </c>
      <c r="C88" s="4" t="s">
        <v>39</v>
      </c>
      <c r="D88" s="4" t="s">
        <v>16</v>
      </c>
      <c r="E88" s="4" t="s">
        <v>44</v>
      </c>
      <c r="F88" s="4" t="s">
        <v>24</v>
      </c>
      <c r="G88" s="4" t="s">
        <v>19</v>
      </c>
      <c r="H88" s="4" t="s">
        <v>20</v>
      </c>
      <c r="I88" s="4">
        <v>35</v>
      </c>
      <c r="J88" s="5">
        <v>64.400000000000006</v>
      </c>
      <c r="K88" s="6">
        <v>1.51</v>
      </c>
      <c r="L88" s="4">
        <v>3</v>
      </c>
      <c r="M88" s="4">
        <v>111</v>
      </c>
      <c r="N88" s="4">
        <v>81</v>
      </c>
      <c r="O88" s="4" t="s">
        <v>21</v>
      </c>
      <c r="P88" s="7" t="s">
        <v>19</v>
      </c>
    </row>
    <row r="89" spans="2:16" x14ac:dyDescent="0.45">
      <c r="B89" s="4">
        <v>88</v>
      </c>
      <c r="C89" s="4" t="s">
        <v>15</v>
      </c>
      <c r="D89" s="4" t="s">
        <v>16</v>
      </c>
      <c r="E89" s="4" t="s">
        <v>35</v>
      </c>
      <c r="F89" s="4" t="s">
        <v>18</v>
      </c>
      <c r="G89" s="4" t="s">
        <v>19</v>
      </c>
      <c r="H89" s="4" t="s">
        <v>20</v>
      </c>
      <c r="I89" s="4">
        <v>55</v>
      </c>
      <c r="J89" s="5">
        <v>78.7</v>
      </c>
      <c r="K89" s="6">
        <v>1.59</v>
      </c>
      <c r="L89" s="4">
        <v>0</v>
      </c>
      <c r="M89" s="4">
        <v>114</v>
      </c>
      <c r="N89" s="4">
        <v>76</v>
      </c>
      <c r="O89" s="4" t="s">
        <v>26</v>
      </c>
      <c r="P89" s="7" t="s">
        <v>19</v>
      </c>
    </row>
    <row r="90" spans="2:16" x14ac:dyDescent="0.45">
      <c r="B90" s="4">
        <v>89</v>
      </c>
      <c r="C90" s="4" t="s">
        <v>43</v>
      </c>
      <c r="D90" s="4" t="s">
        <v>16</v>
      </c>
      <c r="E90" s="4" t="s">
        <v>35</v>
      </c>
      <c r="F90" s="4" t="s">
        <v>42</v>
      </c>
      <c r="G90" s="4" t="s">
        <v>30</v>
      </c>
      <c r="H90" s="4" t="s">
        <v>28</v>
      </c>
      <c r="I90" s="4">
        <v>19</v>
      </c>
      <c r="J90" s="5">
        <v>54</v>
      </c>
      <c r="K90" s="6">
        <v>1.65</v>
      </c>
      <c r="L90" s="4">
        <v>9</v>
      </c>
      <c r="M90" s="4">
        <v>111</v>
      </c>
      <c r="N90" s="4">
        <v>84</v>
      </c>
      <c r="O90" s="4" t="s">
        <v>26</v>
      </c>
      <c r="P90" s="7" t="s">
        <v>19</v>
      </c>
    </row>
    <row r="91" spans="2:16" x14ac:dyDescent="0.45">
      <c r="B91" s="4">
        <v>90</v>
      </c>
      <c r="C91" s="4" t="s">
        <v>22</v>
      </c>
      <c r="D91" s="4" t="s">
        <v>23</v>
      </c>
      <c r="E91" s="4" t="s">
        <v>17</v>
      </c>
      <c r="F91" s="4" t="s">
        <v>28</v>
      </c>
      <c r="G91" s="4" t="s">
        <v>30</v>
      </c>
      <c r="H91" s="4" t="s">
        <v>28</v>
      </c>
      <c r="I91" s="4">
        <v>2</v>
      </c>
      <c r="J91" s="5">
        <v>15.2</v>
      </c>
      <c r="K91" s="6">
        <v>0.82</v>
      </c>
      <c r="L91" s="4">
        <v>3</v>
      </c>
      <c r="M91" s="4">
        <v>102</v>
      </c>
      <c r="N91" s="4">
        <v>77</v>
      </c>
      <c r="O91" s="4" t="s">
        <v>26</v>
      </c>
      <c r="P91" s="7" t="s">
        <v>30</v>
      </c>
    </row>
    <row r="92" spans="2:16" x14ac:dyDescent="0.45">
      <c r="B92" s="4">
        <v>91</v>
      </c>
      <c r="C92" s="4" t="s">
        <v>27</v>
      </c>
      <c r="D92" s="4" t="s">
        <v>23</v>
      </c>
      <c r="E92" s="4" t="s">
        <v>35</v>
      </c>
      <c r="F92" s="4" t="s">
        <v>24</v>
      </c>
      <c r="G92" s="4" t="s">
        <v>30</v>
      </c>
      <c r="H92" s="4" t="s">
        <v>20</v>
      </c>
      <c r="I92" s="4">
        <v>23</v>
      </c>
      <c r="J92" s="5">
        <v>79.7</v>
      </c>
      <c r="K92" s="6">
        <v>1.77</v>
      </c>
      <c r="L92" s="4">
        <v>0</v>
      </c>
      <c r="M92" s="4">
        <v>107</v>
      </c>
      <c r="N92" s="4">
        <v>95</v>
      </c>
      <c r="O92" s="4" t="s">
        <v>21</v>
      </c>
      <c r="P92" s="7" t="s">
        <v>19</v>
      </c>
    </row>
    <row r="93" spans="2:16" x14ac:dyDescent="0.45">
      <c r="B93" s="4">
        <v>92</v>
      </c>
      <c r="C93" s="4" t="s">
        <v>27</v>
      </c>
      <c r="D93" s="4" t="s">
        <v>16</v>
      </c>
      <c r="E93" s="4" t="s">
        <v>35</v>
      </c>
      <c r="F93" s="4" t="s">
        <v>24</v>
      </c>
      <c r="G93" s="4" t="s">
        <v>30</v>
      </c>
      <c r="H93" s="4" t="s">
        <v>20</v>
      </c>
      <c r="I93" s="4">
        <v>15</v>
      </c>
      <c r="J93" s="5">
        <v>55</v>
      </c>
      <c r="K93" s="6">
        <v>1.54</v>
      </c>
      <c r="L93" s="4">
        <v>0</v>
      </c>
      <c r="M93" s="4">
        <v>99</v>
      </c>
      <c r="N93" s="4">
        <v>77</v>
      </c>
      <c r="O93" s="4" t="s">
        <v>21</v>
      </c>
      <c r="P93" s="7" t="s">
        <v>30</v>
      </c>
    </row>
    <row r="94" spans="2:16" x14ac:dyDescent="0.45">
      <c r="B94" s="4">
        <v>93</v>
      </c>
      <c r="C94" s="4" t="s">
        <v>40</v>
      </c>
      <c r="D94" s="4" t="s">
        <v>23</v>
      </c>
      <c r="E94" s="4" t="s">
        <v>17</v>
      </c>
      <c r="F94" s="4" t="s">
        <v>28</v>
      </c>
      <c r="G94" s="4" t="s">
        <v>19</v>
      </c>
      <c r="H94" s="4" t="s">
        <v>20</v>
      </c>
      <c r="I94" s="4">
        <v>47</v>
      </c>
      <c r="J94" s="5">
        <v>67</v>
      </c>
      <c r="K94" s="6">
        <v>1.54</v>
      </c>
      <c r="L94" s="4">
        <v>3</v>
      </c>
      <c r="M94" s="4">
        <v>106</v>
      </c>
      <c r="N94" s="4">
        <v>75</v>
      </c>
      <c r="O94" s="4" t="s">
        <v>26</v>
      </c>
      <c r="P94" s="7" t="s">
        <v>19</v>
      </c>
    </row>
    <row r="95" spans="2:16" x14ac:dyDescent="0.45">
      <c r="B95" s="4">
        <v>94</v>
      </c>
      <c r="C95" s="4" t="s">
        <v>22</v>
      </c>
      <c r="D95" s="4" t="s">
        <v>16</v>
      </c>
      <c r="E95" s="4" t="s">
        <v>17</v>
      </c>
      <c r="F95" s="4" t="s">
        <v>18</v>
      </c>
      <c r="G95" s="4" t="s">
        <v>30</v>
      </c>
      <c r="H95" s="4" t="s">
        <v>36</v>
      </c>
      <c r="I95" s="4">
        <v>30</v>
      </c>
      <c r="J95" s="5">
        <v>48.4</v>
      </c>
      <c r="K95" s="6">
        <v>1.84</v>
      </c>
      <c r="L95" s="4">
        <v>6</v>
      </c>
      <c r="M95" s="4">
        <v>124</v>
      </c>
      <c r="N95" s="4">
        <v>99</v>
      </c>
      <c r="O95" s="4" t="s">
        <v>26</v>
      </c>
      <c r="P95" s="7" t="s">
        <v>19</v>
      </c>
    </row>
    <row r="96" spans="2:16" x14ac:dyDescent="0.45">
      <c r="B96" s="4">
        <v>95</v>
      </c>
      <c r="C96" s="4" t="s">
        <v>33</v>
      </c>
      <c r="D96" s="4" t="s">
        <v>16</v>
      </c>
      <c r="E96" s="4" t="s">
        <v>35</v>
      </c>
      <c r="F96" s="4" t="s">
        <v>24</v>
      </c>
      <c r="G96" s="4" t="s">
        <v>30</v>
      </c>
      <c r="H96" s="4" t="s">
        <v>28</v>
      </c>
      <c r="I96" s="4">
        <v>44</v>
      </c>
      <c r="J96" s="5">
        <v>94.3</v>
      </c>
      <c r="K96" s="6">
        <v>1.86</v>
      </c>
      <c r="L96" s="4">
        <v>8</v>
      </c>
      <c r="M96" s="4">
        <v>120</v>
      </c>
      <c r="N96" s="4">
        <v>86</v>
      </c>
      <c r="O96" s="4" t="s">
        <v>21</v>
      </c>
      <c r="P96" s="7" t="s">
        <v>19</v>
      </c>
    </row>
    <row r="97" spans="2:16" x14ac:dyDescent="0.45">
      <c r="B97" s="4">
        <v>96</v>
      </c>
      <c r="C97" s="4" t="s">
        <v>41</v>
      </c>
      <c r="D97" s="4" t="s">
        <v>23</v>
      </c>
      <c r="E97" s="4" t="s">
        <v>44</v>
      </c>
      <c r="F97" s="4" t="s">
        <v>28</v>
      </c>
      <c r="G97" s="4" t="s">
        <v>19</v>
      </c>
      <c r="H97" s="4" t="s">
        <v>28</v>
      </c>
      <c r="I97" s="4">
        <v>7</v>
      </c>
      <c r="J97" s="5">
        <v>20.9</v>
      </c>
      <c r="K97" s="6">
        <v>1.39</v>
      </c>
      <c r="L97" s="4">
        <v>7</v>
      </c>
      <c r="M97" s="4">
        <v>100</v>
      </c>
      <c r="N97" s="4">
        <v>86</v>
      </c>
      <c r="O97" s="4" t="s">
        <v>21</v>
      </c>
      <c r="P97" s="7" t="s">
        <v>19</v>
      </c>
    </row>
    <row r="98" spans="2:16" x14ac:dyDescent="0.45">
      <c r="B98" s="4">
        <v>97</v>
      </c>
      <c r="C98" s="4" t="s">
        <v>39</v>
      </c>
      <c r="D98" s="4" t="s">
        <v>16</v>
      </c>
      <c r="E98" s="4" t="s">
        <v>35</v>
      </c>
      <c r="F98" s="4" t="s">
        <v>28</v>
      </c>
      <c r="G98" s="4" t="s">
        <v>19</v>
      </c>
      <c r="H98" s="4" t="s">
        <v>28</v>
      </c>
      <c r="I98" s="4">
        <v>37</v>
      </c>
      <c r="J98" s="5">
        <v>82.5</v>
      </c>
      <c r="K98" s="6">
        <v>1.82</v>
      </c>
      <c r="L98" s="4">
        <v>2</v>
      </c>
      <c r="M98" s="4">
        <v>121</v>
      </c>
      <c r="N98" s="4">
        <v>88</v>
      </c>
      <c r="O98" s="4" t="s">
        <v>26</v>
      </c>
      <c r="P98" s="7" t="s">
        <v>19</v>
      </c>
    </row>
    <row r="99" spans="2:16" x14ac:dyDescent="0.45">
      <c r="B99" s="4">
        <v>98</v>
      </c>
      <c r="C99" s="4" t="s">
        <v>31</v>
      </c>
      <c r="D99" s="4" t="s">
        <v>23</v>
      </c>
      <c r="E99" s="4" t="s">
        <v>17</v>
      </c>
      <c r="F99" s="4" t="s">
        <v>18</v>
      </c>
      <c r="G99" s="4" t="s">
        <v>19</v>
      </c>
      <c r="H99" s="4" t="s">
        <v>20</v>
      </c>
      <c r="I99" s="4">
        <v>29</v>
      </c>
      <c r="J99" s="5">
        <v>76.599999999999994</v>
      </c>
      <c r="K99" s="6">
        <v>1.61</v>
      </c>
      <c r="L99" s="4">
        <v>0</v>
      </c>
      <c r="M99" s="4">
        <v>106</v>
      </c>
      <c r="N99" s="4">
        <v>84</v>
      </c>
      <c r="O99" s="4" t="s">
        <v>26</v>
      </c>
      <c r="P99" s="7" t="s">
        <v>19</v>
      </c>
    </row>
    <row r="100" spans="2:16" x14ac:dyDescent="0.45">
      <c r="B100" s="4">
        <v>99</v>
      </c>
      <c r="C100" s="4" t="s">
        <v>29</v>
      </c>
      <c r="D100" s="4" t="s">
        <v>16</v>
      </c>
      <c r="E100" s="4" t="s">
        <v>17</v>
      </c>
      <c r="F100" s="4" t="s">
        <v>28</v>
      </c>
      <c r="G100" s="4" t="s">
        <v>19</v>
      </c>
      <c r="H100" s="4" t="s">
        <v>28</v>
      </c>
      <c r="I100" s="4">
        <v>21</v>
      </c>
      <c r="J100" s="5">
        <v>51</v>
      </c>
      <c r="K100" s="6">
        <v>1.9</v>
      </c>
      <c r="L100" s="4">
        <v>10</v>
      </c>
      <c r="M100" s="4">
        <v>118</v>
      </c>
      <c r="N100" s="4">
        <v>70</v>
      </c>
      <c r="O100" s="4" t="s">
        <v>26</v>
      </c>
      <c r="P100" s="7" t="s">
        <v>30</v>
      </c>
    </row>
    <row r="101" spans="2:16" x14ac:dyDescent="0.45">
      <c r="B101" s="4">
        <v>100</v>
      </c>
      <c r="C101" s="4" t="s">
        <v>15</v>
      </c>
      <c r="D101" s="4" t="s">
        <v>23</v>
      </c>
      <c r="E101" s="4" t="s">
        <v>44</v>
      </c>
      <c r="F101" s="4" t="s">
        <v>28</v>
      </c>
      <c r="G101" s="4" t="s">
        <v>19</v>
      </c>
      <c r="H101" s="4" t="s">
        <v>20</v>
      </c>
      <c r="I101" s="4">
        <v>2</v>
      </c>
      <c r="J101" s="5">
        <v>14.9</v>
      </c>
      <c r="K101" s="6">
        <v>0.76</v>
      </c>
      <c r="L101" s="4">
        <v>4</v>
      </c>
      <c r="M101" s="4">
        <v>95</v>
      </c>
      <c r="N101" s="4">
        <v>93</v>
      </c>
      <c r="O101" s="4" t="s">
        <v>21</v>
      </c>
      <c r="P101" s="7" t="s">
        <v>19</v>
      </c>
    </row>
    <row r="102" spans="2:16" x14ac:dyDescent="0.45">
      <c r="B102" s="4">
        <v>101</v>
      </c>
      <c r="C102" s="4" t="s">
        <v>29</v>
      </c>
      <c r="D102" s="4" t="s">
        <v>16</v>
      </c>
      <c r="E102" s="4" t="s">
        <v>35</v>
      </c>
      <c r="F102" s="4" t="s">
        <v>24</v>
      </c>
      <c r="G102" s="4" t="s">
        <v>19</v>
      </c>
      <c r="H102" s="4" t="s">
        <v>25</v>
      </c>
      <c r="I102" s="4">
        <v>43</v>
      </c>
      <c r="J102" s="5">
        <v>49.7</v>
      </c>
      <c r="K102" s="6">
        <v>1.53</v>
      </c>
      <c r="L102" s="4">
        <v>3</v>
      </c>
      <c r="M102" s="4">
        <v>112</v>
      </c>
      <c r="N102" s="4">
        <v>72</v>
      </c>
      <c r="O102" s="4" t="s">
        <v>26</v>
      </c>
      <c r="P102" s="7" t="s">
        <v>19</v>
      </c>
    </row>
    <row r="103" spans="2:16" x14ac:dyDescent="0.45">
      <c r="B103" s="4">
        <v>102</v>
      </c>
      <c r="C103" s="4" t="s">
        <v>45</v>
      </c>
      <c r="D103" s="4" t="s">
        <v>23</v>
      </c>
      <c r="E103" s="4" t="s">
        <v>35</v>
      </c>
      <c r="F103" s="4" t="s">
        <v>24</v>
      </c>
      <c r="G103" s="4" t="s">
        <v>19</v>
      </c>
      <c r="H103" s="4" t="s">
        <v>36</v>
      </c>
      <c r="I103" s="4">
        <v>4</v>
      </c>
      <c r="J103" s="5">
        <v>15.3</v>
      </c>
      <c r="K103" s="6">
        <v>0.82</v>
      </c>
      <c r="L103" s="4">
        <v>6</v>
      </c>
      <c r="M103" s="4">
        <v>128</v>
      </c>
      <c r="N103" s="4">
        <v>77</v>
      </c>
      <c r="O103" s="4" t="s">
        <v>26</v>
      </c>
      <c r="P103" s="7" t="s">
        <v>19</v>
      </c>
    </row>
    <row r="104" spans="2:16" x14ac:dyDescent="0.45">
      <c r="B104" s="4">
        <v>103</v>
      </c>
      <c r="C104" s="4" t="s">
        <v>33</v>
      </c>
      <c r="D104" s="4" t="s">
        <v>23</v>
      </c>
      <c r="E104" s="4" t="s">
        <v>35</v>
      </c>
      <c r="F104" s="4" t="s">
        <v>18</v>
      </c>
      <c r="G104" s="4" t="s">
        <v>19</v>
      </c>
      <c r="H104" s="4" t="s">
        <v>32</v>
      </c>
      <c r="I104" s="4">
        <v>27</v>
      </c>
      <c r="J104" s="5">
        <v>83.2</v>
      </c>
      <c r="K104" s="6">
        <v>1.87</v>
      </c>
      <c r="L104" s="4">
        <v>0</v>
      </c>
      <c r="M104" s="4">
        <v>114</v>
      </c>
      <c r="N104" s="4">
        <v>161</v>
      </c>
      <c r="O104" s="4" t="s">
        <v>26</v>
      </c>
      <c r="P104" s="7" t="s">
        <v>19</v>
      </c>
    </row>
    <row r="105" spans="2:16" x14ac:dyDescent="0.45">
      <c r="B105" s="4">
        <v>104</v>
      </c>
      <c r="C105" s="4" t="s">
        <v>39</v>
      </c>
      <c r="D105" s="4" t="s">
        <v>23</v>
      </c>
      <c r="E105" s="4" t="s">
        <v>35</v>
      </c>
      <c r="F105" s="4" t="s">
        <v>24</v>
      </c>
      <c r="G105" s="4" t="s">
        <v>19</v>
      </c>
      <c r="H105" s="4" t="s">
        <v>20</v>
      </c>
      <c r="I105" s="4">
        <v>42</v>
      </c>
      <c r="J105" s="5">
        <v>57.7</v>
      </c>
      <c r="K105" s="6">
        <v>1.52</v>
      </c>
      <c r="L105" s="4">
        <v>1</v>
      </c>
      <c r="M105" s="4">
        <v>109</v>
      </c>
      <c r="N105" s="4">
        <v>92</v>
      </c>
      <c r="O105" s="4" t="s">
        <v>26</v>
      </c>
      <c r="P105" s="7" t="s">
        <v>30</v>
      </c>
    </row>
    <row r="106" spans="2:16" x14ac:dyDescent="0.45">
      <c r="B106" s="4">
        <v>105</v>
      </c>
      <c r="C106" s="4" t="s">
        <v>45</v>
      </c>
      <c r="D106" s="4" t="s">
        <v>23</v>
      </c>
      <c r="E106" s="4" t="s">
        <v>35</v>
      </c>
      <c r="F106" s="4" t="s">
        <v>28</v>
      </c>
      <c r="G106" s="4" t="s">
        <v>19</v>
      </c>
      <c r="H106" s="4" t="s">
        <v>20</v>
      </c>
      <c r="I106" s="4">
        <v>4</v>
      </c>
      <c r="J106" s="5">
        <v>13.8</v>
      </c>
      <c r="K106" s="6">
        <v>0.66</v>
      </c>
      <c r="L106" s="4">
        <v>6</v>
      </c>
      <c r="M106" s="4">
        <v>111</v>
      </c>
      <c r="N106" s="4">
        <v>105</v>
      </c>
      <c r="O106" s="4" t="s">
        <v>26</v>
      </c>
      <c r="P106" s="7" t="s">
        <v>19</v>
      </c>
    </row>
    <row r="107" spans="2:16" x14ac:dyDescent="0.45">
      <c r="B107" s="4">
        <v>106</v>
      </c>
      <c r="C107" s="4" t="s">
        <v>39</v>
      </c>
      <c r="D107" s="4" t="s">
        <v>16</v>
      </c>
      <c r="E107" s="4" t="s">
        <v>44</v>
      </c>
      <c r="F107" s="4" t="s">
        <v>28</v>
      </c>
      <c r="G107" s="4" t="s">
        <v>19</v>
      </c>
      <c r="H107" s="4" t="s">
        <v>36</v>
      </c>
      <c r="I107" s="4">
        <v>3</v>
      </c>
      <c r="J107" s="5">
        <v>7.4</v>
      </c>
      <c r="K107" s="6">
        <v>0.66</v>
      </c>
      <c r="L107" s="4">
        <v>4</v>
      </c>
      <c r="M107" s="4">
        <v>120</v>
      </c>
      <c r="N107" s="4">
        <v>95</v>
      </c>
      <c r="O107" s="4" t="s">
        <v>21</v>
      </c>
      <c r="P107" s="7" t="s">
        <v>19</v>
      </c>
    </row>
    <row r="108" spans="2:16" x14ac:dyDescent="0.45">
      <c r="B108" s="4">
        <v>107</v>
      </c>
      <c r="C108" s="4" t="s">
        <v>27</v>
      </c>
      <c r="D108" s="4" t="s">
        <v>16</v>
      </c>
      <c r="E108" s="4" t="s">
        <v>17</v>
      </c>
      <c r="F108" s="4" t="s">
        <v>24</v>
      </c>
      <c r="G108" s="4" t="s">
        <v>19</v>
      </c>
      <c r="H108" s="4" t="s">
        <v>28</v>
      </c>
      <c r="I108" s="4">
        <v>15</v>
      </c>
      <c r="J108" s="5">
        <v>46.2</v>
      </c>
      <c r="K108" s="6">
        <v>1.45</v>
      </c>
      <c r="L108" s="4">
        <v>1</v>
      </c>
      <c r="M108" s="4">
        <v>116</v>
      </c>
      <c r="N108" s="4">
        <v>88</v>
      </c>
      <c r="O108" s="4" t="s">
        <v>26</v>
      </c>
      <c r="P108" s="7" t="s">
        <v>19</v>
      </c>
    </row>
    <row r="109" spans="2:16" x14ac:dyDescent="0.45">
      <c r="B109" s="4">
        <v>108</v>
      </c>
      <c r="C109" s="4" t="s">
        <v>41</v>
      </c>
      <c r="D109" s="4" t="s">
        <v>16</v>
      </c>
      <c r="E109" s="4" t="s">
        <v>35</v>
      </c>
      <c r="F109" s="4" t="s">
        <v>18</v>
      </c>
      <c r="G109" s="4" t="s">
        <v>30</v>
      </c>
      <c r="H109" s="4" t="s">
        <v>28</v>
      </c>
      <c r="I109" s="4">
        <v>44</v>
      </c>
      <c r="J109" s="5">
        <v>89.3</v>
      </c>
      <c r="K109" s="6">
        <v>1.84</v>
      </c>
      <c r="L109" s="4">
        <v>2</v>
      </c>
      <c r="M109" s="4">
        <v>121</v>
      </c>
      <c r="N109" s="4">
        <v>86</v>
      </c>
      <c r="O109" s="4" t="s">
        <v>26</v>
      </c>
      <c r="P109" s="7" t="s">
        <v>19</v>
      </c>
    </row>
    <row r="110" spans="2:16" x14ac:dyDescent="0.45">
      <c r="B110" s="4">
        <v>109</v>
      </c>
      <c r="C110" s="4" t="s">
        <v>40</v>
      </c>
      <c r="D110" s="4" t="s">
        <v>23</v>
      </c>
      <c r="E110" s="4" t="s">
        <v>37</v>
      </c>
      <c r="F110" s="4" t="s">
        <v>18</v>
      </c>
      <c r="G110" s="4" t="s">
        <v>30</v>
      </c>
      <c r="H110" s="4" t="s">
        <v>25</v>
      </c>
      <c r="I110" s="4">
        <v>5</v>
      </c>
      <c r="J110" s="5">
        <v>25.9</v>
      </c>
      <c r="K110" s="6">
        <v>1.1599999999999999</v>
      </c>
      <c r="L110" s="4">
        <v>8</v>
      </c>
      <c r="M110" s="4">
        <v>92</v>
      </c>
      <c r="N110" s="4">
        <v>84</v>
      </c>
      <c r="O110" s="4" t="s">
        <v>21</v>
      </c>
      <c r="P110" s="7" t="s">
        <v>19</v>
      </c>
    </row>
    <row r="111" spans="2:16" x14ac:dyDescent="0.45">
      <c r="B111" s="4">
        <v>110</v>
      </c>
      <c r="C111" s="4" t="s">
        <v>41</v>
      </c>
      <c r="D111" s="4" t="s">
        <v>23</v>
      </c>
      <c r="E111" s="4" t="s">
        <v>35</v>
      </c>
      <c r="F111" s="4" t="s">
        <v>24</v>
      </c>
      <c r="G111" s="4" t="s">
        <v>19</v>
      </c>
      <c r="H111" s="4" t="s">
        <v>38</v>
      </c>
      <c r="I111" s="4">
        <v>8</v>
      </c>
      <c r="J111" s="5">
        <v>18.2</v>
      </c>
      <c r="K111" s="6">
        <v>1.24</v>
      </c>
      <c r="L111" s="4">
        <v>5</v>
      </c>
      <c r="M111" s="4">
        <v>107</v>
      </c>
      <c r="N111" s="4">
        <v>80</v>
      </c>
      <c r="O111" s="4" t="s">
        <v>26</v>
      </c>
      <c r="P111" s="7" t="s">
        <v>19</v>
      </c>
    </row>
    <row r="112" spans="2:16" x14ac:dyDescent="0.45">
      <c r="B112" s="4">
        <v>111</v>
      </c>
      <c r="C112" s="4" t="s">
        <v>39</v>
      </c>
      <c r="D112" s="4" t="s">
        <v>16</v>
      </c>
      <c r="E112" s="4" t="s">
        <v>35</v>
      </c>
      <c r="F112" s="4" t="s">
        <v>18</v>
      </c>
      <c r="G112" s="4" t="s">
        <v>30</v>
      </c>
      <c r="H112" s="4" t="s">
        <v>32</v>
      </c>
      <c r="I112" s="4">
        <v>18</v>
      </c>
      <c r="J112" s="5">
        <v>86.3</v>
      </c>
      <c r="K112" s="6">
        <v>1.87</v>
      </c>
      <c r="L112" s="4">
        <v>2</v>
      </c>
      <c r="M112" s="4">
        <v>112</v>
      </c>
      <c r="N112" s="4">
        <v>127</v>
      </c>
      <c r="O112" s="4" t="s">
        <v>26</v>
      </c>
      <c r="P112" s="7" t="s">
        <v>19</v>
      </c>
    </row>
    <row r="113" spans="2:16" x14ac:dyDescent="0.45">
      <c r="B113" s="4">
        <v>112</v>
      </c>
      <c r="C113" s="4" t="s">
        <v>29</v>
      </c>
      <c r="D113" s="4" t="s">
        <v>16</v>
      </c>
      <c r="E113" s="4" t="s">
        <v>35</v>
      </c>
      <c r="F113" s="4" t="s">
        <v>24</v>
      </c>
      <c r="G113" s="4" t="s">
        <v>19</v>
      </c>
      <c r="H113" s="4" t="s">
        <v>20</v>
      </c>
      <c r="I113" s="4">
        <v>10</v>
      </c>
      <c r="J113" s="5">
        <v>26.6</v>
      </c>
      <c r="K113" s="6">
        <v>1.1499999999999999</v>
      </c>
      <c r="L113" s="4">
        <v>5</v>
      </c>
      <c r="M113" s="4">
        <v>94</v>
      </c>
      <c r="N113" s="4">
        <v>92</v>
      </c>
      <c r="O113" s="4" t="s">
        <v>21</v>
      </c>
      <c r="P113" s="7" t="s">
        <v>19</v>
      </c>
    </row>
    <row r="114" spans="2:16" x14ac:dyDescent="0.45">
      <c r="B114" s="4">
        <v>113</v>
      </c>
      <c r="C114" s="4" t="s">
        <v>43</v>
      </c>
      <c r="D114" s="4" t="s">
        <v>23</v>
      </c>
      <c r="E114" s="4" t="s">
        <v>35</v>
      </c>
      <c r="F114" s="4" t="s">
        <v>18</v>
      </c>
      <c r="G114" s="4" t="s">
        <v>30</v>
      </c>
      <c r="H114" s="4" t="s">
        <v>25</v>
      </c>
      <c r="I114" s="4">
        <v>12</v>
      </c>
      <c r="J114" s="5">
        <v>51.5</v>
      </c>
      <c r="K114" s="6">
        <v>1.63</v>
      </c>
      <c r="L114" s="4">
        <v>4</v>
      </c>
      <c r="M114" s="4">
        <v>94</v>
      </c>
      <c r="N114" s="4">
        <v>96</v>
      </c>
      <c r="O114" s="4" t="s">
        <v>26</v>
      </c>
      <c r="P114" s="7" t="s">
        <v>19</v>
      </c>
    </row>
    <row r="115" spans="2:16" x14ac:dyDescent="0.45">
      <c r="B115" s="4">
        <v>114</v>
      </c>
      <c r="C115" s="4" t="s">
        <v>27</v>
      </c>
      <c r="D115" s="4" t="s">
        <v>23</v>
      </c>
      <c r="E115" s="4" t="s">
        <v>35</v>
      </c>
      <c r="F115" s="4" t="s">
        <v>24</v>
      </c>
      <c r="G115" s="4" t="s">
        <v>19</v>
      </c>
      <c r="H115" s="4" t="s">
        <v>25</v>
      </c>
      <c r="I115" s="4">
        <v>69</v>
      </c>
      <c r="J115" s="5">
        <v>60.6</v>
      </c>
      <c r="K115" s="6">
        <v>1.7</v>
      </c>
      <c r="L115" s="4">
        <v>10</v>
      </c>
      <c r="M115" s="4">
        <v>124</v>
      </c>
      <c r="N115" s="4">
        <v>72</v>
      </c>
      <c r="O115" s="4" t="s">
        <v>26</v>
      </c>
      <c r="P115" s="7" t="s">
        <v>19</v>
      </c>
    </row>
    <row r="116" spans="2:16" x14ac:dyDescent="0.45">
      <c r="B116" s="4">
        <v>115</v>
      </c>
      <c r="C116" s="4" t="s">
        <v>41</v>
      </c>
      <c r="D116" s="4" t="s">
        <v>16</v>
      </c>
      <c r="E116" s="4" t="s">
        <v>35</v>
      </c>
      <c r="F116" s="4" t="s">
        <v>18</v>
      </c>
      <c r="G116" s="4" t="s">
        <v>19</v>
      </c>
      <c r="H116" s="4" t="s">
        <v>28</v>
      </c>
      <c r="I116" s="4">
        <v>14</v>
      </c>
      <c r="J116" s="5">
        <v>42.5</v>
      </c>
      <c r="K116" s="6">
        <v>1.53</v>
      </c>
      <c r="L116" s="4">
        <v>1</v>
      </c>
      <c r="M116" s="4">
        <v>105</v>
      </c>
      <c r="N116" s="4">
        <v>87</v>
      </c>
      <c r="O116" s="4" t="s">
        <v>21</v>
      </c>
      <c r="P116" s="7" t="s">
        <v>19</v>
      </c>
    </row>
    <row r="117" spans="2:16" x14ac:dyDescent="0.45">
      <c r="B117" s="4">
        <v>116</v>
      </c>
      <c r="C117" s="4" t="s">
        <v>40</v>
      </c>
      <c r="D117" s="4" t="s">
        <v>16</v>
      </c>
      <c r="E117" s="4" t="s">
        <v>35</v>
      </c>
      <c r="F117" s="4" t="s">
        <v>28</v>
      </c>
      <c r="G117" s="4" t="s">
        <v>19</v>
      </c>
      <c r="H117" s="4" t="s">
        <v>28</v>
      </c>
      <c r="I117" s="4">
        <v>34</v>
      </c>
      <c r="J117" s="5">
        <v>75.2</v>
      </c>
      <c r="K117" s="6">
        <v>1.75</v>
      </c>
      <c r="L117" s="4">
        <v>4</v>
      </c>
      <c r="M117" s="4">
        <v>111</v>
      </c>
      <c r="N117" s="4">
        <v>92</v>
      </c>
      <c r="O117" s="4" t="s">
        <v>21</v>
      </c>
      <c r="P117" s="7" t="s">
        <v>19</v>
      </c>
    </row>
    <row r="118" spans="2:16" x14ac:dyDescent="0.45">
      <c r="B118" s="4">
        <v>117</v>
      </c>
      <c r="C118" s="4" t="s">
        <v>43</v>
      </c>
      <c r="D118" s="4" t="s">
        <v>23</v>
      </c>
      <c r="E118" s="4" t="s">
        <v>44</v>
      </c>
      <c r="F118" s="4" t="s">
        <v>24</v>
      </c>
      <c r="G118" s="4" t="s">
        <v>30</v>
      </c>
      <c r="H118" s="4" t="s">
        <v>20</v>
      </c>
      <c r="I118" s="4">
        <v>37</v>
      </c>
      <c r="J118" s="5">
        <v>52.9</v>
      </c>
      <c r="K118" s="6">
        <v>1.88</v>
      </c>
      <c r="L118" s="4">
        <v>6</v>
      </c>
      <c r="M118" s="4">
        <v>113</v>
      </c>
      <c r="N118" s="4">
        <v>73</v>
      </c>
      <c r="O118" s="4" t="s">
        <v>26</v>
      </c>
      <c r="P118" s="7" t="s">
        <v>19</v>
      </c>
    </row>
    <row r="119" spans="2:16" x14ac:dyDescent="0.45">
      <c r="B119" s="4">
        <v>118</v>
      </c>
      <c r="C119" s="4" t="s">
        <v>29</v>
      </c>
      <c r="D119" s="4" t="s">
        <v>16</v>
      </c>
      <c r="E119" s="4" t="s">
        <v>35</v>
      </c>
      <c r="F119" s="4" t="s">
        <v>18</v>
      </c>
      <c r="G119" s="4" t="s">
        <v>30</v>
      </c>
      <c r="H119" s="4" t="s">
        <v>28</v>
      </c>
      <c r="I119" s="4">
        <v>29</v>
      </c>
      <c r="J119" s="5">
        <v>63.7</v>
      </c>
      <c r="K119" s="6">
        <v>1.8</v>
      </c>
      <c r="L119" s="4">
        <v>4</v>
      </c>
      <c r="M119" s="4">
        <v>100</v>
      </c>
      <c r="N119" s="4">
        <v>80</v>
      </c>
      <c r="O119" s="4" t="s">
        <v>21</v>
      </c>
      <c r="P119" s="7" t="s">
        <v>19</v>
      </c>
    </row>
    <row r="120" spans="2:16" x14ac:dyDescent="0.45">
      <c r="B120" s="4">
        <v>119</v>
      </c>
      <c r="C120" s="4" t="s">
        <v>41</v>
      </c>
      <c r="D120" s="4" t="s">
        <v>16</v>
      </c>
      <c r="E120" s="4" t="s">
        <v>17</v>
      </c>
      <c r="F120" s="4" t="s">
        <v>24</v>
      </c>
      <c r="G120" s="4" t="s">
        <v>19</v>
      </c>
      <c r="H120" s="4" t="s">
        <v>32</v>
      </c>
      <c r="I120" s="4">
        <v>2</v>
      </c>
      <c r="J120" s="5">
        <v>14.5</v>
      </c>
      <c r="K120" s="6">
        <v>0.96</v>
      </c>
      <c r="L120" s="4">
        <v>7</v>
      </c>
      <c r="M120" s="4">
        <v>97</v>
      </c>
      <c r="N120" s="4">
        <v>153</v>
      </c>
      <c r="O120" s="4" t="s">
        <v>26</v>
      </c>
      <c r="P120" s="7" t="s">
        <v>19</v>
      </c>
    </row>
    <row r="121" spans="2:16" x14ac:dyDescent="0.45">
      <c r="B121" s="4">
        <v>120</v>
      </c>
      <c r="C121" s="4" t="s">
        <v>45</v>
      </c>
      <c r="D121" s="4" t="s">
        <v>23</v>
      </c>
      <c r="E121" s="4" t="s">
        <v>37</v>
      </c>
      <c r="F121" s="4" t="s">
        <v>24</v>
      </c>
      <c r="G121" s="4" t="s">
        <v>19</v>
      </c>
      <c r="H121" s="4" t="s">
        <v>28</v>
      </c>
      <c r="I121" s="4">
        <v>23</v>
      </c>
      <c r="J121" s="5">
        <v>90.9</v>
      </c>
      <c r="K121" s="6">
        <v>1.79</v>
      </c>
      <c r="L121" s="4">
        <v>0</v>
      </c>
      <c r="M121" s="4">
        <v>121</v>
      </c>
      <c r="N121" s="4">
        <v>81</v>
      </c>
      <c r="O121" s="4" t="s">
        <v>21</v>
      </c>
      <c r="P121" s="7" t="s">
        <v>30</v>
      </c>
    </row>
    <row r="122" spans="2:16" x14ac:dyDescent="0.45">
      <c r="B122" s="4">
        <v>121</v>
      </c>
      <c r="C122" s="4" t="s">
        <v>43</v>
      </c>
      <c r="D122" s="4" t="s">
        <v>16</v>
      </c>
      <c r="E122" s="4" t="s">
        <v>37</v>
      </c>
      <c r="F122" s="4" t="s">
        <v>28</v>
      </c>
      <c r="G122" s="4" t="s">
        <v>19</v>
      </c>
      <c r="H122" s="4" t="s">
        <v>20</v>
      </c>
      <c r="I122" s="4">
        <v>19</v>
      </c>
      <c r="J122" s="5">
        <v>80.599999999999994</v>
      </c>
      <c r="K122" s="6">
        <v>1.49</v>
      </c>
      <c r="L122" s="4">
        <v>1</v>
      </c>
      <c r="M122" s="4">
        <v>107</v>
      </c>
      <c r="N122" s="4">
        <v>96</v>
      </c>
      <c r="O122" s="4" t="s">
        <v>26</v>
      </c>
      <c r="P122" s="7" t="s">
        <v>19</v>
      </c>
    </row>
    <row r="123" spans="2:16" x14ac:dyDescent="0.45">
      <c r="B123" s="4">
        <v>122</v>
      </c>
      <c r="C123" s="4" t="s">
        <v>45</v>
      </c>
      <c r="D123" s="4" t="s">
        <v>23</v>
      </c>
      <c r="E123" s="4" t="s">
        <v>17</v>
      </c>
      <c r="F123" s="4" t="s">
        <v>18</v>
      </c>
      <c r="G123" s="4" t="s">
        <v>19</v>
      </c>
      <c r="H123" s="4" t="s">
        <v>20</v>
      </c>
      <c r="I123" s="4">
        <v>1</v>
      </c>
      <c r="J123" s="5">
        <v>16</v>
      </c>
      <c r="K123" s="6">
        <v>1.03</v>
      </c>
      <c r="L123" s="4">
        <v>4</v>
      </c>
      <c r="M123" s="4">
        <v>114</v>
      </c>
      <c r="N123" s="4">
        <v>103</v>
      </c>
      <c r="O123" s="4" t="s">
        <v>26</v>
      </c>
      <c r="P123" s="7" t="s">
        <v>19</v>
      </c>
    </row>
    <row r="124" spans="2:16" x14ac:dyDescent="0.45">
      <c r="B124" s="4">
        <v>123</v>
      </c>
      <c r="C124" s="4" t="s">
        <v>41</v>
      </c>
      <c r="D124" s="4" t="s">
        <v>23</v>
      </c>
      <c r="E124" s="4" t="s">
        <v>35</v>
      </c>
      <c r="F124" s="4" t="s">
        <v>24</v>
      </c>
      <c r="G124" s="4" t="s">
        <v>19</v>
      </c>
      <c r="H124" s="4" t="s">
        <v>38</v>
      </c>
      <c r="I124" s="4">
        <v>29</v>
      </c>
      <c r="J124" s="5">
        <v>53.6</v>
      </c>
      <c r="K124" s="6">
        <v>1.5</v>
      </c>
      <c r="L124" s="4">
        <v>2</v>
      </c>
      <c r="M124" s="4">
        <v>120</v>
      </c>
      <c r="N124" s="4">
        <v>71</v>
      </c>
      <c r="O124" s="4" t="s">
        <v>26</v>
      </c>
      <c r="P124" s="7" t="s">
        <v>19</v>
      </c>
    </row>
    <row r="125" spans="2:16" x14ac:dyDescent="0.45">
      <c r="B125" s="4">
        <v>124</v>
      </c>
      <c r="C125" s="4" t="s">
        <v>22</v>
      </c>
      <c r="D125" s="4" t="s">
        <v>16</v>
      </c>
      <c r="E125" s="4" t="s">
        <v>35</v>
      </c>
      <c r="F125" s="4" t="s">
        <v>18</v>
      </c>
      <c r="G125" s="4" t="s">
        <v>19</v>
      </c>
      <c r="H125" s="4" t="s">
        <v>25</v>
      </c>
      <c r="I125" s="4">
        <v>46</v>
      </c>
      <c r="J125" s="5">
        <v>57.5</v>
      </c>
      <c r="K125" s="6">
        <v>1.73</v>
      </c>
      <c r="L125" s="4">
        <v>0</v>
      </c>
      <c r="M125" s="4">
        <v>111</v>
      </c>
      <c r="N125" s="4">
        <v>78</v>
      </c>
      <c r="O125" s="4" t="s">
        <v>21</v>
      </c>
      <c r="P125" s="7" t="s">
        <v>19</v>
      </c>
    </row>
    <row r="126" spans="2:16" x14ac:dyDescent="0.45">
      <c r="B126" s="4">
        <v>125</v>
      </c>
      <c r="C126" s="4" t="s">
        <v>22</v>
      </c>
      <c r="D126" s="4" t="s">
        <v>23</v>
      </c>
      <c r="E126" s="4" t="s">
        <v>35</v>
      </c>
      <c r="F126" s="4" t="s">
        <v>24</v>
      </c>
      <c r="G126" s="4" t="s">
        <v>19</v>
      </c>
      <c r="H126" s="4" t="s">
        <v>34</v>
      </c>
      <c r="I126" s="4">
        <v>20</v>
      </c>
      <c r="J126" s="5">
        <v>58.4</v>
      </c>
      <c r="K126" s="6">
        <v>1.6</v>
      </c>
      <c r="L126" s="4">
        <v>2</v>
      </c>
      <c r="M126" s="4">
        <v>119</v>
      </c>
      <c r="N126" s="4">
        <v>88</v>
      </c>
      <c r="O126" s="4" t="s">
        <v>26</v>
      </c>
      <c r="P126" s="7" t="s">
        <v>19</v>
      </c>
    </row>
    <row r="127" spans="2:16" x14ac:dyDescent="0.45">
      <c r="B127" s="4">
        <v>126</v>
      </c>
      <c r="C127" s="4" t="s">
        <v>41</v>
      </c>
      <c r="D127" s="4" t="s">
        <v>23</v>
      </c>
      <c r="E127" s="4" t="s">
        <v>17</v>
      </c>
      <c r="F127" s="4" t="s">
        <v>28</v>
      </c>
      <c r="G127" s="4" t="s">
        <v>19</v>
      </c>
      <c r="H127" s="4" t="s">
        <v>46</v>
      </c>
      <c r="I127" s="4">
        <v>49</v>
      </c>
      <c r="J127" s="5">
        <v>58.6</v>
      </c>
      <c r="K127" s="6">
        <v>1.56</v>
      </c>
      <c r="L127" s="4">
        <v>10</v>
      </c>
      <c r="M127" s="4">
        <v>116</v>
      </c>
      <c r="N127" s="4">
        <v>105</v>
      </c>
      <c r="O127" s="4" t="s">
        <v>21</v>
      </c>
      <c r="P127" s="7" t="s">
        <v>19</v>
      </c>
    </row>
    <row r="128" spans="2:16" x14ac:dyDescent="0.45">
      <c r="B128" s="4">
        <v>127</v>
      </c>
      <c r="C128" s="4" t="s">
        <v>27</v>
      </c>
      <c r="D128" s="4" t="s">
        <v>23</v>
      </c>
      <c r="E128" s="4" t="s">
        <v>35</v>
      </c>
      <c r="F128" s="4" t="s">
        <v>28</v>
      </c>
      <c r="G128" s="4" t="s">
        <v>19</v>
      </c>
      <c r="H128" s="4" t="s">
        <v>20</v>
      </c>
      <c r="I128" s="4">
        <v>25</v>
      </c>
      <c r="J128" s="5">
        <v>52.9</v>
      </c>
      <c r="K128" s="6">
        <v>1.77</v>
      </c>
      <c r="L128" s="4">
        <v>4</v>
      </c>
      <c r="M128" s="4">
        <v>114</v>
      </c>
      <c r="N128" s="4">
        <v>89</v>
      </c>
      <c r="O128" s="4" t="s">
        <v>21</v>
      </c>
      <c r="P128" s="7" t="s">
        <v>19</v>
      </c>
    </row>
    <row r="129" spans="2:16" x14ac:dyDescent="0.45">
      <c r="B129" s="4">
        <v>128</v>
      </c>
      <c r="C129" s="4" t="s">
        <v>15</v>
      </c>
      <c r="D129" s="4" t="s">
        <v>23</v>
      </c>
      <c r="E129" s="4" t="s">
        <v>35</v>
      </c>
      <c r="F129" s="4" t="s">
        <v>28</v>
      </c>
      <c r="G129" s="4" t="s">
        <v>19</v>
      </c>
      <c r="H129" s="4" t="s">
        <v>28</v>
      </c>
      <c r="I129" s="4">
        <v>0</v>
      </c>
      <c r="J129" s="5">
        <v>11.3</v>
      </c>
      <c r="K129" s="6">
        <v>0.81</v>
      </c>
      <c r="L129" s="4">
        <v>1</v>
      </c>
      <c r="M129" s="4">
        <v>112</v>
      </c>
      <c r="N129" s="4">
        <v>89</v>
      </c>
      <c r="O129" s="4" t="s">
        <v>26</v>
      </c>
      <c r="P129" s="7" t="s">
        <v>19</v>
      </c>
    </row>
    <row r="130" spans="2:16" x14ac:dyDescent="0.45">
      <c r="B130" s="4">
        <v>129</v>
      </c>
      <c r="C130" s="4" t="s">
        <v>22</v>
      </c>
      <c r="D130" s="4" t="s">
        <v>16</v>
      </c>
      <c r="E130" s="4" t="s">
        <v>35</v>
      </c>
      <c r="F130" s="4" t="s">
        <v>28</v>
      </c>
      <c r="G130" s="4" t="s">
        <v>19</v>
      </c>
      <c r="H130" s="4" t="s">
        <v>28</v>
      </c>
      <c r="I130" s="4">
        <v>16</v>
      </c>
      <c r="J130" s="5">
        <v>64.7</v>
      </c>
      <c r="K130" s="6">
        <v>1.52</v>
      </c>
      <c r="L130" s="4">
        <v>1</v>
      </c>
      <c r="M130" s="4">
        <v>119</v>
      </c>
      <c r="N130" s="4">
        <v>99</v>
      </c>
      <c r="O130" s="4" t="s">
        <v>26</v>
      </c>
      <c r="P130" s="7" t="s">
        <v>19</v>
      </c>
    </row>
    <row r="131" spans="2:16" x14ac:dyDescent="0.45">
      <c r="B131" s="4">
        <v>130</v>
      </c>
      <c r="C131" s="4" t="s">
        <v>22</v>
      </c>
      <c r="D131" s="4" t="s">
        <v>23</v>
      </c>
      <c r="E131" s="4" t="s">
        <v>37</v>
      </c>
      <c r="F131" s="4" t="s">
        <v>28</v>
      </c>
      <c r="G131" s="4" t="s">
        <v>19</v>
      </c>
      <c r="H131" s="4" t="s">
        <v>28</v>
      </c>
      <c r="I131" s="4">
        <v>53</v>
      </c>
      <c r="J131" s="5">
        <v>50.5</v>
      </c>
      <c r="K131" s="6">
        <v>1.89</v>
      </c>
      <c r="L131" s="4">
        <v>0</v>
      </c>
      <c r="M131" s="4">
        <v>117</v>
      </c>
      <c r="N131" s="4">
        <v>97</v>
      </c>
      <c r="O131" s="4" t="s">
        <v>21</v>
      </c>
      <c r="P131" s="7" t="s">
        <v>19</v>
      </c>
    </row>
    <row r="132" spans="2:16" x14ac:dyDescent="0.45">
      <c r="B132" s="4">
        <v>131</v>
      </c>
      <c r="C132" s="4" t="s">
        <v>41</v>
      </c>
      <c r="D132" s="4" t="s">
        <v>16</v>
      </c>
      <c r="E132" s="4" t="s">
        <v>44</v>
      </c>
      <c r="F132" s="4" t="s">
        <v>28</v>
      </c>
      <c r="G132" s="4" t="s">
        <v>19</v>
      </c>
      <c r="H132" s="4" t="s">
        <v>25</v>
      </c>
      <c r="I132" s="4">
        <v>13</v>
      </c>
      <c r="J132" s="5">
        <v>63.3</v>
      </c>
      <c r="K132" s="6">
        <v>1.74</v>
      </c>
      <c r="L132" s="4">
        <v>1</v>
      </c>
      <c r="M132" s="4">
        <v>115</v>
      </c>
      <c r="N132" s="4">
        <v>89</v>
      </c>
      <c r="O132" s="4" t="s">
        <v>26</v>
      </c>
      <c r="P132" s="7" t="s">
        <v>19</v>
      </c>
    </row>
    <row r="133" spans="2:16" x14ac:dyDescent="0.45">
      <c r="B133" s="4">
        <v>132</v>
      </c>
      <c r="C133" s="4" t="s">
        <v>15</v>
      </c>
      <c r="D133" s="4" t="s">
        <v>16</v>
      </c>
      <c r="E133" s="4" t="s">
        <v>17</v>
      </c>
      <c r="F133" s="4" t="s">
        <v>28</v>
      </c>
      <c r="G133" s="4" t="s">
        <v>19</v>
      </c>
      <c r="H133" s="4" t="s">
        <v>46</v>
      </c>
      <c r="I133" s="4">
        <v>39</v>
      </c>
      <c r="J133" s="5">
        <v>63.9</v>
      </c>
      <c r="K133" s="6">
        <v>1.83</v>
      </c>
      <c r="L133" s="4">
        <v>3</v>
      </c>
      <c r="M133" s="4">
        <v>114</v>
      </c>
      <c r="N133" s="4">
        <v>90</v>
      </c>
      <c r="O133" s="4" t="s">
        <v>21</v>
      </c>
      <c r="P133" s="7" t="s">
        <v>19</v>
      </c>
    </row>
    <row r="134" spans="2:16" x14ac:dyDescent="0.45">
      <c r="B134" s="4">
        <v>133</v>
      </c>
      <c r="C134" s="4" t="s">
        <v>22</v>
      </c>
      <c r="D134" s="4" t="s">
        <v>23</v>
      </c>
      <c r="E134" s="4" t="s">
        <v>17</v>
      </c>
      <c r="F134" s="4" t="s">
        <v>24</v>
      </c>
      <c r="G134" s="4" t="s">
        <v>19</v>
      </c>
      <c r="H134" s="4" t="s">
        <v>28</v>
      </c>
      <c r="I134" s="4">
        <v>5</v>
      </c>
      <c r="J134" s="5">
        <v>25.4</v>
      </c>
      <c r="K134" s="6">
        <v>1.05</v>
      </c>
      <c r="L134" s="4">
        <v>9</v>
      </c>
      <c r="M134" s="4">
        <v>99</v>
      </c>
      <c r="N134" s="4">
        <v>89</v>
      </c>
      <c r="O134" s="4" t="s">
        <v>26</v>
      </c>
      <c r="P134" s="7" t="s">
        <v>19</v>
      </c>
    </row>
    <row r="135" spans="2:16" x14ac:dyDescent="0.45">
      <c r="B135" s="4">
        <v>134</v>
      </c>
      <c r="C135" s="4" t="s">
        <v>43</v>
      </c>
      <c r="D135" s="4" t="s">
        <v>16</v>
      </c>
      <c r="E135" s="4" t="s">
        <v>17</v>
      </c>
      <c r="F135" s="4" t="s">
        <v>18</v>
      </c>
      <c r="G135" s="4" t="s">
        <v>19</v>
      </c>
      <c r="H135" s="4" t="s">
        <v>25</v>
      </c>
      <c r="I135" s="4">
        <v>8</v>
      </c>
      <c r="J135" s="5">
        <v>21.8</v>
      </c>
      <c r="K135" s="6">
        <v>1.25</v>
      </c>
      <c r="L135" s="4">
        <v>2</v>
      </c>
      <c r="M135" s="4">
        <v>97</v>
      </c>
      <c r="N135" s="4">
        <v>97</v>
      </c>
      <c r="O135" s="4" t="s">
        <v>26</v>
      </c>
      <c r="P135" s="7" t="s">
        <v>19</v>
      </c>
    </row>
    <row r="136" spans="2:16" x14ac:dyDescent="0.45">
      <c r="B136" s="4">
        <v>135</v>
      </c>
      <c r="C136" s="4" t="s">
        <v>43</v>
      </c>
      <c r="D136" s="4" t="s">
        <v>23</v>
      </c>
      <c r="E136" s="4" t="s">
        <v>17</v>
      </c>
      <c r="F136" s="4" t="s">
        <v>24</v>
      </c>
      <c r="G136" s="4" t="s">
        <v>19</v>
      </c>
      <c r="H136" s="4" t="s">
        <v>20</v>
      </c>
      <c r="I136" s="4">
        <v>3</v>
      </c>
      <c r="J136" s="5">
        <v>7</v>
      </c>
      <c r="K136" s="6">
        <v>0.63</v>
      </c>
      <c r="L136" s="4">
        <v>1</v>
      </c>
      <c r="M136" s="4">
        <v>98</v>
      </c>
      <c r="N136" s="4">
        <v>97</v>
      </c>
      <c r="O136" s="4" t="s">
        <v>26</v>
      </c>
      <c r="P136" s="7" t="s">
        <v>30</v>
      </c>
    </row>
    <row r="137" spans="2:16" x14ac:dyDescent="0.45">
      <c r="B137" s="4">
        <v>136</v>
      </c>
      <c r="C137" s="4" t="s">
        <v>40</v>
      </c>
      <c r="D137" s="4" t="s">
        <v>23</v>
      </c>
      <c r="E137" s="4" t="s">
        <v>17</v>
      </c>
      <c r="F137" s="4" t="s">
        <v>24</v>
      </c>
      <c r="G137" s="4" t="s">
        <v>19</v>
      </c>
      <c r="H137" s="4" t="s">
        <v>36</v>
      </c>
      <c r="I137" s="4">
        <v>4</v>
      </c>
      <c r="J137" s="5">
        <v>6.4</v>
      </c>
      <c r="K137" s="6">
        <v>0.86</v>
      </c>
      <c r="L137" s="4">
        <v>9</v>
      </c>
      <c r="M137" s="4">
        <v>134</v>
      </c>
      <c r="N137" s="4">
        <v>90</v>
      </c>
      <c r="O137" s="4" t="s">
        <v>26</v>
      </c>
      <c r="P137" s="7" t="s">
        <v>19</v>
      </c>
    </row>
    <row r="138" spans="2:16" x14ac:dyDescent="0.45">
      <c r="B138" s="4">
        <v>137</v>
      </c>
      <c r="C138" s="4" t="s">
        <v>43</v>
      </c>
      <c r="D138" s="4" t="s">
        <v>23</v>
      </c>
      <c r="E138" s="4" t="s">
        <v>17</v>
      </c>
      <c r="F138" s="4" t="s">
        <v>24</v>
      </c>
      <c r="G138" s="4" t="s">
        <v>19</v>
      </c>
      <c r="H138" s="4" t="s">
        <v>20</v>
      </c>
      <c r="I138" s="4">
        <v>55</v>
      </c>
      <c r="J138" s="5">
        <v>58.7</v>
      </c>
      <c r="K138" s="6">
        <v>1.89</v>
      </c>
      <c r="L138" s="4">
        <v>2</v>
      </c>
      <c r="M138" s="4">
        <v>109</v>
      </c>
      <c r="N138" s="4">
        <v>81</v>
      </c>
      <c r="O138" s="4" t="s">
        <v>21</v>
      </c>
      <c r="P138" s="7" t="s">
        <v>19</v>
      </c>
    </row>
    <row r="139" spans="2:16" x14ac:dyDescent="0.45">
      <c r="B139" s="4">
        <v>138</v>
      </c>
      <c r="C139" s="4" t="s">
        <v>31</v>
      </c>
      <c r="D139" s="4" t="s">
        <v>16</v>
      </c>
      <c r="E139" s="4" t="s">
        <v>17</v>
      </c>
      <c r="F139" s="4" t="s">
        <v>24</v>
      </c>
      <c r="G139" s="4" t="s">
        <v>19</v>
      </c>
      <c r="H139" s="4" t="s">
        <v>28</v>
      </c>
      <c r="I139" s="4">
        <v>1</v>
      </c>
      <c r="J139" s="5">
        <v>7.7</v>
      </c>
      <c r="K139" s="6">
        <v>0.81</v>
      </c>
      <c r="L139" s="4">
        <v>0</v>
      </c>
      <c r="M139" s="4">
        <v>115</v>
      </c>
      <c r="N139" s="4">
        <v>79</v>
      </c>
      <c r="O139" s="4" t="s">
        <v>26</v>
      </c>
      <c r="P139" s="7" t="s">
        <v>19</v>
      </c>
    </row>
    <row r="140" spans="2:16" x14ac:dyDescent="0.45">
      <c r="B140" s="4">
        <v>139</v>
      </c>
      <c r="C140" s="4" t="s">
        <v>15</v>
      </c>
      <c r="D140" s="4" t="s">
        <v>16</v>
      </c>
      <c r="E140" s="4" t="s">
        <v>17</v>
      </c>
      <c r="F140" s="4" t="s">
        <v>24</v>
      </c>
      <c r="G140" s="4" t="s">
        <v>19</v>
      </c>
      <c r="H140" s="4" t="s">
        <v>32</v>
      </c>
      <c r="I140" s="4">
        <v>33</v>
      </c>
      <c r="J140" s="5">
        <v>45.7</v>
      </c>
      <c r="K140" s="6">
        <v>1.84</v>
      </c>
      <c r="L140" s="4">
        <v>1</v>
      </c>
      <c r="M140" s="4">
        <v>101</v>
      </c>
      <c r="N140" s="4">
        <v>151</v>
      </c>
      <c r="O140" s="4" t="s">
        <v>26</v>
      </c>
      <c r="P140" s="7" t="s">
        <v>19</v>
      </c>
    </row>
    <row r="141" spans="2:16" x14ac:dyDescent="0.45">
      <c r="B141" s="4">
        <v>140</v>
      </c>
      <c r="C141" s="4" t="s">
        <v>29</v>
      </c>
      <c r="D141" s="4" t="s">
        <v>23</v>
      </c>
      <c r="E141" s="4" t="s">
        <v>37</v>
      </c>
      <c r="F141" s="4" t="s">
        <v>18</v>
      </c>
      <c r="G141" s="4" t="s">
        <v>19</v>
      </c>
      <c r="H141" s="4" t="s">
        <v>28</v>
      </c>
      <c r="I141" s="4">
        <v>9</v>
      </c>
      <c r="J141" s="5">
        <v>36</v>
      </c>
      <c r="K141" s="6">
        <v>1.37</v>
      </c>
      <c r="L141" s="4">
        <v>1</v>
      </c>
      <c r="M141" s="4">
        <v>113</v>
      </c>
      <c r="N141" s="4">
        <v>94</v>
      </c>
      <c r="O141" s="4" t="s">
        <v>26</v>
      </c>
      <c r="P141" s="7" t="s">
        <v>30</v>
      </c>
    </row>
    <row r="142" spans="2:16" x14ac:dyDescent="0.45">
      <c r="B142" s="4">
        <v>141</v>
      </c>
      <c r="C142" s="4" t="s">
        <v>33</v>
      </c>
      <c r="D142" s="4" t="s">
        <v>16</v>
      </c>
      <c r="E142" s="4" t="s">
        <v>35</v>
      </c>
      <c r="F142" s="4" t="s">
        <v>18</v>
      </c>
      <c r="G142" s="4" t="s">
        <v>30</v>
      </c>
      <c r="H142" s="4" t="s">
        <v>38</v>
      </c>
      <c r="I142" s="4">
        <v>21</v>
      </c>
      <c r="J142" s="5">
        <v>48.7</v>
      </c>
      <c r="K142" s="6">
        <v>1.75</v>
      </c>
      <c r="L142" s="4">
        <v>1</v>
      </c>
      <c r="M142" s="4">
        <v>118</v>
      </c>
      <c r="N142" s="4">
        <v>98</v>
      </c>
      <c r="O142" s="4" t="s">
        <v>21</v>
      </c>
      <c r="P142" s="7" t="s">
        <v>30</v>
      </c>
    </row>
    <row r="143" spans="2:16" x14ac:dyDescent="0.45">
      <c r="B143" s="4">
        <v>142</v>
      </c>
      <c r="C143" s="4" t="s">
        <v>27</v>
      </c>
      <c r="D143" s="4" t="s">
        <v>16</v>
      </c>
      <c r="E143" s="4" t="s">
        <v>35</v>
      </c>
      <c r="F143" s="4" t="s">
        <v>18</v>
      </c>
      <c r="G143" s="4" t="s">
        <v>19</v>
      </c>
      <c r="H143" s="4" t="s">
        <v>25</v>
      </c>
      <c r="I143" s="4">
        <v>30</v>
      </c>
      <c r="J143" s="5">
        <v>94.2</v>
      </c>
      <c r="K143" s="6">
        <v>1.82</v>
      </c>
      <c r="L143" s="4">
        <v>2</v>
      </c>
      <c r="M143" s="4">
        <v>105</v>
      </c>
      <c r="N143" s="4">
        <v>101</v>
      </c>
      <c r="O143" s="4" t="s">
        <v>21</v>
      </c>
      <c r="P143" s="7" t="s">
        <v>19</v>
      </c>
    </row>
    <row r="144" spans="2:16" x14ac:dyDescent="0.45">
      <c r="B144" s="4">
        <v>143</v>
      </c>
      <c r="C144" s="4" t="s">
        <v>27</v>
      </c>
      <c r="D144" s="4" t="s">
        <v>16</v>
      </c>
      <c r="E144" s="4" t="s">
        <v>35</v>
      </c>
      <c r="F144" s="4" t="s">
        <v>18</v>
      </c>
      <c r="G144" s="4" t="s">
        <v>30</v>
      </c>
      <c r="H144" s="4" t="s">
        <v>38</v>
      </c>
      <c r="I144" s="4">
        <v>57</v>
      </c>
      <c r="J144" s="5">
        <v>66.5</v>
      </c>
      <c r="K144" s="6">
        <v>1.72</v>
      </c>
      <c r="L144" s="4">
        <v>2</v>
      </c>
      <c r="M144" s="4">
        <v>109</v>
      </c>
      <c r="N144" s="4">
        <v>99</v>
      </c>
      <c r="O144" s="4" t="s">
        <v>21</v>
      </c>
      <c r="P144" s="7" t="s">
        <v>19</v>
      </c>
    </row>
    <row r="145" spans="2:16" x14ac:dyDescent="0.45">
      <c r="B145" s="4">
        <v>144</v>
      </c>
      <c r="C145" s="4" t="s">
        <v>29</v>
      </c>
      <c r="D145" s="4" t="s">
        <v>23</v>
      </c>
      <c r="E145" s="4" t="s">
        <v>37</v>
      </c>
      <c r="F145" s="4" t="s">
        <v>18</v>
      </c>
      <c r="G145" s="4" t="s">
        <v>19</v>
      </c>
      <c r="H145" s="4" t="s">
        <v>34</v>
      </c>
      <c r="I145" s="4">
        <v>55</v>
      </c>
      <c r="J145" s="5">
        <v>53.5</v>
      </c>
      <c r="K145" s="6">
        <v>1.56</v>
      </c>
      <c r="L145" s="4">
        <v>6</v>
      </c>
      <c r="M145" s="4">
        <v>120</v>
      </c>
      <c r="N145" s="4">
        <v>88</v>
      </c>
      <c r="O145" s="4" t="s">
        <v>26</v>
      </c>
      <c r="P145" s="7" t="s">
        <v>19</v>
      </c>
    </row>
    <row r="146" spans="2:16" x14ac:dyDescent="0.45">
      <c r="B146" s="4">
        <v>145</v>
      </c>
      <c r="C146" s="4" t="s">
        <v>39</v>
      </c>
      <c r="D146" s="4" t="s">
        <v>16</v>
      </c>
      <c r="E146" s="4" t="s">
        <v>35</v>
      </c>
      <c r="F146" s="4" t="s">
        <v>24</v>
      </c>
      <c r="G146" s="4" t="s">
        <v>30</v>
      </c>
      <c r="H146" s="4" t="s">
        <v>25</v>
      </c>
      <c r="I146" s="4">
        <v>30</v>
      </c>
      <c r="J146" s="5">
        <v>58.4</v>
      </c>
      <c r="K146" s="6">
        <v>1.69</v>
      </c>
      <c r="L146" s="4">
        <v>0</v>
      </c>
      <c r="M146" s="4">
        <v>124</v>
      </c>
      <c r="N146" s="4">
        <v>100</v>
      </c>
      <c r="O146" s="4" t="s">
        <v>21</v>
      </c>
      <c r="P146" s="7" t="s">
        <v>19</v>
      </c>
    </row>
    <row r="147" spans="2:16" x14ac:dyDescent="0.45">
      <c r="B147" s="4">
        <v>146</v>
      </c>
      <c r="C147" s="4" t="s">
        <v>22</v>
      </c>
      <c r="D147" s="4" t="s">
        <v>16</v>
      </c>
      <c r="E147" s="4" t="s">
        <v>17</v>
      </c>
      <c r="F147" s="4" t="s">
        <v>28</v>
      </c>
      <c r="G147" s="4" t="s">
        <v>19</v>
      </c>
      <c r="H147" s="4" t="s">
        <v>20</v>
      </c>
      <c r="I147" s="4">
        <v>13</v>
      </c>
      <c r="J147" s="5">
        <v>44.4</v>
      </c>
      <c r="K147" s="6">
        <v>1.62</v>
      </c>
      <c r="L147" s="4">
        <v>1</v>
      </c>
      <c r="M147" s="4">
        <v>106</v>
      </c>
      <c r="N147" s="4">
        <v>81</v>
      </c>
      <c r="O147" s="4" t="s">
        <v>26</v>
      </c>
      <c r="P147" s="7" t="s">
        <v>19</v>
      </c>
    </row>
    <row r="148" spans="2:16" x14ac:dyDescent="0.45">
      <c r="B148" s="4">
        <v>147</v>
      </c>
      <c r="C148" s="4" t="s">
        <v>41</v>
      </c>
      <c r="D148" s="4" t="s">
        <v>16</v>
      </c>
      <c r="E148" s="4" t="s">
        <v>44</v>
      </c>
      <c r="F148" s="4" t="s">
        <v>24</v>
      </c>
      <c r="G148" s="4" t="s">
        <v>19</v>
      </c>
      <c r="H148" s="4" t="s">
        <v>38</v>
      </c>
      <c r="I148" s="4">
        <v>44</v>
      </c>
      <c r="J148" s="5">
        <v>92.3</v>
      </c>
      <c r="K148" s="6">
        <v>1.73</v>
      </c>
      <c r="L148" s="4">
        <v>3</v>
      </c>
      <c r="M148" s="4">
        <v>115</v>
      </c>
      <c r="N148" s="4">
        <v>97</v>
      </c>
      <c r="O148" s="4" t="s">
        <v>26</v>
      </c>
      <c r="P148" s="7" t="s">
        <v>19</v>
      </c>
    </row>
    <row r="149" spans="2:16" x14ac:dyDescent="0.45">
      <c r="B149" s="4">
        <v>148</v>
      </c>
      <c r="C149" s="4" t="s">
        <v>31</v>
      </c>
      <c r="D149" s="4" t="s">
        <v>23</v>
      </c>
      <c r="E149" s="4" t="s">
        <v>17</v>
      </c>
      <c r="F149" s="4" t="s">
        <v>18</v>
      </c>
      <c r="G149" s="4" t="s">
        <v>19</v>
      </c>
      <c r="H149" s="4" t="s">
        <v>20</v>
      </c>
      <c r="I149" s="4">
        <v>21</v>
      </c>
      <c r="J149" s="5">
        <v>71.099999999999994</v>
      </c>
      <c r="K149" s="6">
        <v>1.61</v>
      </c>
      <c r="L149" s="4">
        <v>2</v>
      </c>
      <c r="M149" s="4">
        <v>104</v>
      </c>
      <c r="N149" s="4">
        <v>96</v>
      </c>
      <c r="O149" s="4" t="s">
        <v>26</v>
      </c>
      <c r="P149" s="7" t="s">
        <v>19</v>
      </c>
    </row>
    <row r="150" spans="2:16" x14ac:dyDescent="0.45">
      <c r="B150" s="4">
        <v>149</v>
      </c>
      <c r="C150" s="4" t="s">
        <v>33</v>
      </c>
      <c r="D150" s="4" t="s">
        <v>16</v>
      </c>
      <c r="E150" s="4" t="s">
        <v>17</v>
      </c>
      <c r="F150" s="4" t="s">
        <v>18</v>
      </c>
      <c r="G150" s="4" t="s">
        <v>30</v>
      </c>
      <c r="H150" s="4" t="s">
        <v>32</v>
      </c>
      <c r="I150" s="4">
        <v>9</v>
      </c>
      <c r="J150" s="5">
        <v>32.200000000000003</v>
      </c>
      <c r="K150" s="6">
        <v>1.37</v>
      </c>
      <c r="L150" s="4">
        <v>5</v>
      </c>
      <c r="M150" s="4">
        <v>105</v>
      </c>
      <c r="N150" s="4">
        <v>157</v>
      </c>
      <c r="O150" s="4" t="s">
        <v>26</v>
      </c>
      <c r="P150" s="7" t="s">
        <v>19</v>
      </c>
    </row>
    <row r="151" spans="2:16" x14ac:dyDescent="0.45">
      <c r="B151" s="4">
        <v>150</v>
      </c>
      <c r="C151" s="4" t="s">
        <v>27</v>
      </c>
      <c r="D151" s="4" t="s">
        <v>16</v>
      </c>
      <c r="E151" s="4" t="s">
        <v>35</v>
      </c>
      <c r="F151" s="4" t="s">
        <v>28</v>
      </c>
      <c r="G151" s="4" t="s">
        <v>30</v>
      </c>
      <c r="H151" s="4" t="s">
        <v>46</v>
      </c>
      <c r="I151" s="4">
        <v>17</v>
      </c>
      <c r="J151" s="5">
        <v>46.8</v>
      </c>
      <c r="K151" s="6">
        <v>1.7</v>
      </c>
      <c r="L151" s="4">
        <v>3</v>
      </c>
      <c r="M151" s="4">
        <v>119</v>
      </c>
      <c r="N151" s="4">
        <v>85</v>
      </c>
      <c r="O151" s="4" t="s">
        <v>21</v>
      </c>
      <c r="P151" s="7" t="s">
        <v>19</v>
      </c>
    </row>
    <row r="152" spans="2:16" x14ac:dyDescent="0.45">
      <c r="B152" s="4">
        <v>151</v>
      </c>
      <c r="C152" s="4" t="s">
        <v>22</v>
      </c>
      <c r="D152" s="4" t="s">
        <v>23</v>
      </c>
      <c r="E152" s="4" t="s">
        <v>35</v>
      </c>
      <c r="F152" s="4" t="s">
        <v>28</v>
      </c>
      <c r="G152" s="4" t="s">
        <v>19</v>
      </c>
      <c r="H152" s="4" t="s">
        <v>20</v>
      </c>
      <c r="I152" s="4">
        <v>10</v>
      </c>
      <c r="J152" s="5">
        <v>37</v>
      </c>
      <c r="K152" s="6">
        <v>1.1200000000000001</v>
      </c>
      <c r="L152" s="4">
        <v>1</v>
      </c>
      <c r="M152" s="4">
        <v>101</v>
      </c>
      <c r="N152" s="4">
        <v>101</v>
      </c>
      <c r="O152" s="4" t="s">
        <v>26</v>
      </c>
      <c r="P152" s="7" t="s">
        <v>19</v>
      </c>
    </row>
    <row r="153" spans="2:16" x14ac:dyDescent="0.45">
      <c r="B153" s="4">
        <v>152</v>
      </c>
      <c r="C153" s="4" t="s">
        <v>41</v>
      </c>
      <c r="D153" s="4" t="s">
        <v>16</v>
      </c>
      <c r="E153" s="4" t="s">
        <v>17</v>
      </c>
      <c r="F153" s="4" t="s">
        <v>24</v>
      </c>
      <c r="G153" s="4" t="s">
        <v>19</v>
      </c>
      <c r="H153" s="4" t="s">
        <v>25</v>
      </c>
      <c r="I153" s="4">
        <v>65</v>
      </c>
      <c r="J153" s="5">
        <v>80.599999999999994</v>
      </c>
      <c r="K153" s="6">
        <v>1.76</v>
      </c>
      <c r="L153" s="4">
        <v>3</v>
      </c>
      <c r="M153" s="4">
        <v>122</v>
      </c>
      <c r="N153" s="4">
        <v>82</v>
      </c>
      <c r="O153" s="4" t="s">
        <v>26</v>
      </c>
      <c r="P153" s="7" t="s">
        <v>19</v>
      </c>
    </row>
    <row r="154" spans="2:16" x14ac:dyDescent="0.45">
      <c r="B154" s="4">
        <v>153</v>
      </c>
      <c r="C154" s="4" t="s">
        <v>27</v>
      </c>
      <c r="D154" s="4" t="s">
        <v>16</v>
      </c>
      <c r="E154" s="4" t="s">
        <v>17</v>
      </c>
      <c r="F154" s="4" t="s">
        <v>18</v>
      </c>
      <c r="G154" s="4" t="s">
        <v>19</v>
      </c>
      <c r="H154" s="4" t="s">
        <v>38</v>
      </c>
      <c r="I154" s="4">
        <v>15</v>
      </c>
      <c r="J154" s="5">
        <v>40.299999999999997</v>
      </c>
      <c r="K154" s="6">
        <v>1.52</v>
      </c>
      <c r="L154" s="4">
        <v>2</v>
      </c>
      <c r="M154" s="4">
        <v>95</v>
      </c>
      <c r="N154" s="4">
        <v>104</v>
      </c>
      <c r="O154" s="4" t="s">
        <v>26</v>
      </c>
      <c r="P154" s="7" t="s">
        <v>19</v>
      </c>
    </row>
    <row r="155" spans="2:16" x14ac:dyDescent="0.45">
      <c r="B155" s="4">
        <v>154</v>
      </c>
      <c r="C155" s="4" t="s">
        <v>41</v>
      </c>
      <c r="D155" s="4" t="s">
        <v>23</v>
      </c>
      <c r="E155" s="4" t="s">
        <v>17</v>
      </c>
      <c r="F155" s="4" t="s">
        <v>18</v>
      </c>
      <c r="G155" s="4" t="s">
        <v>19</v>
      </c>
      <c r="H155" s="4" t="s">
        <v>34</v>
      </c>
      <c r="I155" s="4">
        <v>22</v>
      </c>
      <c r="J155" s="5">
        <v>66.599999999999994</v>
      </c>
      <c r="K155" s="6">
        <v>1.58</v>
      </c>
      <c r="L155" s="4">
        <v>3</v>
      </c>
      <c r="M155" s="4">
        <v>116</v>
      </c>
      <c r="N155" s="4">
        <v>74</v>
      </c>
      <c r="O155" s="4" t="s">
        <v>26</v>
      </c>
      <c r="P155" s="7" t="s">
        <v>19</v>
      </c>
    </row>
    <row r="156" spans="2:16" x14ac:dyDescent="0.45">
      <c r="B156" s="4">
        <v>155</v>
      </c>
      <c r="C156" s="4" t="s">
        <v>27</v>
      </c>
      <c r="D156" s="4" t="s">
        <v>16</v>
      </c>
      <c r="E156" s="4" t="s">
        <v>17</v>
      </c>
      <c r="F156" s="4" t="s">
        <v>24</v>
      </c>
      <c r="G156" s="4" t="s">
        <v>19</v>
      </c>
      <c r="H156" s="4" t="s">
        <v>20</v>
      </c>
      <c r="I156" s="4">
        <v>83</v>
      </c>
      <c r="J156" s="5">
        <v>47.2</v>
      </c>
      <c r="K156" s="6">
        <v>1.78</v>
      </c>
      <c r="L156" s="4">
        <v>2</v>
      </c>
      <c r="M156" s="4">
        <v>129</v>
      </c>
      <c r="N156" s="4">
        <v>103</v>
      </c>
      <c r="O156" s="4" t="s">
        <v>21</v>
      </c>
      <c r="P156" s="7" t="s">
        <v>19</v>
      </c>
    </row>
    <row r="157" spans="2:16" x14ac:dyDescent="0.45">
      <c r="B157" s="4">
        <v>156</v>
      </c>
      <c r="C157" s="4" t="s">
        <v>41</v>
      </c>
      <c r="D157" s="4" t="s">
        <v>16</v>
      </c>
      <c r="E157" s="4" t="s">
        <v>35</v>
      </c>
      <c r="F157" s="4" t="s">
        <v>24</v>
      </c>
      <c r="G157" s="4" t="s">
        <v>30</v>
      </c>
      <c r="H157" s="4" t="s">
        <v>32</v>
      </c>
      <c r="I157" s="4">
        <v>39</v>
      </c>
      <c r="J157" s="5">
        <v>56.7</v>
      </c>
      <c r="K157" s="6">
        <v>1.76</v>
      </c>
      <c r="L157" s="4">
        <v>9</v>
      </c>
      <c r="M157" s="4">
        <v>111</v>
      </c>
      <c r="N157" s="4">
        <v>140</v>
      </c>
      <c r="O157" s="4" t="s">
        <v>21</v>
      </c>
      <c r="P157" s="7" t="s">
        <v>19</v>
      </c>
    </row>
    <row r="158" spans="2:16" x14ac:dyDescent="0.45">
      <c r="B158" s="4">
        <v>157</v>
      </c>
      <c r="C158" s="4" t="s">
        <v>27</v>
      </c>
      <c r="D158" s="4" t="s">
        <v>23</v>
      </c>
      <c r="E158" s="4" t="s">
        <v>35</v>
      </c>
      <c r="F158" s="4" t="s">
        <v>24</v>
      </c>
      <c r="G158" s="4" t="s">
        <v>19</v>
      </c>
      <c r="H158" s="4" t="s">
        <v>28</v>
      </c>
      <c r="I158" s="4">
        <v>1</v>
      </c>
      <c r="J158" s="5">
        <v>6.6</v>
      </c>
      <c r="K158" s="6">
        <v>0.68</v>
      </c>
      <c r="L158" s="4">
        <v>2</v>
      </c>
      <c r="M158" s="4">
        <v>107</v>
      </c>
      <c r="N158" s="4">
        <v>102</v>
      </c>
      <c r="O158" s="4" t="s">
        <v>21</v>
      </c>
      <c r="P158" s="7" t="s">
        <v>19</v>
      </c>
    </row>
    <row r="159" spans="2:16" x14ac:dyDescent="0.45">
      <c r="B159" s="4">
        <v>158</v>
      </c>
      <c r="C159" s="4" t="s">
        <v>41</v>
      </c>
      <c r="D159" s="4" t="s">
        <v>23</v>
      </c>
      <c r="E159" s="4" t="s">
        <v>35</v>
      </c>
      <c r="F159" s="4" t="s">
        <v>28</v>
      </c>
      <c r="G159" s="4" t="s">
        <v>19</v>
      </c>
      <c r="H159" s="4" t="s">
        <v>32</v>
      </c>
      <c r="I159" s="4">
        <v>34</v>
      </c>
      <c r="J159" s="5">
        <v>55</v>
      </c>
      <c r="K159" s="6">
        <v>1.88</v>
      </c>
      <c r="L159" s="4">
        <v>5</v>
      </c>
      <c r="M159" s="4">
        <v>125</v>
      </c>
      <c r="N159" s="4">
        <v>149</v>
      </c>
      <c r="O159" s="4" t="s">
        <v>26</v>
      </c>
      <c r="P159" s="7" t="s">
        <v>30</v>
      </c>
    </row>
    <row r="160" spans="2:16" x14ac:dyDescent="0.45">
      <c r="B160" s="4">
        <v>159</v>
      </c>
      <c r="C160" s="4" t="s">
        <v>45</v>
      </c>
      <c r="D160" s="4" t="s">
        <v>23</v>
      </c>
      <c r="E160" s="4" t="s">
        <v>17</v>
      </c>
      <c r="F160" s="4" t="s">
        <v>24</v>
      </c>
      <c r="G160" s="4" t="s">
        <v>19</v>
      </c>
      <c r="H160" s="4" t="s">
        <v>46</v>
      </c>
      <c r="I160" s="4">
        <v>78</v>
      </c>
      <c r="J160" s="5">
        <v>82.6</v>
      </c>
      <c r="K160" s="6">
        <v>1.66</v>
      </c>
      <c r="L160" s="4">
        <v>1</v>
      </c>
      <c r="M160" s="4">
        <v>127</v>
      </c>
      <c r="N160" s="4">
        <v>103</v>
      </c>
      <c r="O160" s="4" t="s">
        <v>21</v>
      </c>
      <c r="P160" s="7" t="s">
        <v>30</v>
      </c>
    </row>
    <row r="161" spans="2:16" x14ac:dyDescent="0.45">
      <c r="B161" s="4">
        <v>160</v>
      </c>
      <c r="C161" s="4" t="s">
        <v>15</v>
      </c>
      <c r="D161" s="4" t="s">
        <v>16</v>
      </c>
      <c r="E161" s="4" t="s">
        <v>35</v>
      </c>
      <c r="F161" s="4" t="s">
        <v>24</v>
      </c>
      <c r="G161" s="4" t="s">
        <v>30</v>
      </c>
      <c r="H161" s="4" t="s">
        <v>36</v>
      </c>
      <c r="I161" s="4">
        <v>21</v>
      </c>
      <c r="J161" s="5">
        <v>69.099999999999994</v>
      </c>
      <c r="K161" s="6">
        <v>1.66</v>
      </c>
      <c r="L161" s="4">
        <v>8</v>
      </c>
      <c r="M161" s="4">
        <v>131</v>
      </c>
      <c r="N161" s="4">
        <v>77</v>
      </c>
      <c r="O161" s="4" t="s">
        <v>21</v>
      </c>
      <c r="P161" s="7" t="s">
        <v>19</v>
      </c>
    </row>
    <row r="162" spans="2:16" x14ac:dyDescent="0.45">
      <c r="B162" s="4">
        <v>161</v>
      </c>
      <c r="C162" s="4" t="s">
        <v>40</v>
      </c>
      <c r="D162" s="4" t="s">
        <v>16</v>
      </c>
      <c r="E162" s="4" t="s">
        <v>17</v>
      </c>
      <c r="F162" s="4" t="s">
        <v>24</v>
      </c>
      <c r="G162" s="4" t="s">
        <v>30</v>
      </c>
      <c r="H162" s="4" t="s">
        <v>28</v>
      </c>
      <c r="I162" s="4">
        <v>51</v>
      </c>
      <c r="J162" s="5">
        <v>68.5</v>
      </c>
      <c r="K162" s="6">
        <v>1.87</v>
      </c>
      <c r="L162" s="4">
        <v>4</v>
      </c>
      <c r="M162" s="4">
        <v>128</v>
      </c>
      <c r="N162" s="4">
        <v>86</v>
      </c>
      <c r="O162" s="4" t="s">
        <v>26</v>
      </c>
      <c r="P162" s="7" t="s">
        <v>19</v>
      </c>
    </row>
    <row r="163" spans="2:16" x14ac:dyDescent="0.45">
      <c r="B163" s="4">
        <v>162</v>
      </c>
      <c r="C163" s="4" t="s">
        <v>22</v>
      </c>
      <c r="D163" s="4" t="s">
        <v>16</v>
      </c>
      <c r="E163" s="4" t="s">
        <v>35</v>
      </c>
      <c r="F163" s="4" t="s">
        <v>24</v>
      </c>
      <c r="G163" s="4" t="s">
        <v>19</v>
      </c>
      <c r="H163" s="4" t="s">
        <v>20</v>
      </c>
      <c r="I163" s="4">
        <v>12</v>
      </c>
      <c r="J163" s="5">
        <v>58</v>
      </c>
      <c r="K163" s="6">
        <v>1.64</v>
      </c>
      <c r="L163" s="4">
        <v>3</v>
      </c>
      <c r="M163" s="4">
        <v>106</v>
      </c>
      <c r="N163" s="4">
        <v>89</v>
      </c>
      <c r="O163" s="4" t="s">
        <v>26</v>
      </c>
      <c r="P163" s="7" t="s">
        <v>19</v>
      </c>
    </row>
    <row r="164" spans="2:16" x14ac:dyDescent="0.45">
      <c r="B164" s="4">
        <v>163</v>
      </c>
      <c r="C164" s="4" t="s">
        <v>40</v>
      </c>
      <c r="D164" s="4" t="s">
        <v>16</v>
      </c>
      <c r="E164" s="4" t="s">
        <v>35</v>
      </c>
      <c r="F164" s="4" t="s">
        <v>24</v>
      </c>
      <c r="G164" s="4" t="s">
        <v>19</v>
      </c>
      <c r="H164" s="4" t="s">
        <v>20</v>
      </c>
      <c r="I164" s="4">
        <v>19</v>
      </c>
      <c r="J164" s="5">
        <v>62.5</v>
      </c>
      <c r="K164" s="6">
        <v>1.88</v>
      </c>
      <c r="L164" s="4">
        <v>0</v>
      </c>
      <c r="M164" s="4">
        <v>106</v>
      </c>
      <c r="N164" s="4">
        <v>87</v>
      </c>
      <c r="O164" s="4" t="s">
        <v>21</v>
      </c>
      <c r="P164" s="7" t="s">
        <v>19</v>
      </c>
    </row>
    <row r="165" spans="2:16" x14ac:dyDescent="0.45">
      <c r="B165" s="4">
        <v>164</v>
      </c>
      <c r="C165" s="4" t="s">
        <v>43</v>
      </c>
      <c r="D165" s="4" t="s">
        <v>16</v>
      </c>
      <c r="E165" s="4" t="s">
        <v>17</v>
      </c>
      <c r="F165" s="4" t="s">
        <v>24</v>
      </c>
      <c r="G165" s="4" t="s">
        <v>30</v>
      </c>
      <c r="H165" s="4" t="s">
        <v>36</v>
      </c>
      <c r="I165" s="4">
        <v>23</v>
      </c>
      <c r="J165" s="5">
        <v>65.5</v>
      </c>
      <c r="K165" s="6">
        <v>1.67</v>
      </c>
      <c r="L165" s="4">
        <v>0</v>
      </c>
      <c r="M165" s="4">
        <v>121</v>
      </c>
      <c r="N165" s="4">
        <v>79</v>
      </c>
      <c r="O165" s="4" t="s">
        <v>21</v>
      </c>
      <c r="P165" s="7" t="s">
        <v>19</v>
      </c>
    </row>
    <row r="166" spans="2:16" x14ac:dyDescent="0.45">
      <c r="B166" s="4">
        <v>165</v>
      </c>
      <c r="C166" s="4" t="s">
        <v>27</v>
      </c>
      <c r="D166" s="4" t="s">
        <v>16</v>
      </c>
      <c r="E166" s="4" t="s">
        <v>17</v>
      </c>
      <c r="F166" s="4" t="s">
        <v>18</v>
      </c>
      <c r="G166" s="4" t="s">
        <v>19</v>
      </c>
      <c r="H166" s="4" t="s">
        <v>20</v>
      </c>
      <c r="I166" s="4">
        <v>87</v>
      </c>
      <c r="J166" s="5">
        <v>50.7</v>
      </c>
      <c r="K166" s="6">
        <v>1.72</v>
      </c>
      <c r="L166" s="4">
        <v>2</v>
      </c>
      <c r="M166" s="4">
        <v>138</v>
      </c>
      <c r="N166" s="4">
        <v>101</v>
      </c>
      <c r="O166" s="4" t="s">
        <v>21</v>
      </c>
      <c r="P166" s="7" t="s">
        <v>30</v>
      </c>
    </row>
    <row r="167" spans="2:16" x14ac:dyDescent="0.45">
      <c r="B167" s="4">
        <v>166</v>
      </c>
      <c r="C167" s="4" t="s">
        <v>27</v>
      </c>
      <c r="D167" s="4" t="s">
        <v>23</v>
      </c>
      <c r="E167" s="4" t="s">
        <v>17</v>
      </c>
      <c r="F167" s="4" t="s">
        <v>24</v>
      </c>
      <c r="G167" s="4" t="s">
        <v>19</v>
      </c>
      <c r="H167" s="4" t="s">
        <v>36</v>
      </c>
      <c r="I167" s="4">
        <v>53</v>
      </c>
      <c r="J167" s="5">
        <v>53.2</v>
      </c>
      <c r="K167" s="6">
        <v>1.53</v>
      </c>
      <c r="L167" s="4">
        <v>4</v>
      </c>
      <c r="M167" s="4">
        <v>151</v>
      </c>
      <c r="N167" s="4">
        <v>104</v>
      </c>
      <c r="O167" s="4" t="s">
        <v>26</v>
      </c>
      <c r="P167" s="7" t="s">
        <v>19</v>
      </c>
    </row>
    <row r="168" spans="2:16" x14ac:dyDescent="0.45">
      <c r="B168" s="4">
        <v>167</v>
      </c>
      <c r="C168" s="4" t="s">
        <v>27</v>
      </c>
      <c r="D168" s="4" t="s">
        <v>23</v>
      </c>
      <c r="E168" s="4" t="s">
        <v>44</v>
      </c>
      <c r="F168" s="4" t="s">
        <v>24</v>
      </c>
      <c r="G168" s="4" t="s">
        <v>19</v>
      </c>
      <c r="H168" s="4" t="s">
        <v>34</v>
      </c>
      <c r="I168" s="4">
        <v>39</v>
      </c>
      <c r="J168" s="5">
        <v>89.9</v>
      </c>
      <c r="K168" s="6">
        <v>1.52</v>
      </c>
      <c r="L168" s="4">
        <v>1</v>
      </c>
      <c r="M168" s="4">
        <v>123</v>
      </c>
      <c r="N168" s="4">
        <v>88</v>
      </c>
      <c r="O168" s="4" t="s">
        <v>26</v>
      </c>
      <c r="P168" s="7" t="s">
        <v>30</v>
      </c>
    </row>
    <row r="169" spans="2:16" x14ac:dyDescent="0.45">
      <c r="B169" s="4">
        <v>168</v>
      </c>
      <c r="C169" s="4" t="s">
        <v>43</v>
      </c>
      <c r="D169" s="4" t="s">
        <v>16</v>
      </c>
      <c r="E169" s="4" t="s">
        <v>37</v>
      </c>
      <c r="F169" s="4" t="s">
        <v>42</v>
      </c>
      <c r="G169" s="4" t="s">
        <v>19</v>
      </c>
      <c r="H169" s="4" t="s">
        <v>20</v>
      </c>
      <c r="I169" s="4">
        <v>14</v>
      </c>
      <c r="J169" s="5">
        <v>50.9</v>
      </c>
      <c r="K169" s="6">
        <v>1.51</v>
      </c>
      <c r="L169" s="4">
        <v>2</v>
      </c>
      <c r="M169" s="4">
        <v>99</v>
      </c>
      <c r="N169" s="4">
        <v>71</v>
      </c>
      <c r="O169" s="4" t="s">
        <v>21</v>
      </c>
      <c r="P169" s="7" t="s">
        <v>19</v>
      </c>
    </row>
    <row r="170" spans="2:16" x14ac:dyDescent="0.45">
      <c r="B170" s="4">
        <v>169</v>
      </c>
      <c r="C170" s="4" t="s">
        <v>45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s">
        <v>38</v>
      </c>
      <c r="I170" s="4">
        <v>19</v>
      </c>
      <c r="J170" s="5">
        <v>49.1</v>
      </c>
      <c r="K170" s="6">
        <v>1.68</v>
      </c>
      <c r="L170" s="4">
        <v>4</v>
      </c>
      <c r="M170" s="4">
        <v>96</v>
      </c>
      <c r="N170" s="4">
        <v>73</v>
      </c>
      <c r="O170" s="4" t="s">
        <v>26</v>
      </c>
      <c r="P170" s="7" t="s">
        <v>19</v>
      </c>
    </row>
    <row r="171" spans="2:16" x14ac:dyDescent="0.45">
      <c r="B171" s="4">
        <v>170</v>
      </c>
      <c r="C171" s="4" t="s">
        <v>15</v>
      </c>
      <c r="D171" s="4" t="s">
        <v>23</v>
      </c>
      <c r="E171" s="4" t="s">
        <v>35</v>
      </c>
      <c r="F171" s="4" t="s">
        <v>42</v>
      </c>
      <c r="G171" s="4" t="s">
        <v>19</v>
      </c>
      <c r="H171" s="4" t="s">
        <v>32</v>
      </c>
      <c r="I171" s="4">
        <v>80</v>
      </c>
      <c r="J171" s="5">
        <v>51.3</v>
      </c>
      <c r="K171" s="6">
        <v>1.69</v>
      </c>
      <c r="L171" s="4">
        <v>1</v>
      </c>
      <c r="M171" s="4">
        <v>134</v>
      </c>
      <c r="N171" s="4">
        <v>157</v>
      </c>
      <c r="O171" s="4" t="s">
        <v>21</v>
      </c>
      <c r="P171" s="7" t="s">
        <v>19</v>
      </c>
    </row>
    <row r="172" spans="2:16" x14ac:dyDescent="0.45">
      <c r="B172" s="4">
        <v>171</v>
      </c>
      <c r="C172" s="4" t="s">
        <v>29</v>
      </c>
      <c r="D172" s="4" t="s">
        <v>16</v>
      </c>
      <c r="E172" s="4" t="s">
        <v>17</v>
      </c>
      <c r="F172" s="4" t="s">
        <v>18</v>
      </c>
      <c r="G172" s="4" t="s">
        <v>19</v>
      </c>
      <c r="H172" s="4" t="s">
        <v>34</v>
      </c>
      <c r="I172" s="4">
        <v>14</v>
      </c>
      <c r="J172" s="5">
        <v>52.3</v>
      </c>
      <c r="K172" s="6">
        <v>1.57</v>
      </c>
      <c r="L172" s="4">
        <v>0</v>
      </c>
      <c r="M172" s="4">
        <v>114</v>
      </c>
      <c r="N172" s="4">
        <v>81</v>
      </c>
      <c r="O172" s="4" t="s">
        <v>21</v>
      </c>
      <c r="P172" s="7" t="s">
        <v>19</v>
      </c>
    </row>
    <row r="173" spans="2:16" x14ac:dyDescent="0.45">
      <c r="B173" s="4">
        <v>172</v>
      </c>
      <c r="C173" s="4" t="s">
        <v>31</v>
      </c>
      <c r="D173" s="4" t="s">
        <v>23</v>
      </c>
      <c r="E173" s="4" t="s">
        <v>17</v>
      </c>
      <c r="F173" s="4" t="s">
        <v>28</v>
      </c>
      <c r="G173" s="4" t="s">
        <v>30</v>
      </c>
      <c r="H173" s="4" t="s">
        <v>28</v>
      </c>
      <c r="I173" s="4">
        <v>66</v>
      </c>
      <c r="J173" s="5">
        <v>66.400000000000006</v>
      </c>
      <c r="K173" s="6">
        <v>1.64</v>
      </c>
      <c r="L173" s="4">
        <v>1</v>
      </c>
      <c r="M173" s="4">
        <v>110</v>
      </c>
      <c r="N173" s="4">
        <v>81</v>
      </c>
      <c r="O173" s="4" t="s">
        <v>26</v>
      </c>
      <c r="P173" s="7" t="s">
        <v>19</v>
      </c>
    </row>
    <row r="174" spans="2:16" x14ac:dyDescent="0.45">
      <c r="B174" s="4">
        <v>173</v>
      </c>
      <c r="C174" s="4" t="s">
        <v>41</v>
      </c>
      <c r="D174" s="4" t="s">
        <v>16</v>
      </c>
      <c r="E174" s="4" t="s">
        <v>17</v>
      </c>
      <c r="F174" s="4" t="s">
        <v>24</v>
      </c>
      <c r="G174" s="4" t="s">
        <v>19</v>
      </c>
      <c r="H174" s="4" t="s">
        <v>20</v>
      </c>
      <c r="I174" s="4">
        <v>10</v>
      </c>
      <c r="J174" s="5">
        <v>23</v>
      </c>
      <c r="K174" s="6">
        <v>1.07</v>
      </c>
      <c r="L174" s="4">
        <v>2</v>
      </c>
      <c r="M174" s="4">
        <v>103</v>
      </c>
      <c r="N174" s="4">
        <v>74</v>
      </c>
      <c r="O174" s="4" t="s">
        <v>21</v>
      </c>
      <c r="P174" s="7" t="s">
        <v>19</v>
      </c>
    </row>
    <row r="175" spans="2:16" x14ac:dyDescent="0.45">
      <c r="B175" s="4">
        <v>174</v>
      </c>
      <c r="C175" s="4" t="s">
        <v>43</v>
      </c>
      <c r="D175" s="4" t="s">
        <v>23</v>
      </c>
      <c r="E175" s="4" t="s">
        <v>35</v>
      </c>
      <c r="F175" s="4" t="s">
        <v>24</v>
      </c>
      <c r="G175" s="4" t="s">
        <v>30</v>
      </c>
      <c r="H175" s="4" t="s">
        <v>25</v>
      </c>
      <c r="I175" s="4">
        <v>11</v>
      </c>
      <c r="J175" s="5">
        <v>33.200000000000003</v>
      </c>
      <c r="K175" s="6">
        <v>1.41</v>
      </c>
      <c r="L175" s="4">
        <v>0</v>
      </c>
      <c r="M175" s="4">
        <v>98</v>
      </c>
      <c r="N175" s="4">
        <v>102</v>
      </c>
      <c r="O175" s="4" t="s">
        <v>21</v>
      </c>
      <c r="P175" s="7" t="s">
        <v>19</v>
      </c>
    </row>
    <row r="176" spans="2:16" x14ac:dyDescent="0.45">
      <c r="B176" s="4">
        <v>175</v>
      </c>
      <c r="C176" s="4" t="s">
        <v>27</v>
      </c>
      <c r="D176" s="4" t="s">
        <v>16</v>
      </c>
      <c r="E176" s="4" t="s">
        <v>17</v>
      </c>
      <c r="F176" s="4" t="s">
        <v>24</v>
      </c>
      <c r="G176" s="4" t="s">
        <v>19</v>
      </c>
      <c r="H176" s="4" t="s">
        <v>20</v>
      </c>
      <c r="I176" s="4">
        <v>31</v>
      </c>
      <c r="J176" s="5">
        <v>71.900000000000006</v>
      </c>
      <c r="K176" s="6">
        <v>1.72</v>
      </c>
      <c r="L176" s="4">
        <v>1</v>
      </c>
      <c r="M176" s="4">
        <v>123</v>
      </c>
      <c r="N176" s="4">
        <v>76</v>
      </c>
      <c r="O176" s="4" t="s">
        <v>21</v>
      </c>
      <c r="P176" s="7" t="s">
        <v>19</v>
      </c>
    </row>
    <row r="177" spans="2:16" x14ac:dyDescent="0.45">
      <c r="B177" s="4">
        <v>176</v>
      </c>
      <c r="C177" s="4" t="s">
        <v>39</v>
      </c>
      <c r="D177" s="4" t="s">
        <v>16</v>
      </c>
      <c r="E177" s="4" t="s">
        <v>37</v>
      </c>
      <c r="F177" s="4" t="s">
        <v>24</v>
      </c>
      <c r="G177" s="4" t="s">
        <v>19</v>
      </c>
      <c r="H177" s="4" t="s">
        <v>28</v>
      </c>
      <c r="I177" s="4">
        <v>35</v>
      </c>
      <c r="J177" s="5">
        <v>52.6</v>
      </c>
      <c r="K177" s="6">
        <v>1.79</v>
      </c>
      <c r="L177" s="4">
        <v>0</v>
      </c>
      <c r="M177" s="4">
        <v>120</v>
      </c>
      <c r="N177" s="4">
        <v>103</v>
      </c>
      <c r="O177" s="4" t="s">
        <v>26</v>
      </c>
      <c r="P177" s="7" t="s">
        <v>19</v>
      </c>
    </row>
    <row r="178" spans="2:16" x14ac:dyDescent="0.45">
      <c r="B178" s="4">
        <v>177</v>
      </c>
      <c r="C178" s="4" t="s">
        <v>39</v>
      </c>
      <c r="D178" s="4" t="s">
        <v>16</v>
      </c>
      <c r="E178" s="4" t="s">
        <v>35</v>
      </c>
      <c r="F178" s="4" t="s">
        <v>18</v>
      </c>
      <c r="G178" s="4" t="s">
        <v>19</v>
      </c>
      <c r="H178" s="4" t="s">
        <v>36</v>
      </c>
      <c r="I178" s="4">
        <v>24</v>
      </c>
      <c r="J178" s="5">
        <v>47.6</v>
      </c>
      <c r="K178" s="6">
        <v>1.62</v>
      </c>
      <c r="L178" s="4">
        <v>6</v>
      </c>
      <c r="M178" s="4">
        <v>131</v>
      </c>
      <c r="N178" s="4">
        <v>101</v>
      </c>
      <c r="O178" s="4" t="s">
        <v>26</v>
      </c>
      <c r="P178" s="7" t="s">
        <v>19</v>
      </c>
    </row>
    <row r="179" spans="2:16" x14ac:dyDescent="0.45">
      <c r="B179" s="4">
        <v>178</v>
      </c>
      <c r="C179" s="4" t="s">
        <v>15</v>
      </c>
      <c r="D179" s="4" t="s">
        <v>23</v>
      </c>
      <c r="E179" s="4" t="s">
        <v>35</v>
      </c>
      <c r="F179" s="4" t="s">
        <v>24</v>
      </c>
      <c r="G179" s="4" t="s">
        <v>19</v>
      </c>
      <c r="H179" s="4" t="s">
        <v>36</v>
      </c>
      <c r="I179" s="4">
        <v>11</v>
      </c>
      <c r="J179" s="5">
        <v>21.7</v>
      </c>
      <c r="K179" s="6">
        <v>1.21</v>
      </c>
      <c r="L179" s="4">
        <v>6</v>
      </c>
      <c r="M179" s="4">
        <v>131</v>
      </c>
      <c r="N179" s="4">
        <v>100</v>
      </c>
      <c r="O179" s="4" t="s">
        <v>26</v>
      </c>
      <c r="P179" s="7" t="s">
        <v>19</v>
      </c>
    </row>
    <row r="180" spans="2:16" x14ac:dyDescent="0.45">
      <c r="B180" s="4">
        <v>179</v>
      </c>
      <c r="C180" s="4" t="s">
        <v>22</v>
      </c>
      <c r="D180" s="4" t="s">
        <v>16</v>
      </c>
      <c r="E180" s="4" t="s">
        <v>17</v>
      </c>
      <c r="F180" s="4" t="s">
        <v>18</v>
      </c>
      <c r="G180" s="4" t="s">
        <v>19</v>
      </c>
      <c r="H180" s="4" t="s">
        <v>36</v>
      </c>
      <c r="I180" s="4">
        <v>10</v>
      </c>
      <c r="J180" s="5">
        <v>30.7</v>
      </c>
      <c r="K180" s="6">
        <v>1.4</v>
      </c>
      <c r="L180" s="4">
        <v>4</v>
      </c>
      <c r="M180" s="4">
        <v>125</v>
      </c>
      <c r="N180" s="4">
        <v>77</v>
      </c>
      <c r="O180" s="4" t="s">
        <v>26</v>
      </c>
      <c r="P180" s="7" t="s">
        <v>19</v>
      </c>
    </row>
    <row r="181" spans="2:16" x14ac:dyDescent="0.45">
      <c r="B181" s="4">
        <v>180</v>
      </c>
      <c r="C181" s="4" t="s">
        <v>27</v>
      </c>
      <c r="D181" s="4" t="s">
        <v>16</v>
      </c>
      <c r="E181" s="4" t="s">
        <v>35</v>
      </c>
      <c r="F181" s="4" t="s">
        <v>18</v>
      </c>
      <c r="G181" s="4" t="s">
        <v>19</v>
      </c>
      <c r="H181" s="4" t="s">
        <v>28</v>
      </c>
      <c r="I181" s="4">
        <v>74</v>
      </c>
      <c r="J181" s="5">
        <v>76.599999999999994</v>
      </c>
      <c r="K181" s="6">
        <v>1.51</v>
      </c>
      <c r="L181" s="4">
        <v>1</v>
      </c>
      <c r="M181" s="4">
        <v>112</v>
      </c>
      <c r="N181" s="4">
        <v>71</v>
      </c>
      <c r="O181" s="4" t="s">
        <v>26</v>
      </c>
      <c r="P181" s="7" t="s">
        <v>19</v>
      </c>
    </row>
    <row r="182" spans="2:16" x14ac:dyDescent="0.45">
      <c r="B182" s="4">
        <v>181</v>
      </c>
      <c r="C182" s="4" t="s">
        <v>27</v>
      </c>
      <c r="D182" s="4" t="s">
        <v>16</v>
      </c>
      <c r="E182" s="4" t="s">
        <v>35</v>
      </c>
      <c r="F182" s="4" t="s">
        <v>18</v>
      </c>
      <c r="G182" s="4" t="s">
        <v>19</v>
      </c>
      <c r="H182" s="4" t="s">
        <v>20</v>
      </c>
      <c r="I182" s="4">
        <v>54</v>
      </c>
      <c r="J182" s="5">
        <v>93.8</v>
      </c>
      <c r="K182" s="6">
        <v>1.73</v>
      </c>
      <c r="L182" s="4">
        <v>0</v>
      </c>
      <c r="M182" s="4">
        <v>123</v>
      </c>
      <c r="N182" s="4">
        <v>78</v>
      </c>
      <c r="O182" s="4" t="s">
        <v>26</v>
      </c>
      <c r="P182" s="7" t="s">
        <v>19</v>
      </c>
    </row>
    <row r="183" spans="2:16" x14ac:dyDescent="0.45">
      <c r="B183" s="4">
        <v>182</v>
      </c>
      <c r="C183" s="4" t="s">
        <v>43</v>
      </c>
      <c r="D183" s="4" t="s">
        <v>23</v>
      </c>
      <c r="E183" s="4" t="s">
        <v>17</v>
      </c>
      <c r="F183" s="4" t="s">
        <v>18</v>
      </c>
      <c r="G183" s="4" t="s">
        <v>30</v>
      </c>
      <c r="H183" s="4" t="s">
        <v>34</v>
      </c>
      <c r="I183" s="4">
        <v>4</v>
      </c>
      <c r="J183" s="5">
        <v>6</v>
      </c>
      <c r="K183" s="6">
        <v>0.72</v>
      </c>
      <c r="L183" s="4">
        <v>1</v>
      </c>
      <c r="M183" s="4">
        <v>92</v>
      </c>
      <c r="N183" s="4">
        <v>86</v>
      </c>
      <c r="O183" s="4" t="s">
        <v>26</v>
      </c>
      <c r="P183" s="7" t="s">
        <v>19</v>
      </c>
    </row>
    <row r="184" spans="2:16" x14ac:dyDescent="0.45">
      <c r="B184" s="4">
        <v>183</v>
      </c>
      <c r="C184" s="4" t="s">
        <v>39</v>
      </c>
      <c r="D184" s="4" t="s">
        <v>23</v>
      </c>
      <c r="E184" s="4" t="s">
        <v>35</v>
      </c>
      <c r="F184" s="4" t="s">
        <v>24</v>
      </c>
      <c r="G184" s="4" t="s">
        <v>19</v>
      </c>
      <c r="H184" s="4" t="s">
        <v>34</v>
      </c>
      <c r="I184" s="4">
        <v>2</v>
      </c>
      <c r="J184" s="5">
        <v>6.7</v>
      </c>
      <c r="K184" s="6">
        <v>0.94</v>
      </c>
      <c r="L184" s="4">
        <v>1</v>
      </c>
      <c r="M184" s="4">
        <v>93</v>
      </c>
      <c r="N184" s="4">
        <v>89</v>
      </c>
      <c r="O184" s="4" t="s">
        <v>26</v>
      </c>
      <c r="P184" s="7" t="s">
        <v>19</v>
      </c>
    </row>
    <row r="185" spans="2:16" x14ac:dyDescent="0.45">
      <c r="B185" s="4">
        <v>184</v>
      </c>
      <c r="C185" s="4" t="s">
        <v>40</v>
      </c>
      <c r="D185" s="4" t="s">
        <v>16</v>
      </c>
      <c r="E185" s="4" t="s">
        <v>35</v>
      </c>
      <c r="F185" s="4" t="s">
        <v>42</v>
      </c>
      <c r="G185" s="4" t="s">
        <v>19</v>
      </c>
      <c r="H185" s="4" t="s">
        <v>38</v>
      </c>
      <c r="I185" s="4">
        <v>36</v>
      </c>
      <c r="J185" s="5">
        <v>88.2</v>
      </c>
      <c r="K185" s="6">
        <v>1.69</v>
      </c>
      <c r="L185" s="4">
        <v>7</v>
      </c>
      <c r="M185" s="4">
        <v>101</v>
      </c>
      <c r="N185" s="4">
        <v>86</v>
      </c>
      <c r="O185" s="4" t="s">
        <v>26</v>
      </c>
      <c r="P185" s="7" t="s">
        <v>19</v>
      </c>
    </row>
    <row r="186" spans="2:16" x14ac:dyDescent="0.45">
      <c r="B186" s="4">
        <v>185</v>
      </c>
      <c r="C186" s="4" t="s">
        <v>43</v>
      </c>
      <c r="D186" s="4" t="s">
        <v>23</v>
      </c>
      <c r="E186" s="4" t="s">
        <v>17</v>
      </c>
      <c r="F186" s="4" t="s">
        <v>28</v>
      </c>
      <c r="G186" s="4" t="s">
        <v>19</v>
      </c>
      <c r="H186" s="4" t="s">
        <v>28</v>
      </c>
      <c r="I186" s="4">
        <v>13</v>
      </c>
      <c r="J186" s="5">
        <v>41.8</v>
      </c>
      <c r="K186" s="6">
        <v>1.53</v>
      </c>
      <c r="L186" s="4">
        <v>4</v>
      </c>
      <c r="M186" s="4">
        <v>110</v>
      </c>
      <c r="N186" s="4">
        <v>98</v>
      </c>
      <c r="O186" s="4" t="s">
        <v>26</v>
      </c>
      <c r="P186" s="7" t="s">
        <v>19</v>
      </c>
    </row>
    <row r="187" spans="2:16" x14ac:dyDescent="0.45">
      <c r="B187" s="4">
        <v>186</v>
      </c>
      <c r="C187" s="4" t="s">
        <v>15</v>
      </c>
      <c r="D187" s="4" t="s">
        <v>16</v>
      </c>
      <c r="E187" s="4" t="s">
        <v>35</v>
      </c>
      <c r="F187" s="4" t="s">
        <v>18</v>
      </c>
      <c r="G187" s="4" t="s">
        <v>19</v>
      </c>
      <c r="H187" s="4" t="s">
        <v>32</v>
      </c>
      <c r="I187" s="4">
        <v>8</v>
      </c>
      <c r="J187" s="5">
        <v>24.6</v>
      </c>
      <c r="K187" s="6">
        <v>1.22</v>
      </c>
      <c r="L187" s="4">
        <v>1</v>
      </c>
      <c r="M187" s="4">
        <v>93</v>
      </c>
      <c r="N187" s="4">
        <v>143</v>
      </c>
      <c r="O187" s="4" t="s">
        <v>26</v>
      </c>
      <c r="P187" s="7" t="s">
        <v>19</v>
      </c>
    </row>
    <row r="188" spans="2:16" x14ac:dyDescent="0.45">
      <c r="B188" s="4">
        <v>187</v>
      </c>
      <c r="C188" s="4" t="s">
        <v>33</v>
      </c>
      <c r="D188" s="4" t="s">
        <v>23</v>
      </c>
      <c r="E188" s="4" t="s">
        <v>17</v>
      </c>
      <c r="F188" s="4" t="s">
        <v>18</v>
      </c>
      <c r="G188" s="4" t="s">
        <v>19</v>
      </c>
      <c r="H188" s="4" t="s">
        <v>46</v>
      </c>
      <c r="I188" s="4">
        <v>38</v>
      </c>
      <c r="J188" s="5">
        <v>73.7</v>
      </c>
      <c r="K188" s="6">
        <v>1.77</v>
      </c>
      <c r="L188" s="4">
        <v>2</v>
      </c>
      <c r="M188" s="4">
        <v>104</v>
      </c>
      <c r="N188" s="4">
        <v>90</v>
      </c>
      <c r="O188" s="4" t="s">
        <v>26</v>
      </c>
      <c r="P188" s="7" t="s">
        <v>19</v>
      </c>
    </row>
    <row r="189" spans="2:16" x14ac:dyDescent="0.45">
      <c r="B189" s="4">
        <v>188</v>
      </c>
      <c r="C189" s="4" t="s">
        <v>40</v>
      </c>
      <c r="D189" s="4" t="s">
        <v>23</v>
      </c>
      <c r="E189" s="4" t="s">
        <v>35</v>
      </c>
      <c r="F189" s="4" t="s">
        <v>18</v>
      </c>
      <c r="G189" s="4" t="s">
        <v>19</v>
      </c>
      <c r="H189" s="4" t="s">
        <v>32</v>
      </c>
      <c r="I189" s="4">
        <v>35</v>
      </c>
      <c r="J189" s="5">
        <v>63.3</v>
      </c>
      <c r="K189" s="6">
        <v>1.62</v>
      </c>
      <c r="L189" s="4">
        <v>4</v>
      </c>
      <c r="M189" s="4">
        <v>115</v>
      </c>
      <c r="N189" s="4">
        <v>149</v>
      </c>
      <c r="O189" s="4" t="s">
        <v>26</v>
      </c>
      <c r="P189" s="7" t="s">
        <v>19</v>
      </c>
    </row>
    <row r="190" spans="2:16" x14ac:dyDescent="0.45">
      <c r="B190" s="4">
        <v>189</v>
      </c>
      <c r="C190" s="4" t="s">
        <v>39</v>
      </c>
      <c r="D190" s="4" t="s">
        <v>16</v>
      </c>
      <c r="E190" s="4" t="s">
        <v>35</v>
      </c>
      <c r="F190" s="4" t="s">
        <v>24</v>
      </c>
      <c r="G190" s="4" t="s">
        <v>19</v>
      </c>
      <c r="H190" s="4" t="s">
        <v>20</v>
      </c>
      <c r="I190" s="4">
        <v>20</v>
      </c>
      <c r="J190" s="5">
        <v>54.8</v>
      </c>
      <c r="K190" s="6">
        <v>1.68</v>
      </c>
      <c r="L190" s="4">
        <v>3</v>
      </c>
      <c r="M190" s="4">
        <v>106</v>
      </c>
      <c r="N190" s="4">
        <v>74</v>
      </c>
      <c r="O190" s="4" t="s">
        <v>21</v>
      </c>
      <c r="P190" s="7" t="s">
        <v>30</v>
      </c>
    </row>
    <row r="191" spans="2:16" x14ac:dyDescent="0.45">
      <c r="B191" s="4">
        <v>190</v>
      </c>
      <c r="C191" s="4" t="s">
        <v>27</v>
      </c>
      <c r="D191" s="4" t="s">
        <v>16</v>
      </c>
      <c r="E191" s="4" t="s">
        <v>35</v>
      </c>
      <c r="F191" s="4" t="s">
        <v>24</v>
      </c>
      <c r="G191" s="4" t="s">
        <v>30</v>
      </c>
      <c r="H191" s="4" t="s">
        <v>38</v>
      </c>
      <c r="I191" s="4">
        <v>26</v>
      </c>
      <c r="J191" s="5">
        <v>52.6</v>
      </c>
      <c r="K191" s="6">
        <v>1.52</v>
      </c>
      <c r="L191" s="4">
        <v>7</v>
      </c>
      <c r="M191" s="4">
        <v>114</v>
      </c>
      <c r="N191" s="4">
        <v>88</v>
      </c>
      <c r="O191" s="4" t="s">
        <v>26</v>
      </c>
      <c r="P191" s="7" t="s">
        <v>19</v>
      </c>
    </row>
    <row r="192" spans="2:16" x14ac:dyDescent="0.45">
      <c r="B192" s="4">
        <v>191</v>
      </c>
      <c r="C192" s="4" t="s">
        <v>41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s">
        <v>28</v>
      </c>
      <c r="I192" s="4">
        <v>5</v>
      </c>
      <c r="J192" s="5">
        <v>31.4</v>
      </c>
      <c r="K192" s="6">
        <v>1.38</v>
      </c>
      <c r="L192" s="4">
        <v>3</v>
      </c>
      <c r="M192" s="4">
        <v>116</v>
      </c>
      <c r="N192" s="4">
        <v>96</v>
      </c>
      <c r="O192" s="4" t="s">
        <v>21</v>
      </c>
      <c r="P192" s="7" t="s">
        <v>19</v>
      </c>
    </row>
    <row r="193" spans="2:16" x14ac:dyDescent="0.45">
      <c r="B193" s="4">
        <v>192</v>
      </c>
      <c r="C193" s="4" t="s">
        <v>22</v>
      </c>
      <c r="D193" s="4" t="s">
        <v>23</v>
      </c>
      <c r="E193" s="4" t="s">
        <v>35</v>
      </c>
      <c r="F193" s="4" t="s">
        <v>28</v>
      </c>
      <c r="G193" s="4" t="s">
        <v>19</v>
      </c>
      <c r="H193" s="4" t="s">
        <v>28</v>
      </c>
      <c r="I193" s="4">
        <v>7</v>
      </c>
      <c r="J193" s="5">
        <v>24.8</v>
      </c>
      <c r="K193" s="6">
        <v>1.19</v>
      </c>
      <c r="L193" s="4">
        <v>1</v>
      </c>
      <c r="M193" s="4">
        <v>100</v>
      </c>
      <c r="N193" s="4">
        <v>73</v>
      </c>
      <c r="O193" s="4" t="s">
        <v>21</v>
      </c>
      <c r="P193" s="7" t="s">
        <v>19</v>
      </c>
    </row>
    <row r="194" spans="2:16" x14ac:dyDescent="0.45">
      <c r="B194" s="4">
        <v>193</v>
      </c>
      <c r="C194" s="4" t="s">
        <v>40</v>
      </c>
      <c r="D194" s="4" t="s">
        <v>23</v>
      </c>
      <c r="E194" s="4" t="s">
        <v>17</v>
      </c>
      <c r="F194" s="4" t="s">
        <v>24</v>
      </c>
      <c r="G194" s="4" t="s">
        <v>19</v>
      </c>
      <c r="H194" s="4" t="s">
        <v>25</v>
      </c>
      <c r="I194" s="4">
        <v>19</v>
      </c>
      <c r="J194" s="5">
        <v>92.4</v>
      </c>
      <c r="K194" s="6">
        <v>1.56</v>
      </c>
      <c r="L194" s="4">
        <v>3</v>
      </c>
      <c r="M194" s="4">
        <v>116</v>
      </c>
      <c r="N194" s="4">
        <v>96</v>
      </c>
      <c r="O194" s="4" t="s">
        <v>26</v>
      </c>
      <c r="P194" s="7" t="s">
        <v>19</v>
      </c>
    </row>
    <row r="195" spans="2:16" x14ac:dyDescent="0.45">
      <c r="B195" s="4">
        <v>194</v>
      </c>
      <c r="C195" s="4" t="s">
        <v>31</v>
      </c>
      <c r="D195" s="4" t="s">
        <v>16</v>
      </c>
      <c r="E195" s="4" t="s">
        <v>17</v>
      </c>
      <c r="F195" s="4" t="s">
        <v>24</v>
      </c>
      <c r="G195" s="4" t="s">
        <v>19</v>
      </c>
      <c r="H195" s="4" t="s">
        <v>46</v>
      </c>
      <c r="I195" s="4">
        <v>13</v>
      </c>
      <c r="J195" s="5">
        <v>61.5</v>
      </c>
      <c r="K195" s="6">
        <v>1.57</v>
      </c>
      <c r="L195" s="4">
        <v>0</v>
      </c>
      <c r="M195" s="4">
        <v>117</v>
      </c>
      <c r="N195" s="4">
        <v>77</v>
      </c>
      <c r="O195" s="4" t="s">
        <v>26</v>
      </c>
      <c r="P195" s="7" t="s">
        <v>19</v>
      </c>
    </row>
    <row r="196" spans="2:16" x14ac:dyDescent="0.45">
      <c r="B196" s="4">
        <v>195</v>
      </c>
      <c r="C196" s="4" t="s">
        <v>43</v>
      </c>
      <c r="D196" s="4" t="s">
        <v>16</v>
      </c>
      <c r="E196" s="4" t="s">
        <v>17</v>
      </c>
      <c r="F196" s="4" t="s">
        <v>24</v>
      </c>
      <c r="G196" s="4" t="s">
        <v>19</v>
      </c>
      <c r="H196" s="4" t="s">
        <v>20</v>
      </c>
      <c r="I196" s="4">
        <v>7</v>
      </c>
      <c r="J196" s="5">
        <v>23.3</v>
      </c>
      <c r="K196" s="6">
        <v>1.07</v>
      </c>
      <c r="L196" s="4">
        <v>1</v>
      </c>
      <c r="M196" s="4">
        <v>95</v>
      </c>
      <c r="N196" s="4">
        <v>88</v>
      </c>
      <c r="O196" s="4" t="s">
        <v>26</v>
      </c>
      <c r="P196" s="7" t="s">
        <v>19</v>
      </c>
    </row>
    <row r="197" spans="2:16" x14ac:dyDescent="0.45">
      <c r="B197" s="4">
        <v>196</v>
      </c>
      <c r="C197" s="4" t="s">
        <v>29</v>
      </c>
      <c r="D197" s="4" t="s">
        <v>23</v>
      </c>
      <c r="E197" s="4" t="s">
        <v>17</v>
      </c>
      <c r="F197" s="4" t="s">
        <v>18</v>
      </c>
      <c r="G197" s="4" t="s">
        <v>19</v>
      </c>
      <c r="H197" s="4" t="s">
        <v>38</v>
      </c>
      <c r="I197" s="4">
        <v>35</v>
      </c>
      <c r="J197" s="5">
        <v>74.2</v>
      </c>
      <c r="K197" s="6">
        <v>1.73</v>
      </c>
      <c r="L197" s="4">
        <v>3</v>
      </c>
      <c r="M197" s="4">
        <v>116</v>
      </c>
      <c r="N197" s="4">
        <v>102</v>
      </c>
      <c r="O197" s="4" t="s">
        <v>26</v>
      </c>
      <c r="P197" s="7" t="s">
        <v>19</v>
      </c>
    </row>
    <row r="198" spans="2:16" x14ac:dyDescent="0.45">
      <c r="B198" s="4">
        <v>197</v>
      </c>
      <c r="C198" s="4" t="s">
        <v>31</v>
      </c>
      <c r="D198" s="4" t="s">
        <v>16</v>
      </c>
      <c r="E198" s="4" t="s">
        <v>17</v>
      </c>
      <c r="F198" s="4" t="s">
        <v>24</v>
      </c>
      <c r="G198" s="4" t="s">
        <v>19</v>
      </c>
      <c r="H198" s="4" t="s">
        <v>46</v>
      </c>
      <c r="I198" s="4">
        <v>15</v>
      </c>
      <c r="J198" s="5">
        <v>61.1</v>
      </c>
      <c r="K198" s="6">
        <v>1.59</v>
      </c>
      <c r="L198" s="4">
        <v>7</v>
      </c>
      <c r="M198" s="4">
        <v>98</v>
      </c>
      <c r="N198" s="4">
        <v>102</v>
      </c>
      <c r="O198" s="4" t="s">
        <v>21</v>
      </c>
      <c r="P198" s="7" t="s">
        <v>19</v>
      </c>
    </row>
    <row r="199" spans="2:16" x14ac:dyDescent="0.45">
      <c r="B199" s="4">
        <v>198</v>
      </c>
      <c r="C199" s="4" t="s">
        <v>33</v>
      </c>
      <c r="D199" s="4" t="s">
        <v>23</v>
      </c>
      <c r="E199" s="4" t="s">
        <v>44</v>
      </c>
      <c r="F199" s="4" t="s">
        <v>18</v>
      </c>
      <c r="G199" s="4" t="s">
        <v>19</v>
      </c>
      <c r="H199" s="4" t="s">
        <v>34</v>
      </c>
      <c r="I199" s="4">
        <v>44</v>
      </c>
      <c r="J199" s="5">
        <v>87.2</v>
      </c>
      <c r="K199" s="6">
        <v>1.72</v>
      </c>
      <c r="L199" s="4">
        <v>2</v>
      </c>
      <c r="M199" s="4">
        <v>117</v>
      </c>
      <c r="N199" s="4">
        <v>82</v>
      </c>
      <c r="O199" s="4" t="s">
        <v>21</v>
      </c>
      <c r="P199" s="7" t="s">
        <v>19</v>
      </c>
    </row>
    <row r="200" spans="2:16" x14ac:dyDescent="0.45">
      <c r="B200" s="4">
        <v>199</v>
      </c>
      <c r="C200" s="4" t="s">
        <v>39</v>
      </c>
      <c r="D200" s="4" t="s">
        <v>16</v>
      </c>
      <c r="E200" s="4" t="s">
        <v>35</v>
      </c>
      <c r="F200" s="4" t="s">
        <v>42</v>
      </c>
      <c r="G200" s="4" t="s">
        <v>19</v>
      </c>
      <c r="H200" s="4" t="s">
        <v>28</v>
      </c>
      <c r="I200" s="4">
        <v>12</v>
      </c>
      <c r="J200" s="5">
        <v>41.9</v>
      </c>
      <c r="K200" s="6">
        <v>1.53</v>
      </c>
      <c r="L200" s="4">
        <v>1</v>
      </c>
      <c r="M200" s="4">
        <v>112</v>
      </c>
      <c r="N200" s="4">
        <v>84</v>
      </c>
      <c r="O200" s="4" t="s">
        <v>21</v>
      </c>
      <c r="P200" s="7" t="s">
        <v>19</v>
      </c>
    </row>
    <row r="201" spans="2:16" x14ac:dyDescent="0.45">
      <c r="B201" s="4">
        <v>200</v>
      </c>
      <c r="C201" s="4" t="s">
        <v>40</v>
      </c>
      <c r="D201" s="4" t="s">
        <v>16</v>
      </c>
      <c r="E201" s="4" t="s">
        <v>35</v>
      </c>
      <c r="F201" s="4" t="s">
        <v>24</v>
      </c>
      <c r="G201" s="4" t="s">
        <v>19</v>
      </c>
      <c r="H201" s="4" t="s">
        <v>28</v>
      </c>
      <c r="I201" s="4">
        <v>25</v>
      </c>
      <c r="J201" s="5">
        <v>83.3</v>
      </c>
      <c r="K201" s="6">
        <v>1.86</v>
      </c>
      <c r="L201" s="4">
        <v>1</v>
      </c>
      <c r="M201" s="4">
        <v>104</v>
      </c>
      <c r="N201" s="4">
        <v>105</v>
      </c>
      <c r="O201" s="4" t="s">
        <v>26</v>
      </c>
      <c r="P201" s="7" t="s">
        <v>19</v>
      </c>
    </row>
    <row r="202" spans="2:16" x14ac:dyDescent="0.45">
      <c r="B202" s="4">
        <v>201</v>
      </c>
      <c r="C202" s="4" t="s">
        <v>22</v>
      </c>
      <c r="D202" s="4" t="s">
        <v>23</v>
      </c>
      <c r="E202" s="4" t="s">
        <v>17</v>
      </c>
      <c r="F202" s="4" t="s">
        <v>24</v>
      </c>
      <c r="G202" s="4" t="s">
        <v>19</v>
      </c>
      <c r="H202" s="4" t="s">
        <v>38</v>
      </c>
      <c r="I202" s="4">
        <v>15</v>
      </c>
      <c r="J202" s="5">
        <v>50.5</v>
      </c>
      <c r="K202" s="6">
        <v>1.54</v>
      </c>
      <c r="L202" s="4">
        <v>4</v>
      </c>
      <c r="M202" s="4">
        <v>109</v>
      </c>
      <c r="N202" s="4">
        <v>88</v>
      </c>
      <c r="O202" s="4" t="s">
        <v>21</v>
      </c>
      <c r="P202" s="7" t="s">
        <v>30</v>
      </c>
    </row>
    <row r="203" spans="2:16" x14ac:dyDescent="0.45">
      <c r="B203" s="4">
        <v>202</v>
      </c>
      <c r="C203" s="4" t="s">
        <v>15</v>
      </c>
      <c r="D203" s="4" t="s">
        <v>16</v>
      </c>
      <c r="E203" s="4" t="s">
        <v>17</v>
      </c>
      <c r="F203" s="4" t="s">
        <v>18</v>
      </c>
      <c r="G203" s="4" t="s">
        <v>30</v>
      </c>
      <c r="H203" s="4" t="s">
        <v>20</v>
      </c>
      <c r="I203" s="4">
        <v>19</v>
      </c>
      <c r="J203" s="5">
        <v>83.8</v>
      </c>
      <c r="K203" s="6">
        <v>1.68</v>
      </c>
      <c r="L203" s="4">
        <v>1</v>
      </c>
      <c r="M203" s="4">
        <v>104</v>
      </c>
      <c r="N203" s="4">
        <v>102</v>
      </c>
      <c r="O203" s="4" t="s">
        <v>26</v>
      </c>
      <c r="P203" s="7" t="s">
        <v>30</v>
      </c>
    </row>
    <row r="204" spans="2:16" x14ac:dyDescent="0.45">
      <c r="B204" s="4">
        <v>203</v>
      </c>
      <c r="C204" s="4" t="s">
        <v>39</v>
      </c>
      <c r="D204" s="4" t="s">
        <v>23</v>
      </c>
      <c r="E204" s="4" t="s">
        <v>17</v>
      </c>
      <c r="F204" s="4" t="s">
        <v>18</v>
      </c>
      <c r="G204" s="4" t="s">
        <v>19</v>
      </c>
      <c r="H204" s="4" t="s">
        <v>28</v>
      </c>
      <c r="I204" s="4">
        <v>9</v>
      </c>
      <c r="J204" s="5">
        <v>18.2</v>
      </c>
      <c r="K204" s="6">
        <v>1.1599999999999999</v>
      </c>
      <c r="L204" s="4">
        <v>0</v>
      </c>
      <c r="M204" s="4">
        <v>100</v>
      </c>
      <c r="N204" s="4">
        <v>80</v>
      </c>
      <c r="O204" s="4" t="s">
        <v>21</v>
      </c>
      <c r="P204" s="7" t="s">
        <v>30</v>
      </c>
    </row>
    <row r="205" spans="2:16" x14ac:dyDescent="0.45">
      <c r="B205" s="4">
        <v>204</v>
      </c>
      <c r="C205" s="4" t="s">
        <v>39</v>
      </c>
      <c r="D205" s="4" t="s">
        <v>16</v>
      </c>
      <c r="E205" s="4" t="s">
        <v>17</v>
      </c>
      <c r="F205" s="4" t="s">
        <v>28</v>
      </c>
      <c r="G205" s="4" t="s">
        <v>19</v>
      </c>
      <c r="H205" s="4" t="s">
        <v>20</v>
      </c>
      <c r="I205" s="4">
        <v>7</v>
      </c>
      <c r="J205" s="5">
        <v>22.5</v>
      </c>
      <c r="K205" s="6">
        <v>1.25</v>
      </c>
      <c r="L205" s="4">
        <v>3</v>
      </c>
      <c r="M205" s="4">
        <v>99</v>
      </c>
      <c r="N205" s="4">
        <v>79</v>
      </c>
      <c r="O205" s="4" t="s">
        <v>26</v>
      </c>
      <c r="P205" s="7" t="s">
        <v>19</v>
      </c>
    </row>
    <row r="206" spans="2:16" x14ac:dyDescent="0.45">
      <c r="B206" s="4">
        <v>205</v>
      </c>
      <c r="C206" s="4" t="s">
        <v>27</v>
      </c>
      <c r="D206" s="4" t="s">
        <v>16</v>
      </c>
      <c r="E206" s="4" t="s">
        <v>35</v>
      </c>
      <c r="F206" s="4" t="s">
        <v>24</v>
      </c>
      <c r="G206" s="4" t="s">
        <v>19</v>
      </c>
      <c r="H206" s="4" t="s">
        <v>46</v>
      </c>
      <c r="I206" s="4">
        <v>27</v>
      </c>
      <c r="J206" s="5">
        <v>82.8</v>
      </c>
      <c r="K206" s="6">
        <v>1.68</v>
      </c>
      <c r="L206" s="4">
        <v>0</v>
      </c>
      <c r="M206" s="4">
        <v>106</v>
      </c>
      <c r="N206" s="4">
        <v>82</v>
      </c>
      <c r="O206" s="4" t="s">
        <v>21</v>
      </c>
      <c r="P206" s="7" t="s">
        <v>19</v>
      </c>
    </row>
    <row r="207" spans="2:16" x14ac:dyDescent="0.45">
      <c r="B207" s="4">
        <v>206</v>
      </c>
      <c r="C207" s="4" t="s">
        <v>22</v>
      </c>
      <c r="D207" s="4" t="s">
        <v>16</v>
      </c>
      <c r="E207" s="4" t="s">
        <v>35</v>
      </c>
      <c r="F207" s="4" t="s">
        <v>18</v>
      </c>
      <c r="G207" s="4" t="s">
        <v>19</v>
      </c>
      <c r="H207" s="4" t="s">
        <v>36</v>
      </c>
      <c r="I207" s="4">
        <v>27</v>
      </c>
      <c r="J207" s="5">
        <v>50.4</v>
      </c>
      <c r="K207" s="6">
        <v>1.54</v>
      </c>
      <c r="L207" s="4">
        <v>6</v>
      </c>
      <c r="M207" s="4">
        <v>134</v>
      </c>
      <c r="N207" s="4">
        <v>92</v>
      </c>
      <c r="O207" s="4" t="s">
        <v>21</v>
      </c>
      <c r="P207" s="7" t="s">
        <v>19</v>
      </c>
    </row>
    <row r="208" spans="2:16" x14ac:dyDescent="0.45">
      <c r="B208" s="4">
        <v>207</v>
      </c>
      <c r="C208" s="4" t="s">
        <v>22</v>
      </c>
      <c r="D208" s="4" t="s">
        <v>16</v>
      </c>
      <c r="E208" s="4" t="s">
        <v>17</v>
      </c>
      <c r="F208" s="4" t="s">
        <v>24</v>
      </c>
      <c r="G208" s="4" t="s">
        <v>19</v>
      </c>
      <c r="H208" s="4" t="s">
        <v>20</v>
      </c>
      <c r="I208" s="4">
        <v>23</v>
      </c>
      <c r="J208" s="5">
        <v>94.5</v>
      </c>
      <c r="K208" s="6">
        <v>1.86</v>
      </c>
      <c r="L208" s="4">
        <v>1</v>
      </c>
      <c r="M208" s="4">
        <v>99</v>
      </c>
      <c r="N208" s="4">
        <v>85</v>
      </c>
      <c r="O208" s="4" t="s">
        <v>26</v>
      </c>
      <c r="P208" s="7" t="s">
        <v>19</v>
      </c>
    </row>
    <row r="209" spans="2:16" x14ac:dyDescent="0.45">
      <c r="B209" s="4">
        <v>208</v>
      </c>
      <c r="C209" s="4" t="s">
        <v>29</v>
      </c>
      <c r="D209" s="4" t="s">
        <v>16</v>
      </c>
      <c r="E209" s="4" t="s">
        <v>17</v>
      </c>
      <c r="F209" s="4" t="s">
        <v>24</v>
      </c>
      <c r="G209" s="4" t="s">
        <v>19</v>
      </c>
      <c r="H209" s="4" t="s">
        <v>20</v>
      </c>
      <c r="I209" s="4">
        <v>9</v>
      </c>
      <c r="J209" s="5">
        <v>29.7</v>
      </c>
      <c r="K209" s="6">
        <v>1.29</v>
      </c>
      <c r="L209" s="4">
        <v>0</v>
      </c>
      <c r="M209" s="4">
        <v>93</v>
      </c>
      <c r="N209" s="4">
        <v>82</v>
      </c>
      <c r="O209" s="4" t="s">
        <v>26</v>
      </c>
      <c r="P209" s="7" t="s">
        <v>19</v>
      </c>
    </row>
    <row r="210" spans="2:16" x14ac:dyDescent="0.45">
      <c r="B210" s="4">
        <v>209</v>
      </c>
      <c r="C210" s="4" t="s">
        <v>40</v>
      </c>
      <c r="D210" s="4" t="s">
        <v>16</v>
      </c>
      <c r="E210" s="4" t="s">
        <v>17</v>
      </c>
      <c r="F210" s="4" t="s">
        <v>24</v>
      </c>
      <c r="G210" s="4" t="s">
        <v>19</v>
      </c>
      <c r="H210" s="4" t="s">
        <v>36</v>
      </c>
      <c r="I210" s="4">
        <v>27</v>
      </c>
      <c r="J210" s="5">
        <v>84.9</v>
      </c>
      <c r="K210" s="6">
        <v>1.69</v>
      </c>
      <c r="L210" s="4">
        <v>3</v>
      </c>
      <c r="M210" s="4">
        <v>123</v>
      </c>
      <c r="N210" s="4">
        <v>105</v>
      </c>
      <c r="O210" s="4" t="s">
        <v>21</v>
      </c>
      <c r="P210" s="7" t="s">
        <v>19</v>
      </c>
    </row>
    <row r="211" spans="2:16" x14ac:dyDescent="0.45">
      <c r="B211" s="4">
        <v>210</v>
      </c>
      <c r="C211" s="4" t="s">
        <v>31</v>
      </c>
      <c r="D211" s="4" t="s">
        <v>23</v>
      </c>
      <c r="E211" s="4" t="s">
        <v>35</v>
      </c>
      <c r="F211" s="4" t="s">
        <v>24</v>
      </c>
      <c r="G211" s="4" t="s">
        <v>19</v>
      </c>
      <c r="H211" s="4" t="s">
        <v>32</v>
      </c>
      <c r="I211" s="4">
        <v>15</v>
      </c>
      <c r="J211" s="5">
        <v>63.3</v>
      </c>
      <c r="K211" s="6">
        <v>1.67</v>
      </c>
      <c r="L211" s="4">
        <v>1</v>
      </c>
      <c r="M211" s="4">
        <v>118</v>
      </c>
      <c r="N211" s="4">
        <v>167</v>
      </c>
      <c r="O211" s="4" t="s">
        <v>21</v>
      </c>
      <c r="P211" s="7" t="s">
        <v>19</v>
      </c>
    </row>
    <row r="212" spans="2:16" x14ac:dyDescent="0.45">
      <c r="B212" s="4">
        <v>211</v>
      </c>
      <c r="C212" s="4" t="s">
        <v>29</v>
      </c>
      <c r="D212" s="4" t="s">
        <v>16</v>
      </c>
      <c r="E212" s="4" t="s">
        <v>37</v>
      </c>
      <c r="F212" s="4" t="s">
        <v>24</v>
      </c>
      <c r="G212" s="4" t="s">
        <v>19</v>
      </c>
      <c r="H212" s="4" t="s">
        <v>38</v>
      </c>
      <c r="I212" s="4">
        <v>73</v>
      </c>
      <c r="J212" s="5">
        <v>92.6</v>
      </c>
      <c r="K212" s="6">
        <v>1.7</v>
      </c>
      <c r="L212" s="4">
        <v>4</v>
      </c>
      <c r="M212" s="4">
        <v>113</v>
      </c>
      <c r="N212" s="4">
        <v>76</v>
      </c>
      <c r="O212" s="4" t="s">
        <v>26</v>
      </c>
      <c r="P212" s="7" t="s">
        <v>19</v>
      </c>
    </row>
    <row r="213" spans="2:16" x14ac:dyDescent="0.45">
      <c r="B213" s="4">
        <v>212</v>
      </c>
      <c r="C213" s="4" t="s">
        <v>43</v>
      </c>
      <c r="D213" s="4" t="s">
        <v>23</v>
      </c>
      <c r="E213" s="4" t="s">
        <v>17</v>
      </c>
      <c r="F213" s="4" t="s">
        <v>24</v>
      </c>
      <c r="G213" s="4" t="s">
        <v>19</v>
      </c>
      <c r="H213" s="4" t="s">
        <v>25</v>
      </c>
      <c r="I213" s="4">
        <v>50</v>
      </c>
      <c r="J213" s="5">
        <v>52.3</v>
      </c>
      <c r="K213" s="6">
        <v>1.51</v>
      </c>
      <c r="L213" s="4">
        <v>1</v>
      </c>
      <c r="M213" s="4">
        <v>126</v>
      </c>
      <c r="N213" s="4">
        <v>97</v>
      </c>
      <c r="O213" s="4" t="s">
        <v>26</v>
      </c>
      <c r="P213" s="7" t="s">
        <v>19</v>
      </c>
    </row>
    <row r="214" spans="2:16" x14ac:dyDescent="0.45">
      <c r="B214" s="4">
        <v>213</v>
      </c>
      <c r="C214" s="4" t="s">
        <v>27</v>
      </c>
      <c r="D214" s="4" t="s">
        <v>23</v>
      </c>
      <c r="E214" s="4" t="s">
        <v>37</v>
      </c>
      <c r="F214" s="4" t="s">
        <v>18</v>
      </c>
      <c r="G214" s="4" t="s">
        <v>19</v>
      </c>
      <c r="H214" s="4" t="s">
        <v>25</v>
      </c>
      <c r="I214" s="4">
        <v>41</v>
      </c>
      <c r="J214" s="5">
        <v>77.7</v>
      </c>
      <c r="K214" s="6">
        <v>1.49</v>
      </c>
      <c r="L214" s="4">
        <v>2</v>
      </c>
      <c r="M214" s="4">
        <v>106</v>
      </c>
      <c r="N214" s="4">
        <v>87</v>
      </c>
      <c r="O214" s="4" t="s">
        <v>26</v>
      </c>
      <c r="P214" s="7" t="s">
        <v>19</v>
      </c>
    </row>
    <row r="215" spans="2:16" x14ac:dyDescent="0.45">
      <c r="B215" s="4">
        <v>214</v>
      </c>
      <c r="C215" s="4" t="s">
        <v>41</v>
      </c>
      <c r="D215" s="4" t="s">
        <v>16</v>
      </c>
      <c r="E215" s="4" t="s">
        <v>35</v>
      </c>
      <c r="F215" s="4" t="s">
        <v>28</v>
      </c>
      <c r="G215" s="4" t="s">
        <v>19</v>
      </c>
      <c r="H215" s="4" t="s">
        <v>28</v>
      </c>
      <c r="I215" s="4">
        <v>0</v>
      </c>
      <c r="J215" s="5">
        <v>8.1</v>
      </c>
      <c r="K215" s="6">
        <v>0.88</v>
      </c>
      <c r="L215" s="4">
        <v>5</v>
      </c>
      <c r="M215" s="4">
        <v>94</v>
      </c>
      <c r="N215" s="4">
        <v>90</v>
      </c>
      <c r="O215" s="4" t="s">
        <v>21</v>
      </c>
      <c r="P215" s="7" t="s">
        <v>19</v>
      </c>
    </row>
    <row r="216" spans="2:16" x14ac:dyDescent="0.45">
      <c r="B216" s="4">
        <v>215</v>
      </c>
      <c r="C216" s="4" t="s">
        <v>15</v>
      </c>
      <c r="D216" s="4" t="s">
        <v>16</v>
      </c>
      <c r="E216" s="4" t="s">
        <v>17</v>
      </c>
      <c r="F216" s="4" t="s">
        <v>28</v>
      </c>
      <c r="G216" s="4" t="s">
        <v>19</v>
      </c>
      <c r="H216" s="4" t="s">
        <v>20</v>
      </c>
      <c r="I216" s="4">
        <v>19</v>
      </c>
      <c r="J216" s="5">
        <v>50.2</v>
      </c>
      <c r="K216" s="6">
        <v>1.68</v>
      </c>
      <c r="L216" s="4">
        <v>2</v>
      </c>
      <c r="M216" s="4">
        <v>106</v>
      </c>
      <c r="N216" s="4">
        <v>77</v>
      </c>
      <c r="O216" s="4" t="s">
        <v>26</v>
      </c>
      <c r="P216" s="7" t="s">
        <v>19</v>
      </c>
    </row>
    <row r="217" spans="2:16" x14ac:dyDescent="0.45">
      <c r="B217" s="4">
        <v>216</v>
      </c>
      <c r="C217" s="4" t="s">
        <v>39</v>
      </c>
      <c r="D217" s="4" t="s">
        <v>16</v>
      </c>
      <c r="E217" s="4" t="s">
        <v>17</v>
      </c>
      <c r="F217" s="4" t="s">
        <v>28</v>
      </c>
      <c r="G217" s="4" t="s">
        <v>19</v>
      </c>
      <c r="H217" s="4" t="s">
        <v>20</v>
      </c>
      <c r="I217" s="4">
        <v>45</v>
      </c>
      <c r="J217" s="5">
        <v>60.1</v>
      </c>
      <c r="K217" s="6">
        <v>1.85</v>
      </c>
      <c r="L217" s="4">
        <v>3</v>
      </c>
      <c r="M217" s="4">
        <v>120</v>
      </c>
      <c r="N217" s="4">
        <v>78</v>
      </c>
      <c r="O217" s="4" t="s">
        <v>26</v>
      </c>
      <c r="P217" s="7" t="s">
        <v>19</v>
      </c>
    </row>
    <row r="218" spans="2:16" x14ac:dyDescent="0.45">
      <c r="B218" s="4">
        <v>217</v>
      </c>
      <c r="C218" s="4" t="s">
        <v>22</v>
      </c>
      <c r="D218" s="4" t="s">
        <v>16</v>
      </c>
      <c r="E218" s="4" t="s">
        <v>17</v>
      </c>
      <c r="F218" s="4" t="s">
        <v>24</v>
      </c>
      <c r="G218" s="4" t="s">
        <v>30</v>
      </c>
      <c r="H218" s="4" t="s">
        <v>20</v>
      </c>
      <c r="I218" s="4">
        <v>40</v>
      </c>
      <c r="J218" s="5">
        <v>69.099999999999994</v>
      </c>
      <c r="K218" s="6">
        <v>1.66</v>
      </c>
      <c r="L218" s="4">
        <v>0</v>
      </c>
      <c r="M218" s="4">
        <v>114</v>
      </c>
      <c r="N218" s="4">
        <v>94</v>
      </c>
      <c r="O218" s="4" t="s">
        <v>21</v>
      </c>
      <c r="P218" s="7" t="s">
        <v>19</v>
      </c>
    </row>
    <row r="219" spans="2:16" x14ac:dyDescent="0.45">
      <c r="B219" s="4">
        <v>218</v>
      </c>
      <c r="C219" s="4" t="s">
        <v>27</v>
      </c>
      <c r="D219" s="4" t="s">
        <v>16</v>
      </c>
      <c r="E219" s="4" t="s">
        <v>35</v>
      </c>
      <c r="F219" s="4" t="s">
        <v>18</v>
      </c>
      <c r="G219" s="4" t="s">
        <v>19</v>
      </c>
      <c r="H219" s="4" t="s">
        <v>25</v>
      </c>
      <c r="I219" s="4">
        <v>22</v>
      </c>
      <c r="J219" s="5">
        <v>68.099999999999994</v>
      </c>
      <c r="K219" s="6">
        <v>1.7</v>
      </c>
      <c r="L219" s="4">
        <v>6</v>
      </c>
      <c r="M219" s="4">
        <v>101</v>
      </c>
      <c r="N219" s="4">
        <v>88</v>
      </c>
      <c r="O219" s="4" t="s">
        <v>21</v>
      </c>
      <c r="P219" s="7" t="s">
        <v>19</v>
      </c>
    </row>
    <row r="220" spans="2:16" x14ac:dyDescent="0.45">
      <c r="B220" s="4">
        <v>219</v>
      </c>
      <c r="C220" s="4" t="s">
        <v>27</v>
      </c>
      <c r="D220" s="4" t="s">
        <v>16</v>
      </c>
      <c r="E220" s="4" t="s">
        <v>37</v>
      </c>
      <c r="F220" s="4" t="s">
        <v>18</v>
      </c>
      <c r="G220" s="4" t="s">
        <v>19</v>
      </c>
      <c r="H220" s="4" t="s">
        <v>34</v>
      </c>
      <c r="I220" s="4">
        <v>25</v>
      </c>
      <c r="J220" s="5">
        <v>93</v>
      </c>
      <c r="K220" s="6">
        <v>1.49</v>
      </c>
      <c r="L220" s="4">
        <v>6</v>
      </c>
      <c r="M220" s="4">
        <v>120</v>
      </c>
      <c r="N220" s="4">
        <v>96</v>
      </c>
      <c r="O220" s="4" t="s">
        <v>26</v>
      </c>
      <c r="P220" s="7" t="s">
        <v>19</v>
      </c>
    </row>
    <row r="221" spans="2:16" x14ac:dyDescent="0.45">
      <c r="B221" s="4">
        <v>220</v>
      </c>
      <c r="C221" s="4" t="s">
        <v>27</v>
      </c>
      <c r="D221" s="4" t="s">
        <v>16</v>
      </c>
      <c r="E221" s="4" t="s">
        <v>17</v>
      </c>
      <c r="F221" s="4" t="s">
        <v>24</v>
      </c>
      <c r="G221" s="4" t="s">
        <v>19</v>
      </c>
      <c r="H221" s="4" t="s">
        <v>34</v>
      </c>
      <c r="I221" s="4">
        <v>0</v>
      </c>
      <c r="J221" s="5">
        <v>9.1999999999999993</v>
      </c>
      <c r="K221" s="6">
        <v>0.7</v>
      </c>
      <c r="L221" s="4">
        <v>1</v>
      </c>
      <c r="M221" s="4">
        <v>96</v>
      </c>
      <c r="N221" s="4">
        <v>97</v>
      </c>
      <c r="O221" s="4" t="s">
        <v>26</v>
      </c>
      <c r="P221" s="7" t="s">
        <v>19</v>
      </c>
    </row>
    <row r="222" spans="2:16" x14ac:dyDescent="0.45">
      <c r="B222" s="4">
        <v>221</v>
      </c>
      <c r="C222" s="4" t="s">
        <v>31</v>
      </c>
      <c r="D222" s="4" t="s">
        <v>23</v>
      </c>
      <c r="E222" s="4" t="s">
        <v>37</v>
      </c>
      <c r="F222" s="4" t="s">
        <v>24</v>
      </c>
      <c r="G222" s="4" t="s">
        <v>19</v>
      </c>
      <c r="H222" s="4" t="s">
        <v>20</v>
      </c>
      <c r="I222" s="4">
        <v>1</v>
      </c>
      <c r="J222" s="5">
        <v>15.4</v>
      </c>
      <c r="K222" s="6">
        <v>0.73</v>
      </c>
      <c r="L222" s="4">
        <v>2</v>
      </c>
      <c r="M222" s="4">
        <v>111</v>
      </c>
      <c r="N222" s="4">
        <v>77</v>
      </c>
      <c r="O222" s="4" t="s">
        <v>26</v>
      </c>
      <c r="P222" s="7" t="s">
        <v>19</v>
      </c>
    </row>
    <row r="223" spans="2:16" x14ac:dyDescent="0.45">
      <c r="B223" s="4">
        <v>222</v>
      </c>
      <c r="C223" s="4" t="s">
        <v>27</v>
      </c>
      <c r="D223" s="4" t="s">
        <v>16</v>
      </c>
      <c r="E223" s="4" t="s">
        <v>35</v>
      </c>
      <c r="F223" s="4" t="s">
        <v>18</v>
      </c>
      <c r="G223" s="4" t="s">
        <v>19</v>
      </c>
      <c r="H223" s="4" t="s">
        <v>28</v>
      </c>
      <c r="I223" s="4">
        <v>19</v>
      </c>
      <c r="J223" s="5">
        <v>47.5</v>
      </c>
      <c r="K223" s="6">
        <v>1.69</v>
      </c>
      <c r="L223" s="4">
        <v>0</v>
      </c>
      <c r="M223" s="4">
        <v>100</v>
      </c>
      <c r="N223" s="4">
        <v>75</v>
      </c>
      <c r="O223" s="4" t="s">
        <v>21</v>
      </c>
      <c r="P223" s="7" t="s">
        <v>19</v>
      </c>
    </row>
    <row r="224" spans="2:16" x14ac:dyDescent="0.45">
      <c r="B224" s="4">
        <v>223</v>
      </c>
      <c r="C224" s="4" t="s">
        <v>31</v>
      </c>
      <c r="D224" s="4" t="s">
        <v>16</v>
      </c>
      <c r="E224" s="4" t="s">
        <v>17</v>
      </c>
      <c r="F224" s="4" t="s">
        <v>28</v>
      </c>
      <c r="G224" s="4" t="s">
        <v>19</v>
      </c>
      <c r="H224" s="4" t="s">
        <v>20</v>
      </c>
      <c r="I224" s="4">
        <v>20</v>
      </c>
      <c r="J224" s="5">
        <v>82.8</v>
      </c>
      <c r="K224" s="6">
        <v>1.72</v>
      </c>
      <c r="L224" s="4">
        <v>2</v>
      </c>
      <c r="M224" s="4">
        <v>103</v>
      </c>
      <c r="N224" s="4">
        <v>81</v>
      </c>
      <c r="O224" s="4" t="s">
        <v>26</v>
      </c>
      <c r="P224" s="7" t="s">
        <v>30</v>
      </c>
    </row>
    <row r="225" spans="2:16" x14ac:dyDescent="0.45">
      <c r="B225" s="4">
        <v>224</v>
      </c>
      <c r="C225" s="4" t="s">
        <v>39</v>
      </c>
      <c r="D225" s="4" t="s">
        <v>16</v>
      </c>
      <c r="E225" s="4" t="s">
        <v>17</v>
      </c>
      <c r="F225" s="4" t="s">
        <v>24</v>
      </c>
      <c r="G225" s="4" t="s">
        <v>19</v>
      </c>
      <c r="H225" s="4" t="s">
        <v>20</v>
      </c>
      <c r="I225" s="4">
        <v>25</v>
      </c>
      <c r="J225" s="5">
        <v>91.9</v>
      </c>
      <c r="K225" s="6">
        <v>1.61</v>
      </c>
      <c r="L225" s="4">
        <v>2</v>
      </c>
      <c r="M225" s="4">
        <v>118</v>
      </c>
      <c r="N225" s="4">
        <v>101</v>
      </c>
      <c r="O225" s="4" t="s">
        <v>21</v>
      </c>
      <c r="P225" s="7" t="s">
        <v>19</v>
      </c>
    </row>
    <row r="226" spans="2:16" x14ac:dyDescent="0.45">
      <c r="B226" s="4">
        <v>225</v>
      </c>
      <c r="C226" s="4" t="s">
        <v>45</v>
      </c>
      <c r="D226" s="4" t="s">
        <v>23</v>
      </c>
      <c r="E226" s="4" t="s">
        <v>35</v>
      </c>
      <c r="F226" s="4" t="s">
        <v>24</v>
      </c>
      <c r="G226" s="4" t="s">
        <v>30</v>
      </c>
      <c r="H226" s="4" t="s">
        <v>34</v>
      </c>
      <c r="I226" s="4">
        <v>8</v>
      </c>
      <c r="J226" s="5">
        <v>35.799999999999997</v>
      </c>
      <c r="K226" s="6">
        <v>1.33</v>
      </c>
      <c r="L226" s="4">
        <v>0</v>
      </c>
      <c r="M226" s="4">
        <v>113</v>
      </c>
      <c r="N226" s="4">
        <v>79</v>
      </c>
      <c r="O226" s="4" t="s">
        <v>21</v>
      </c>
      <c r="P226" s="7" t="s">
        <v>19</v>
      </c>
    </row>
    <row r="227" spans="2:16" x14ac:dyDescent="0.45">
      <c r="B227" s="4">
        <v>226</v>
      </c>
      <c r="C227" s="4" t="s">
        <v>27</v>
      </c>
      <c r="D227" s="4" t="s">
        <v>23</v>
      </c>
      <c r="E227" s="4" t="s">
        <v>35</v>
      </c>
      <c r="F227" s="4" t="s">
        <v>42</v>
      </c>
      <c r="G227" s="4" t="s">
        <v>30</v>
      </c>
      <c r="H227" s="4" t="s">
        <v>28</v>
      </c>
      <c r="I227" s="4">
        <v>8</v>
      </c>
      <c r="J227" s="5">
        <v>25</v>
      </c>
      <c r="K227" s="6">
        <v>1.25</v>
      </c>
      <c r="L227" s="4">
        <v>1</v>
      </c>
      <c r="M227" s="4">
        <v>106</v>
      </c>
      <c r="N227" s="4">
        <v>85</v>
      </c>
      <c r="O227" s="4" t="s">
        <v>21</v>
      </c>
      <c r="P227" s="7" t="s">
        <v>30</v>
      </c>
    </row>
    <row r="228" spans="2:16" x14ac:dyDescent="0.45">
      <c r="B228" s="4">
        <v>227</v>
      </c>
      <c r="C228" s="4" t="s">
        <v>41</v>
      </c>
      <c r="D228" s="4" t="s">
        <v>23</v>
      </c>
      <c r="E228" s="4" t="s">
        <v>37</v>
      </c>
      <c r="F228" s="4" t="s">
        <v>18</v>
      </c>
      <c r="G228" s="4" t="s">
        <v>30</v>
      </c>
      <c r="H228" s="4" t="s">
        <v>38</v>
      </c>
      <c r="I228" s="4">
        <v>3</v>
      </c>
      <c r="J228" s="5">
        <v>17.600000000000001</v>
      </c>
      <c r="K228" s="6">
        <v>0.63</v>
      </c>
      <c r="L228" s="4">
        <v>2</v>
      </c>
      <c r="M228" s="4">
        <v>106</v>
      </c>
      <c r="N228" s="4">
        <v>81</v>
      </c>
      <c r="O228" s="4" t="s">
        <v>21</v>
      </c>
      <c r="P228" s="7" t="s">
        <v>19</v>
      </c>
    </row>
    <row r="229" spans="2:16" x14ac:dyDescent="0.45">
      <c r="B229" s="4">
        <v>228</v>
      </c>
      <c r="C229" s="4" t="s">
        <v>41</v>
      </c>
      <c r="D229" s="4" t="s">
        <v>16</v>
      </c>
      <c r="E229" s="4" t="s">
        <v>17</v>
      </c>
      <c r="F229" s="4" t="s">
        <v>24</v>
      </c>
      <c r="G229" s="4" t="s">
        <v>19</v>
      </c>
      <c r="H229" s="4" t="s">
        <v>32</v>
      </c>
      <c r="I229" s="4">
        <v>0</v>
      </c>
      <c r="J229" s="5">
        <v>16.5</v>
      </c>
      <c r="K229" s="6">
        <v>0.78</v>
      </c>
      <c r="L229" s="4">
        <v>1</v>
      </c>
      <c r="M229" s="4">
        <v>105</v>
      </c>
      <c r="N229" s="4">
        <v>141</v>
      </c>
      <c r="O229" s="4" t="s">
        <v>26</v>
      </c>
      <c r="P229" s="7" t="s">
        <v>19</v>
      </c>
    </row>
    <row r="230" spans="2:16" x14ac:dyDescent="0.45">
      <c r="B230" s="4">
        <v>229</v>
      </c>
      <c r="C230" s="4" t="s">
        <v>41</v>
      </c>
      <c r="D230" s="4" t="s">
        <v>16</v>
      </c>
      <c r="E230" s="4" t="s">
        <v>35</v>
      </c>
      <c r="F230" s="4" t="s">
        <v>28</v>
      </c>
      <c r="G230" s="4" t="s">
        <v>19</v>
      </c>
      <c r="H230" s="4" t="s">
        <v>28</v>
      </c>
      <c r="I230" s="4">
        <v>45</v>
      </c>
      <c r="J230" s="5">
        <v>82.3</v>
      </c>
      <c r="K230" s="6">
        <v>1.57</v>
      </c>
      <c r="L230" s="4">
        <v>1</v>
      </c>
      <c r="M230" s="4">
        <v>106</v>
      </c>
      <c r="N230" s="4">
        <v>99</v>
      </c>
      <c r="O230" s="4" t="s">
        <v>21</v>
      </c>
      <c r="P230" s="7" t="s">
        <v>19</v>
      </c>
    </row>
    <row r="231" spans="2:16" x14ac:dyDescent="0.45">
      <c r="B231" s="4">
        <v>230</v>
      </c>
      <c r="C231" s="4" t="s">
        <v>15</v>
      </c>
      <c r="D231" s="4" t="s">
        <v>23</v>
      </c>
      <c r="E231" s="4" t="s">
        <v>35</v>
      </c>
      <c r="F231" s="4" t="s">
        <v>18</v>
      </c>
      <c r="G231" s="4" t="s">
        <v>19</v>
      </c>
      <c r="H231" s="4" t="s">
        <v>32</v>
      </c>
      <c r="I231" s="4">
        <v>37</v>
      </c>
      <c r="J231" s="5">
        <v>54.7</v>
      </c>
      <c r="K231" s="6">
        <v>1.58</v>
      </c>
      <c r="L231" s="4">
        <v>4</v>
      </c>
      <c r="M231" s="4">
        <v>121</v>
      </c>
      <c r="N231" s="4">
        <v>165</v>
      </c>
      <c r="O231" s="4" t="s">
        <v>26</v>
      </c>
      <c r="P231" s="7" t="s">
        <v>19</v>
      </c>
    </row>
    <row r="232" spans="2:16" x14ac:dyDescent="0.45">
      <c r="B232" s="4">
        <v>231</v>
      </c>
      <c r="C232" s="4" t="s">
        <v>43</v>
      </c>
      <c r="D232" s="4" t="s">
        <v>23</v>
      </c>
      <c r="E232" s="4" t="s">
        <v>35</v>
      </c>
      <c r="F232" s="4" t="s">
        <v>24</v>
      </c>
      <c r="G232" s="4" t="s">
        <v>19</v>
      </c>
      <c r="H232" s="4" t="s">
        <v>20</v>
      </c>
      <c r="I232" s="4">
        <v>27</v>
      </c>
      <c r="J232" s="5">
        <v>46.2</v>
      </c>
      <c r="K232" s="6">
        <v>1.61</v>
      </c>
      <c r="L232" s="4">
        <v>6</v>
      </c>
      <c r="M232" s="4">
        <v>131</v>
      </c>
      <c r="N232" s="4">
        <v>104</v>
      </c>
      <c r="O232" s="4" t="s">
        <v>26</v>
      </c>
      <c r="P232" s="7" t="s">
        <v>30</v>
      </c>
    </row>
    <row r="233" spans="2:16" x14ac:dyDescent="0.45">
      <c r="B233" s="4">
        <v>232</v>
      </c>
      <c r="C233" s="4" t="s">
        <v>39</v>
      </c>
      <c r="D233" s="4" t="s">
        <v>16</v>
      </c>
      <c r="E233" s="4" t="s">
        <v>35</v>
      </c>
      <c r="F233" s="4" t="s">
        <v>24</v>
      </c>
      <c r="G233" s="4" t="s">
        <v>19</v>
      </c>
      <c r="H233" s="4" t="s">
        <v>28</v>
      </c>
      <c r="I233" s="4">
        <v>58</v>
      </c>
      <c r="J233" s="5">
        <v>83.4</v>
      </c>
      <c r="K233" s="6">
        <v>1.66</v>
      </c>
      <c r="L233" s="4">
        <v>2</v>
      </c>
      <c r="M233" s="4">
        <v>130</v>
      </c>
      <c r="N233" s="4">
        <v>88</v>
      </c>
      <c r="O233" s="4" t="s">
        <v>26</v>
      </c>
      <c r="P233" s="7" t="s">
        <v>19</v>
      </c>
    </row>
    <row r="234" spans="2:16" x14ac:dyDescent="0.45">
      <c r="B234" s="4">
        <v>233</v>
      </c>
      <c r="C234" s="4" t="s">
        <v>15</v>
      </c>
      <c r="D234" s="4" t="s">
        <v>23</v>
      </c>
      <c r="E234" s="4" t="s">
        <v>35</v>
      </c>
      <c r="F234" s="4" t="s">
        <v>18</v>
      </c>
      <c r="G234" s="4" t="s">
        <v>30</v>
      </c>
      <c r="H234" s="4" t="s">
        <v>25</v>
      </c>
      <c r="I234" s="4">
        <v>21</v>
      </c>
      <c r="J234" s="5">
        <v>60.2</v>
      </c>
      <c r="K234" s="6">
        <v>1.64</v>
      </c>
      <c r="L234" s="4">
        <v>2</v>
      </c>
      <c r="M234" s="4">
        <v>113</v>
      </c>
      <c r="N234" s="4">
        <v>77</v>
      </c>
      <c r="O234" s="4" t="s">
        <v>21</v>
      </c>
      <c r="P234" s="7" t="s">
        <v>30</v>
      </c>
    </row>
    <row r="235" spans="2:16" x14ac:dyDescent="0.45">
      <c r="B235" s="4">
        <v>234</v>
      </c>
      <c r="C235" s="4" t="s">
        <v>31</v>
      </c>
      <c r="D235" s="4" t="s">
        <v>23</v>
      </c>
      <c r="E235" s="4" t="s">
        <v>35</v>
      </c>
      <c r="F235" s="4" t="s">
        <v>28</v>
      </c>
      <c r="G235" s="4" t="s">
        <v>19</v>
      </c>
      <c r="H235" s="4" t="s">
        <v>36</v>
      </c>
      <c r="I235" s="4">
        <v>60</v>
      </c>
      <c r="J235" s="5">
        <v>91.4</v>
      </c>
      <c r="K235" s="6">
        <v>1.83</v>
      </c>
      <c r="L235" s="4">
        <v>6</v>
      </c>
      <c r="M235" s="4">
        <v>146</v>
      </c>
      <c r="N235" s="4">
        <v>71</v>
      </c>
      <c r="O235" s="4" t="s">
        <v>21</v>
      </c>
      <c r="P235" s="7" t="s">
        <v>30</v>
      </c>
    </row>
    <row r="236" spans="2:16" x14ac:dyDescent="0.45">
      <c r="B236" s="4">
        <v>235</v>
      </c>
      <c r="C236" s="4" t="s">
        <v>22</v>
      </c>
      <c r="D236" s="4" t="s">
        <v>23</v>
      </c>
      <c r="E236" s="4" t="s">
        <v>37</v>
      </c>
      <c r="F236" s="4" t="s">
        <v>28</v>
      </c>
      <c r="G236" s="4" t="s">
        <v>30</v>
      </c>
      <c r="H236" s="4" t="s">
        <v>20</v>
      </c>
      <c r="I236" s="4">
        <v>57</v>
      </c>
      <c r="J236" s="5">
        <v>82.3</v>
      </c>
      <c r="K236" s="6">
        <v>1.81</v>
      </c>
      <c r="L236" s="4">
        <v>5</v>
      </c>
      <c r="M236" s="4">
        <v>120</v>
      </c>
      <c r="N236" s="4">
        <v>85</v>
      </c>
      <c r="O236" s="4" t="s">
        <v>21</v>
      </c>
      <c r="P236" s="7" t="s">
        <v>19</v>
      </c>
    </row>
    <row r="237" spans="2:16" x14ac:dyDescent="0.45">
      <c r="B237" s="4">
        <v>236</v>
      </c>
      <c r="C237" s="4" t="s">
        <v>41</v>
      </c>
      <c r="D237" s="4" t="s">
        <v>23</v>
      </c>
      <c r="E237" s="4" t="s">
        <v>17</v>
      </c>
      <c r="F237" s="4" t="s">
        <v>18</v>
      </c>
      <c r="G237" s="4" t="s">
        <v>19</v>
      </c>
      <c r="H237" s="4" t="s">
        <v>38</v>
      </c>
      <c r="I237" s="4">
        <v>31</v>
      </c>
      <c r="J237" s="5">
        <v>66.8</v>
      </c>
      <c r="K237" s="6">
        <v>1.73</v>
      </c>
      <c r="L237" s="4">
        <v>0</v>
      </c>
      <c r="M237" s="4">
        <v>118</v>
      </c>
      <c r="N237" s="4">
        <v>100</v>
      </c>
      <c r="O237" s="4" t="s">
        <v>26</v>
      </c>
      <c r="P237" s="7" t="s">
        <v>30</v>
      </c>
    </row>
    <row r="238" spans="2:16" x14ac:dyDescent="0.45">
      <c r="B238" s="4">
        <v>237</v>
      </c>
      <c r="C238" s="4" t="s">
        <v>22</v>
      </c>
      <c r="D238" s="4" t="s">
        <v>23</v>
      </c>
      <c r="E238" s="4" t="s">
        <v>35</v>
      </c>
      <c r="F238" s="4" t="s">
        <v>42</v>
      </c>
      <c r="G238" s="4" t="s">
        <v>30</v>
      </c>
      <c r="H238" s="4" t="s">
        <v>28</v>
      </c>
      <c r="I238" s="4">
        <v>19</v>
      </c>
      <c r="J238" s="5">
        <v>52.2</v>
      </c>
      <c r="K238" s="6">
        <v>1.81</v>
      </c>
      <c r="L238" s="4">
        <v>1</v>
      </c>
      <c r="M238" s="4">
        <v>100</v>
      </c>
      <c r="N238" s="4">
        <v>74</v>
      </c>
      <c r="O238" s="4" t="s">
        <v>26</v>
      </c>
      <c r="P238" s="7" t="s">
        <v>19</v>
      </c>
    </row>
    <row r="239" spans="2:16" x14ac:dyDescent="0.45">
      <c r="B239" s="4">
        <v>238</v>
      </c>
      <c r="C239" s="4" t="s">
        <v>22</v>
      </c>
      <c r="D239" s="4" t="s">
        <v>16</v>
      </c>
      <c r="E239" s="4" t="s">
        <v>35</v>
      </c>
      <c r="F239" s="4" t="s">
        <v>42</v>
      </c>
      <c r="G239" s="4" t="s">
        <v>19</v>
      </c>
      <c r="H239" s="4" t="s">
        <v>36</v>
      </c>
      <c r="I239" s="4">
        <v>15</v>
      </c>
      <c r="J239" s="5">
        <v>44.6</v>
      </c>
      <c r="K239" s="6">
        <v>1.49</v>
      </c>
      <c r="L239" s="4">
        <v>8</v>
      </c>
      <c r="M239" s="4">
        <v>139</v>
      </c>
      <c r="N239" s="4">
        <v>100</v>
      </c>
      <c r="O239" s="4" t="s">
        <v>26</v>
      </c>
      <c r="P239" s="7" t="s">
        <v>19</v>
      </c>
    </row>
    <row r="240" spans="2:16" x14ac:dyDescent="0.45">
      <c r="B240" s="4">
        <v>239</v>
      </c>
      <c r="C240" s="4" t="s">
        <v>22</v>
      </c>
      <c r="D240" s="4" t="s">
        <v>16</v>
      </c>
      <c r="E240" s="4" t="s">
        <v>17</v>
      </c>
      <c r="F240" s="4" t="s">
        <v>18</v>
      </c>
      <c r="G240" s="4" t="s">
        <v>30</v>
      </c>
      <c r="H240" s="4" t="s">
        <v>34</v>
      </c>
      <c r="I240" s="4">
        <v>20</v>
      </c>
      <c r="J240" s="5">
        <v>55.1</v>
      </c>
      <c r="K240" s="6">
        <v>1.88</v>
      </c>
      <c r="L240" s="4">
        <v>1</v>
      </c>
      <c r="M240" s="4">
        <v>108</v>
      </c>
      <c r="N240" s="4">
        <v>72</v>
      </c>
      <c r="O240" s="4" t="s">
        <v>26</v>
      </c>
      <c r="P240" s="7" t="s">
        <v>30</v>
      </c>
    </row>
    <row r="241" spans="2:16" x14ac:dyDescent="0.45">
      <c r="B241" s="4">
        <v>240</v>
      </c>
      <c r="C241" s="4" t="s">
        <v>27</v>
      </c>
      <c r="D241" s="4" t="s">
        <v>23</v>
      </c>
      <c r="E241" s="4" t="s">
        <v>17</v>
      </c>
      <c r="F241" s="4" t="s">
        <v>18</v>
      </c>
      <c r="G241" s="4" t="s">
        <v>19</v>
      </c>
      <c r="H241" s="4" t="s">
        <v>25</v>
      </c>
      <c r="I241" s="4">
        <v>1</v>
      </c>
      <c r="J241" s="5">
        <v>17.2</v>
      </c>
      <c r="K241" s="6">
        <v>0.83</v>
      </c>
      <c r="L241" s="4">
        <v>4</v>
      </c>
      <c r="M241" s="4">
        <v>108</v>
      </c>
      <c r="N241" s="4">
        <v>72</v>
      </c>
      <c r="O241" s="4" t="s">
        <v>26</v>
      </c>
      <c r="P241" s="7" t="s">
        <v>19</v>
      </c>
    </row>
    <row r="242" spans="2:16" x14ac:dyDescent="0.45">
      <c r="B242" s="4">
        <v>241</v>
      </c>
      <c r="C242" s="4" t="s">
        <v>22</v>
      </c>
      <c r="D242" s="4" t="s">
        <v>23</v>
      </c>
      <c r="E242" s="4" t="s">
        <v>17</v>
      </c>
      <c r="F242" s="4" t="s">
        <v>24</v>
      </c>
      <c r="G242" s="4" t="s">
        <v>19</v>
      </c>
      <c r="H242" s="4" t="s">
        <v>25</v>
      </c>
      <c r="I242" s="4">
        <v>24</v>
      </c>
      <c r="J242" s="5">
        <v>52.3</v>
      </c>
      <c r="K242" s="6">
        <v>1.82</v>
      </c>
      <c r="L242" s="4">
        <v>2</v>
      </c>
      <c r="M242" s="4">
        <v>104</v>
      </c>
      <c r="N242" s="4">
        <v>91</v>
      </c>
      <c r="O242" s="4" t="s">
        <v>26</v>
      </c>
      <c r="P242" s="7" t="s">
        <v>19</v>
      </c>
    </row>
    <row r="243" spans="2:16" x14ac:dyDescent="0.45">
      <c r="B243" s="4">
        <v>242</v>
      </c>
      <c r="C243" s="4" t="s">
        <v>31</v>
      </c>
      <c r="D243" s="4" t="s">
        <v>16</v>
      </c>
      <c r="E243" s="4" t="s">
        <v>35</v>
      </c>
      <c r="F243" s="4" t="s">
        <v>18</v>
      </c>
      <c r="G243" s="4" t="s">
        <v>19</v>
      </c>
      <c r="H243" s="4" t="s">
        <v>20</v>
      </c>
      <c r="I243" s="4">
        <v>18</v>
      </c>
      <c r="J243" s="5">
        <v>67.099999999999994</v>
      </c>
      <c r="K243" s="6">
        <v>1.9</v>
      </c>
      <c r="L243" s="4">
        <v>2</v>
      </c>
      <c r="M243" s="4">
        <v>111</v>
      </c>
      <c r="N243" s="4">
        <v>103</v>
      </c>
      <c r="O243" s="4" t="s">
        <v>21</v>
      </c>
      <c r="P243" s="7" t="s">
        <v>19</v>
      </c>
    </row>
    <row r="244" spans="2:16" x14ac:dyDescent="0.45">
      <c r="B244" s="4">
        <v>243</v>
      </c>
      <c r="C244" s="4" t="s">
        <v>45</v>
      </c>
      <c r="D244" s="4" t="s">
        <v>16</v>
      </c>
      <c r="E244" s="4" t="s">
        <v>35</v>
      </c>
      <c r="F244" s="4" t="s">
        <v>28</v>
      </c>
      <c r="G244" s="4" t="s">
        <v>19</v>
      </c>
      <c r="H244" s="4" t="s">
        <v>20</v>
      </c>
      <c r="I244" s="4">
        <v>13</v>
      </c>
      <c r="J244" s="5">
        <v>52.4</v>
      </c>
      <c r="K244" s="6">
        <v>1.53</v>
      </c>
      <c r="L244" s="4">
        <v>1</v>
      </c>
      <c r="M244" s="4">
        <v>105</v>
      </c>
      <c r="N244" s="4">
        <v>94</v>
      </c>
      <c r="O244" s="4" t="s">
        <v>21</v>
      </c>
      <c r="P244" s="7" t="s">
        <v>19</v>
      </c>
    </row>
    <row r="245" spans="2:16" x14ac:dyDescent="0.45">
      <c r="B245" s="4">
        <v>244</v>
      </c>
      <c r="C245" s="4" t="s">
        <v>41</v>
      </c>
      <c r="D245" s="4" t="s">
        <v>16</v>
      </c>
      <c r="E245" s="4" t="s">
        <v>44</v>
      </c>
      <c r="F245" s="4" t="s">
        <v>24</v>
      </c>
      <c r="G245" s="4" t="s">
        <v>19</v>
      </c>
      <c r="H245" s="4" t="s">
        <v>20</v>
      </c>
      <c r="I245" s="4">
        <v>22</v>
      </c>
      <c r="J245" s="5">
        <v>54.4</v>
      </c>
      <c r="K245" s="6">
        <v>1.58</v>
      </c>
      <c r="L245" s="4">
        <v>2</v>
      </c>
      <c r="M245" s="4">
        <v>118</v>
      </c>
      <c r="N245" s="4">
        <v>104</v>
      </c>
      <c r="O245" s="4" t="s">
        <v>26</v>
      </c>
      <c r="P245" s="7" t="s">
        <v>19</v>
      </c>
    </row>
    <row r="246" spans="2:16" x14ac:dyDescent="0.45">
      <c r="B246" s="4">
        <v>245</v>
      </c>
      <c r="C246" s="4" t="s">
        <v>45</v>
      </c>
      <c r="D246" s="4" t="s">
        <v>23</v>
      </c>
      <c r="E246" s="4" t="s">
        <v>17</v>
      </c>
      <c r="F246" s="4" t="s">
        <v>42</v>
      </c>
      <c r="G246" s="4" t="s">
        <v>19</v>
      </c>
      <c r="H246" s="4" t="s">
        <v>25</v>
      </c>
      <c r="I246" s="4">
        <v>16</v>
      </c>
      <c r="J246" s="5">
        <v>48</v>
      </c>
      <c r="K246" s="6">
        <v>1.59</v>
      </c>
      <c r="L246" s="4">
        <v>4</v>
      </c>
      <c r="M246" s="4">
        <v>99</v>
      </c>
      <c r="N246" s="4">
        <v>99</v>
      </c>
      <c r="O246" s="4" t="s">
        <v>21</v>
      </c>
      <c r="P246" s="7" t="s">
        <v>19</v>
      </c>
    </row>
    <row r="247" spans="2:16" x14ac:dyDescent="0.45">
      <c r="B247" s="4">
        <v>246</v>
      </c>
      <c r="C247" s="4" t="s">
        <v>27</v>
      </c>
      <c r="D247" s="4" t="s">
        <v>23</v>
      </c>
      <c r="E247" s="4" t="s">
        <v>17</v>
      </c>
      <c r="F247" s="4" t="s">
        <v>24</v>
      </c>
      <c r="G247" s="4" t="s">
        <v>19</v>
      </c>
      <c r="H247" s="4" t="s">
        <v>34</v>
      </c>
      <c r="I247" s="4">
        <v>39</v>
      </c>
      <c r="J247" s="5">
        <v>91.4</v>
      </c>
      <c r="K247" s="6">
        <v>1.49</v>
      </c>
      <c r="L247" s="4">
        <v>6</v>
      </c>
      <c r="M247" s="4">
        <v>126</v>
      </c>
      <c r="N247" s="4">
        <v>74</v>
      </c>
      <c r="O247" s="4" t="s">
        <v>26</v>
      </c>
      <c r="P247" s="7" t="s">
        <v>30</v>
      </c>
    </row>
    <row r="248" spans="2:16" x14ac:dyDescent="0.45">
      <c r="B248" s="4">
        <v>247</v>
      </c>
      <c r="C248" s="4" t="s">
        <v>41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s">
        <v>38</v>
      </c>
      <c r="I248" s="4">
        <v>26</v>
      </c>
      <c r="J248" s="5">
        <v>48.4</v>
      </c>
      <c r="K248" s="6">
        <v>1.76</v>
      </c>
      <c r="L248" s="4">
        <v>3</v>
      </c>
      <c r="M248" s="4">
        <v>101</v>
      </c>
      <c r="N248" s="4">
        <v>75</v>
      </c>
      <c r="O248" s="4" t="s">
        <v>21</v>
      </c>
      <c r="P248" s="7" t="s">
        <v>19</v>
      </c>
    </row>
    <row r="249" spans="2:16" x14ac:dyDescent="0.45">
      <c r="B249" s="4">
        <v>248</v>
      </c>
      <c r="C249" s="4" t="s">
        <v>45</v>
      </c>
      <c r="D249" s="4" t="s">
        <v>16</v>
      </c>
      <c r="E249" s="4" t="s">
        <v>17</v>
      </c>
      <c r="F249" s="4" t="s">
        <v>18</v>
      </c>
      <c r="G249" s="4" t="s">
        <v>19</v>
      </c>
      <c r="H249" s="4" t="s">
        <v>34</v>
      </c>
      <c r="I249" s="4">
        <v>8</v>
      </c>
      <c r="J249" s="5">
        <v>28</v>
      </c>
      <c r="K249" s="6">
        <v>1.2</v>
      </c>
      <c r="L249" s="4">
        <v>0</v>
      </c>
      <c r="M249" s="4">
        <v>100</v>
      </c>
      <c r="N249" s="4">
        <v>87</v>
      </c>
      <c r="O249" s="4" t="s">
        <v>21</v>
      </c>
      <c r="P249" s="7" t="s">
        <v>19</v>
      </c>
    </row>
    <row r="250" spans="2:16" x14ac:dyDescent="0.45">
      <c r="B250" s="4">
        <v>249</v>
      </c>
      <c r="C250" s="4" t="s">
        <v>39</v>
      </c>
      <c r="D250" s="4" t="s">
        <v>23</v>
      </c>
      <c r="E250" s="4" t="s">
        <v>17</v>
      </c>
      <c r="F250" s="4" t="s">
        <v>18</v>
      </c>
      <c r="G250" s="4" t="s">
        <v>30</v>
      </c>
      <c r="H250" s="4" t="s">
        <v>28</v>
      </c>
      <c r="I250" s="4">
        <v>21</v>
      </c>
      <c r="J250" s="5">
        <v>73</v>
      </c>
      <c r="K250" s="6">
        <v>1.56</v>
      </c>
      <c r="L250" s="4">
        <v>5</v>
      </c>
      <c r="M250" s="4">
        <v>117</v>
      </c>
      <c r="N250" s="4">
        <v>85</v>
      </c>
      <c r="O250" s="4" t="s">
        <v>21</v>
      </c>
      <c r="P250" s="7" t="s">
        <v>19</v>
      </c>
    </row>
    <row r="251" spans="2:16" x14ac:dyDescent="0.45">
      <c r="B251" s="4">
        <v>250</v>
      </c>
      <c r="C251" s="4" t="s">
        <v>27</v>
      </c>
      <c r="D251" s="4" t="s">
        <v>16</v>
      </c>
      <c r="E251" s="4" t="s">
        <v>35</v>
      </c>
      <c r="F251" s="4" t="s">
        <v>18</v>
      </c>
      <c r="G251" s="4" t="s">
        <v>19</v>
      </c>
      <c r="H251" s="4" t="s">
        <v>46</v>
      </c>
      <c r="I251" s="4">
        <v>60</v>
      </c>
      <c r="J251" s="5">
        <v>77.8</v>
      </c>
      <c r="K251" s="6">
        <v>1.71</v>
      </c>
      <c r="L251" s="4">
        <v>1</v>
      </c>
      <c r="M251" s="4">
        <v>131</v>
      </c>
      <c r="N251" s="4">
        <v>97</v>
      </c>
      <c r="O251" s="4" t="s">
        <v>21</v>
      </c>
      <c r="P251" s="7" t="s">
        <v>30</v>
      </c>
    </row>
    <row r="252" spans="2:16" x14ac:dyDescent="0.45">
      <c r="B252" s="4">
        <v>251</v>
      </c>
      <c r="C252" s="4" t="s">
        <v>39</v>
      </c>
      <c r="D252" s="4" t="s">
        <v>23</v>
      </c>
      <c r="E252" s="4" t="s">
        <v>37</v>
      </c>
      <c r="F252" s="4" t="s">
        <v>18</v>
      </c>
      <c r="G252" s="4" t="s">
        <v>19</v>
      </c>
      <c r="H252" s="4" t="s">
        <v>25</v>
      </c>
      <c r="I252" s="4">
        <v>14</v>
      </c>
      <c r="J252" s="5">
        <v>47.3</v>
      </c>
      <c r="K252" s="6">
        <v>1.54</v>
      </c>
      <c r="L252" s="4">
        <v>2</v>
      </c>
      <c r="M252" s="4">
        <v>107</v>
      </c>
      <c r="N252" s="4">
        <v>76</v>
      </c>
      <c r="O252" s="4" t="s">
        <v>26</v>
      </c>
      <c r="P252" s="7" t="s">
        <v>19</v>
      </c>
    </row>
    <row r="253" spans="2:16" x14ac:dyDescent="0.45">
      <c r="B253" s="4">
        <v>252</v>
      </c>
      <c r="C253" s="4" t="s">
        <v>29</v>
      </c>
      <c r="D253" s="4" t="s">
        <v>23</v>
      </c>
      <c r="E253" s="4" t="s">
        <v>35</v>
      </c>
      <c r="F253" s="4" t="s">
        <v>28</v>
      </c>
      <c r="G253" s="4" t="s">
        <v>19</v>
      </c>
      <c r="H253" s="4" t="s">
        <v>20</v>
      </c>
      <c r="I253" s="4">
        <v>53</v>
      </c>
      <c r="J253" s="5">
        <v>60.1</v>
      </c>
      <c r="K253" s="6">
        <v>1.48</v>
      </c>
      <c r="L253" s="4">
        <v>6</v>
      </c>
      <c r="M253" s="4">
        <v>137</v>
      </c>
      <c r="N253" s="4">
        <v>80</v>
      </c>
      <c r="O253" s="4" t="s">
        <v>21</v>
      </c>
      <c r="P253" s="7" t="s">
        <v>30</v>
      </c>
    </row>
    <row r="254" spans="2:16" x14ac:dyDescent="0.45">
      <c r="B254" s="4">
        <v>253</v>
      </c>
      <c r="C254" s="4" t="s">
        <v>39</v>
      </c>
      <c r="D254" s="4" t="s">
        <v>23</v>
      </c>
      <c r="E254" s="4" t="s">
        <v>37</v>
      </c>
      <c r="F254" s="4" t="s">
        <v>24</v>
      </c>
      <c r="G254" s="4" t="s">
        <v>19</v>
      </c>
      <c r="H254" s="4" t="s">
        <v>20</v>
      </c>
      <c r="I254" s="4">
        <v>5</v>
      </c>
      <c r="J254" s="5">
        <v>24.3</v>
      </c>
      <c r="K254" s="6">
        <v>1.44</v>
      </c>
      <c r="L254" s="4">
        <v>0</v>
      </c>
      <c r="M254" s="4">
        <v>104</v>
      </c>
      <c r="N254" s="4">
        <v>73</v>
      </c>
      <c r="O254" s="4" t="s">
        <v>21</v>
      </c>
      <c r="P254" s="7" t="s">
        <v>19</v>
      </c>
    </row>
    <row r="255" spans="2:16" x14ac:dyDescent="0.45">
      <c r="B255" s="4">
        <v>254</v>
      </c>
      <c r="C255" s="4" t="s">
        <v>15</v>
      </c>
      <c r="D255" s="4" t="s">
        <v>23</v>
      </c>
      <c r="E255" s="4" t="s">
        <v>35</v>
      </c>
      <c r="F255" s="4" t="s">
        <v>18</v>
      </c>
      <c r="G255" s="4" t="s">
        <v>19</v>
      </c>
      <c r="H255" s="4" t="s">
        <v>38</v>
      </c>
      <c r="I255" s="4">
        <v>9</v>
      </c>
      <c r="J255" s="5">
        <v>20.9</v>
      </c>
      <c r="K255" s="6">
        <v>1.19</v>
      </c>
      <c r="L255" s="4">
        <v>7</v>
      </c>
      <c r="M255" s="4">
        <v>112</v>
      </c>
      <c r="N255" s="4">
        <v>92</v>
      </c>
      <c r="O255" s="4" t="s">
        <v>26</v>
      </c>
      <c r="P255" s="7" t="s">
        <v>19</v>
      </c>
    </row>
    <row r="256" spans="2:16" x14ac:dyDescent="0.45">
      <c r="B256" s="4">
        <v>255</v>
      </c>
      <c r="C256" s="4" t="s">
        <v>39</v>
      </c>
      <c r="D256" s="4" t="s">
        <v>23</v>
      </c>
      <c r="E256" s="4" t="s">
        <v>37</v>
      </c>
      <c r="F256" s="4" t="s">
        <v>18</v>
      </c>
      <c r="G256" s="4" t="s">
        <v>30</v>
      </c>
      <c r="H256" s="4" t="s">
        <v>38</v>
      </c>
      <c r="I256" s="4">
        <v>38</v>
      </c>
      <c r="J256" s="5">
        <v>82.3</v>
      </c>
      <c r="K256" s="6">
        <v>1.74</v>
      </c>
      <c r="L256" s="4">
        <v>8</v>
      </c>
      <c r="M256" s="4">
        <v>130</v>
      </c>
      <c r="N256" s="4">
        <v>101</v>
      </c>
      <c r="O256" s="4" t="s">
        <v>21</v>
      </c>
      <c r="P256" s="7" t="s">
        <v>30</v>
      </c>
    </row>
    <row r="257" spans="2:16" x14ac:dyDescent="0.45">
      <c r="B257" s="4">
        <v>256</v>
      </c>
      <c r="C257" s="4" t="s">
        <v>43</v>
      </c>
      <c r="D257" s="4" t="s">
        <v>16</v>
      </c>
      <c r="E257" s="4" t="s">
        <v>37</v>
      </c>
      <c r="F257" s="4" t="s">
        <v>18</v>
      </c>
      <c r="G257" s="4" t="s">
        <v>19</v>
      </c>
      <c r="H257" s="4" t="s">
        <v>28</v>
      </c>
      <c r="I257" s="4">
        <v>60</v>
      </c>
      <c r="J257" s="5">
        <v>92.1</v>
      </c>
      <c r="K257" s="6">
        <v>1.8</v>
      </c>
      <c r="L257" s="4">
        <v>2</v>
      </c>
      <c r="M257" s="4">
        <v>116</v>
      </c>
      <c r="N257" s="4">
        <v>96</v>
      </c>
      <c r="O257" s="4" t="s">
        <v>26</v>
      </c>
      <c r="P257" s="7" t="s">
        <v>19</v>
      </c>
    </row>
    <row r="258" spans="2:16" x14ac:dyDescent="0.45">
      <c r="B258" s="4">
        <v>257</v>
      </c>
      <c r="C258" s="4" t="s">
        <v>39</v>
      </c>
      <c r="D258" s="4" t="s">
        <v>16</v>
      </c>
      <c r="E258" s="4" t="s">
        <v>35</v>
      </c>
      <c r="F258" s="4" t="s">
        <v>24</v>
      </c>
      <c r="G258" s="4" t="s">
        <v>19</v>
      </c>
      <c r="H258" s="4" t="s">
        <v>34</v>
      </c>
      <c r="I258" s="4">
        <v>17</v>
      </c>
      <c r="J258" s="5">
        <v>64.599999999999994</v>
      </c>
      <c r="K258" s="6">
        <v>1.73</v>
      </c>
      <c r="L258" s="4">
        <v>6</v>
      </c>
      <c r="M258" s="4">
        <v>113</v>
      </c>
      <c r="N258" s="4">
        <v>74</v>
      </c>
      <c r="O258" s="4" t="s">
        <v>21</v>
      </c>
      <c r="P258" s="7" t="s">
        <v>19</v>
      </c>
    </row>
    <row r="259" spans="2:16" x14ac:dyDescent="0.45">
      <c r="B259" s="4">
        <v>258</v>
      </c>
      <c r="C259" s="4" t="s">
        <v>45</v>
      </c>
      <c r="D259" s="4" t="s">
        <v>16</v>
      </c>
      <c r="E259" s="4" t="s">
        <v>17</v>
      </c>
      <c r="F259" s="4" t="s">
        <v>24</v>
      </c>
      <c r="G259" s="4" t="s">
        <v>19</v>
      </c>
      <c r="H259" s="4" t="s">
        <v>32</v>
      </c>
      <c r="I259" s="4">
        <v>43</v>
      </c>
      <c r="J259" s="5">
        <v>52.6</v>
      </c>
      <c r="K259" s="6">
        <v>1.57</v>
      </c>
      <c r="L259" s="4">
        <v>5</v>
      </c>
      <c r="M259" s="4">
        <v>118</v>
      </c>
      <c r="N259" s="4">
        <v>155</v>
      </c>
      <c r="O259" s="4" t="s">
        <v>26</v>
      </c>
      <c r="P259" s="7" t="s">
        <v>19</v>
      </c>
    </row>
    <row r="260" spans="2:16" x14ac:dyDescent="0.45">
      <c r="B260" s="4">
        <v>259</v>
      </c>
      <c r="C260" s="4" t="s">
        <v>29</v>
      </c>
      <c r="D260" s="4" t="s">
        <v>23</v>
      </c>
      <c r="E260" s="4" t="s">
        <v>35</v>
      </c>
      <c r="F260" s="4" t="s">
        <v>24</v>
      </c>
      <c r="G260" s="4" t="s">
        <v>19</v>
      </c>
      <c r="H260" s="4" t="s">
        <v>20</v>
      </c>
      <c r="I260" s="4">
        <v>18</v>
      </c>
      <c r="J260" s="5">
        <v>62.5</v>
      </c>
      <c r="K260" s="6">
        <v>1.84</v>
      </c>
      <c r="L260" s="4">
        <v>1</v>
      </c>
      <c r="M260" s="4">
        <v>101</v>
      </c>
      <c r="N260" s="4">
        <v>74</v>
      </c>
      <c r="O260" s="4" t="s">
        <v>26</v>
      </c>
      <c r="P260" s="7" t="s">
        <v>19</v>
      </c>
    </row>
    <row r="261" spans="2:16" x14ac:dyDescent="0.45">
      <c r="B261" s="4">
        <v>260</v>
      </c>
      <c r="C261" s="4" t="s">
        <v>27</v>
      </c>
      <c r="D261" s="4" t="s">
        <v>23</v>
      </c>
      <c r="E261" s="4" t="s">
        <v>17</v>
      </c>
      <c r="F261" s="4" t="s">
        <v>18</v>
      </c>
      <c r="G261" s="4" t="s">
        <v>19</v>
      </c>
      <c r="H261" s="4" t="s">
        <v>20</v>
      </c>
      <c r="I261" s="4">
        <v>22</v>
      </c>
      <c r="J261" s="5">
        <v>65.3</v>
      </c>
      <c r="K261" s="6">
        <v>1.64</v>
      </c>
      <c r="L261" s="4">
        <v>7</v>
      </c>
      <c r="M261" s="4">
        <v>114</v>
      </c>
      <c r="N261" s="4">
        <v>80</v>
      </c>
      <c r="O261" s="4" t="s">
        <v>21</v>
      </c>
      <c r="P261" s="7" t="s">
        <v>19</v>
      </c>
    </row>
    <row r="262" spans="2:16" x14ac:dyDescent="0.45">
      <c r="B262" s="4">
        <v>261</v>
      </c>
      <c r="C262" s="4" t="s">
        <v>27</v>
      </c>
      <c r="D262" s="4" t="s">
        <v>23</v>
      </c>
      <c r="E262" s="4" t="s">
        <v>17</v>
      </c>
      <c r="F262" s="4" t="s">
        <v>24</v>
      </c>
      <c r="G262" s="4" t="s">
        <v>19</v>
      </c>
      <c r="H262" s="4" t="s">
        <v>20</v>
      </c>
      <c r="I262" s="4">
        <v>40</v>
      </c>
      <c r="J262" s="5">
        <v>51.4</v>
      </c>
      <c r="K262" s="6">
        <v>1.51</v>
      </c>
      <c r="L262" s="4">
        <v>2</v>
      </c>
      <c r="M262" s="4">
        <v>103</v>
      </c>
      <c r="N262" s="4">
        <v>75</v>
      </c>
      <c r="O262" s="4" t="s">
        <v>26</v>
      </c>
      <c r="P262" s="7" t="s">
        <v>19</v>
      </c>
    </row>
    <row r="263" spans="2:16" x14ac:dyDescent="0.45">
      <c r="B263" s="4">
        <v>262</v>
      </c>
      <c r="C263" s="4" t="s">
        <v>22</v>
      </c>
      <c r="D263" s="4" t="s">
        <v>23</v>
      </c>
      <c r="E263" s="4" t="s">
        <v>17</v>
      </c>
      <c r="F263" s="4" t="s">
        <v>24</v>
      </c>
      <c r="G263" s="4" t="s">
        <v>19</v>
      </c>
      <c r="H263" s="4" t="s">
        <v>20</v>
      </c>
      <c r="I263" s="4">
        <v>19</v>
      </c>
      <c r="J263" s="5">
        <v>61.5</v>
      </c>
      <c r="K263" s="6">
        <v>1.83</v>
      </c>
      <c r="L263" s="4">
        <v>4</v>
      </c>
      <c r="M263" s="4">
        <v>96</v>
      </c>
      <c r="N263" s="4">
        <v>73</v>
      </c>
      <c r="O263" s="4" t="s">
        <v>26</v>
      </c>
      <c r="P263" s="7" t="s">
        <v>19</v>
      </c>
    </row>
    <row r="264" spans="2:16" x14ac:dyDescent="0.45">
      <c r="B264" s="4">
        <v>263</v>
      </c>
      <c r="C264" s="4" t="s">
        <v>41</v>
      </c>
      <c r="D264" s="4" t="s">
        <v>16</v>
      </c>
      <c r="E264" s="4" t="s">
        <v>35</v>
      </c>
      <c r="F264" s="4" t="s">
        <v>18</v>
      </c>
      <c r="G264" s="4" t="s">
        <v>30</v>
      </c>
      <c r="H264" s="4" t="s">
        <v>38</v>
      </c>
      <c r="I264" s="4">
        <v>1</v>
      </c>
      <c r="J264" s="5">
        <v>13.1</v>
      </c>
      <c r="K264" s="6">
        <v>0.81</v>
      </c>
      <c r="L264" s="4">
        <v>0</v>
      </c>
      <c r="M264" s="4">
        <v>99</v>
      </c>
      <c r="N264" s="4">
        <v>73</v>
      </c>
      <c r="O264" s="4" t="s">
        <v>26</v>
      </c>
      <c r="P264" s="7" t="s">
        <v>19</v>
      </c>
    </row>
    <row r="265" spans="2:16" x14ac:dyDescent="0.45">
      <c r="B265" s="4">
        <v>264</v>
      </c>
      <c r="C265" s="4" t="s">
        <v>15</v>
      </c>
      <c r="D265" s="4" t="s">
        <v>23</v>
      </c>
      <c r="E265" s="4" t="s">
        <v>17</v>
      </c>
      <c r="F265" s="4" t="s">
        <v>28</v>
      </c>
      <c r="G265" s="4" t="s">
        <v>19</v>
      </c>
      <c r="H265" s="4" t="s">
        <v>46</v>
      </c>
      <c r="I265" s="4">
        <v>15</v>
      </c>
      <c r="J265" s="5">
        <v>43</v>
      </c>
      <c r="K265" s="6">
        <v>1.57</v>
      </c>
      <c r="L265" s="4">
        <v>5</v>
      </c>
      <c r="M265" s="4">
        <v>106</v>
      </c>
      <c r="N265" s="4">
        <v>82</v>
      </c>
      <c r="O265" s="4" t="s">
        <v>26</v>
      </c>
      <c r="P265" s="7" t="s">
        <v>30</v>
      </c>
    </row>
    <row r="266" spans="2:16" x14ac:dyDescent="0.45">
      <c r="B266" s="4">
        <v>265</v>
      </c>
      <c r="C266" s="4" t="s">
        <v>27</v>
      </c>
      <c r="D266" s="4" t="s">
        <v>16</v>
      </c>
      <c r="E266" s="4" t="s">
        <v>17</v>
      </c>
      <c r="F266" s="4" t="s">
        <v>28</v>
      </c>
      <c r="G266" s="4" t="s">
        <v>30</v>
      </c>
      <c r="H266" s="4" t="s">
        <v>20</v>
      </c>
      <c r="I266" s="4">
        <v>26</v>
      </c>
      <c r="J266" s="5">
        <v>67.5</v>
      </c>
      <c r="K266" s="6">
        <v>1.89</v>
      </c>
      <c r="L266" s="4">
        <v>2</v>
      </c>
      <c r="M266" s="4">
        <v>110</v>
      </c>
      <c r="N266" s="4">
        <v>71</v>
      </c>
      <c r="O266" s="4" t="s">
        <v>21</v>
      </c>
      <c r="P266" s="7" t="s">
        <v>19</v>
      </c>
    </row>
    <row r="267" spans="2:16" x14ac:dyDescent="0.45">
      <c r="B267" s="4">
        <v>266</v>
      </c>
      <c r="C267" s="4" t="s">
        <v>22</v>
      </c>
      <c r="D267" s="4" t="s">
        <v>16</v>
      </c>
      <c r="E267" s="4" t="s">
        <v>35</v>
      </c>
      <c r="F267" s="4" t="s">
        <v>28</v>
      </c>
      <c r="G267" s="4" t="s">
        <v>19</v>
      </c>
      <c r="H267" s="4" t="s">
        <v>34</v>
      </c>
      <c r="I267" s="4">
        <v>7</v>
      </c>
      <c r="J267" s="5">
        <v>19.399999999999999</v>
      </c>
      <c r="K267" s="6">
        <v>1.08</v>
      </c>
      <c r="L267" s="4">
        <v>2</v>
      </c>
      <c r="M267" s="4">
        <v>93</v>
      </c>
      <c r="N267" s="4">
        <v>77</v>
      </c>
      <c r="O267" s="4" t="s">
        <v>26</v>
      </c>
      <c r="P267" s="7" t="s">
        <v>19</v>
      </c>
    </row>
    <row r="268" spans="2:16" x14ac:dyDescent="0.45">
      <c r="B268" s="4">
        <v>267</v>
      </c>
      <c r="C268" s="4" t="s">
        <v>45</v>
      </c>
      <c r="D268" s="4" t="s">
        <v>16</v>
      </c>
      <c r="E268" s="4" t="s">
        <v>35</v>
      </c>
      <c r="F268" s="4" t="s">
        <v>24</v>
      </c>
      <c r="G268" s="4" t="s">
        <v>19</v>
      </c>
      <c r="H268" s="4" t="s">
        <v>36</v>
      </c>
      <c r="I268" s="4">
        <v>26</v>
      </c>
      <c r="J268" s="5">
        <v>70.7</v>
      </c>
      <c r="K268" s="6">
        <v>1.68</v>
      </c>
      <c r="L268" s="4">
        <v>2</v>
      </c>
      <c r="M268" s="4">
        <v>131</v>
      </c>
      <c r="N268" s="4">
        <v>74</v>
      </c>
      <c r="O268" s="4" t="s">
        <v>26</v>
      </c>
      <c r="P268" s="7" t="s">
        <v>19</v>
      </c>
    </row>
    <row r="269" spans="2:16" x14ac:dyDescent="0.45">
      <c r="B269" s="4">
        <v>268</v>
      </c>
      <c r="C269" s="4" t="s">
        <v>45</v>
      </c>
      <c r="D269" s="4" t="s">
        <v>23</v>
      </c>
      <c r="E269" s="4" t="s">
        <v>35</v>
      </c>
      <c r="F269" s="4" t="s">
        <v>18</v>
      </c>
      <c r="G269" s="4" t="s">
        <v>19</v>
      </c>
      <c r="H269" s="4" t="s">
        <v>32</v>
      </c>
      <c r="I269" s="4">
        <v>38</v>
      </c>
      <c r="J269" s="5">
        <v>90.5</v>
      </c>
      <c r="K269" s="6">
        <v>1.88</v>
      </c>
      <c r="L269" s="4">
        <v>0</v>
      </c>
      <c r="M269" s="4">
        <v>125</v>
      </c>
      <c r="N269" s="4">
        <v>134</v>
      </c>
      <c r="O269" s="4" t="s">
        <v>26</v>
      </c>
      <c r="P269" s="7" t="s">
        <v>19</v>
      </c>
    </row>
    <row r="270" spans="2:16" x14ac:dyDescent="0.45">
      <c r="B270" s="4">
        <v>269</v>
      </c>
      <c r="C270" s="4" t="s">
        <v>41</v>
      </c>
      <c r="D270" s="4" t="s">
        <v>23</v>
      </c>
      <c r="E270" s="4" t="s">
        <v>35</v>
      </c>
      <c r="F270" s="4" t="s">
        <v>28</v>
      </c>
      <c r="G270" s="4" t="s">
        <v>19</v>
      </c>
      <c r="H270" s="4" t="s">
        <v>38</v>
      </c>
      <c r="I270" s="4">
        <v>19</v>
      </c>
      <c r="J270" s="5">
        <v>78.3</v>
      </c>
      <c r="K270" s="6">
        <v>1.68</v>
      </c>
      <c r="L270" s="4">
        <v>2</v>
      </c>
      <c r="M270" s="4">
        <v>104</v>
      </c>
      <c r="N270" s="4">
        <v>81</v>
      </c>
      <c r="O270" s="4" t="s">
        <v>21</v>
      </c>
      <c r="P270" s="7" t="s">
        <v>30</v>
      </c>
    </row>
    <row r="271" spans="2:16" x14ac:dyDescent="0.45">
      <c r="B271" s="4">
        <v>270</v>
      </c>
      <c r="C271" s="4" t="s">
        <v>31</v>
      </c>
      <c r="D271" s="4" t="s">
        <v>23</v>
      </c>
      <c r="E271" s="4" t="s">
        <v>17</v>
      </c>
      <c r="F271" s="4" t="s">
        <v>18</v>
      </c>
      <c r="G271" s="4" t="s">
        <v>19</v>
      </c>
      <c r="H271" s="4" t="s">
        <v>28</v>
      </c>
      <c r="I271" s="4">
        <v>69</v>
      </c>
      <c r="J271" s="5">
        <v>54.8</v>
      </c>
      <c r="K271" s="6">
        <v>1.89</v>
      </c>
      <c r="L271" s="4">
        <v>6</v>
      </c>
      <c r="M271" s="4">
        <v>139</v>
      </c>
      <c r="N271" s="4">
        <v>95</v>
      </c>
      <c r="O271" s="4" t="s">
        <v>21</v>
      </c>
      <c r="P271" s="7" t="s">
        <v>30</v>
      </c>
    </row>
    <row r="272" spans="2:16" x14ac:dyDescent="0.45">
      <c r="B272" s="4">
        <v>271</v>
      </c>
      <c r="C272" s="4" t="s">
        <v>29</v>
      </c>
      <c r="D272" s="4" t="s">
        <v>16</v>
      </c>
      <c r="E272" s="4" t="s">
        <v>35</v>
      </c>
      <c r="F272" s="4" t="s">
        <v>28</v>
      </c>
      <c r="G272" s="4" t="s">
        <v>19</v>
      </c>
      <c r="H272" s="4" t="s">
        <v>32</v>
      </c>
      <c r="I272" s="4">
        <v>30</v>
      </c>
      <c r="J272" s="5">
        <v>58.7</v>
      </c>
      <c r="K272" s="6">
        <v>1.66</v>
      </c>
      <c r="L272" s="4">
        <v>6</v>
      </c>
      <c r="M272" s="4">
        <v>109</v>
      </c>
      <c r="N272" s="4">
        <v>130</v>
      </c>
      <c r="O272" s="4" t="s">
        <v>26</v>
      </c>
      <c r="P272" s="7" t="s">
        <v>30</v>
      </c>
    </row>
    <row r="273" spans="2:16" x14ac:dyDescent="0.45">
      <c r="B273" s="4">
        <v>272</v>
      </c>
      <c r="C273" s="4" t="s">
        <v>31</v>
      </c>
      <c r="D273" s="4" t="s">
        <v>23</v>
      </c>
      <c r="E273" s="4" t="s">
        <v>17</v>
      </c>
      <c r="F273" s="4" t="s">
        <v>24</v>
      </c>
      <c r="G273" s="4" t="s">
        <v>30</v>
      </c>
      <c r="H273" s="4" t="s">
        <v>20</v>
      </c>
      <c r="I273" s="4">
        <v>27</v>
      </c>
      <c r="J273" s="5">
        <v>63.5</v>
      </c>
      <c r="K273" s="6">
        <v>1.76</v>
      </c>
      <c r="L273" s="4">
        <v>6</v>
      </c>
      <c r="M273" s="4">
        <v>120</v>
      </c>
      <c r="N273" s="4">
        <v>85</v>
      </c>
      <c r="O273" s="4" t="s">
        <v>26</v>
      </c>
      <c r="P273" s="7" t="s">
        <v>19</v>
      </c>
    </row>
    <row r="274" spans="2:16" x14ac:dyDescent="0.45">
      <c r="B274" s="4">
        <v>273</v>
      </c>
      <c r="C274" s="4" t="s">
        <v>41</v>
      </c>
      <c r="D274" s="4" t="s">
        <v>16</v>
      </c>
      <c r="E274" s="4" t="s">
        <v>37</v>
      </c>
      <c r="F274" s="4" t="s">
        <v>28</v>
      </c>
      <c r="G274" s="4" t="s">
        <v>19</v>
      </c>
      <c r="H274" s="4" t="s">
        <v>36</v>
      </c>
      <c r="I274" s="4">
        <v>5</v>
      </c>
      <c r="J274" s="5">
        <v>22.8</v>
      </c>
      <c r="K274" s="6">
        <v>1.21</v>
      </c>
      <c r="L274" s="4">
        <v>4</v>
      </c>
      <c r="M274" s="4">
        <v>139</v>
      </c>
      <c r="N274" s="4">
        <v>96</v>
      </c>
      <c r="O274" s="4" t="s">
        <v>21</v>
      </c>
      <c r="P274" s="7" t="s">
        <v>19</v>
      </c>
    </row>
    <row r="275" spans="2:16" x14ac:dyDescent="0.45">
      <c r="B275" s="4">
        <v>274</v>
      </c>
      <c r="C275" s="4" t="s">
        <v>39</v>
      </c>
      <c r="D275" s="4" t="s">
        <v>16</v>
      </c>
      <c r="E275" s="4" t="s">
        <v>35</v>
      </c>
      <c r="F275" s="4" t="s">
        <v>24</v>
      </c>
      <c r="G275" s="4" t="s">
        <v>19</v>
      </c>
      <c r="H275" s="4" t="s">
        <v>28</v>
      </c>
      <c r="I275" s="4">
        <v>17</v>
      </c>
      <c r="J275" s="5">
        <v>49.4</v>
      </c>
      <c r="K275" s="6">
        <v>1.48</v>
      </c>
      <c r="L275" s="4">
        <v>3</v>
      </c>
      <c r="M275" s="4">
        <v>113</v>
      </c>
      <c r="N275" s="4">
        <v>94</v>
      </c>
      <c r="O275" s="4" t="s">
        <v>26</v>
      </c>
      <c r="P275" s="7" t="s">
        <v>30</v>
      </c>
    </row>
    <row r="276" spans="2:16" x14ac:dyDescent="0.45">
      <c r="B276" s="4">
        <v>275</v>
      </c>
      <c r="C276" s="4" t="s">
        <v>22</v>
      </c>
      <c r="D276" s="4" t="s">
        <v>23</v>
      </c>
      <c r="E276" s="4" t="s">
        <v>17</v>
      </c>
      <c r="F276" s="4" t="s">
        <v>24</v>
      </c>
      <c r="G276" s="4" t="s">
        <v>19</v>
      </c>
      <c r="H276" s="4" t="s">
        <v>20</v>
      </c>
      <c r="I276" s="4">
        <v>21</v>
      </c>
      <c r="J276" s="5">
        <v>49.9</v>
      </c>
      <c r="K276" s="6">
        <v>1.77</v>
      </c>
      <c r="L276" s="4">
        <v>1</v>
      </c>
      <c r="M276" s="4">
        <v>105</v>
      </c>
      <c r="N276" s="4">
        <v>93</v>
      </c>
      <c r="O276" s="4" t="s">
        <v>26</v>
      </c>
      <c r="P276" s="7" t="s">
        <v>19</v>
      </c>
    </row>
    <row r="277" spans="2:16" x14ac:dyDescent="0.45">
      <c r="B277" s="4">
        <v>276</v>
      </c>
      <c r="C277" s="4" t="s">
        <v>15</v>
      </c>
      <c r="D277" s="4" t="s">
        <v>16</v>
      </c>
      <c r="E277" s="4" t="s">
        <v>35</v>
      </c>
      <c r="F277" s="4" t="s">
        <v>18</v>
      </c>
      <c r="G277" s="4" t="s">
        <v>30</v>
      </c>
      <c r="H277" s="4" t="s">
        <v>34</v>
      </c>
      <c r="I277" s="4">
        <v>22</v>
      </c>
      <c r="J277" s="5">
        <v>90.3</v>
      </c>
      <c r="K277" s="6">
        <v>1.88</v>
      </c>
      <c r="L277" s="4">
        <v>1</v>
      </c>
      <c r="M277" s="4">
        <v>111</v>
      </c>
      <c r="N277" s="4">
        <v>70</v>
      </c>
      <c r="O277" s="4" t="s">
        <v>21</v>
      </c>
      <c r="P277" s="7" t="s">
        <v>19</v>
      </c>
    </row>
    <row r="278" spans="2:16" x14ac:dyDescent="0.45">
      <c r="B278" s="4">
        <v>277</v>
      </c>
      <c r="C278" s="4" t="s">
        <v>33</v>
      </c>
      <c r="D278" s="4" t="s">
        <v>23</v>
      </c>
      <c r="E278" s="4" t="s">
        <v>17</v>
      </c>
      <c r="F278" s="4" t="s">
        <v>18</v>
      </c>
      <c r="G278" s="4" t="s">
        <v>30</v>
      </c>
      <c r="H278" s="4" t="s">
        <v>34</v>
      </c>
      <c r="I278" s="4">
        <v>5</v>
      </c>
      <c r="J278" s="5">
        <v>23.3</v>
      </c>
      <c r="K278" s="6">
        <v>1.19</v>
      </c>
      <c r="L278" s="4">
        <v>1</v>
      </c>
      <c r="M278" s="4">
        <v>93</v>
      </c>
      <c r="N278" s="4">
        <v>92</v>
      </c>
      <c r="O278" s="4" t="s">
        <v>26</v>
      </c>
      <c r="P278" s="7" t="s">
        <v>19</v>
      </c>
    </row>
    <row r="279" spans="2:16" x14ac:dyDescent="0.45">
      <c r="B279" s="4">
        <v>278</v>
      </c>
      <c r="C279" s="4" t="s">
        <v>31</v>
      </c>
      <c r="D279" s="4" t="s">
        <v>16</v>
      </c>
      <c r="E279" s="4" t="s">
        <v>35</v>
      </c>
      <c r="F279" s="4" t="s">
        <v>24</v>
      </c>
      <c r="G279" s="4" t="s">
        <v>19</v>
      </c>
      <c r="H279" s="4" t="s">
        <v>20</v>
      </c>
      <c r="I279" s="4">
        <v>70</v>
      </c>
      <c r="J279" s="5">
        <v>47.3</v>
      </c>
      <c r="K279" s="6">
        <v>1.48</v>
      </c>
      <c r="L279" s="4">
        <v>6</v>
      </c>
      <c r="M279" s="4">
        <v>124</v>
      </c>
      <c r="N279" s="4">
        <v>104</v>
      </c>
      <c r="O279" s="4" t="s">
        <v>26</v>
      </c>
      <c r="P279" s="7" t="s">
        <v>30</v>
      </c>
    </row>
    <row r="280" spans="2:16" x14ac:dyDescent="0.45">
      <c r="B280" s="4">
        <v>279</v>
      </c>
      <c r="C280" s="4" t="s">
        <v>39</v>
      </c>
      <c r="D280" s="4" t="s">
        <v>16</v>
      </c>
      <c r="E280" s="4" t="s">
        <v>35</v>
      </c>
      <c r="F280" s="4" t="s">
        <v>24</v>
      </c>
      <c r="G280" s="4" t="s">
        <v>19</v>
      </c>
      <c r="H280" s="4" t="s">
        <v>34</v>
      </c>
      <c r="I280" s="4">
        <v>28</v>
      </c>
      <c r="J280" s="5">
        <v>60.9</v>
      </c>
      <c r="K280" s="6">
        <v>1.71</v>
      </c>
      <c r="L280" s="4">
        <v>3</v>
      </c>
      <c r="M280" s="4">
        <v>120</v>
      </c>
      <c r="N280" s="4">
        <v>99</v>
      </c>
      <c r="O280" s="4" t="s">
        <v>26</v>
      </c>
      <c r="P280" s="7" t="s">
        <v>19</v>
      </c>
    </row>
    <row r="281" spans="2:16" x14ac:dyDescent="0.45">
      <c r="B281" s="4">
        <v>280</v>
      </c>
      <c r="C281" s="4" t="s">
        <v>22</v>
      </c>
      <c r="D281" s="4" t="s">
        <v>16</v>
      </c>
      <c r="E281" s="4" t="s">
        <v>35</v>
      </c>
      <c r="F281" s="4" t="s">
        <v>18</v>
      </c>
      <c r="G281" s="4" t="s">
        <v>19</v>
      </c>
      <c r="H281" s="4" t="s">
        <v>28</v>
      </c>
      <c r="I281" s="4">
        <v>32</v>
      </c>
      <c r="J281" s="5">
        <v>76.2</v>
      </c>
      <c r="K281" s="6">
        <v>1.79</v>
      </c>
      <c r="L281" s="4">
        <v>3</v>
      </c>
      <c r="M281" s="4">
        <v>111</v>
      </c>
      <c r="N281" s="4">
        <v>97</v>
      </c>
      <c r="O281" s="4" t="s">
        <v>21</v>
      </c>
      <c r="P281" s="7" t="s">
        <v>19</v>
      </c>
    </row>
    <row r="282" spans="2:16" x14ac:dyDescent="0.45">
      <c r="B282" s="4">
        <v>281</v>
      </c>
      <c r="C282" s="4" t="s">
        <v>40</v>
      </c>
      <c r="D282" s="4" t="s">
        <v>23</v>
      </c>
      <c r="E282" s="4" t="s">
        <v>35</v>
      </c>
      <c r="F282" s="4" t="s">
        <v>28</v>
      </c>
      <c r="G282" s="4" t="s">
        <v>19</v>
      </c>
      <c r="H282" s="4" t="s">
        <v>46</v>
      </c>
      <c r="I282" s="4">
        <v>17</v>
      </c>
      <c r="J282" s="5">
        <v>38.5</v>
      </c>
      <c r="K282" s="6">
        <v>1.59</v>
      </c>
      <c r="L282" s="4">
        <v>2</v>
      </c>
      <c r="M282" s="4">
        <v>99</v>
      </c>
      <c r="N282" s="4">
        <v>81</v>
      </c>
      <c r="O282" s="4" t="s">
        <v>26</v>
      </c>
      <c r="P282" s="7" t="s">
        <v>19</v>
      </c>
    </row>
    <row r="283" spans="2:16" x14ac:dyDescent="0.45">
      <c r="B283" s="4">
        <v>282</v>
      </c>
      <c r="C283" s="4" t="s">
        <v>41</v>
      </c>
      <c r="D283" s="4" t="s">
        <v>23</v>
      </c>
      <c r="E283" s="4" t="s">
        <v>35</v>
      </c>
      <c r="F283" s="4" t="s">
        <v>24</v>
      </c>
      <c r="G283" s="4" t="s">
        <v>19</v>
      </c>
      <c r="H283" s="4" t="s">
        <v>34</v>
      </c>
      <c r="I283" s="4">
        <v>35</v>
      </c>
      <c r="J283" s="5">
        <v>58.1</v>
      </c>
      <c r="K283" s="6">
        <v>1.75</v>
      </c>
      <c r="L283" s="4">
        <v>7</v>
      </c>
      <c r="M283" s="4">
        <v>133</v>
      </c>
      <c r="N283" s="4">
        <v>87</v>
      </c>
      <c r="O283" s="4" t="s">
        <v>26</v>
      </c>
      <c r="P283" s="7" t="s">
        <v>30</v>
      </c>
    </row>
    <row r="284" spans="2:16" x14ac:dyDescent="0.45">
      <c r="B284" s="4">
        <v>283</v>
      </c>
      <c r="C284" s="4" t="s">
        <v>33</v>
      </c>
      <c r="D284" s="4" t="s">
        <v>16</v>
      </c>
      <c r="E284" s="4" t="s">
        <v>35</v>
      </c>
      <c r="F284" s="4" t="s">
        <v>18</v>
      </c>
      <c r="G284" s="4" t="s">
        <v>19</v>
      </c>
      <c r="H284" s="4" t="s">
        <v>20</v>
      </c>
      <c r="I284" s="4">
        <v>58</v>
      </c>
      <c r="J284" s="5">
        <v>68.099999999999994</v>
      </c>
      <c r="K284" s="6">
        <v>1.75</v>
      </c>
      <c r="L284" s="4">
        <v>2</v>
      </c>
      <c r="M284" s="4">
        <v>108</v>
      </c>
      <c r="N284" s="4">
        <v>77</v>
      </c>
      <c r="O284" s="4" t="s">
        <v>21</v>
      </c>
      <c r="P284" s="7" t="s">
        <v>19</v>
      </c>
    </row>
    <row r="285" spans="2:16" x14ac:dyDescent="0.45">
      <c r="B285" s="4">
        <v>284</v>
      </c>
      <c r="C285" s="4" t="s">
        <v>39</v>
      </c>
      <c r="D285" s="4" t="s">
        <v>23</v>
      </c>
      <c r="E285" s="4" t="s">
        <v>35</v>
      </c>
      <c r="F285" s="4" t="s">
        <v>42</v>
      </c>
      <c r="G285" s="4" t="s">
        <v>19</v>
      </c>
      <c r="H285" s="4" t="s">
        <v>25</v>
      </c>
      <c r="I285" s="4">
        <v>32</v>
      </c>
      <c r="J285" s="5">
        <v>71.099999999999994</v>
      </c>
      <c r="K285" s="6">
        <v>1.79</v>
      </c>
      <c r="L285" s="4">
        <v>3</v>
      </c>
      <c r="M285" s="4">
        <v>114</v>
      </c>
      <c r="N285" s="4">
        <v>97</v>
      </c>
      <c r="O285" s="4" t="s">
        <v>21</v>
      </c>
      <c r="P285" s="7" t="s">
        <v>30</v>
      </c>
    </row>
    <row r="286" spans="2:16" x14ac:dyDescent="0.45">
      <c r="B286" s="4">
        <v>285</v>
      </c>
      <c r="C286" s="4" t="s">
        <v>39</v>
      </c>
      <c r="D286" s="4" t="s">
        <v>16</v>
      </c>
      <c r="E286" s="4" t="s">
        <v>17</v>
      </c>
      <c r="F286" s="4" t="s">
        <v>42</v>
      </c>
      <c r="G286" s="4" t="s">
        <v>30</v>
      </c>
      <c r="H286" s="4" t="s">
        <v>25</v>
      </c>
      <c r="I286" s="4">
        <v>10</v>
      </c>
      <c r="J286" s="5">
        <v>25.6</v>
      </c>
      <c r="K286" s="6">
        <v>1.39</v>
      </c>
      <c r="L286" s="4">
        <v>2</v>
      </c>
      <c r="M286" s="4">
        <v>98</v>
      </c>
      <c r="N286" s="4">
        <v>98</v>
      </c>
      <c r="O286" s="4" t="s">
        <v>26</v>
      </c>
      <c r="P286" s="7" t="s">
        <v>19</v>
      </c>
    </row>
    <row r="287" spans="2:16" x14ac:dyDescent="0.45">
      <c r="B287" s="4">
        <v>286</v>
      </c>
      <c r="C287" s="4" t="s">
        <v>43</v>
      </c>
      <c r="D287" s="4" t="s">
        <v>23</v>
      </c>
      <c r="E287" s="4" t="s">
        <v>17</v>
      </c>
      <c r="F287" s="4" t="s">
        <v>24</v>
      </c>
      <c r="G287" s="4" t="s">
        <v>19</v>
      </c>
      <c r="H287" s="4" t="s">
        <v>46</v>
      </c>
      <c r="I287" s="4">
        <v>68</v>
      </c>
      <c r="J287" s="5">
        <v>76.599999999999994</v>
      </c>
      <c r="K287" s="6">
        <v>1.78</v>
      </c>
      <c r="L287" s="4">
        <v>3</v>
      </c>
      <c r="M287" s="4">
        <v>133</v>
      </c>
      <c r="N287" s="4">
        <v>81</v>
      </c>
      <c r="O287" s="4" t="s">
        <v>21</v>
      </c>
      <c r="P287" s="7" t="s">
        <v>19</v>
      </c>
    </row>
    <row r="288" spans="2:16" x14ac:dyDescent="0.45">
      <c r="B288" s="4">
        <v>287</v>
      </c>
      <c r="C288" s="4" t="s">
        <v>29</v>
      </c>
      <c r="D288" s="4" t="s">
        <v>16</v>
      </c>
      <c r="E288" s="4" t="s">
        <v>35</v>
      </c>
      <c r="F288" s="4" t="s">
        <v>24</v>
      </c>
      <c r="G288" s="4" t="s">
        <v>19</v>
      </c>
      <c r="H288" s="4" t="s">
        <v>46</v>
      </c>
      <c r="I288" s="4">
        <v>56</v>
      </c>
      <c r="J288" s="5">
        <v>57.9</v>
      </c>
      <c r="K288" s="6">
        <v>1.75</v>
      </c>
      <c r="L288" s="4">
        <v>5</v>
      </c>
      <c r="M288" s="4">
        <v>114</v>
      </c>
      <c r="N288" s="4">
        <v>95</v>
      </c>
      <c r="O288" s="4" t="s">
        <v>21</v>
      </c>
      <c r="P288" s="7" t="s">
        <v>30</v>
      </c>
    </row>
    <row r="289" spans="2:16" x14ac:dyDescent="0.45">
      <c r="B289" s="4">
        <v>288</v>
      </c>
      <c r="C289" s="4" t="s">
        <v>22</v>
      </c>
      <c r="D289" s="4" t="s">
        <v>16</v>
      </c>
      <c r="E289" s="4" t="s">
        <v>35</v>
      </c>
      <c r="F289" s="4" t="s">
        <v>18</v>
      </c>
      <c r="G289" s="4" t="s">
        <v>30</v>
      </c>
      <c r="H289" s="4" t="s">
        <v>28</v>
      </c>
      <c r="I289" s="4">
        <v>36</v>
      </c>
      <c r="J289" s="5">
        <v>93.6</v>
      </c>
      <c r="K289" s="6">
        <v>1.62</v>
      </c>
      <c r="L289" s="4">
        <v>9</v>
      </c>
      <c r="M289" s="4">
        <v>107</v>
      </c>
      <c r="N289" s="4">
        <v>95</v>
      </c>
      <c r="O289" s="4" t="s">
        <v>21</v>
      </c>
      <c r="P289" s="7" t="s">
        <v>30</v>
      </c>
    </row>
    <row r="290" spans="2:16" x14ac:dyDescent="0.45">
      <c r="B290" s="4">
        <v>289</v>
      </c>
      <c r="C290" s="4" t="s">
        <v>22</v>
      </c>
      <c r="D290" s="4" t="s">
        <v>16</v>
      </c>
      <c r="E290" s="4" t="s">
        <v>37</v>
      </c>
      <c r="F290" s="4" t="s">
        <v>28</v>
      </c>
      <c r="G290" s="4" t="s">
        <v>19</v>
      </c>
      <c r="H290" s="4" t="s">
        <v>20</v>
      </c>
      <c r="I290" s="4">
        <v>44</v>
      </c>
      <c r="J290" s="5">
        <v>74.900000000000006</v>
      </c>
      <c r="K290" s="6">
        <v>1.64</v>
      </c>
      <c r="L290" s="4">
        <v>4</v>
      </c>
      <c r="M290" s="4">
        <v>115</v>
      </c>
      <c r="N290" s="4">
        <v>94</v>
      </c>
      <c r="O290" s="4" t="s">
        <v>26</v>
      </c>
      <c r="P290" s="7" t="s">
        <v>19</v>
      </c>
    </row>
    <row r="291" spans="2:16" x14ac:dyDescent="0.45">
      <c r="B291" s="4">
        <v>290</v>
      </c>
      <c r="C291" s="4" t="s">
        <v>15</v>
      </c>
      <c r="D291" s="4" t="s">
        <v>23</v>
      </c>
      <c r="E291" s="4" t="s">
        <v>35</v>
      </c>
      <c r="F291" s="4" t="s">
        <v>28</v>
      </c>
      <c r="G291" s="4" t="s">
        <v>19</v>
      </c>
      <c r="H291" s="4" t="s">
        <v>28</v>
      </c>
      <c r="I291" s="4">
        <v>21</v>
      </c>
      <c r="J291" s="5">
        <v>74</v>
      </c>
      <c r="K291" s="6">
        <v>1.61</v>
      </c>
      <c r="L291" s="4">
        <v>3</v>
      </c>
      <c r="M291" s="4">
        <v>121</v>
      </c>
      <c r="N291" s="4">
        <v>92</v>
      </c>
      <c r="O291" s="4" t="s">
        <v>21</v>
      </c>
      <c r="P291" s="7" t="s">
        <v>19</v>
      </c>
    </row>
    <row r="292" spans="2:16" x14ac:dyDescent="0.45">
      <c r="B292" s="4">
        <v>291</v>
      </c>
      <c r="C292" s="4" t="s">
        <v>43</v>
      </c>
      <c r="D292" s="4" t="s">
        <v>23</v>
      </c>
      <c r="E292" s="4" t="s">
        <v>35</v>
      </c>
      <c r="F292" s="4" t="s">
        <v>42</v>
      </c>
      <c r="G292" s="4" t="s">
        <v>19</v>
      </c>
      <c r="H292" s="4" t="s">
        <v>20</v>
      </c>
      <c r="I292" s="4">
        <v>23</v>
      </c>
      <c r="J292" s="5">
        <v>87.9</v>
      </c>
      <c r="K292" s="6">
        <v>1.81</v>
      </c>
      <c r="L292" s="4">
        <v>4</v>
      </c>
      <c r="M292" s="4">
        <v>110</v>
      </c>
      <c r="N292" s="4">
        <v>88</v>
      </c>
      <c r="O292" s="4" t="s">
        <v>26</v>
      </c>
      <c r="P292" s="7" t="s">
        <v>30</v>
      </c>
    </row>
    <row r="293" spans="2:16" x14ac:dyDescent="0.45">
      <c r="B293" s="4">
        <v>292</v>
      </c>
      <c r="C293" s="4" t="s">
        <v>43</v>
      </c>
      <c r="D293" s="4" t="s">
        <v>23</v>
      </c>
      <c r="E293" s="4" t="s">
        <v>35</v>
      </c>
      <c r="F293" s="4" t="s">
        <v>18</v>
      </c>
      <c r="G293" s="4" t="s">
        <v>30</v>
      </c>
      <c r="H293" s="4" t="s">
        <v>20</v>
      </c>
      <c r="I293" s="4">
        <v>34</v>
      </c>
      <c r="J293" s="5">
        <v>79</v>
      </c>
      <c r="K293" s="6">
        <v>1.54</v>
      </c>
      <c r="L293" s="4">
        <v>4</v>
      </c>
      <c r="M293" s="4">
        <v>103</v>
      </c>
      <c r="N293" s="4">
        <v>102</v>
      </c>
      <c r="O293" s="4" t="s">
        <v>21</v>
      </c>
      <c r="P293" s="7" t="s">
        <v>19</v>
      </c>
    </row>
    <row r="294" spans="2:16" x14ac:dyDescent="0.45">
      <c r="B294" s="4">
        <v>293</v>
      </c>
      <c r="C294" s="4" t="s">
        <v>41</v>
      </c>
      <c r="D294" s="4" t="s">
        <v>23</v>
      </c>
      <c r="E294" s="4" t="s">
        <v>17</v>
      </c>
      <c r="F294" s="4" t="s">
        <v>18</v>
      </c>
      <c r="G294" s="4" t="s">
        <v>19</v>
      </c>
      <c r="H294" s="4" t="s">
        <v>38</v>
      </c>
      <c r="I294" s="4">
        <v>10</v>
      </c>
      <c r="J294" s="5">
        <v>27.5</v>
      </c>
      <c r="K294" s="6">
        <v>1.28</v>
      </c>
      <c r="L294" s="4">
        <v>2</v>
      </c>
      <c r="M294" s="4">
        <v>114</v>
      </c>
      <c r="N294" s="4">
        <v>94</v>
      </c>
      <c r="O294" s="4" t="s">
        <v>26</v>
      </c>
      <c r="P294" s="7" t="s">
        <v>30</v>
      </c>
    </row>
    <row r="295" spans="2:16" x14ac:dyDescent="0.45">
      <c r="B295" s="4">
        <v>294</v>
      </c>
      <c r="C295" s="4" t="s">
        <v>22</v>
      </c>
      <c r="D295" s="4" t="s">
        <v>23</v>
      </c>
      <c r="E295" s="4" t="s">
        <v>44</v>
      </c>
      <c r="F295" s="4" t="s">
        <v>28</v>
      </c>
      <c r="G295" s="4" t="s">
        <v>19</v>
      </c>
      <c r="H295" s="4" t="s">
        <v>20</v>
      </c>
      <c r="I295" s="4">
        <v>31</v>
      </c>
      <c r="J295" s="5">
        <v>93.8</v>
      </c>
      <c r="K295" s="6">
        <v>1.85</v>
      </c>
      <c r="L295" s="4">
        <v>0</v>
      </c>
      <c r="M295" s="4">
        <v>100</v>
      </c>
      <c r="N295" s="4">
        <v>88</v>
      </c>
      <c r="O295" s="4" t="s">
        <v>26</v>
      </c>
      <c r="P295" s="7" t="s">
        <v>19</v>
      </c>
    </row>
    <row r="296" spans="2:16" x14ac:dyDescent="0.45">
      <c r="B296" s="4">
        <v>295</v>
      </c>
      <c r="C296" s="4" t="s">
        <v>15</v>
      </c>
      <c r="D296" s="4" t="s">
        <v>23</v>
      </c>
      <c r="E296" s="4" t="s">
        <v>35</v>
      </c>
      <c r="F296" s="4" t="s">
        <v>24</v>
      </c>
      <c r="G296" s="4" t="s">
        <v>30</v>
      </c>
      <c r="H296" s="4" t="s">
        <v>46</v>
      </c>
      <c r="I296" s="4">
        <v>63</v>
      </c>
      <c r="J296" s="5">
        <v>77.400000000000006</v>
      </c>
      <c r="K296" s="6">
        <v>1.82</v>
      </c>
      <c r="L296" s="4">
        <v>5</v>
      </c>
      <c r="M296" s="4">
        <v>135</v>
      </c>
      <c r="N296" s="4">
        <v>93</v>
      </c>
      <c r="O296" s="4" t="s">
        <v>26</v>
      </c>
      <c r="P296" s="7" t="s">
        <v>30</v>
      </c>
    </row>
    <row r="297" spans="2:16" x14ac:dyDescent="0.45">
      <c r="B297" s="4">
        <v>296</v>
      </c>
      <c r="C297" s="4" t="s">
        <v>27</v>
      </c>
      <c r="D297" s="4" t="s">
        <v>16</v>
      </c>
      <c r="E297" s="4" t="s">
        <v>37</v>
      </c>
      <c r="F297" s="4" t="s">
        <v>18</v>
      </c>
      <c r="G297" s="4" t="s">
        <v>19</v>
      </c>
      <c r="H297" s="4" t="s">
        <v>20</v>
      </c>
      <c r="I297" s="4">
        <v>74</v>
      </c>
      <c r="J297" s="5">
        <v>78.8</v>
      </c>
      <c r="K297" s="6">
        <v>1.61</v>
      </c>
      <c r="L297" s="4">
        <v>0</v>
      </c>
      <c r="M297" s="4">
        <v>133</v>
      </c>
      <c r="N297" s="4">
        <v>99</v>
      </c>
      <c r="O297" s="4" t="s">
        <v>21</v>
      </c>
      <c r="P297" s="7" t="s">
        <v>19</v>
      </c>
    </row>
    <row r="298" spans="2:16" x14ac:dyDescent="0.45">
      <c r="B298" s="4">
        <v>297</v>
      </c>
      <c r="C298" s="4" t="s">
        <v>31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s">
        <v>25</v>
      </c>
      <c r="I298" s="4">
        <v>30</v>
      </c>
      <c r="J298" s="5">
        <v>69.8</v>
      </c>
      <c r="K298" s="6">
        <v>1.51</v>
      </c>
      <c r="L298" s="4">
        <v>4</v>
      </c>
      <c r="M298" s="4">
        <v>106</v>
      </c>
      <c r="N298" s="4">
        <v>95</v>
      </c>
      <c r="O298" s="4" t="s">
        <v>26</v>
      </c>
      <c r="P298" s="7" t="s">
        <v>19</v>
      </c>
    </row>
    <row r="299" spans="2:16" x14ac:dyDescent="0.45">
      <c r="B299" s="4">
        <v>298</v>
      </c>
      <c r="C299" s="4" t="s">
        <v>43</v>
      </c>
      <c r="D299" s="4" t="s">
        <v>16</v>
      </c>
      <c r="E299" s="4" t="s">
        <v>17</v>
      </c>
      <c r="F299" s="4" t="s">
        <v>24</v>
      </c>
      <c r="G299" s="4" t="s">
        <v>19</v>
      </c>
      <c r="H299" s="4" t="s">
        <v>34</v>
      </c>
      <c r="I299" s="4">
        <v>15</v>
      </c>
      <c r="J299" s="5">
        <v>46.9</v>
      </c>
      <c r="K299" s="6">
        <v>1.69</v>
      </c>
      <c r="L299" s="4">
        <v>2</v>
      </c>
      <c r="M299" s="4">
        <v>116</v>
      </c>
      <c r="N299" s="4">
        <v>85</v>
      </c>
      <c r="O299" s="4" t="s">
        <v>21</v>
      </c>
      <c r="P299" s="7" t="s">
        <v>19</v>
      </c>
    </row>
    <row r="300" spans="2:16" x14ac:dyDescent="0.45">
      <c r="B300" s="4">
        <v>299</v>
      </c>
      <c r="C300" s="4" t="s">
        <v>15</v>
      </c>
      <c r="D300" s="4" t="s">
        <v>23</v>
      </c>
      <c r="E300" s="4" t="s">
        <v>35</v>
      </c>
      <c r="F300" s="4" t="s">
        <v>24</v>
      </c>
      <c r="G300" s="4" t="s">
        <v>19</v>
      </c>
      <c r="H300" s="4" t="s">
        <v>34</v>
      </c>
      <c r="I300" s="4">
        <v>5</v>
      </c>
      <c r="J300" s="5">
        <v>28.7</v>
      </c>
      <c r="K300" s="6">
        <v>1.1399999999999999</v>
      </c>
      <c r="L300" s="4">
        <v>3</v>
      </c>
      <c r="M300" s="4">
        <v>109</v>
      </c>
      <c r="N300" s="4">
        <v>90</v>
      </c>
      <c r="O300" s="4" t="s">
        <v>21</v>
      </c>
      <c r="P300" s="7" t="s">
        <v>19</v>
      </c>
    </row>
    <row r="301" spans="2:16" x14ac:dyDescent="0.45">
      <c r="B301" s="4">
        <v>300</v>
      </c>
      <c r="C301" s="4" t="s">
        <v>40</v>
      </c>
      <c r="D301" s="4" t="s">
        <v>23</v>
      </c>
      <c r="E301" s="4" t="s">
        <v>35</v>
      </c>
      <c r="F301" s="4" t="s">
        <v>24</v>
      </c>
      <c r="G301" s="4" t="s">
        <v>19</v>
      </c>
      <c r="H301" s="4" t="s">
        <v>28</v>
      </c>
      <c r="I301" s="4">
        <v>21</v>
      </c>
      <c r="J301" s="5">
        <v>92.4</v>
      </c>
      <c r="K301" s="6">
        <v>1.72</v>
      </c>
      <c r="L301" s="4">
        <v>4</v>
      </c>
      <c r="M301" s="4">
        <v>114</v>
      </c>
      <c r="N301" s="4">
        <v>96</v>
      </c>
      <c r="O301" s="4" t="s">
        <v>26</v>
      </c>
      <c r="P301" s="7" t="s">
        <v>19</v>
      </c>
    </row>
    <row r="302" spans="2:16" x14ac:dyDescent="0.45">
      <c r="B302" s="4">
        <v>301</v>
      </c>
      <c r="C302" s="4" t="s">
        <v>31</v>
      </c>
      <c r="D302" s="4" t="s">
        <v>23</v>
      </c>
      <c r="E302" s="4" t="s">
        <v>17</v>
      </c>
      <c r="F302" s="4" t="s">
        <v>24</v>
      </c>
      <c r="G302" s="4" t="s">
        <v>30</v>
      </c>
      <c r="H302" s="4" t="s">
        <v>28</v>
      </c>
      <c r="I302" s="4">
        <v>10</v>
      </c>
      <c r="J302" s="5">
        <v>19.100000000000001</v>
      </c>
      <c r="K302" s="6">
        <v>1.06</v>
      </c>
      <c r="L302" s="4">
        <v>8</v>
      </c>
      <c r="M302" s="4">
        <v>95</v>
      </c>
      <c r="N302" s="4">
        <v>92</v>
      </c>
      <c r="O302" s="4" t="s">
        <v>21</v>
      </c>
      <c r="P302" s="7" t="s">
        <v>19</v>
      </c>
    </row>
    <row r="303" spans="2:16" x14ac:dyDescent="0.45">
      <c r="B303" s="4">
        <v>302</v>
      </c>
      <c r="C303" s="4" t="s">
        <v>22</v>
      </c>
      <c r="D303" s="4" t="s">
        <v>16</v>
      </c>
      <c r="E303" s="4" t="s">
        <v>35</v>
      </c>
      <c r="F303" s="4" t="s">
        <v>28</v>
      </c>
      <c r="G303" s="4" t="s">
        <v>19</v>
      </c>
      <c r="H303" s="4" t="s">
        <v>46</v>
      </c>
      <c r="I303" s="4">
        <v>29</v>
      </c>
      <c r="J303" s="5">
        <v>77.8</v>
      </c>
      <c r="K303" s="6">
        <v>1.82</v>
      </c>
      <c r="L303" s="4">
        <v>2</v>
      </c>
      <c r="M303" s="4">
        <v>123</v>
      </c>
      <c r="N303" s="4">
        <v>94</v>
      </c>
      <c r="O303" s="4" t="s">
        <v>26</v>
      </c>
      <c r="P303" s="7" t="s">
        <v>19</v>
      </c>
    </row>
    <row r="304" spans="2:16" x14ac:dyDescent="0.45">
      <c r="B304" s="4">
        <v>303</v>
      </c>
      <c r="C304" s="4" t="s">
        <v>41</v>
      </c>
      <c r="D304" s="4" t="s">
        <v>23</v>
      </c>
      <c r="E304" s="4" t="s">
        <v>17</v>
      </c>
      <c r="F304" s="4" t="s">
        <v>18</v>
      </c>
      <c r="G304" s="4" t="s">
        <v>19</v>
      </c>
      <c r="H304" s="4" t="s">
        <v>46</v>
      </c>
      <c r="I304" s="4">
        <v>51</v>
      </c>
      <c r="J304" s="5">
        <v>85.3</v>
      </c>
      <c r="K304" s="6">
        <v>1.53</v>
      </c>
      <c r="L304" s="4">
        <v>2</v>
      </c>
      <c r="M304" s="4">
        <v>120</v>
      </c>
      <c r="N304" s="4">
        <v>76</v>
      </c>
      <c r="O304" s="4" t="s">
        <v>21</v>
      </c>
      <c r="P304" s="7" t="s">
        <v>30</v>
      </c>
    </row>
    <row r="305" spans="2:16" x14ac:dyDescent="0.45">
      <c r="B305" s="4">
        <v>304</v>
      </c>
      <c r="C305" s="4" t="s">
        <v>27</v>
      </c>
      <c r="D305" s="4" t="s">
        <v>16</v>
      </c>
      <c r="E305" s="4" t="s">
        <v>35</v>
      </c>
      <c r="F305" s="4" t="s">
        <v>24</v>
      </c>
      <c r="G305" s="4" t="s">
        <v>19</v>
      </c>
      <c r="H305" s="4" t="s">
        <v>20</v>
      </c>
      <c r="I305" s="4">
        <v>0</v>
      </c>
      <c r="J305" s="5">
        <v>7.4</v>
      </c>
      <c r="K305" s="6">
        <v>0.68</v>
      </c>
      <c r="L305" s="4">
        <v>4</v>
      </c>
      <c r="M305" s="4">
        <v>97</v>
      </c>
      <c r="N305" s="4">
        <v>77</v>
      </c>
      <c r="O305" s="4" t="s">
        <v>21</v>
      </c>
      <c r="P305" s="7" t="s">
        <v>19</v>
      </c>
    </row>
    <row r="306" spans="2:16" x14ac:dyDescent="0.45">
      <c r="B306" s="4">
        <v>305</v>
      </c>
      <c r="C306" s="4" t="s">
        <v>39</v>
      </c>
      <c r="D306" s="4" t="s">
        <v>23</v>
      </c>
      <c r="E306" s="4" t="s">
        <v>17</v>
      </c>
      <c r="F306" s="4" t="s">
        <v>18</v>
      </c>
      <c r="G306" s="4" t="s">
        <v>30</v>
      </c>
      <c r="H306" s="4" t="s">
        <v>32</v>
      </c>
      <c r="I306" s="4">
        <v>64</v>
      </c>
      <c r="J306" s="5">
        <v>86.4</v>
      </c>
      <c r="K306" s="6">
        <v>1.76</v>
      </c>
      <c r="L306" s="4">
        <v>4</v>
      </c>
      <c r="M306" s="4">
        <v>128</v>
      </c>
      <c r="N306" s="4">
        <v>132</v>
      </c>
      <c r="O306" s="4" t="s">
        <v>21</v>
      </c>
      <c r="P306" s="7" t="s">
        <v>19</v>
      </c>
    </row>
    <row r="307" spans="2:16" x14ac:dyDescent="0.45">
      <c r="B307" s="4">
        <v>306</v>
      </c>
      <c r="C307" s="4" t="s">
        <v>40</v>
      </c>
      <c r="D307" s="4" t="s">
        <v>23</v>
      </c>
      <c r="E307" s="4" t="s">
        <v>35</v>
      </c>
      <c r="F307" s="4" t="s">
        <v>24</v>
      </c>
      <c r="G307" s="4" t="s">
        <v>30</v>
      </c>
      <c r="H307" s="4" t="s">
        <v>34</v>
      </c>
      <c r="I307" s="4">
        <v>4</v>
      </c>
      <c r="J307" s="5">
        <v>13.6</v>
      </c>
      <c r="K307" s="6">
        <v>0.73</v>
      </c>
      <c r="L307" s="4">
        <v>1</v>
      </c>
      <c r="M307" s="4">
        <v>99</v>
      </c>
      <c r="N307" s="4">
        <v>71</v>
      </c>
      <c r="O307" s="4" t="s">
        <v>21</v>
      </c>
      <c r="P307" s="7" t="s">
        <v>19</v>
      </c>
    </row>
    <row r="308" spans="2:16" x14ac:dyDescent="0.45">
      <c r="B308" s="4">
        <v>307</v>
      </c>
      <c r="C308" s="4" t="s">
        <v>27</v>
      </c>
      <c r="D308" s="4" t="s">
        <v>23</v>
      </c>
      <c r="E308" s="4" t="s">
        <v>17</v>
      </c>
      <c r="F308" s="4" t="s">
        <v>18</v>
      </c>
      <c r="G308" s="4" t="s">
        <v>19</v>
      </c>
      <c r="H308" s="4" t="s">
        <v>34</v>
      </c>
      <c r="I308" s="4">
        <v>29</v>
      </c>
      <c r="J308" s="5">
        <v>92.1</v>
      </c>
      <c r="K308" s="6">
        <v>1.71</v>
      </c>
      <c r="L308" s="4">
        <v>6</v>
      </c>
      <c r="M308" s="4">
        <v>100</v>
      </c>
      <c r="N308" s="4">
        <v>95</v>
      </c>
      <c r="O308" s="4" t="s">
        <v>21</v>
      </c>
      <c r="P308" s="7" t="s">
        <v>19</v>
      </c>
    </row>
    <row r="309" spans="2:16" x14ac:dyDescent="0.45">
      <c r="B309" s="4">
        <v>308</v>
      </c>
      <c r="C309" s="4" t="s">
        <v>15</v>
      </c>
      <c r="D309" s="4" t="s">
        <v>23</v>
      </c>
      <c r="E309" s="4" t="s">
        <v>35</v>
      </c>
      <c r="F309" s="4" t="s">
        <v>18</v>
      </c>
      <c r="G309" s="4" t="s">
        <v>19</v>
      </c>
      <c r="H309" s="4" t="s">
        <v>28</v>
      </c>
      <c r="I309" s="4">
        <v>24</v>
      </c>
      <c r="J309" s="5">
        <v>62.8</v>
      </c>
      <c r="K309" s="6">
        <v>1.7</v>
      </c>
      <c r="L309" s="4">
        <v>1</v>
      </c>
      <c r="M309" s="4">
        <v>120</v>
      </c>
      <c r="N309" s="4">
        <v>83</v>
      </c>
      <c r="O309" s="4" t="s">
        <v>26</v>
      </c>
      <c r="P309" s="7" t="s">
        <v>19</v>
      </c>
    </row>
    <row r="310" spans="2:16" x14ac:dyDescent="0.45">
      <c r="B310" s="4">
        <v>309</v>
      </c>
      <c r="C310" s="4" t="s">
        <v>45</v>
      </c>
      <c r="D310" s="4" t="s">
        <v>23</v>
      </c>
      <c r="E310" s="4" t="s">
        <v>17</v>
      </c>
      <c r="F310" s="4" t="s">
        <v>18</v>
      </c>
      <c r="G310" s="4" t="s">
        <v>30</v>
      </c>
      <c r="H310" s="4" t="s">
        <v>28</v>
      </c>
      <c r="I310" s="4">
        <v>40</v>
      </c>
      <c r="J310" s="5">
        <v>50.5</v>
      </c>
      <c r="K310" s="6">
        <v>1.83</v>
      </c>
      <c r="L310" s="4">
        <v>5</v>
      </c>
      <c r="M310" s="4">
        <v>131</v>
      </c>
      <c r="N310" s="4">
        <v>92</v>
      </c>
      <c r="O310" s="4" t="s">
        <v>26</v>
      </c>
      <c r="P310" s="7" t="s">
        <v>30</v>
      </c>
    </row>
    <row r="311" spans="2:16" x14ac:dyDescent="0.45">
      <c r="B311" s="4">
        <v>310</v>
      </c>
      <c r="C311" s="4" t="s">
        <v>27</v>
      </c>
      <c r="D311" s="4" t="s">
        <v>23</v>
      </c>
      <c r="E311" s="4" t="s">
        <v>17</v>
      </c>
      <c r="F311" s="4" t="s">
        <v>24</v>
      </c>
      <c r="G311" s="4" t="s">
        <v>19</v>
      </c>
      <c r="H311" s="4" t="s">
        <v>38</v>
      </c>
      <c r="I311" s="4">
        <v>50</v>
      </c>
      <c r="J311" s="5">
        <v>62</v>
      </c>
      <c r="K311" s="6">
        <v>1.68</v>
      </c>
      <c r="L311" s="4">
        <v>9</v>
      </c>
      <c r="M311" s="4">
        <v>115</v>
      </c>
      <c r="N311" s="4">
        <v>74</v>
      </c>
      <c r="O311" s="4" t="s">
        <v>21</v>
      </c>
      <c r="P311" s="7" t="s">
        <v>19</v>
      </c>
    </row>
    <row r="312" spans="2:16" x14ac:dyDescent="0.45">
      <c r="B312" s="4">
        <v>311</v>
      </c>
      <c r="C312" s="4" t="s">
        <v>45</v>
      </c>
      <c r="D312" s="4" t="s">
        <v>23</v>
      </c>
      <c r="E312" s="4" t="s">
        <v>44</v>
      </c>
      <c r="F312" s="4" t="s">
        <v>18</v>
      </c>
      <c r="G312" s="4" t="s">
        <v>19</v>
      </c>
      <c r="H312" s="4" t="s">
        <v>20</v>
      </c>
      <c r="I312" s="4">
        <v>10</v>
      </c>
      <c r="J312" s="5">
        <v>37.1</v>
      </c>
      <c r="K312" s="6">
        <v>1.23</v>
      </c>
      <c r="L312" s="4">
        <v>3</v>
      </c>
      <c r="M312" s="4">
        <v>114</v>
      </c>
      <c r="N312" s="4">
        <v>72</v>
      </c>
      <c r="O312" s="4" t="s">
        <v>26</v>
      </c>
      <c r="P312" s="7" t="s">
        <v>19</v>
      </c>
    </row>
    <row r="313" spans="2:16" x14ac:dyDescent="0.45">
      <c r="B313" s="4">
        <v>312</v>
      </c>
      <c r="C313" s="4" t="s">
        <v>43</v>
      </c>
      <c r="D313" s="4" t="s">
        <v>23</v>
      </c>
      <c r="E313" s="4" t="s">
        <v>35</v>
      </c>
      <c r="F313" s="4" t="s">
        <v>18</v>
      </c>
      <c r="G313" s="4" t="s">
        <v>19</v>
      </c>
      <c r="H313" s="4" t="s">
        <v>36</v>
      </c>
      <c r="I313" s="4">
        <v>29</v>
      </c>
      <c r="J313" s="5">
        <v>78.400000000000006</v>
      </c>
      <c r="K313" s="6">
        <v>1.61</v>
      </c>
      <c r="L313" s="4">
        <v>4</v>
      </c>
      <c r="M313" s="4">
        <v>118</v>
      </c>
      <c r="N313" s="4">
        <v>102</v>
      </c>
      <c r="O313" s="4" t="s">
        <v>26</v>
      </c>
      <c r="P313" s="7" t="s">
        <v>19</v>
      </c>
    </row>
    <row r="314" spans="2:16" x14ac:dyDescent="0.45">
      <c r="B314" s="4">
        <v>313</v>
      </c>
      <c r="C314" s="4" t="s">
        <v>22</v>
      </c>
      <c r="D314" s="4" t="s">
        <v>16</v>
      </c>
      <c r="E314" s="4" t="s">
        <v>35</v>
      </c>
      <c r="F314" s="4" t="s">
        <v>24</v>
      </c>
      <c r="G314" s="4" t="s">
        <v>19</v>
      </c>
      <c r="H314" s="4" t="s">
        <v>28</v>
      </c>
      <c r="I314" s="4">
        <v>24</v>
      </c>
      <c r="J314" s="5">
        <v>59.3</v>
      </c>
      <c r="K314" s="6">
        <v>1.59</v>
      </c>
      <c r="L314" s="4">
        <v>9</v>
      </c>
      <c r="M314" s="4">
        <v>114</v>
      </c>
      <c r="N314" s="4">
        <v>103</v>
      </c>
      <c r="O314" s="4" t="s">
        <v>26</v>
      </c>
      <c r="P314" s="7" t="s">
        <v>19</v>
      </c>
    </row>
    <row r="315" spans="2:16" x14ac:dyDescent="0.45">
      <c r="B315" s="4">
        <v>314</v>
      </c>
      <c r="C315" s="4" t="s">
        <v>22</v>
      </c>
      <c r="D315" s="4" t="s">
        <v>16</v>
      </c>
      <c r="E315" s="4" t="s">
        <v>37</v>
      </c>
      <c r="F315" s="4" t="s">
        <v>24</v>
      </c>
      <c r="G315" s="4" t="s">
        <v>30</v>
      </c>
      <c r="H315" s="4" t="s">
        <v>28</v>
      </c>
      <c r="I315" s="4">
        <v>28</v>
      </c>
      <c r="J315" s="5">
        <v>49.6</v>
      </c>
      <c r="K315" s="6">
        <v>1.73</v>
      </c>
      <c r="L315" s="4">
        <v>10</v>
      </c>
      <c r="M315" s="4">
        <v>112</v>
      </c>
      <c r="N315" s="4">
        <v>86</v>
      </c>
      <c r="O315" s="4" t="s">
        <v>26</v>
      </c>
      <c r="P315" s="7" t="s">
        <v>19</v>
      </c>
    </row>
    <row r="316" spans="2:16" x14ac:dyDescent="0.45">
      <c r="B316" s="4">
        <v>315</v>
      </c>
      <c r="C316" s="4" t="s">
        <v>43</v>
      </c>
      <c r="D316" s="4" t="s">
        <v>16</v>
      </c>
      <c r="E316" s="4" t="s">
        <v>35</v>
      </c>
      <c r="F316" s="4" t="s">
        <v>18</v>
      </c>
      <c r="G316" s="4" t="s">
        <v>19</v>
      </c>
      <c r="H316" s="4" t="s">
        <v>20</v>
      </c>
      <c r="I316" s="4">
        <v>8</v>
      </c>
      <c r="J316" s="5">
        <v>30</v>
      </c>
      <c r="K316" s="6">
        <v>1.35</v>
      </c>
      <c r="L316" s="4">
        <v>3</v>
      </c>
      <c r="M316" s="4">
        <v>116</v>
      </c>
      <c r="N316" s="4">
        <v>103</v>
      </c>
      <c r="O316" s="4" t="s">
        <v>26</v>
      </c>
      <c r="P316" s="7" t="s">
        <v>19</v>
      </c>
    </row>
    <row r="317" spans="2:16" x14ac:dyDescent="0.45">
      <c r="B317" s="4">
        <v>316</v>
      </c>
      <c r="C317" s="4" t="s">
        <v>39</v>
      </c>
      <c r="D317" s="4" t="s">
        <v>23</v>
      </c>
      <c r="E317" s="4" t="s">
        <v>44</v>
      </c>
      <c r="F317" s="4" t="s">
        <v>24</v>
      </c>
      <c r="G317" s="4" t="s">
        <v>19</v>
      </c>
      <c r="H317" s="4" t="s">
        <v>28</v>
      </c>
      <c r="I317" s="4">
        <v>21</v>
      </c>
      <c r="J317" s="5">
        <v>47.5</v>
      </c>
      <c r="K317" s="6">
        <v>1.77</v>
      </c>
      <c r="L317" s="4">
        <v>6</v>
      </c>
      <c r="M317" s="4">
        <v>108</v>
      </c>
      <c r="N317" s="4">
        <v>70</v>
      </c>
      <c r="O317" s="4" t="s">
        <v>26</v>
      </c>
      <c r="P317" s="7" t="s">
        <v>19</v>
      </c>
    </row>
    <row r="318" spans="2:16" x14ac:dyDescent="0.45">
      <c r="B318" s="4">
        <v>317</v>
      </c>
      <c r="C318" s="4" t="s">
        <v>22</v>
      </c>
      <c r="D318" s="4" t="s">
        <v>16</v>
      </c>
      <c r="E318" s="4" t="s">
        <v>17</v>
      </c>
      <c r="F318" s="4" t="s">
        <v>18</v>
      </c>
      <c r="G318" s="4" t="s">
        <v>30</v>
      </c>
      <c r="H318" s="4" t="s">
        <v>28</v>
      </c>
      <c r="I318" s="4">
        <v>5</v>
      </c>
      <c r="J318" s="5">
        <v>19.2</v>
      </c>
      <c r="K318" s="6">
        <v>1.38</v>
      </c>
      <c r="L318" s="4">
        <v>9</v>
      </c>
      <c r="M318" s="4">
        <v>116</v>
      </c>
      <c r="N318" s="4">
        <v>90</v>
      </c>
      <c r="O318" s="4" t="s">
        <v>21</v>
      </c>
      <c r="P318" s="7" t="s">
        <v>19</v>
      </c>
    </row>
    <row r="319" spans="2:16" x14ac:dyDescent="0.45">
      <c r="B319" s="4">
        <v>318</v>
      </c>
      <c r="C319" s="4" t="s">
        <v>22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s">
        <v>20</v>
      </c>
      <c r="I319" s="4">
        <v>3</v>
      </c>
      <c r="J319" s="5">
        <v>15.2</v>
      </c>
      <c r="K319" s="6">
        <v>0.83</v>
      </c>
      <c r="L319" s="4">
        <v>1</v>
      </c>
      <c r="M319" s="4">
        <v>103</v>
      </c>
      <c r="N319" s="4">
        <v>76</v>
      </c>
      <c r="O319" s="4" t="s">
        <v>21</v>
      </c>
      <c r="P319" s="7" t="s">
        <v>19</v>
      </c>
    </row>
    <row r="320" spans="2:16" x14ac:dyDescent="0.45">
      <c r="B320" s="4">
        <v>319</v>
      </c>
      <c r="C320" s="4" t="s">
        <v>31</v>
      </c>
      <c r="D320" s="4" t="s">
        <v>23</v>
      </c>
      <c r="E320" s="4" t="s">
        <v>35</v>
      </c>
      <c r="F320" s="4" t="s">
        <v>28</v>
      </c>
      <c r="G320" s="4" t="s">
        <v>19</v>
      </c>
      <c r="H320" s="4" t="s">
        <v>25</v>
      </c>
      <c r="I320" s="4">
        <v>39</v>
      </c>
      <c r="J320" s="5">
        <v>79.7</v>
      </c>
      <c r="K320" s="6">
        <v>1.82</v>
      </c>
      <c r="L320" s="4">
        <v>7</v>
      </c>
      <c r="M320" s="4">
        <v>120</v>
      </c>
      <c r="N320" s="4">
        <v>101</v>
      </c>
      <c r="O320" s="4" t="s">
        <v>26</v>
      </c>
      <c r="P320" s="7" t="s">
        <v>19</v>
      </c>
    </row>
    <row r="321" spans="2:16" x14ac:dyDescent="0.45">
      <c r="B321" s="4">
        <v>320</v>
      </c>
      <c r="C321" s="4" t="s">
        <v>27</v>
      </c>
      <c r="D321" s="4" t="s">
        <v>16</v>
      </c>
      <c r="E321" s="4" t="s">
        <v>35</v>
      </c>
      <c r="F321" s="4" t="s">
        <v>28</v>
      </c>
      <c r="G321" s="4" t="s">
        <v>19</v>
      </c>
      <c r="H321" s="4" t="s">
        <v>28</v>
      </c>
      <c r="I321" s="4">
        <v>0</v>
      </c>
      <c r="J321" s="5">
        <v>11.5</v>
      </c>
      <c r="K321" s="6">
        <v>0.65</v>
      </c>
      <c r="L321" s="4">
        <v>4</v>
      </c>
      <c r="M321" s="4">
        <v>120</v>
      </c>
      <c r="N321" s="4">
        <v>73</v>
      </c>
      <c r="O321" s="4" t="s">
        <v>26</v>
      </c>
      <c r="P321" s="7" t="s">
        <v>30</v>
      </c>
    </row>
    <row r="322" spans="2:16" x14ac:dyDescent="0.45">
      <c r="B322" s="4">
        <v>321</v>
      </c>
      <c r="C322" s="4" t="s">
        <v>27</v>
      </c>
      <c r="D322" s="4" t="s">
        <v>16</v>
      </c>
      <c r="E322" s="4" t="s">
        <v>35</v>
      </c>
      <c r="F322" s="4" t="s">
        <v>18</v>
      </c>
      <c r="G322" s="4" t="s">
        <v>19</v>
      </c>
      <c r="H322" s="4" t="s">
        <v>36</v>
      </c>
      <c r="I322" s="4">
        <v>16</v>
      </c>
      <c r="J322" s="5">
        <v>38.9</v>
      </c>
      <c r="K322" s="6">
        <v>1.75</v>
      </c>
      <c r="L322" s="4">
        <v>5</v>
      </c>
      <c r="M322" s="4">
        <v>132</v>
      </c>
      <c r="N322" s="4">
        <v>80</v>
      </c>
      <c r="O322" s="4" t="s">
        <v>21</v>
      </c>
      <c r="P322" s="7" t="s">
        <v>19</v>
      </c>
    </row>
    <row r="323" spans="2:16" x14ac:dyDescent="0.45">
      <c r="B323" s="4">
        <v>322</v>
      </c>
      <c r="C323" s="4" t="s">
        <v>45</v>
      </c>
      <c r="D323" s="4" t="s">
        <v>16</v>
      </c>
      <c r="E323" s="4" t="s">
        <v>37</v>
      </c>
      <c r="F323" s="4" t="s">
        <v>28</v>
      </c>
      <c r="G323" s="4" t="s">
        <v>19</v>
      </c>
      <c r="H323" s="4" t="s">
        <v>34</v>
      </c>
      <c r="I323" s="4">
        <v>42</v>
      </c>
      <c r="J323" s="5">
        <v>79.599999999999994</v>
      </c>
      <c r="K323" s="6">
        <v>1.55</v>
      </c>
      <c r="L323" s="4">
        <v>5</v>
      </c>
      <c r="M323" s="4">
        <v>122</v>
      </c>
      <c r="N323" s="4">
        <v>72</v>
      </c>
      <c r="O323" s="4" t="s">
        <v>21</v>
      </c>
      <c r="P323" s="7" t="s">
        <v>30</v>
      </c>
    </row>
    <row r="324" spans="2:16" x14ac:dyDescent="0.45">
      <c r="B324" s="4">
        <v>323</v>
      </c>
      <c r="C324" s="4" t="s">
        <v>43</v>
      </c>
      <c r="D324" s="4" t="s">
        <v>23</v>
      </c>
      <c r="E324" s="4" t="s">
        <v>17</v>
      </c>
      <c r="F324" s="4" t="s">
        <v>18</v>
      </c>
      <c r="G324" s="4" t="s">
        <v>19</v>
      </c>
      <c r="H324" s="4" t="s">
        <v>32</v>
      </c>
      <c r="I324" s="4">
        <v>11</v>
      </c>
      <c r="J324" s="5">
        <v>24.8</v>
      </c>
      <c r="K324" s="6">
        <v>1.1200000000000001</v>
      </c>
      <c r="L324" s="4">
        <v>2</v>
      </c>
      <c r="M324" s="4">
        <v>115</v>
      </c>
      <c r="N324" s="4">
        <v>160</v>
      </c>
      <c r="O324" s="4" t="s">
        <v>21</v>
      </c>
      <c r="P324" s="7" t="s">
        <v>30</v>
      </c>
    </row>
    <row r="325" spans="2:16" x14ac:dyDescent="0.45">
      <c r="B325" s="4">
        <v>324</v>
      </c>
      <c r="C325" s="4" t="s">
        <v>27</v>
      </c>
      <c r="D325" s="4" t="s">
        <v>23</v>
      </c>
      <c r="E325" s="4" t="s">
        <v>37</v>
      </c>
      <c r="F325" s="4" t="s">
        <v>18</v>
      </c>
      <c r="G325" s="4" t="s">
        <v>19</v>
      </c>
      <c r="H325" s="4" t="s">
        <v>36</v>
      </c>
      <c r="I325" s="4">
        <v>1</v>
      </c>
      <c r="J325" s="5">
        <v>8.5</v>
      </c>
      <c r="K325" s="6">
        <v>1.03</v>
      </c>
      <c r="L325" s="4">
        <v>3</v>
      </c>
      <c r="M325" s="4">
        <v>137</v>
      </c>
      <c r="N325" s="4">
        <v>73</v>
      </c>
      <c r="O325" s="4" t="s">
        <v>26</v>
      </c>
      <c r="P325" s="7" t="s">
        <v>30</v>
      </c>
    </row>
    <row r="326" spans="2:16" x14ac:dyDescent="0.45">
      <c r="B326" s="4">
        <v>325</v>
      </c>
      <c r="C326" s="4" t="s">
        <v>22</v>
      </c>
      <c r="D326" s="4" t="s">
        <v>23</v>
      </c>
      <c r="E326" s="4" t="s">
        <v>44</v>
      </c>
      <c r="F326" s="4" t="s">
        <v>24</v>
      </c>
      <c r="G326" s="4" t="s">
        <v>19</v>
      </c>
      <c r="H326" s="4" t="s">
        <v>20</v>
      </c>
      <c r="I326" s="4">
        <v>47</v>
      </c>
      <c r="J326" s="5">
        <v>76.2</v>
      </c>
      <c r="K326" s="6">
        <v>1.57</v>
      </c>
      <c r="L326" s="4">
        <v>1</v>
      </c>
      <c r="M326" s="4">
        <v>113</v>
      </c>
      <c r="N326" s="4">
        <v>98</v>
      </c>
      <c r="O326" s="4" t="s">
        <v>26</v>
      </c>
      <c r="P326" s="7" t="s">
        <v>19</v>
      </c>
    </row>
    <row r="327" spans="2:16" x14ac:dyDescent="0.45">
      <c r="B327" s="4">
        <v>326</v>
      </c>
      <c r="C327" s="4" t="s">
        <v>27</v>
      </c>
      <c r="D327" s="4" t="s">
        <v>16</v>
      </c>
      <c r="E327" s="4" t="s">
        <v>35</v>
      </c>
      <c r="F327" s="4" t="s">
        <v>42</v>
      </c>
      <c r="G327" s="4" t="s">
        <v>19</v>
      </c>
      <c r="H327" s="4" t="s">
        <v>32</v>
      </c>
      <c r="I327" s="4">
        <v>57</v>
      </c>
      <c r="J327" s="5">
        <v>85.6</v>
      </c>
      <c r="K327" s="6">
        <v>1.68</v>
      </c>
      <c r="L327" s="4">
        <v>2</v>
      </c>
      <c r="M327" s="4">
        <v>125</v>
      </c>
      <c r="N327" s="4">
        <v>174</v>
      </c>
      <c r="O327" s="4" t="s">
        <v>26</v>
      </c>
      <c r="P327" s="7" t="s">
        <v>19</v>
      </c>
    </row>
    <row r="328" spans="2:16" x14ac:dyDescent="0.45">
      <c r="B328" s="4">
        <v>327</v>
      </c>
      <c r="C328" s="4" t="s">
        <v>39</v>
      </c>
      <c r="D328" s="4" t="s">
        <v>23</v>
      </c>
      <c r="E328" s="4" t="s">
        <v>35</v>
      </c>
      <c r="F328" s="4" t="s">
        <v>28</v>
      </c>
      <c r="G328" s="4" t="s">
        <v>19</v>
      </c>
      <c r="H328" s="4" t="s">
        <v>20</v>
      </c>
      <c r="I328" s="4">
        <v>2</v>
      </c>
      <c r="J328" s="5">
        <v>9.8000000000000007</v>
      </c>
      <c r="K328" s="6">
        <v>0.93</v>
      </c>
      <c r="L328" s="4">
        <v>10</v>
      </c>
      <c r="M328" s="4">
        <v>103</v>
      </c>
      <c r="N328" s="4">
        <v>97</v>
      </c>
      <c r="O328" s="4" t="s">
        <v>21</v>
      </c>
      <c r="P328" s="7" t="s">
        <v>19</v>
      </c>
    </row>
    <row r="329" spans="2:16" x14ac:dyDescent="0.45">
      <c r="B329" s="4">
        <v>328</v>
      </c>
      <c r="C329" s="4" t="s">
        <v>33</v>
      </c>
      <c r="D329" s="4" t="s">
        <v>16</v>
      </c>
      <c r="E329" s="4" t="s">
        <v>17</v>
      </c>
      <c r="F329" s="4" t="s">
        <v>18</v>
      </c>
      <c r="G329" s="4" t="s">
        <v>30</v>
      </c>
      <c r="H329" s="4" t="s">
        <v>20</v>
      </c>
      <c r="I329" s="4">
        <v>44</v>
      </c>
      <c r="J329" s="5">
        <v>94.5</v>
      </c>
      <c r="K329" s="6">
        <v>1.86</v>
      </c>
      <c r="L329" s="4">
        <v>4</v>
      </c>
      <c r="M329" s="4">
        <v>119</v>
      </c>
      <c r="N329" s="4">
        <v>93</v>
      </c>
      <c r="O329" s="4" t="s">
        <v>26</v>
      </c>
      <c r="P329" s="7" t="s">
        <v>30</v>
      </c>
    </row>
    <row r="330" spans="2:16" x14ac:dyDescent="0.45">
      <c r="B330" s="4">
        <v>329</v>
      </c>
      <c r="C330" s="4" t="s">
        <v>45</v>
      </c>
      <c r="D330" s="4" t="s">
        <v>23</v>
      </c>
      <c r="E330" s="4" t="s">
        <v>17</v>
      </c>
      <c r="F330" s="4" t="s">
        <v>24</v>
      </c>
      <c r="G330" s="4" t="s">
        <v>19</v>
      </c>
      <c r="H330" s="4" t="s">
        <v>28</v>
      </c>
      <c r="I330" s="4">
        <v>3</v>
      </c>
      <c r="J330" s="5">
        <v>12.5</v>
      </c>
      <c r="K330" s="6">
        <v>0.82</v>
      </c>
      <c r="L330" s="4">
        <v>7</v>
      </c>
      <c r="M330" s="4">
        <v>96</v>
      </c>
      <c r="N330" s="4">
        <v>85</v>
      </c>
      <c r="O330" s="4" t="s">
        <v>26</v>
      </c>
      <c r="P330" s="7" t="s">
        <v>19</v>
      </c>
    </row>
    <row r="331" spans="2:16" x14ac:dyDescent="0.45">
      <c r="B331" s="4">
        <v>330</v>
      </c>
      <c r="C331" s="4" t="s">
        <v>33</v>
      </c>
      <c r="D331" s="4" t="s">
        <v>16</v>
      </c>
      <c r="E331" s="4" t="s">
        <v>17</v>
      </c>
      <c r="F331" s="4" t="s">
        <v>28</v>
      </c>
      <c r="G331" s="4" t="s">
        <v>19</v>
      </c>
      <c r="H331" s="4" t="s">
        <v>25</v>
      </c>
      <c r="I331" s="4">
        <v>19</v>
      </c>
      <c r="J331" s="5">
        <v>53.7</v>
      </c>
      <c r="K331" s="6">
        <v>1.55</v>
      </c>
      <c r="L331" s="4">
        <v>7</v>
      </c>
      <c r="M331" s="4">
        <v>111</v>
      </c>
      <c r="N331" s="4">
        <v>95</v>
      </c>
      <c r="O331" s="4" t="s">
        <v>26</v>
      </c>
      <c r="P331" s="7" t="s">
        <v>19</v>
      </c>
    </row>
    <row r="332" spans="2:16" x14ac:dyDescent="0.45">
      <c r="B332" s="4">
        <v>331</v>
      </c>
      <c r="C332" s="4" t="s">
        <v>27</v>
      </c>
      <c r="D332" s="4" t="s">
        <v>16</v>
      </c>
      <c r="E332" s="4" t="s">
        <v>35</v>
      </c>
      <c r="F332" s="4" t="s">
        <v>18</v>
      </c>
      <c r="G332" s="4" t="s">
        <v>30</v>
      </c>
      <c r="H332" s="4" t="s">
        <v>20</v>
      </c>
      <c r="I332" s="4">
        <v>3</v>
      </c>
      <c r="J332" s="5">
        <v>11.3</v>
      </c>
      <c r="K332" s="6">
        <v>0.87</v>
      </c>
      <c r="L332" s="4">
        <v>2</v>
      </c>
      <c r="M332" s="4">
        <v>102</v>
      </c>
      <c r="N332" s="4">
        <v>92</v>
      </c>
      <c r="O332" s="4" t="s">
        <v>21</v>
      </c>
      <c r="P332" s="7" t="s">
        <v>19</v>
      </c>
    </row>
    <row r="333" spans="2:16" x14ac:dyDescent="0.45">
      <c r="B333" s="4">
        <v>332</v>
      </c>
      <c r="C333" s="4" t="s">
        <v>29</v>
      </c>
      <c r="D333" s="4" t="s">
        <v>16</v>
      </c>
      <c r="E333" s="4" t="s">
        <v>35</v>
      </c>
      <c r="F333" s="4" t="s">
        <v>24</v>
      </c>
      <c r="G333" s="4" t="s">
        <v>19</v>
      </c>
      <c r="H333" s="4" t="s">
        <v>28</v>
      </c>
      <c r="I333" s="4">
        <v>24</v>
      </c>
      <c r="J333" s="5">
        <v>67.099999999999994</v>
      </c>
      <c r="K333" s="6">
        <v>1.65</v>
      </c>
      <c r="L333" s="4">
        <v>1</v>
      </c>
      <c r="M333" s="4">
        <v>116</v>
      </c>
      <c r="N333" s="4">
        <v>98</v>
      </c>
      <c r="O333" s="4" t="s">
        <v>26</v>
      </c>
      <c r="P333" s="7" t="s">
        <v>19</v>
      </c>
    </row>
    <row r="334" spans="2:16" x14ac:dyDescent="0.45">
      <c r="B334" s="4">
        <v>333</v>
      </c>
      <c r="C334" s="4" t="s">
        <v>39</v>
      </c>
      <c r="D334" s="4" t="s">
        <v>16</v>
      </c>
      <c r="E334" s="4" t="s">
        <v>35</v>
      </c>
      <c r="F334" s="4" t="s">
        <v>42</v>
      </c>
      <c r="G334" s="4" t="s">
        <v>30</v>
      </c>
      <c r="H334" s="4" t="s">
        <v>20</v>
      </c>
      <c r="I334" s="4">
        <v>52</v>
      </c>
      <c r="J334" s="5">
        <v>88</v>
      </c>
      <c r="K334" s="6">
        <v>1.53</v>
      </c>
      <c r="L334" s="4">
        <v>10</v>
      </c>
      <c r="M334" s="4">
        <v>127</v>
      </c>
      <c r="N334" s="4">
        <v>92</v>
      </c>
      <c r="O334" s="4" t="s">
        <v>26</v>
      </c>
      <c r="P334" s="7" t="s">
        <v>19</v>
      </c>
    </row>
    <row r="335" spans="2:16" x14ac:dyDescent="0.45">
      <c r="B335" s="4">
        <v>334</v>
      </c>
      <c r="C335" s="4" t="s">
        <v>43</v>
      </c>
      <c r="D335" s="4" t="s">
        <v>16</v>
      </c>
      <c r="E335" s="4" t="s">
        <v>35</v>
      </c>
      <c r="F335" s="4" t="s">
        <v>18</v>
      </c>
      <c r="G335" s="4" t="s">
        <v>30</v>
      </c>
      <c r="H335" s="4" t="s">
        <v>34</v>
      </c>
      <c r="I335" s="4">
        <v>14</v>
      </c>
      <c r="J335" s="5">
        <v>49.9</v>
      </c>
      <c r="K335" s="6">
        <v>1.65</v>
      </c>
      <c r="L335" s="4">
        <v>2</v>
      </c>
      <c r="M335" s="4">
        <v>120</v>
      </c>
      <c r="N335" s="4">
        <v>85</v>
      </c>
      <c r="O335" s="4" t="s">
        <v>21</v>
      </c>
      <c r="P335" s="7" t="s">
        <v>30</v>
      </c>
    </row>
    <row r="336" spans="2:16" x14ac:dyDescent="0.45">
      <c r="B336" s="4">
        <v>335</v>
      </c>
      <c r="C336" s="4" t="s">
        <v>29</v>
      </c>
      <c r="D336" s="4" t="s">
        <v>16</v>
      </c>
      <c r="E336" s="4" t="s">
        <v>17</v>
      </c>
      <c r="F336" s="4" t="s">
        <v>24</v>
      </c>
      <c r="G336" s="4" t="s">
        <v>19</v>
      </c>
      <c r="H336" s="4" t="s">
        <v>32</v>
      </c>
      <c r="I336" s="4">
        <v>35</v>
      </c>
      <c r="J336" s="5">
        <v>90</v>
      </c>
      <c r="K336" s="6">
        <v>1.56</v>
      </c>
      <c r="L336" s="4">
        <v>5</v>
      </c>
      <c r="M336" s="4">
        <v>117</v>
      </c>
      <c r="N336" s="4">
        <v>117</v>
      </c>
      <c r="O336" s="4" t="s">
        <v>21</v>
      </c>
      <c r="P336" s="7" t="s">
        <v>19</v>
      </c>
    </row>
    <row r="337" spans="2:16" x14ac:dyDescent="0.45">
      <c r="B337" s="4">
        <v>336</v>
      </c>
      <c r="C337" s="4" t="s">
        <v>40</v>
      </c>
      <c r="D337" s="4" t="s">
        <v>23</v>
      </c>
      <c r="E337" s="4" t="s">
        <v>17</v>
      </c>
      <c r="F337" s="4" t="s">
        <v>18</v>
      </c>
      <c r="G337" s="4" t="s">
        <v>19</v>
      </c>
      <c r="H337" s="4" t="s">
        <v>34</v>
      </c>
      <c r="I337" s="4">
        <v>0</v>
      </c>
      <c r="J337" s="5">
        <v>15.6</v>
      </c>
      <c r="K337" s="6">
        <v>0.96</v>
      </c>
      <c r="L337" s="4">
        <v>6</v>
      </c>
      <c r="M337" s="4">
        <v>105</v>
      </c>
      <c r="N337" s="4">
        <v>94</v>
      </c>
      <c r="O337" s="4" t="s">
        <v>26</v>
      </c>
      <c r="P337" s="7" t="s">
        <v>19</v>
      </c>
    </row>
    <row r="338" spans="2:16" x14ac:dyDescent="0.45">
      <c r="B338" s="4">
        <v>337</v>
      </c>
      <c r="C338" s="4" t="s">
        <v>41</v>
      </c>
      <c r="D338" s="4" t="s">
        <v>23</v>
      </c>
      <c r="E338" s="4" t="s">
        <v>35</v>
      </c>
      <c r="F338" s="4" t="s">
        <v>18</v>
      </c>
      <c r="G338" s="4" t="s">
        <v>30</v>
      </c>
      <c r="H338" s="4" t="s">
        <v>25</v>
      </c>
      <c r="I338" s="4">
        <v>5</v>
      </c>
      <c r="J338" s="5">
        <v>30.2</v>
      </c>
      <c r="K338" s="6">
        <v>1.06</v>
      </c>
      <c r="L338" s="4">
        <v>2</v>
      </c>
      <c r="M338" s="4">
        <v>94</v>
      </c>
      <c r="N338" s="4">
        <v>76</v>
      </c>
      <c r="O338" s="4" t="s">
        <v>26</v>
      </c>
      <c r="P338" s="7" t="s">
        <v>19</v>
      </c>
    </row>
    <row r="339" spans="2:16" x14ac:dyDescent="0.45">
      <c r="B339" s="4">
        <v>338</v>
      </c>
      <c r="C339" s="4" t="s">
        <v>33</v>
      </c>
      <c r="D339" s="4" t="s">
        <v>23</v>
      </c>
      <c r="E339" s="4" t="s">
        <v>37</v>
      </c>
      <c r="F339" s="4" t="s">
        <v>24</v>
      </c>
      <c r="G339" s="4" t="s">
        <v>19</v>
      </c>
      <c r="H339" s="4" t="s">
        <v>28</v>
      </c>
      <c r="I339" s="4">
        <v>6</v>
      </c>
      <c r="J339" s="5">
        <v>31.5</v>
      </c>
      <c r="K339" s="6">
        <v>1.35</v>
      </c>
      <c r="L339" s="4">
        <v>8</v>
      </c>
      <c r="M339" s="4">
        <v>113</v>
      </c>
      <c r="N339" s="4">
        <v>92</v>
      </c>
      <c r="O339" s="4" t="s">
        <v>26</v>
      </c>
      <c r="P339" s="7" t="s">
        <v>19</v>
      </c>
    </row>
    <row r="340" spans="2:16" x14ac:dyDescent="0.45">
      <c r="B340" s="4">
        <v>339</v>
      </c>
      <c r="C340" s="4" t="s">
        <v>43</v>
      </c>
      <c r="D340" s="4" t="s">
        <v>23</v>
      </c>
      <c r="E340" s="4" t="s">
        <v>44</v>
      </c>
      <c r="F340" s="4" t="s">
        <v>28</v>
      </c>
      <c r="G340" s="4" t="s">
        <v>19</v>
      </c>
      <c r="H340" s="4" t="s">
        <v>25</v>
      </c>
      <c r="I340" s="4">
        <v>1</v>
      </c>
      <c r="J340" s="5">
        <v>16.100000000000001</v>
      </c>
      <c r="K340" s="6">
        <v>1.05</v>
      </c>
      <c r="L340" s="4">
        <v>3</v>
      </c>
      <c r="M340" s="4">
        <v>101</v>
      </c>
      <c r="N340" s="4">
        <v>90</v>
      </c>
      <c r="O340" s="4" t="s">
        <v>26</v>
      </c>
      <c r="P340" s="7" t="s">
        <v>19</v>
      </c>
    </row>
    <row r="341" spans="2:16" x14ac:dyDescent="0.45">
      <c r="B341" s="4">
        <v>340</v>
      </c>
      <c r="C341" s="4" t="s">
        <v>31</v>
      </c>
      <c r="D341" s="4" t="s">
        <v>23</v>
      </c>
      <c r="E341" s="4" t="s">
        <v>35</v>
      </c>
      <c r="F341" s="4" t="s">
        <v>18</v>
      </c>
      <c r="G341" s="4" t="s">
        <v>19</v>
      </c>
      <c r="H341" s="4" t="s">
        <v>28</v>
      </c>
      <c r="I341" s="4">
        <v>7</v>
      </c>
      <c r="J341" s="5">
        <v>36.6</v>
      </c>
      <c r="K341" s="6">
        <v>1.0900000000000001</v>
      </c>
      <c r="L341" s="4">
        <v>4</v>
      </c>
      <c r="M341" s="4">
        <v>97</v>
      </c>
      <c r="N341" s="4">
        <v>103</v>
      </c>
      <c r="O341" s="4" t="s">
        <v>21</v>
      </c>
      <c r="P341" s="7" t="s">
        <v>19</v>
      </c>
    </row>
    <row r="342" spans="2:16" x14ac:dyDescent="0.45">
      <c r="B342" s="4">
        <v>341</v>
      </c>
      <c r="C342" s="4" t="s">
        <v>41</v>
      </c>
      <c r="D342" s="4" t="s">
        <v>16</v>
      </c>
      <c r="E342" s="4" t="s">
        <v>37</v>
      </c>
      <c r="F342" s="4" t="s">
        <v>18</v>
      </c>
      <c r="G342" s="4" t="s">
        <v>19</v>
      </c>
      <c r="H342" s="4" t="s">
        <v>28</v>
      </c>
      <c r="I342" s="4">
        <v>76</v>
      </c>
      <c r="J342" s="5">
        <v>54</v>
      </c>
      <c r="K342" s="6">
        <v>1.73</v>
      </c>
      <c r="L342" s="4">
        <v>5</v>
      </c>
      <c r="M342" s="4">
        <v>134</v>
      </c>
      <c r="N342" s="4">
        <v>100</v>
      </c>
      <c r="O342" s="4" t="s">
        <v>26</v>
      </c>
      <c r="P342" s="7" t="s">
        <v>30</v>
      </c>
    </row>
    <row r="343" spans="2:16" x14ac:dyDescent="0.45">
      <c r="B343" s="4">
        <v>342</v>
      </c>
      <c r="C343" s="4" t="s">
        <v>45</v>
      </c>
      <c r="D343" s="4" t="s">
        <v>16</v>
      </c>
      <c r="E343" s="4" t="s">
        <v>44</v>
      </c>
      <c r="F343" s="4" t="s">
        <v>24</v>
      </c>
      <c r="G343" s="4" t="s">
        <v>19</v>
      </c>
      <c r="H343" s="4" t="s">
        <v>38</v>
      </c>
      <c r="I343" s="4">
        <v>24</v>
      </c>
      <c r="J343" s="5">
        <v>84.1</v>
      </c>
      <c r="K343" s="6">
        <v>1.65</v>
      </c>
      <c r="L343" s="4">
        <v>6</v>
      </c>
      <c r="M343" s="4">
        <v>118</v>
      </c>
      <c r="N343" s="4">
        <v>97</v>
      </c>
      <c r="O343" s="4" t="s">
        <v>26</v>
      </c>
      <c r="P343" s="7" t="s">
        <v>19</v>
      </c>
    </row>
    <row r="344" spans="2:16" x14ac:dyDescent="0.45">
      <c r="B344" s="4">
        <v>343</v>
      </c>
      <c r="C344" s="4" t="s">
        <v>27</v>
      </c>
      <c r="D344" s="4" t="s">
        <v>16</v>
      </c>
      <c r="E344" s="4" t="s">
        <v>37</v>
      </c>
      <c r="F344" s="4" t="s">
        <v>18</v>
      </c>
      <c r="G344" s="4" t="s">
        <v>19</v>
      </c>
      <c r="H344" s="4" t="s">
        <v>32</v>
      </c>
      <c r="I344" s="4">
        <v>16</v>
      </c>
      <c r="J344" s="5">
        <v>38.6</v>
      </c>
      <c r="K344" s="6">
        <v>1.52</v>
      </c>
      <c r="L344" s="4">
        <v>1</v>
      </c>
      <c r="M344" s="4">
        <v>109</v>
      </c>
      <c r="N344" s="4">
        <v>158</v>
      </c>
      <c r="O344" s="4" t="s">
        <v>26</v>
      </c>
      <c r="P344" s="7" t="s">
        <v>19</v>
      </c>
    </row>
    <row r="345" spans="2:16" x14ac:dyDescent="0.45">
      <c r="B345" s="4">
        <v>344</v>
      </c>
      <c r="C345" s="4" t="s">
        <v>43</v>
      </c>
      <c r="D345" s="4" t="s">
        <v>23</v>
      </c>
      <c r="E345" s="4" t="s">
        <v>35</v>
      </c>
      <c r="F345" s="4" t="s">
        <v>28</v>
      </c>
      <c r="G345" s="4" t="s">
        <v>19</v>
      </c>
      <c r="H345" s="4" t="s">
        <v>25</v>
      </c>
      <c r="I345" s="4">
        <v>39</v>
      </c>
      <c r="J345" s="5">
        <v>85.9</v>
      </c>
      <c r="K345" s="6">
        <v>1.79</v>
      </c>
      <c r="L345" s="4">
        <v>0</v>
      </c>
      <c r="M345" s="4">
        <v>109</v>
      </c>
      <c r="N345" s="4">
        <v>104</v>
      </c>
      <c r="O345" s="4" t="s">
        <v>26</v>
      </c>
      <c r="P345" s="7" t="s">
        <v>19</v>
      </c>
    </row>
    <row r="346" spans="2:16" x14ac:dyDescent="0.45">
      <c r="B346" s="4">
        <v>345</v>
      </c>
      <c r="C346" s="4" t="s">
        <v>27</v>
      </c>
      <c r="D346" s="4" t="s">
        <v>16</v>
      </c>
      <c r="E346" s="4" t="s">
        <v>35</v>
      </c>
      <c r="F346" s="4" t="s">
        <v>18</v>
      </c>
      <c r="G346" s="4" t="s">
        <v>19</v>
      </c>
      <c r="H346" s="4" t="s">
        <v>28</v>
      </c>
      <c r="I346" s="4">
        <v>24</v>
      </c>
      <c r="J346" s="5">
        <v>71.400000000000006</v>
      </c>
      <c r="K346" s="6">
        <v>1.56</v>
      </c>
      <c r="L346" s="4">
        <v>2</v>
      </c>
      <c r="M346" s="4">
        <v>120</v>
      </c>
      <c r="N346" s="4">
        <v>88</v>
      </c>
      <c r="O346" s="4" t="s">
        <v>21</v>
      </c>
      <c r="P346" s="7" t="s">
        <v>19</v>
      </c>
    </row>
    <row r="347" spans="2:16" x14ac:dyDescent="0.45">
      <c r="B347" s="4">
        <v>346</v>
      </c>
      <c r="C347" s="4" t="s">
        <v>27</v>
      </c>
      <c r="D347" s="4" t="s">
        <v>23</v>
      </c>
      <c r="E347" s="4" t="s">
        <v>44</v>
      </c>
      <c r="F347" s="4" t="s">
        <v>24</v>
      </c>
      <c r="G347" s="4" t="s">
        <v>19</v>
      </c>
      <c r="H347" s="4" t="s">
        <v>20</v>
      </c>
      <c r="I347" s="4">
        <v>18</v>
      </c>
      <c r="J347" s="5">
        <v>61.8</v>
      </c>
      <c r="K347" s="6">
        <v>1.83</v>
      </c>
      <c r="L347" s="4">
        <v>1</v>
      </c>
      <c r="M347" s="4">
        <v>107</v>
      </c>
      <c r="N347" s="4">
        <v>83</v>
      </c>
      <c r="O347" s="4" t="s">
        <v>26</v>
      </c>
      <c r="P347" s="7" t="s">
        <v>19</v>
      </c>
    </row>
    <row r="348" spans="2:16" x14ac:dyDescent="0.45">
      <c r="B348" s="4">
        <v>347</v>
      </c>
      <c r="C348" s="4" t="s">
        <v>27</v>
      </c>
      <c r="D348" s="4" t="s">
        <v>16</v>
      </c>
      <c r="E348" s="4" t="s">
        <v>17</v>
      </c>
      <c r="F348" s="4" t="s">
        <v>28</v>
      </c>
      <c r="G348" s="4" t="s">
        <v>30</v>
      </c>
      <c r="H348" s="4" t="s">
        <v>25</v>
      </c>
      <c r="I348" s="4">
        <v>49</v>
      </c>
      <c r="J348" s="5">
        <v>90.4</v>
      </c>
      <c r="K348" s="6">
        <v>1.56</v>
      </c>
      <c r="L348" s="4">
        <v>6</v>
      </c>
      <c r="M348" s="4">
        <v>114</v>
      </c>
      <c r="N348" s="4">
        <v>71</v>
      </c>
      <c r="O348" s="4" t="s">
        <v>21</v>
      </c>
      <c r="P348" s="7" t="s">
        <v>30</v>
      </c>
    </row>
    <row r="349" spans="2:16" x14ac:dyDescent="0.45">
      <c r="B349" s="4">
        <v>348</v>
      </c>
      <c r="C349" s="4" t="s">
        <v>40</v>
      </c>
      <c r="D349" s="4" t="s">
        <v>16</v>
      </c>
      <c r="E349" s="4" t="s">
        <v>17</v>
      </c>
      <c r="F349" s="4" t="s">
        <v>18</v>
      </c>
      <c r="G349" s="4" t="s">
        <v>19</v>
      </c>
      <c r="H349" s="4" t="s">
        <v>38</v>
      </c>
      <c r="I349" s="4">
        <v>50</v>
      </c>
      <c r="J349" s="5">
        <v>63.8</v>
      </c>
      <c r="K349" s="6">
        <v>1.7</v>
      </c>
      <c r="L349" s="4">
        <v>1</v>
      </c>
      <c r="M349" s="4">
        <v>111</v>
      </c>
      <c r="N349" s="4">
        <v>94</v>
      </c>
      <c r="O349" s="4" t="s">
        <v>26</v>
      </c>
      <c r="P349" s="7" t="s">
        <v>19</v>
      </c>
    </row>
    <row r="350" spans="2:16" x14ac:dyDescent="0.45">
      <c r="B350" s="4">
        <v>349</v>
      </c>
      <c r="C350" s="4" t="s">
        <v>43</v>
      </c>
      <c r="D350" s="4" t="s">
        <v>23</v>
      </c>
      <c r="E350" s="4" t="s">
        <v>35</v>
      </c>
      <c r="F350" s="4" t="s">
        <v>24</v>
      </c>
      <c r="G350" s="4" t="s">
        <v>19</v>
      </c>
      <c r="H350" s="4" t="s">
        <v>28</v>
      </c>
      <c r="I350" s="4">
        <v>12</v>
      </c>
      <c r="J350" s="5">
        <v>53.4</v>
      </c>
      <c r="K350" s="6">
        <v>1.69</v>
      </c>
      <c r="L350" s="4">
        <v>0</v>
      </c>
      <c r="M350" s="4">
        <v>108</v>
      </c>
      <c r="N350" s="4">
        <v>83</v>
      </c>
      <c r="O350" s="4" t="s">
        <v>26</v>
      </c>
      <c r="P350" s="7" t="s">
        <v>19</v>
      </c>
    </row>
    <row r="351" spans="2:16" x14ac:dyDescent="0.45">
      <c r="B351" s="4">
        <v>350</v>
      </c>
      <c r="C351" s="4" t="s">
        <v>29</v>
      </c>
      <c r="D351" s="4" t="s">
        <v>23</v>
      </c>
      <c r="E351" s="4" t="s">
        <v>17</v>
      </c>
      <c r="F351" s="4" t="s">
        <v>24</v>
      </c>
      <c r="G351" s="4" t="s">
        <v>19</v>
      </c>
      <c r="H351" s="4" t="s">
        <v>46</v>
      </c>
      <c r="I351" s="4">
        <v>56</v>
      </c>
      <c r="J351" s="5">
        <v>50.4</v>
      </c>
      <c r="K351" s="6">
        <v>1.9</v>
      </c>
      <c r="L351" s="4">
        <v>2</v>
      </c>
      <c r="M351" s="4">
        <v>117</v>
      </c>
      <c r="N351" s="4">
        <v>76</v>
      </c>
      <c r="O351" s="4" t="s">
        <v>21</v>
      </c>
      <c r="P351" s="7" t="s">
        <v>30</v>
      </c>
    </row>
    <row r="352" spans="2:16" x14ac:dyDescent="0.45">
      <c r="B352" s="4">
        <v>351</v>
      </c>
      <c r="C352" s="4" t="s">
        <v>27</v>
      </c>
      <c r="D352" s="4" t="s">
        <v>16</v>
      </c>
      <c r="E352" s="4" t="s">
        <v>17</v>
      </c>
      <c r="F352" s="4" t="s">
        <v>18</v>
      </c>
      <c r="G352" s="4" t="s">
        <v>19</v>
      </c>
      <c r="H352" s="4" t="s">
        <v>34</v>
      </c>
      <c r="I352" s="4">
        <v>6</v>
      </c>
      <c r="J352" s="5">
        <v>20.5</v>
      </c>
      <c r="K352" s="6">
        <v>1.44</v>
      </c>
      <c r="L352" s="4">
        <v>5</v>
      </c>
      <c r="M352" s="4">
        <v>100</v>
      </c>
      <c r="N352" s="4">
        <v>100</v>
      </c>
      <c r="O352" s="4" t="s">
        <v>26</v>
      </c>
      <c r="P352" s="7" t="s">
        <v>19</v>
      </c>
    </row>
    <row r="353" spans="2:16" x14ac:dyDescent="0.45">
      <c r="B353" s="4">
        <v>352</v>
      </c>
      <c r="C353" s="4" t="s">
        <v>27</v>
      </c>
      <c r="D353" s="4" t="s">
        <v>23</v>
      </c>
      <c r="E353" s="4" t="s">
        <v>35</v>
      </c>
      <c r="F353" s="4" t="s">
        <v>42</v>
      </c>
      <c r="G353" s="4" t="s">
        <v>30</v>
      </c>
      <c r="H353" s="4" t="s">
        <v>46</v>
      </c>
      <c r="I353" s="4">
        <v>32</v>
      </c>
      <c r="J353" s="5">
        <v>62.4</v>
      </c>
      <c r="K353" s="6">
        <v>1.67</v>
      </c>
      <c r="L353" s="4">
        <v>1</v>
      </c>
      <c r="M353" s="4">
        <v>111</v>
      </c>
      <c r="N353" s="4">
        <v>102</v>
      </c>
      <c r="O353" s="4" t="s">
        <v>26</v>
      </c>
      <c r="P353" s="7" t="s">
        <v>30</v>
      </c>
    </row>
    <row r="354" spans="2:16" x14ac:dyDescent="0.45">
      <c r="B354" s="4">
        <v>353</v>
      </c>
      <c r="C354" s="4" t="s">
        <v>41</v>
      </c>
      <c r="D354" s="4" t="s">
        <v>16</v>
      </c>
      <c r="E354" s="4" t="s">
        <v>35</v>
      </c>
      <c r="F354" s="4" t="s">
        <v>24</v>
      </c>
      <c r="G354" s="4" t="s">
        <v>19</v>
      </c>
      <c r="H354" s="4" t="s">
        <v>20</v>
      </c>
      <c r="I354" s="4">
        <v>47</v>
      </c>
      <c r="J354" s="5">
        <v>67</v>
      </c>
      <c r="K354" s="6">
        <v>1.88</v>
      </c>
      <c r="L354" s="4">
        <v>4</v>
      </c>
      <c r="M354" s="4">
        <v>108</v>
      </c>
      <c r="N354" s="4">
        <v>75</v>
      </c>
      <c r="O354" s="4" t="s">
        <v>26</v>
      </c>
      <c r="P354" s="7" t="s">
        <v>19</v>
      </c>
    </row>
    <row r="355" spans="2:16" x14ac:dyDescent="0.45">
      <c r="B355" s="4">
        <v>354</v>
      </c>
      <c r="C355" s="4" t="s">
        <v>41</v>
      </c>
      <c r="D355" s="4" t="s">
        <v>16</v>
      </c>
      <c r="E355" s="4" t="s">
        <v>44</v>
      </c>
      <c r="F355" s="4" t="s">
        <v>24</v>
      </c>
      <c r="G355" s="4" t="s">
        <v>19</v>
      </c>
      <c r="H355" s="4" t="s">
        <v>28</v>
      </c>
      <c r="I355" s="4">
        <v>66</v>
      </c>
      <c r="J355" s="5">
        <v>46.5</v>
      </c>
      <c r="K355" s="6">
        <v>1.7</v>
      </c>
      <c r="L355" s="4">
        <v>0</v>
      </c>
      <c r="M355" s="4">
        <v>114</v>
      </c>
      <c r="N355" s="4">
        <v>83</v>
      </c>
      <c r="O355" s="4" t="s">
        <v>26</v>
      </c>
      <c r="P355" s="7" t="s">
        <v>19</v>
      </c>
    </row>
    <row r="356" spans="2:16" x14ac:dyDescent="0.45">
      <c r="B356" s="4">
        <v>355</v>
      </c>
      <c r="C356" s="4" t="s">
        <v>39</v>
      </c>
      <c r="D356" s="4" t="s">
        <v>16</v>
      </c>
      <c r="E356" s="4" t="s">
        <v>35</v>
      </c>
      <c r="F356" s="4" t="s">
        <v>24</v>
      </c>
      <c r="G356" s="4" t="s">
        <v>19</v>
      </c>
      <c r="H356" s="4" t="s">
        <v>38</v>
      </c>
      <c r="I356" s="4">
        <v>18</v>
      </c>
      <c r="J356" s="5">
        <v>70.3</v>
      </c>
      <c r="K356" s="6">
        <v>1.73</v>
      </c>
      <c r="L356" s="4">
        <v>5</v>
      </c>
      <c r="M356" s="4">
        <v>100</v>
      </c>
      <c r="N356" s="4">
        <v>83</v>
      </c>
      <c r="O356" s="4" t="s">
        <v>26</v>
      </c>
      <c r="P356" s="7" t="s">
        <v>19</v>
      </c>
    </row>
    <row r="357" spans="2:16" x14ac:dyDescent="0.45">
      <c r="B357" s="4">
        <v>356</v>
      </c>
      <c r="C357" s="4" t="s">
        <v>22</v>
      </c>
      <c r="D357" s="4" t="s">
        <v>23</v>
      </c>
      <c r="E357" s="4" t="s">
        <v>17</v>
      </c>
      <c r="F357" s="4" t="s">
        <v>18</v>
      </c>
      <c r="G357" s="4" t="s">
        <v>19</v>
      </c>
      <c r="H357" s="4" t="s">
        <v>38</v>
      </c>
      <c r="I357" s="4">
        <v>36</v>
      </c>
      <c r="J357" s="5">
        <v>93</v>
      </c>
      <c r="K357" s="6">
        <v>1.56</v>
      </c>
      <c r="L357" s="4">
        <v>10</v>
      </c>
      <c r="M357" s="4">
        <v>114</v>
      </c>
      <c r="N357" s="4">
        <v>80</v>
      </c>
      <c r="O357" s="4" t="s">
        <v>26</v>
      </c>
      <c r="P357" s="7" t="s">
        <v>19</v>
      </c>
    </row>
    <row r="358" spans="2:16" x14ac:dyDescent="0.45">
      <c r="B358" s="4">
        <v>357</v>
      </c>
      <c r="C358" s="4" t="s">
        <v>22</v>
      </c>
      <c r="D358" s="4" t="s">
        <v>16</v>
      </c>
      <c r="E358" s="4" t="s">
        <v>44</v>
      </c>
      <c r="F358" s="4" t="s">
        <v>18</v>
      </c>
      <c r="G358" s="4" t="s">
        <v>19</v>
      </c>
      <c r="H358" s="4" t="s">
        <v>34</v>
      </c>
      <c r="I358" s="4">
        <v>12</v>
      </c>
      <c r="J358" s="5">
        <v>38</v>
      </c>
      <c r="K358" s="6">
        <v>1.72</v>
      </c>
      <c r="L358" s="4">
        <v>5</v>
      </c>
      <c r="M358" s="4">
        <v>101</v>
      </c>
      <c r="N358" s="4">
        <v>87</v>
      </c>
      <c r="O358" s="4" t="s">
        <v>26</v>
      </c>
      <c r="P358" s="7" t="s">
        <v>19</v>
      </c>
    </row>
    <row r="359" spans="2:16" x14ac:dyDescent="0.45">
      <c r="B359" s="4">
        <v>358</v>
      </c>
      <c r="C359" s="4" t="s">
        <v>22</v>
      </c>
      <c r="D359" s="4" t="s">
        <v>16</v>
      </c>
      <c r="E359" s="4" t="s">
        <v>17</v>
      </c>
      <c r="F359" s="4" t="s">
        <v>42</v>
      </c>
      <c r="G359" s="4" t="s">
        <v>30</v>
      </c>
      <c r="H359" s="4" t="s">
        <v>28</v>
      </c>
      <c r="I359" s="4">
        <v>56</v>
      </c>
      <c r="J359" s="5">
        <v>63.9</v>
      </c>
      <c r="K359" s="6">
        <v>1.66</v>
      </c>
      <c r="L359" s="4">
        <v>4</v>
      </c>
      <c r="M359" s="4">
        <v>112</v>
      </c>
      <c r="N359" s="4">
        <v>104</v>
      </c>
      <c r="O359" s="4" t="s">
        <v>21</v>
      </c>
      <c r="P359" s="7" t="s">
        <v>19</v>
      </c>
    </row>
    <row r="360" spans="2:16" x14ac:dyDescent="0.45">
      <c r="B360" s="4">
        <v>359</v>
      </c>
      <c r="C360" s="4" t="s">
        <v>45</v>
      </c>
      <c r="D360" s="4" t="s">
        <v>23</v>
      </c>
      <c r="E360" s="4" t="s">
        <v>35</v>
      </c>
      <c r="F360" s="4" t="s">
        <v>28</v>
      </c>
      <c r="G360" s="4" t="s">
        <v>30</v>
      </c>
      <c r="H360" s="4" t="s">
        <v>20</v>
      </c>
      <c r="I360" s="4">
        <v>2</v>
      </c>
      <c r="J360" s="5">
        <v>9.6</v>
      </c>
      <c r="K360" s="6">
        <v>1.03</v>
      </c>
      <c r="L360" s="4">
        <v>3</v>
      </c>
      <c r="M360" s="4">
        <v>103</v>
      </c>
      <c r="N360" s="4">
        <v>73</v>
      </c>
      <c r="O360" s="4" t="s">
        <v>26</v>
      </c>
      <c r="P360" s="7" t="s">
        <v>19</v>
      </c>
    </row>
    <row r="361" spans="2:16" x14ac:dyDescent="0.45">
      <c r="B361" s="4">
        <v>360</v>
      </c>
      <c r="C361" s="4" t="s">
        <v>27</v>
      </c>
      <c r="D361" s="4" t="s">
        <v>23</v>
      </c>
      <c r="E361" s="4" t="s">
        <v>35</v>
      </c>
      <c r="F361" s="4" t="s">
        <v>24</v>
      </c>
      <c r="G361" s="4" t="s">
        <v>19</v>
      </c>
      <c r="H361" s="4" t="s">
        <v>25</v>
      </c>
      <c r="I361" s="4">
        <v>22</v>
      </c>
      <c r="J361" s="5">
        <v>56.7</v>
      </c>
      <c r="K361" s="6">
        <v>1.66</v>
      </c>
      <c r="L361" s="4">
        <v>2</v>
      </c>
      <c r="M361" s="4">
        <v>102</v>
      </c>
      <c r="N361" s="4">
        <v>77</v>
      </c>
      <c r="O361" s="4" t="s">
        <v>21</v>
      </c>
      <c r="P361" s="7" t="s">
        <v>19</v>
      </c>
    </row>
    <row r="362" spans="2:16" x14ac:dyDescent="0.45">
      <c r="B362" s="4">
        <v>361</v>
      </c>
      <c r="C362" s="4" t="s">
        <v>43</v>
      </c>
      <c r="D362" s="4" t="s">
        <v>23</v>
      </c>
      <c r="E362" s="4" t="s">
        <v>17</v>
      </c>
      <c r="F362" s="4" t="s">
        <v>24</v>
      </c>
      <c r="G362" s="4" t="s">
        <v>19</v>
      </c>
      <c r="H362" s="4" t="s">
        <v>20</v>
      </c>
      <c r="I362" s="4">
        <v>13</v>
      </c>
      <c r="J362" s="5">
        <v>56.7</v>
      </c>
      <c r="K362" s="6">
        <v>1.67</v>
      </c>
      <c r="L362" s="4">
        <v>1</v>
      </c>
      <c r="M362" s="4">
        <v>122</v>
      </c>
      <c r="N362" s="4">
        <v>100</v>
      </c>
      <c r="O362" s="4" t="s">
        <v>26</v>
      </c>
      <c r="P362" s="7" t="s">
        <v>30</v>
      </c>
    </row>
    <row r="363" spans="2:16" x14ac:dyDescent="0.45">
      <c r="B363" s="4">
        <v>362</v>
      </c>
      <c r="C363" s="4" t="s">
        <v>27</v>
      </c>
      <c r="D363" s="4" t="s">
        <v>23</v>
      </c>
      <c r="E363" s="4" t="s">
        <v>35</v>
      </c>
      <c r="F363" s="4" t="s">
        <v>24</v>
      </c>
      <c r="G363" s="4" t="s">
        <v>19</v>
      </c>
      <c r="H363" s="4" t="s">
        <v>20</v>
      </c>
      <c r="I363" s="4">
        <v>18</v>
      </c>
      <c r="J363" s="5">
        <v>77.599999999999994</v>
      </c>
      <c r="K363" s="6">
        <v>1.9</v>
      </c>
      <c r="L363" s="4">
        <v>1</v>
      </c>
      <c r="M363" s="4">
        <v>106</v>
      </c>
      <c r="N363" s="4">
        <v>88</v>
      </c>
      <c r="O363" s="4" t="s">
        <v>21</v>
      </c>
      <c r="P363" s="7" t="s">
        <v>19</v>
      </c>
    </row>
    <row r="364" spans="2:16" x14ac:dyDescent="0.45">
      <c r="B364" s="4">
        <v>363</v>
      </c>
      <c r="C364" s="4" t="s">
        <v>22</v>
      </c>
      <c r="D364" s="4" t="s">
        <v>23</v>
      </c>
      <c r="E364" s="4" t="s">
        <v>44</v>
      </c>
      <c r="F364" s="4" t="s">
        <v>18</v>
      </c>
      <c r="G364" s="4" t="s">
        <v>19</v>
      </c>
      <c r="H364" s="4" t="s">
        <v>20</v>
      </c>
      <c r="I364" s="4">
        <v>4</v>
      </c>
      <c r="J364" s="5">
        <v>8.8000000000000007</v>
      </c>
      <c r="K364" s="6">
        <v>0.83</v>
      </c>
      <c r="L364" s="4">
        <v>2</v>
      </c>
      <c r="M364" s="4">
        <v>93</v>
      </c>
      <c r="N364" s="4">
        <v>99</v>
      </c>
      <c r="O364" s="4" t="s">
        <v>26</v>
      </c>
      <c r="P364" s="7" t="s">
        <v>19</v>
      </c>
    </row>
    <row r="365" spans="2:16" x14ac:dyDescent="0.45">
      <c r="B365" s="4">
        <v>364</v>
      </c>
      <c r="C365" s="4" t="s">
        <v>33</v>
      </c>
      <c r="D365" s="4" t="s">
        <v>23</v>
      </c>
      <c r="E365" s="4" t="s">
        <v>35</v>
      </c>
      <c r="F365" s="4" t="s">
        <v>24</v>
      </c>
      <c r="G365" s="4" t="s">
        <v>19</v>
      </c>
      <c r="H365" s="4" t="s">
        <v>28</v>
      </c>
      <c r="I365" s="4">
        <v>38</v>
      </c>
      <c r="J365" s="5">
        <v>91.6</v>
      </c>
      <c r="K365" s="6">
        <v>1.65</v>
      </c>
      <c r="L365" s="4">
        <v>2</v>
      </c>
      <c r="M365" s="4">
        <v>110</v>
      </c>
      <c r="N365" s="4">
        <v>91</v>
      </c>
      <c r="O365" s="4" t="s">
        <v>21</v>
      </c>
      <c r="P365" s="7" t="s">
        <v>19</v>
      </c>
    </row>
    <row r="366" spans="2:16" x14ac:dyDescent="0.45">
      <c r="B366" s="4">
        <v>365</v>
      </c>
      <c r="C366" s="4" t="s">
        <v>29</v>
      </c>
      <c r="D366" s="4" t="s">
        <v>23</v>
      </c>
      <c r="E366" s="4" t="s">
        <v>35</v>
      </c>
      <c r="F366" s="4" t="s">
        <v>18</v>
      </c>
      <c r="G366" s="4" t="s">
        <v>19</v>
      </c>
      <c r="H366" s="4" t="s">
        <v>20</v>
      </c>
      <c r="I366" s="4">
        <v>27</v>
      </c>
      <c r="J366" s="5">
        <v>75.599999999999994</v>
      </c>
      <c r="K366" s="6">
        <v>1.76</v>
      </c>
      <c r="L366" s="4">
        <v>3</v>
      </c>
      <c r="M366" s="4">
        <v>111</v>
      </c>
      <c r="N366" s="4">
        <v>97</v>
      </c>
      <c r="O366" s="4" t="s">
        <v>26</v>
      </c>
      <c r="P366" s="7" t="s">
        <v>19</v>
      </c>
    </row>
    <row r="367" spans="2:16" x14ac:dyDescent="0.45">
      <c r="B367" s="4">
        <v>366</v>
      </c>
      <c r="C367" s="4" t="s">
        <v>22</v>
      </c>
      <c r="D367" s="4" t="s">
        <v>16</v>
      </c>
      <c r="E367" s="4" t="s">
        <v>35</v>
      </c>
      <c r="F367" s="4" t="s">
        <v>24</v>
      </c>
      <c r="G367" s="4" t="s">
        <v>19</v>
      </c>
      <c r="H367" s="4" t="s">
        <v>34</v>
      </c>
      <c r="I367" s="4">
        <v>26</v>
      </c>
      <c r="J367" s="5">
        <v>58.6</v>
      </c>
      <c r="K367" s="6">
        <v>1.71</v>
      </c>
      <c r="L367" s="4">
        <v>7</v>
      </c>
      <c r="M367" s="4">
        <v>115</v>
      </c>
      <c r="N367" s="4">
        <v>86</v>
      </c>
      <c r="O367" s="4" t="s">
        <v>26</v>
      </c>
      <c r="P367" s="7" t="s">
        <v>19</v>
      </c>
    </row>
    <row r="368" spans="2:16" x14ac:dyDescent="0.45">
      <c r="B368" s="4">
        <v>367</v>
      </c>
      <c r="C368" s="4" t="s">
        <v>15</v>
      </c>
      <c r="D368" s="4" t="s">
        <v>16</v>
      </c>
      <c r="E368" s="4" t="s">
        <v>44</v>
      </c>
      <c r="F368" s="4" t="s">
        <v>24</v>
      </c>
      <c r="G368" s="4" t="s">
        <v>19</v>
      </c>
      <c r="H368" s="4" t="s">
        <v>20</v>
      </c>
      <c r="I368" s="4">
        <v>4</v>
      </c>
      <c r="J368" s="5">
        <v>15.1</v>
      </c>
      <c r="K368" s="6">
        <v>0.94</v>
      </c>
      <c r="L368" s="4">
        <v>7</v>
      </c>
      <c r="M368" s="4">
        <v>108</v>
      </c>
      <c r="N368" s="4">
        <v>77</v>
      </c>
      <c r="O368" s="4" t="s">
        <v>26</v>
      </c>
      <c r="P368" s="7" t="s">
        <v>19</v>
      </c>
    </row>
    <row r="369" spans="2:16" x14ac:dyDescent="0.45">
      <c r="B369" s="4">
        <v>368</v>
      </c>
      <c r="C369" s="4" t="s">
        <v>40</v>
      </c>
      <c r="D369" s="4" t="s">
        <v>23</v>
      </c>
      <c r="E369" s="4" t="s">
        <v>17</v>
      </c>
      <c r="F369" s="4" t="s">
        <v>24</v>
      </c>
      <c r="G369" s="4" t="s">
        <v>19</v>
      </c>
      <c r="H369" s="4" t="s">
        <v>36</v>
      </c>
      <c r="I369" s="4">
        <v>12</v>
      </c>
      <c r="J369" s="5">
        <v>42.1</v>
      </c>
      <c r="K369" s="6">
        <v>1.59</v>
      </c>
      <c r="L369" s="4">
        <v>3</v>
      </c>
      <c r="M369" s="4">
        <v>122</v>
      </c>
      <c r="N369" s="4">
        <v>81</v>
      </c>
      <c r="O369" s="4" t="s">
        <v>26</v>
      </c>
      <c r="P369" s="7" t="s">
        <v>19</v>
      </c>
    </row>
    <row r="370" spans="2:16" x14ac:dyDescent="0.45">
      <c r="B370" s="4">
        <v>369</v>
      </c>
      <c r="C370" s="4" t="s">
        <v>27</v>
      </c>
      <c r="D370" s="4" t="s">
        <v>16</v>
      </c>
      <c r="E370" s="4" t="s">
        <v>17</v>
      </c>
      <c r="F370" s="4" t="s">
        <v>18</v>
      </c>
      <c r="G370" s="4" t="s">
        <v>19</v>
      </c>
      <c r="H370" s="4" t="s">
        <v>34</v>
      </c>
      <c r="I370" s="4">
        <v>44</v>
      </c>
      <c r="J370" s="5">
        <v>49</v>
      </c>
      <c r="K370" s="6">
        <v>1.53</v>
      </c>
      <c r="L370" s="4">
        <v>5</v>
      </c>
      <c r="M370" s="4">
        <v>115</v>
      </c>
      <c r="N370" s="4">
        <v>104</v>
      </c>
      <c r="O370" s="4" t="s">
        <v>26</v>
      </c>
      <c r="P370" s="7" t="s">
        <v>19</v>
      </c>
    </row>
    <row r="371" spans="2:16" x14ac:dyDescent="0.45">
      <c r="B371" s="4">
        <v>370</v>
      </c>
      <c r="C371" s="4" t="s">
        <v>45</v>
      </c>
      <c r="D371" s="4" t="s">
        <v>23</v>
      </c>
      <c r="E371" s="4" t="s">
        <v>35</v>
      </c>
      <c r="F371" s="4" t="s">
        <v>24</v>
      </c>
      <c r="G371" s="4" t="s">
        <v>19</v>
      </c>
      <c r="H371" s="4" t="s">
        <v>20</v>
      </c>
      <c r="I371" s="4">
        <v>30</v>
      </c>
      <c r="J371" s="5">
        <v>83.3</v>
      </c>
      <c r="K371" s="6">
        <v>1.85</v>
      </c>
      <c r="L371" s="4">
        <v>2</v>
      </c>
      <c r="M371" s="4">
        <v>129</v>
      </c>
      <c r="N371" s="4">
        <v>97</v>
      </c>
      <c r="O371" s="4" t="s">
        <v>21</v>
      </c>
      <c r="P371" s="7" t="s">
        <v>30</v>
      </c>
    </row>
    <row r="372" spans="2:16" x14ac:dyDescent="0.45">
      <c r="B372" s="4">
        <v>371</v>
      </c>
      <c r="C372" s="4" t="s">
        <v>27</v>
      </c>
      <c r="D372" s="4" t="s">
        <v>23</v>
      </c>
      <c r="E372" s="4" t="s">
        <v>35</v>
      </c>
      <c r="F372" s="4" t="s">
        <v>24</v>
      </c>
      <c r="G372" s="4" t="s">
        <v>19</v>
      </c>
      <c r="H372" s="4" t="s">
        <v>38</v>
      </c>
      <c r="I372" s="4">
        <v>46</v>
      </c>
      <c r="J372" s="5">
        <v>58.6</v>
      </c>
      <c r="K372" s="6">
        <v>1.89</v>
      </c>
      <c r="L372" s="4">
        <v>1</v>
      </c>
      <c r="M372" s="4">
        <v>113</v>
      </c>
      <c r="N372" s="4">
        <v>79</v>
      </c>
      <c r="O372" s="4" t="s">
        <v>21</v>
      </c>
      <c r="P372" s="7" t="s">
        <v>30</v>
      </c>
    </row>
    <row r="373" spans="2:16" x14ac:dyDescent="0.45">
      <c r="B373" s="4">
        <v>372</v>
      </c>
      <c r="C373" s="4" t="s">
        <v>29</v>
      </c>
      <c r="D373" s="4" t="s">
        <v>16</v>
      </c>
      <c r="E373" s="4" t="s">
        <v>17</v>
      </c>
      <c r="F373" s="4" t="s">
        <v>24</v>
      </c>
      <c r="G373" s="4" t="s">
        <v>19</v>
      </c>
      <c r="H373" s="4" t="s">
        <v>36</v>
      </c>
      <c r="I373" s="4">
        <v>66</v>
      </c>
      <c r="J373" s="5">
        <v>48.5</v>
      </c>
      <c r="K373" s="6">
        <v>1.71</v>
      </c>
      <c r="L373" s="4">
        <v>4</v>
      </c>
      <c r="M373" s="4">
        <v>134</v>
      </c>
      <c r="N373" s="4">
        <v>79</v>
      </c>
      <c r="O373" s="4" t="s">
        <v>21</v>
      </c>
      <c r="P373" s="7" t="s">
        <v>19</v>
      </c>
    </row>
    <row r="374" spans="2:16" x14ac:dyDescent="0.45">
      <c r="B374" s="4">
        <v>373</v>
      </c>
      <c r="C374" s="4" t="s">
        <v>33</v>
      </c>
      <c r="D374" s="4" t="s">
        <v>16</v>
      </c>
      <c r="E374" s="4" t="s">
        <v>17</v>
      </c>
      <c r="F374" s="4" t="s">
        <v>24</v>
      </c>
      <c r="G374" s="4" t="s">
        <v>19</v>
      </c>
      <c r="H374" s="4" t="s">
        <v>25</v>
      </c>
      <c r="I374" s="4">
        <v>29</v>
      </c>
      <c r="J374" s="5">
        <v>73.400000000000006</v>
      </c>
      <c r="K374" s="6">
        <v>1.53</v>
      </c>
      <c r="L374" s="4">
        <v>4</v>
      </c>
      <c r="M374" s="4">
        <v>119</v>
      </c>
      <c r="N374" s="4">
        <v>99</v>
      </c>
      <c r="O374" s="4" t="s">
        <v>26</v>
      </c>
      <c r="P374" s="7" t="s">
        <v>30</v>
      </c>
    </row>
    <row r="375" spans="2:16" x14ac:dyDescent="0.45">
      <c r="B375" s="4">
        <v>374</v>
      </c>
      <c r="C375" s="4" t="s">
        <v>29</v>
      </c>
      <c r="D375" s="4" t="s">
        <v>23</v>
      </c>
      <c r="E375" s="4" t="s">
        <v>17</v>
      </c>
      <c r="F375" s="4" t="s">
        <v>24</v>
      </c>
      <c r="G375" s="4" t="s">
        <v>19</v>
      </c>
      <c r="H375" s="4" t="s">
        <v>28</v>
      </c>
      <c r="I375" s="4">
        <v>3</v>
      </c>
      <c r="J375" s="5">
        <v>12.1</v>
      </c>
      <c r="K375" s="6">
        <v>0.78</v>
      </c>
      <c r="L375" s="4">
        <v>6</v>
      </c>
      <c r="M375" s="4">
        <v>104</v>
      </c>
      <c r="N375" s="4">
        <v>80</v>
      </c>
      <c r="O375" s="4" t="s">
        <v>26</v>
      </c>
      <c r="P375" s="7" t="s">
        <v>19</v>
      </c>
    </row>
    <row r="376" spans="2:16" x14ac:dyDescent="0.45">
      <c r="B376" s="4">
        <v>375</v>
      </c>
      <c r="C376" s="4" t="s">
        <v>43</v>
      </c>
      <c r="D376" s="4" t="s">
        <v>16</v>
      </c>
      <c r="E376" s="4" t="s">
        <v>17</v>
      </c>
      <c r="F376" s="4" t="s">
        <v>42</v>
      </c>
      <c r="G376" s="4" t="s">
        <v>19</v>
      </c>
      <c r="H376" s="4" t="s">
        <v>28</v>
      </c>
      <c r="I376" s="4">
        <v>33</v>
      </c>
      <c r="J376" s="5">
        <v>92.2</v>
      </c>
      <c r="K376" s="6">
        <v>1.67</v>
      </c>
      <c r="L376" s="4">
        <v>1</v>
      </c>
      <c r="M376" s="4">
        <v>112</v>
      </c>
      <c r="N376" s="4">
        <v>76</v>
      </c>
      <c r="O376" s="4" t="s">
        <v>26</v>
      </c>
      <c r="P376" s="7" t="s">
        <v>19</v>
      </c>
    </row>
    <row r="377" spans="2:16" x14ac:dyDescent="0.45">
      <c r="B377" s="4">
        <v>376</v>
      </c>
      <c r="C377" s="4" t="s">
        <v>31</v>
      </c>
      <c r="D377" s="4" t="s">
        <v>23</v>
      </c>
      <c r="E377" s="4" t="s">
        <v>35</v>
      </c>
      <c r="F377" s="4" t="s">
        <v>18</v>
      </c>
      <c r="G377" s="4" t="s">
        <v>30</v>
      </c>
      <c r="H377" s="4" t="s">
        <v>20</v>
      </c>
      <c r="I377" s="4">
        <v>17</v>
      </c>
      <c r="J377" s="5">
        <v>48.8</v>
      </c>
      <c r="K377" s="6">
        <v>1.51</v>
      </c>
      <c r="L377" s="4">
        <v>2</v>
      </c>
      <c r="M377" s="4">
        <v>115</v>
      </c>
      <c r="N377" s="4">
        <v>96</v>
      </c>
      <c r="O377" s="4" t="s">
        <v>21</v>
      </c>
      <c r="P377" s="7" t="s">
        <v>19</v>
      </c>
    </row>
    <row r="378" spans="2:16" x14ac:dyDescent="0.45">
      <c r="B378" s="4">
        <v>377</v>
      </c>
      <c r="C378" s="4" t="s">
        <v>43</v>
      </c>
      <c r="D378" s="4" t="s">
        <v>23</v>
      </c>
      <c r="E378" s="4" t="s">
        <v>44</v>
      </c>
      <c r="F378" s="4" t="s">
        <v>24</v>
      </c>
      <c r="G378" s="4" t="s">
        <v>19</v>
      </c>
      <c r="H378" s="4" t="s">
        <v>20</v>
      </c>
      <c r="I378" s="4">
        <v>40</v>
      </c>
      <c r="J378" s="5">
        <v>83.1</v>
      </c>
      <c r="K378" s="6">
        <v>1.78</v>
      </c>
      <c r="L378" s="4">
        <v>5</v>
      </c>
      <c r="M378" s="4">
        <v>105</v>
      </c>
      <c r="N378" s="4">
        <v>73</v>
      </c>
      <c r="O378" s="4" t="s">
        <v>26</v>
      </c>
      <c r="P378" s="7" t="s">
        <v>19</v>
      </c>
    </row>
    <row r="379" spans="2:16" x14ac:dyDescent="0.45">
      <c r="B379" s="4">
        <v>378</v>
      </c>
      <c r="C379" s="4" t="s">
        <v>33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s">
        <v>38</v>
      </c>
      <c r="I379" s="4">
        <v>8</v>
      </c>
      <c r="J379" s="5">
        <v>23.3</v>
      </c>
      <c r="K379" s="6">
        <v>1.34</v>
      </c>
      <c r="L379" s="4">
        <v>1</v>
      </c>
      <c r="M379" s="4">
        <v>106</v>
      </c>
      <c r="N379" s="4">
        <v>74</v>
      </c>
      <c r="O379" s="4" t="s">
        <v>21</v>
      </c>
      <c r="P379" s="7" t="s">
        <v>19</v>
      </c>
    </row>
    <row r="380" spans="2:16" x14ac:dyDescent="0.45">
      <c r="B380" s="4">
        <v>379</v>
      </c>
      <c r="C380" s="4" t="s">
        <v>39</v>
      </c>
      <c r="D380" s="4" t="s">
        <v>23</v>
      </c>
      <c r="E380" s="4" t="s">
        <v>35</v>
      </c>
      <c r="F380" s="4" t="s">
        <v>18</v>
      </c>
      <c r="G380" s="4" t="s">
        <v>19</v>
      </c>
      <c r="H380" s="4" t="s">
        <v>25</v>
      </c>
      <c r="I380" s="4">
        <v>5</v>
      </c>
      <c r="J380" s="5">
        <v>20</v>
      </c>
      <c r="K380" s="6">
        <v>1.1100000000000001</v>
      </c>
      <c r="L380" s="4">
        <v>3</v>
      </c>
      <c r="M380" s="4">
        <v>104</v>
      </c>
      <c r="N380" s="4">
        <v>79</v>
      </c>
      <c r="O380" s="4" t="s">
        <v>21</v>
      </c>
      <c r="P380" s="7" t="s">
        <v>30</v>
      </c>
    </row>
    <row r="381" spans="2:16" x14ac:dyDescent="0.45">
      <c r="B381" s="4">
        <v>380</v>
      </c>
      <c r="C381" s="4" t="s">
        <v>15</v>
      </c>
      <c r="D381" s="4" t="s">
        <v>16</v>
      </c>
      <c r="E381" s="4" t="s">
        <v>17</v>
      </c>
      <c r="F381" s="4" t="s">
        <v>28</v>
      </c>
      <c r="G381" s="4" t="s">
        <v>19</v>
      </c>
      <c r="H381" s="4" t="s">
        <v>20</v>
      </c>
      <c r="I381" s="4">
        <v>61</v>
      </c>
      <c r="J381" s="5">
        <v>94</v>
      </c>
      <c r="K381" s="6">
        <v>1.83</v>
      </c>
      <c r="L381" s="4">
        <v>5</v>
      </c>
      <c r="M381" s="4">
        <v>115</v>
      </c>
      <c r="N381" s="4">
        <v>92</v>
      </c>
      <c r="O381" s="4" t="s">
        <v>21</v>
      </c>
      <c r="P381" s="7" t="s">
        <v>19</v>
      </c>
    </row>
    <row r="382" spans="2:16" x14ac:dyDescent="0.45">
      <c r="B382" s="4">
        <v>381</v>
      </c>
      <c r="C382" s="4" t="s">
        <v>39</v>
      </c>
      <c r="D382" s="4" t="s">
        <v>16</v>
      </c>
      <c r="E382" s="4" t="s">
        <v>17</v>
      </c>
      <c r="F382" s="4" t="s">
        <v>24</v>
      </c>
      <c r="G382" s="4" t="s">
        <v>19</v>
      </c>
      <c r="H382" s="4" t="s">
        <v>25</v>
      </c>
      <c r="I382" s="4">
        <v>18</v>
      </c>
      <c r="J382" s="5">
        <v>45.3</v>
      </c>
      <c r="K382" s="6">
        <v>1.56</v>
      </c>
      <c r="L382" s="4">
        <v>1</v>
      </c>
      <c r="M382" s="4">
        <v>118</v>
      </c>
      <c r="N382" s="4">
        <v>79</v>
      </c>
      <c r="O382" s="4" t="s">
        <v>26</v>
      </c>
      <c r="P382" s="7" t="s">
        <v>30</v>
      </c>
    </row>
    <row r="383" spans="2:16" x14ac:dyDescent="0.45">
      <c r="B383" s="4">
        <v>382</v>
      </c>
      <c r="C383" s="4" t="s">
        <v>41</v>
      </c>
      <c r="D383" s="4" t="s">
        <v>23</v>
      </c>
      <c r="E383" s="4" t="s">
        <v>17</v>
      </c>
      <c r="F383" s="4" t="s">
        <v>24</v>
      </c>
      <c r="G383" s="4" t="s">
        <v>30</v>
      </c>
      <c r="H383" s="4" t="s">
        <v>38</v>
      </c>
      <c r="I383" s="4">
        <v>84</v>
      </c>
      <c r="J383" s="5">
        <v>75.2</v>
      </c>
      <c r="K383" s="6">
        <v>1.84</v>
      </c>
      <c r="L383" s="4">
        <v>6</v>
      </c>
      <c r="M383" s="4">
        <v>125</v>
      </c>
      <c r="N383" s="4">
        <v>102</v>
      </c>
      <c r="O383" s="4" t="s">
        <v>21</v>
      </c>
      <c r="P383" s="7" t="s">
        <v>19</v>
      </c>
    </row>
    <row r="384" spans="2:16" x14ac:dyDescent="0.45">
      <c r="B384" s="4">
        <v>383</v>
      </c>
      <c r="C384" s="4" t="s">
        <v>43</v>
      </c>
      <c r="D384" s="4" t="s">
        <v>23</v>
      </c>
      <c r="E384" s="4" t="s">
        <v>17</v>
      </c>
      <c r="F384" s="4" t="s">
        <v>18</v>
      </c>
      <c r="G384" s="4" t="s">
        <v>19</v>
      </c>
      <c r="H384" s="4" t="s">
        <v>20</v>
      </c>
      <c r="I384" s="4">
        <v>6</v>
      </c>
      <c r="J384" s="5">
        <v>36.799999999999997</v>
      </c>
      <c r="K384" s="6">
        <v>1.08</v>
      </c>
      <c r="L384" s="4">
        <v>3</v>
      </c>
      <c r="M384" s="4">
        <v>96</v>
      </c>
      <c r="N384" s="4">
        <v>84</v>
      </c>
      <c r="O384" s="4" t="s">
        <v>21</v>
      </c>
      <c r="P384" s="7" t="s">
        <v>19</v>
      </c>
    </row>
    <row r="385" spans="2:16" x14ac:dyDescent="0.45">
      <c r="B385" s="4">
        <v>384</v>
      </c>
      <c r="C385" s="4" t="s">
        <v>41</v>
      </c>
      <c r="D385" s="4" t="s">
        <v>23</v>
      </c>
      <c r="E385" s="4" t="s">
        <v>35</v>
      </c>
      <c r="F385" s="4" t="s">
        <v>28</v>
      </c>
      <c r="G385" s="4" t="s">
        <v>19</v>
      </c>
      <c r="H385" s="4" t="s">
        <v>20</v>
      </c>
      <c r="I385" s="4">
        <v>54</v>
      </c>
      <c r="J385" s="5">
        <v>81.099999999999994</v>
      </c>
      <c r="K385" s="6">
        <v>1.56</v>
      </c>
      <c r="L385" s="4">
        <v>2</v>
      </c>
      <c r="M385" s="4">
        <v>114</v>
      </c>
      <c r="N385" s="4">
        <v>87</v>
      </c>
      <c r="O385" s="4" t="s">
        <v>21</v>
      </c>
      <c r="P385" s="7" t="s">
        <v>19</v>
      </c>
    </row>
    <row r="386" spans="2:16" x14ac:dyDescent="0.45">
      <c r="B386" s="4">
        <v>385</v>
      </c>
      <c r="C386" s="4" t="s">
        <v>27</v>
      </c>
      <c r="D386" s="4" t="s">
        <v>23</v>
      </c>
      <c r="E386" s="4" t="s">
        <v>35</v>
      </c>
      <c r="F386" s="4" t="s">
        <v>42</v>
      </c>
      <c r="G386" s="4" t="s">
        <v>19</v>
      </c>
      <c r="H386" s="4" t="s">
        <v>25</v>
      </c>
      <c r="I386" s="4">
        <v>14</v>
      </c>
      <c r="J386" s="5">
        <v>62.4</v>
      </c>
      <c r="K386" s="6">
        <v>1.48</v>
      </c>
      <c r="L386" s="4">
        <v>4</v>
      </c>
      <c r="M386" s="4">
        <v>102</v>
      </c>
      <c r="N386" s="4">
        <v>76</v>
      </c>
      <c r="O386" s="4" t="s">
        <v>26</v>
      </c>
      <c r="P386" s="7" t="s">
        <v>19</v>
      </c>
    </row>
    <row r="387" spans="2:16" x14ac:dyDescent="0.45">
      <c r="B387" s="4">
        <v>386</v>
      </c>
      <c r="C387" s="4" t="s">
        <v>15</v>
      </c>
      <c r="D387" s="4" t="s">
        <v>23</v>
      </c>
      <c r="E387" s="4" t="s">
        <v>17</v>
      </c>
      <c r="F387" s="4" t="s">
        <v>18</v>
      </c>
      <c r="G387" s="4" t="s">
        <v>19</v>
      </c>
      <c r="H387" s="4" t="s">
        <v>25</v>
      </c>
      <c r="I387" s="4">
        <v>55</v>
      </c>
      <c r="J387" s="5">
        <v>55.9</v>
      </c>
      <c r="K387" s="6">
        <v>1.48</v>
      </c>
      <c r="L387" s="4">
        <v>3</v>
      </c>
      <c r="M387" s="4">
        <v>130</v>
      </c>
      <c r="N387" s="4">
        <v>100</v>
      </c>
      <c r="O387" s="4" t="s">
        <v>26</v>
      </c>
      <c r="P387" s="7" t="s">
        <v>30</v>
      </c>
    </row>
    <row r="388" spans="2:16" x14ac:dyDescent="0.45">
      <c r="B388" s="4">
        <v>387</v>
      </c>
      <c r="C388" s="4" t="s">
        <v>22</v>
      </c>
      <c r="D388" s="4" t="s">
        <v>23</v>
      </c>
      <c r="E388" s="4" t="s">
        <v>37</v>
      </c>
      <c r="F388" s="4" t="s">
        <v>24</v>
      </c>
      <c r="G388" s="4" t="s">
        <v>19</v>
      </c>
      <c r="H388" s="4" t="s">
        <v>28</v>
      </c>
      <c r="I388" s="4">
        <v>20</v>
      </c>
      <c r="J388" s="5">
        <v>62.7</v>
      </c>
      <c r="K388" s="6">
        <v>1.48</v>
      </c>
      <c r="L388" s="4">
        <v>3</v>
      </c>
      <c r="M388" s="4">
        <v>111</v>
      </c>
      <c r="N388" s="4">
        <v>70</v>
      </c>
      <c r="O388" s="4" t="s">
        <v>26</v>
      </c>
      <c r="P388" s="7" t="s">
        <v>30</v>
      </c>
    </row>
    <row r="389" spans="2:16" x14ac:dyDescent="0.45">
      <c r="B389" s="4">
        <v>388</v>
      </c>
      <c r="C389" s="4" t="s">
        <v>43</v>
      </c>
      <c r="D389" s="4" t="s">
        <v>23</v>
      </c>
      <c r="E389" s="4" t="s">
        <v>35</v>
      </c>
      <c r="F389" s="4" t="s">
        <v>18</v>
      </c>
      <c r="G389" s="4" t="s">
        <v>19</v>
      </c>
      <c r="H389" s="4" t="s">
        <v>38</v>
      </c>
      <c r="I389" s="4">
        <v>23</v>
      </c>
      <c r="J389" s="5">
        <v>63.1</v>
      </c>
      <c r="K389" s="6">
        <v>1.5</v>
      </c>
      <c r="L389" s="4">
        <v>3</v>
      </c>
      <c r="M389" s="4">
        <v>105</v>
      </c>
      <c r="N389" s="4">
        <v>74</v>
      </c>
      <c r="O389" s="4" t="s">
        <v>26</v>
      </c>
      <c r="P389" s="7" t="s">
        <v>30</v>
      </c>
    </row>
    <row r="390" spans="2:16" x14ac:dyDescent="0.45">
      <c r="B390" s="4">
        <v>389</v>
      </c>
      <c r="C390" s="4" t="s">
        <v>33</v>
      </c>
      <c r="D390" s="4" t="s">
        <v>16</v>
      </c>
      <c r="E390" s="4" t="s">
        <v>44</v>
      </c>
      <c r="F390" s="4" t="s">
        <v>24</v>
      </c>
      <c r="G390" s="4" t="s">
        <v>19</v>
      </c>
      <c r="H390" s="4" t="s">
        <v>28</v>
      </c>
      <c r="I390" s="4">
        <v>38</v>
      </c>
      <c r="J390" s="5">
        <v>94.6</v>
      </c>
      <c r="K390" s="6">
        <v>1.79</v>
      </c>
      <c r="L390" s="4">
        <v>2</v>
      </c>
      <c r="M390" s="4">
        <v>123</v>
      </c>
      <c r="N390" s="4">
        <v>89</v>
      </c>
      <c r="O390" s="4" t="s">
        <v>26</v>
      </c>
      <c r="P390" s="7" t="s">
        <v>19</v>
      </c>
    </row>
    <row r="391" spans="2:16" x14ac:dyDescent="0.45">
      <c r="B391" s="4">
        <v>390</v>
      </c>
      <c r="C391" s="4" t="s">
        <v>39</v>
      </c>
      <c r="D391" s="4" t="s">
        <v>23</v>
      </c>
      <c r="E391" s="4" t="s">
        <v>35</v>
      </c>
      <c r="F391" s="4" t="s">
        <v>18</v>
      </c>
      <c r="G391" s="4" t="s">
        <v>19</v>
      </c>
      <c r="H391" s="4" t="s">
        <v>34</v>
      </c>
      <c r="I391" s="4">
        <v>0</v>
      </c>
      <c r="J391" s="5">
        <v>14.2</v>
      </c>
      <c r="K391" s="6">
        <v>0.68</v>
      </c>
      <c r="L391" s="4">
        <v>4</v>
      </c>
      <c r="M391" s="4">
        <v>97</v>
      </c>
      <c r="N391" s="4">
        <v>73</v>
      </c>
      <c r="O391" s="4" t="s">
        <v>26</v>
      </c>
      <c r="P391" s="7" t="s">
        <v>19</v>
      </c>
    </row>
    <row r="392" spans="2:16" x14ac:dyDescent="0.45">
      <c r="B392" s="4">
        <v>391</v>
      </c>
      <c r="C392" s="4" t="s">
        <v>29</v>
      </c>
      <c r="D392" s="4" t="s">
        <v>16</v>
      </c>
      <c r="E392" s="4" t="s">
        <v>35</v>
      </c>
      <c r="F392" s="4" t="s">
        <v>24</v>
      </c>
      <c r="G392" s="4" t="s">
        <v>19</v>
      </c>
      <c r="H392" s="4" t="s">
        <v>32</v>
      </c>
      <c r="I392" s="4">
        <v>4</v>
      </c>
      <c r="J392" s="5">
        <v>11.9</v>
      </c>
      <c r="K392" s="6">
        <v>1</v>
      </c>
      <c r="L392" s="4">
        <v>2</v>
      </c>
      <c r="M392" s="4">
        <v>110</v>
      </c>
      <c r="N392" s="4">
        <v>151</v>
      </c>
      <c r="O392" s="4" t="s">
        <v>26</v>
      </c>
      <c r="P392" s="7" t="s">
        <v>19</v>
      </c>
    </row>
    <row r="393" spans="2:16" x14ac:dyDescent="0.45">
      <c r="B393" s="4">
        <v>392</v>
      </c>
      <c r="C393" s="4" t="s">
        <v>15</v>
      </c>
      <c r="D393" s="4" t="s">
        <v>16</v>
      </c>
      <c r="E393" s="4" t="s">
        <v>44</v>
      </c>
      <c r="F393" s="4" t="s">
        <v>24</v>
      </c>
      <c r="G393" s="4" t="s">
        <v>19</v>
      </c>
      <c r="H393" s="4" t="s">
        <v>28</v>
      </c>
      <c r="I393" s="4">
        <v>51</v>
      </c>
      <c r="J393" s="5">
        <v>79.400000000000006</v>
      </c>
      <c r="K393" s="6">
        <v>1.69</v>
      </c>
      <c r="L393" s="4">
        <v>1</v>
      </c>
      <c r="M393" s="4">
        <v>106</v>
      </c>
      <c r="N393" s="4">
        <v>84</v>
      </c>
      <c r="O393" s="4" t="s">
        <v>26</v>
      </c>
      <c r="P393" s="7" t="s">
        <v>19</v>
      </c>
    </row>
    <row r="394" spans="2:16" x14ac:dyDescent="0.45">
      <c r="B394" s="4">
        <v>393</v>
      </c>
      <c r="C394" s="4" t="s">
        <v>39</v>
      </c>
      <c r="D394" s="4" t="s">
        <v>16</v>
      </c>
      <c r="E394" s="4" t="s">
        <v>17</v>
      </c>
      <c r="F394" s="4" t="s">
        <v>24</v>
      </c>
      <c r="G394" s="4" t="s">
        <v>19</v>
      </c>
      <c r="H394" s="4" t="s">
        <v>20</v>
      </c>
      <c r="I394" s="4">
        <v>34</v>
      </c>
      <c r="J394" s="5">
        <v>48.9</v>
      </c>
      <c r="K394" s="6">
        <v>1.68</v>
      </c>
      <c r="L394" s="4">
        <v>1</v>
      </c>
      <c r="M394" s="4">
        <v>109</v>
      </c>
      <c r="N394" s="4">
        <v>94</v>
      </c>
      <c r="O394" s="4" t="s">
        <v>26</v>
      </c>
      <c r="P394" s="7" t="s">
        <v>30</v>
      </c>
    </row>
    <row r="395" spans="2:16" x14ac:dyDescent="0.45">
      <c r="B395" s="4">
        <v>394</v>
      </c>
      <c r="C395" s="4" t="s">
        <v>33</v>
      </c>
      <c r="D395" s="4" t="s">
        <v>16</v>
      </c>
      <c r="E395" s="4" t="s">
        <v>35</v>
      </c>
      <c r="F395" s="4" t="s">
        <v>24</v>
      </c>
      <c r="G395" s="4" t="s">
        <v>19</v>
      </c>
      <c r="H395" s="4" t="s">
        <v>38</v>
      </c>
      <c r="I395" s="4">
        <v>65</v>
      </c>
      <c r="J395" s="5">
        <v>93.7</v>
      </c>
      <c r="K395" s="6">
        <v>1.77</v>
      </c>
      <c r="L395" s="4">
        <v>2</v>
      </c>
      <c r="M395" s="4">
        <v>117</v>
      </c>
      <c r="N395" s="4">
        <v>82</v>
      </c>
      <c r="O395" s="4" t="s">
        <v>21</v>
      </c>
      <c r="P395" s="7" t="s">
        <v>19</v>
      </c>
    </row>
    <row r="396" spans="2:16" x14ac:dyDescent="0.45">
      <c r="B396" s="4">
        <v>395</v>
      </c>
      <c r="C396" s="4" t="s">
        <v>27</v>
      </c>
      <c r="D396" s="4" t="s">
        <v>16</v>
      </c>
      <c r="E396" s="4" t="s">
        <v>37</v>
      </c>
      <c r="F396" s="4" t="s">
        <v>24</v>
      </c>
      <c r="G396" s="4" t="s">
        <v>19</v>
      </c>
      <c r="H396" s="4" t="s">
        <v>28</v>
      </c>
      <c r="I396" s="4">
        <v>17</v>
      </c>
      <c r="J396" s="5">
        <v>53.3</v>
      </c>
      <c r="K396" s="6">
        <v>1.47</v>
      </c>
      <c r="L396" s="4">
        <v>8</v>
      </c>
      <c r="M396" s="4">
        <v>116</v>
      </c>
      <c r="N396" s="4">
        <v>94</v>
      </c>
      <c r="O396" s="4" t="s">
        <v>26</v>
      </c>
      <c r="P396" s="7" t="s">
        <v>19</v>
      </c>
    </row>
    <row r="397" spans="2:16" x14ac:dyDescent="0.45">
      <c r="B397" s="4">
        <v>396</v>
      </c>
      <c r="C397" s="4" t="s">
        <v>45</v>
      </c>
      <c r="D397" s="4" t="s">
        <v>16</v>
      </c>
      <c r="E397" s="4" t="s">
        <v>35</v>
      </c>
      <c r="F397" s="4" t="s">
        <v>28</v>
      </c>
      <c r="G397" s="4" t="s">
        <v>19</v>
      </c>
      <c r="H397" s="4" t="s">
        <v>20</v>
      </c>
      <c r="I397" s="4">
        <v>56</v>
      </c>
      <c r="J397" s="5">
        <v>87.7</v>
      </c>
      <c r="K397" s="6">
        <v>1.55</v>
      </c>
      <c r="L397" s="4">
        <v>2</v>
      </c>
      <c r="M397" s="4">
        <v>126</v>
      </c>
      <c r="N397" s="4">
        <v>91</v>
      </c>
      <c r="O397" s="4" t="s">
        <v>21</v>
      </c>
      <c r="P397" s="7" t="s">
        <v>19</v>
      </c>
    </row>
    <row r="398" spans="2:16" x14ac:dyDescent="0.45">
      <c r="B398" s="4">
        <v>397</v>
      </c>
      <c r="C398" s="4" t="s">
        <v>22</v>
      </c>
      <c r="D398" s="4" t="s">
        <v>23</v>
      </c>
      <c r="E398" s="4" t="s">
        <v>35</v>
      </c>
      <c r="F398" s="4" t="s">
        <v>18</v>
      </c>
      <c r="G398" s="4" t="s">
        <v>30</v>
      </c>
      <c r="H398" s="4" t="s">
        <v>20</v>
      </c>
      <c r="I398" s="4">
        <v>3</v>
      </c>
      <c r="J398" s="5">
        <v>9.8000000000000007</v>
      </c>
      <c r="K398" s="6">
        <v>0.61</v>
      </c>
      <c r="L398" s="4">
        <v>0</v>
      </c>
      <c r="M398" s="4">
        <v>103</v>
      </c>
      <c r="N398" s="4">
        <v>75</v>
      </c>
      <c r="O398" s="4" t="s">
        <v>21</v>
      </c>
      <c r="P398" s="7" t="s">
        <v>19</v>
      </c>
    </row>
    <row r="399" spans="2:16" x14ac:dyDescent="0.45">
      <c r="B399" s="4">
        <v>398</v>
      </c>
      <c r="C399" s="4" t="s">
        <v>27</v>
      </c>
      <c r="D399" s="4" t="s">
        <v>16</v>
      </c>
      <c r="E399" s="4" t="s">
        <v>17</v>
      </c>
      <c r="F399" s="4" t="s">
        <v>28</v>
      </c>
      <c r="G399" s="4" t="s">
        <v>19</v>
      </c>
      <c r="H399" s="4" t="s">
        <v>28</v>
      </c>
      <c r="I399" s="4">
        <v>11</v>
      </c>
      <c r="J399" s="5">
        <v>35.799999999999997</v>
      </c>
      <c r="K399" s="6">
        <v>1.1100000000000001</v>
      </c>
      <c r="L399" s="4">
        <v>3</v>
      </c>
      <c r="M399" s="4">
        <v>99</v>
      </c>
      <c r="N399" s="4">
        <v>93</v>
      </c>
      <c r="O399" s="4" t="s">
        <v>26</v>
      </c>
      <c r="P399" s="7" t="s">
        <v>19</v>
      </c>
    </row>
    <row r="400" spans="2:16" x14ac:dyDescent="0.45">
      <c r="B400" s="4">
        <v>399</v>
      </c>
      <c r="C400" s="4" t="s">
        <v>31</v>
      </c>
      <c r="D400" s="4" t="s">
        <v>23</v>
      </c>
      <c r="E400" s="4" t="s">
        <v>37</v>
      </c>
      <c r="F400" s="4" t="s">
        <v>24</v>
      </c>
      <c r="G400" s="4" t="s">
        <v>30</v>
      </c>
      <c r="H400" s="4" t="s">
        <v>28</v>
      </c>
      <c r="I400" s="4">
        <v>17</v>
      </c>
      <c r="J400" s="5">
        <v>54.1</v>
      </c>
      <c r="K400" s="6">
        <v>1.64</v>
      </c>
      <c r="L400" s="4">
        <v>6</v>
      </c>
      <c r="M400" s="4">
        <v>118</v>
      </c>
      <c r="N400" s="4">
        <v>87</v>
      </c>
      <c r="O400" s="4" t="s">
        <v>21</v>
      </c>
      <c r="P400" s="7" t="s">
        <v>19</v>
      </c>
    </row>
    <row r="401" spans="2:16" x14ac:dyDescent="0.45">
      <c r="B401" s="4">
        <v>400</v>
      </c>
      <c r="C401" s="4" t="s">
        <v>33</v>
      </c>
      <c r="D401" s="4" t="s">
        <v>16</v>
      </c>
      <c r="E401" s="4" t="s">
        <v>17</v>
      </c>
      <c r="F401" s="4" t="s">
        <v>28</v>
      </c>
      <c r="G401" s="4" t="s">
        <v>19</v>
      </c>
      <c r="H401" s="4" t="s">
        <v>20</v>
      </c>
      <c r="I401" s="4">
        <v>31</v>
      </c>
      <c r="J401" s="5">
        <v>63.1</v>
      </c>
      <c r="K401" s="6">
        <v>1.73</v>
      </c>
      <c r="L401" s="4">
        <v>6</v>
      </c>
      <c r="M401" s="4">
        <v>114</v>
      </c>
      <c r="N401" s="4">
        <v>72</v>
      </c>
      <c r="O401" s="4" t="s">
        <v>26</v>
      </c>
      <c r="P401" s="7" t="s">
        <v>19</v>
      </c>
    </row>
    <row r="402" spans="2:16" x14ac:dyDescent="0.45">
      <c r="B402" s="4">
        <v>401</v>
      </c>
      <c r="C402" s="4" t="s">
        <v>33</v>
      </c>
      <c r="D402" s="4" t="s">
        <v>23</v>
      </c>
      <c r="E402" s="4" t="s">
        <v>35</v>
      </c>
      <c r="F402" s="4" t="s">
        <v>28</v>
      </c>
      <c r="G402" s="4" t="s">
        <v>30</v>
      </c>
      <c r="H402" s="4" t="s">
        <v>20</v>
      </c>
      <c r="I402" s="4">
        <v>22</v>
      </c>
      <c r="J402" s="5">
        <v>46.7</v>
      </c>
      <c r="K402" s="6">
        <v>1.83</v>
      </c>
      <c r="L402" s="4">
        <v>7</v>
      </c>
      <c r="M402" s="4">
        <v>98</v>
      </c>
      <c r="N402" s="4">
        <v>96</v>
      </c>
      <c r="O402" s="4" t="s">
        <v>21</v>
      </c>
      <c r="P402" s="7" t="s">
        <v>19</v>
      </c>
    </row>
    <row r="403" spans="2:16" x14ac:dyDescent="0.45">
      <c r="B403" s="4">
        <v>402</v>
      </c>
      <c r="C403" s="4" t="s">
        <v>27</v>
      </c>
      <c r="D403" s="4" t="s">
        <v>16</v>
      </c>
      <c r="E403" s="4" t="s">
        <v>17</v>
      </c>
      <c r="F403" s="4" t="s">
        <v>24</v>
      </c>
      <c r="G403" s="4" t="s">
        <v>19</v>
      </c>
      <c r="H403" s="4" t="s">
        <v>28</v>
      </c>
      <c r="I403" s="4">
        <v>69</v>
      </c>
      <c r="J403" s="5">
        <v>81.8</v>
      </c>
      <c r="K403" s="6">
        <v>1.72</v>
      </c>
      <c r="L403" s="4">
        <v>8</v>
      </c>
      <c r="M403" s="4">
        <v>128</v>
      </c>
      <c r="N403" s="4">
        <v>74</v>
      </c>
      <c r="O403" s="4" t="s">
        <v>21</v>
      </c>
      <c r="P403" s="7" t="s">
        <v>19</v>
      </c>
    </row>
    <row r="404" spans="2:16" x14ac:dyDescent="0.45">
      <c r="B404" s="4">
        <v>403</v>
      </c>
      <c r="C404" s="4" t="s">
        <v>40</v>
      </c>
      <c r="D404" s="4" t="s">
        <v>16</v>
      </c>
      <c r="E404" s="4" t="s">
        <v>17</v>
      </c>
      <c r="F404" s="4" t="s">
        <v>18</v>
      </c>
      <c r="G404" s="4" t="s">
        <v>19</v>
      </c>
      <c r="H404" s="4" t="s">
        <v>20</v>
      </c>
      <c r="I404" s="4">
        <v>2</v>
      </c>
      <c r="J404" s="5">
        <v>15.9</v>
      </c>
      <c r="K404" s="6">
        <v>0.93</v>
      </c>
      <c r="L404" s="4">
        <v>9</v>
      </c>
      <c r="M404" s="4">
        <v>112</v>
      </c>
      <c r="N404" s="4">
        <v>80</v>
      </c>
      <c r="O404" s="4" t="s">
        <v>26</v>
      </c>
      <c r="P404" s="7" t="s">
        <v>19</v>
      </c>
    </row>
    <row r="405" spans="2:16" x14ac:dyDescent="0.45">
      <c r="B405" s="4">
        <v>404</v>
      </c>
      <c r="C405" s="4" t="s">
        <v>29</v>
      </c>
      <c r="D405" s="4" t="s">
        <v>23</v>
      </c>
      <c r="E405" s="4" t="s">
        <v>17</v>
      </c>
      <c r="F405" s="4" t="s">
        <v>24</v>
      </c>
      <c r="G405" s="4" t="s">
        <v>19</v>
      </c>
      <c r="H405" s="4" t="s">
        <v>34</v>
      </c>
      <c r="I405" s="4">
        <v>17</v>
      </c>
      <c r="J405" s="5">
        <v>38</v>
      </c>
      <c r="K405" s="6">
        <v>1.58</v>
      </c>
      <c r="L405" s="4">
        <v>1</v>
      </c>
      <c r="M405" s="4">
        <v>113</v>
      </c>
      <c r="N405" s="4">
        <v>82</v>
      </c>
      <c r="O405" s="4" t="s">
        <v>26</v>
      </c>
      <c r="P405" s="7" t="s">
        <v>30</v>
      </c>
    </row>
    <row r="406" spans="2:16" x14ac:dyDescent="0.45">
      <c r="B406" s="4">
        <v>405</v>
      </c>
      <c r="C406" s="4" t="s">
        <v>33</v>
      </c>
      <c r="D406" s="4" t="s">
        <v>23</v>
      </c>
      <c r="E406" s="4" t="s">
        <v>17</v>
      </c>
      <c r="F406" s="4" t="s">
        <v>28</v>
      </c>
      <c r="G406" s="4" t="s">
        <v>19</v>
      </c>
      <c r="H406" s="4" t="s">
        <v>38</v>
      </c>
      <c r="I406" s="4">
        <v>14</v>
      </c>
      <c r="J406" s="5">
        <v>41.2</v>
      </c>
      <c r="K406" s="6">
        <v>1.63</v>
      </c>
      <c r="L406" s="4">
        <v>3</v>
      </c>
      <c r="M406" s="4">
        <v>99</v>
      </c>
      <c r="N406" s="4">
        <v>105</v>
      </c>
      <c r="O406" s="4" t="s">
        <v>26</v>
      </c>
      <c r="P406" s="7" t="s">
        <v>19</v>
      </c>
    </row>
    <row r="407" spans="2:16" x14ac:dyDescent="0.45">
      <c r="B407" s="4">
        <v>406</v>
      </c>
      <c r="C407" s="4" t="s">
        <v>41</v>
      </c>
      <c r="D407" s="4" t="s">
        <v>16</v>
      </c>
      <c r="E407" s="4" t="s">
        <v>35</v>
      </c>
      <c r="F407" s="4" t="s">
        <v>18</v>
      </c>
      <c r="G407" s="4" t="s">
        <v>19</v>
      </c>
      <c r="H407" s="4" t="s">
        <v>20</v>
      </c>
      <c r="I407" s="4">
        <v>73</v>
      </c>
      <c r="J407" s="5">
        <v>70</v>
      </c>
      <c r="K407" s="6">
        <v>1.7</v>
      </c>
      <c r="L407" s="4">
        <v>5</v>
      </c>
      <c r="M407" s="4">
        <v>114</v>
      </c>
      <c r="N407" s="4">
        <v>80</v>
      </c>
      <c r="O407" s="4" t="s">
        <v>21</v>
      </c>
      <c r="P407" s="7" t="s">
        <v>19</v>
      </c>
    </row>
    <row r="408" spans="2:16" x14ac:dyDescent="0.45">
      <c r="B408" s="4">
        <v>407</v>
      </c>
      <c r="C408" s="4" t="s">
        <v>27</v>
      </c>
      <c r="D408" s="4" t="s">
        <v>23</v>
      </c>
      <c r="E408" s="4" t="s">
        <v>35</v>
      </c>
      <c r="F408" s="4" t="s">
        <v>24</v>
      </c>
      <c r="G408" s="4" t="s">
        <v>19</v>
      </c>
      <c r="H408" s="4" t="s">
        <v>36</v>
      </c>
      <c r="I408" s="4">
        <v>36</v>
      </c>
      <c r="J408" s="5">
        <v>82</v>
      </c>
      <c r="K408" s="6">
        <v>1.83</v>
      </c>
      <c r="L408" s="4">
        <v>3</v>
      </c>
      <c r="M408" s="4">
        <v>119</v>
      </c>
      <c r="N408" s="4">
        <v>86</v>
      </c>
      <c r="O408" s="4" t="s">
        <v>21</v>
      </c>
      <c r="P408" s="7" t="s">
        <v>19</v>
      </c>
    </row>
    <row r="409" spans="2:16" x14ac:dyDescent="0.45">
      <c r="B409" s="4">
        <v>408</v>
      </c>
      <c r="C409" s="4" t="s">
        <v>45</v>
      </c>
      <c r="D409" s="4" t="s">
        <v>16</v>
      </c>
      <c r="E409" s="4" t="s">
        <v>35</v>
      </c>
      <c r="F409" s="4" t="s">
        <v>28</v>
      </c>
      <c r="G409" s="4" t="s">
        <v>19</v>
      </c>
      <c r="H409" s="4" t="s">
        <v>20</v>
      </c>
      <c r="I409" s="4">
        <v>22</v>
      </c>
      <c r="J409" s="5">
        <v>92.4</v>
      </c>
      <c r="K409" s="6">
        <v>1.69</v>
      </c>
      <c r="L409" s="4">
        <v>4</v>
      </c>
      <c r="M409" s="4">
        <v>118</v>
      </c>
      <c r="N409" s="4">
        <v>89</v>
      </c>
      <c r="O409" s="4" t="s">
        <v>26</v>
      </c>
      <c r="P409" s="7" t="s">
        <v>19</v>
      </c>
    </row>
    <row r="410" spans="2:16" x14ac:dyDescent="0.45">
      <c r="B410" s="4">
        <v>409</v>
      </c>
      <c r="C410" s="4" t="s">
        <v>41</v>
      </c>
      <c r="D410" s="4" t="s">
        <v>23</v>
      </c>
      <c r="E410" s="4" t="s">
        <v>35</v>
      </c>
      <c r="F410" s="4" t="s">
        <v>42</v>
      </c>
      <c r="G410" s="4" t="s">
        <v>19</v>
      </c>
      <c r="H410" s="4" t="s">
        <v>34</v>
      </c>
      <c r="I410" s="4">
        <v>90</v>
      </c>
      <c r="J410" s="5">
        <v>71.2</v>
      </c>
      <c r="K410" s="6">
        <v>1.83</v>
      </c>
      <c r="L410" s="4">
        <v>4</v>
      </c>
      <c r="M410" s="4">
        <v>129</v>
      </c>
      <c r="N410" s="4">
        <v>89</v>
      </c>
      <c r="O410" s="4" t="s">
        <v>26</v>
      </c>
      <c r="P410" s="7" t="s">
        <v>30</v>
      </c>
    </row>
    <row r="411" spans="2:16" x14ac:dyDescent="0.45">
      <c r="B411" s="4">
        <v>410</v>
      </c>
      <c r="C411" s="4" t="s">
        <v>41</v>
      </c>
      <c r="D411" s="4" t="s">
        <v>23</v>
      </c>
      <c r="E411" s="4" t="s">
        <v>17</v>
      </c>
      <c r="F411" s="4" t="s">
        <v>18</v>
      </c>
      <c r="G411" s="4" t="s">
        <v>19</v>
      </c>
      <c r="H411" s="4" t="s">
        <v>34</v>
      </c>
      <c r="I411" s="4">
        <v>17</v>
      </c>
      <c r="J411" s="5">
        <v>42.1</v>
      </c>
      <c r="K411" s="6">
        <v>1.49</v>
      </c>
      <c r="L411" s="4">
        <v>4</v>
      </c>
      <c r="M411" s="4">
        <v>99</v>
      </c>
      <c r="N411" s="4">
        <v>81</v>
      </c>
      <c r="O411" s="4" t="s">
        <v>26</v>
      </c>
      <c r="P411" s="7" t="s">
        <v>19</v>
      </c>
    </row>
    <row r="412" spans="2:16" x14ac:dyDescent="0.45">
      <c r="B412" s="4">
        <v>411</v>
      </c>
      <c r="C412" s="4" t="s">
        <v>29</v>
      </c>
      <c r="D412" s="4" t="s">
        <v>16</v>
      </c>
      <c r="E412" s="4" t="s">
        <v>17</v>
      </c>
      <c r="F412" s="4" t="s">
        <v>18</v>
      </c>
      <c r="G412" s="4" t="s">
        <v>19</v>
      </c>
      <c r="H412" s="4" t="s">
        <v>20</v>
      </c>
      <c r="I412" s="4">
        <v>0</v>
      </c>
      <c r="J412" s="5">
        <v>13.3</v>
      </c>
      <c r="K412" s="6">
        <v>0.89</v>
      </c>
      <c r="L412" s="4">
        <v>3</v>
      </c>
      <c r="M412" s="4">
        <v>115</v>
      </c>
      <c r="N412" s="4">
        <v>102</v>
      </c>
      <c r="O412" s="4" t="s">
        <v>26</v>
      </c>
      <c r="P412" s="7" t="s">
        <v>19</v>
      </c>
    </row>
    <row r="413" spans="2:16" x14ac:dyDescent="0.45">
      <c r="B413" s="4">
        <v>412</v>
      </c>
      <c r="C413" s="4" t="s">
        <v>43</v>
      </c>
      <c r="D413" s="4" t="s">
        <v>23</v>
      </c>
      <c r="E413" s="4" t="s">
        <v>17</v>
      </c>
      <c r="F413" s="4" t="s">
        <v>24</v>
      </c>
      <c r="G413" s="4" t="s">
        <v>19</v>
      </c>
      <c r="H413" s="4" t="s">
        <v>34</v>
      </c>
      <c r="I413" s="4">
        <v>51</v>
      </c>
      <c r="J413" s="5">
        <v>65.3</v>
      </c>
      <c r="K413" s="6">
        <v>1.66</v>
      </c>
      <c r="L413" s="4">
        <v>4</v>
      </c>
      <c r="M413" s="4">
        <v>127</v>
      </c>
      <c r="N413" s="4">
        <v>77</v>
      </c>
      <c r="O413" s="4" t="s">
        <v>26</v>
      </c>
      <c r="P413" s="7" t="s">
        <v>19</v>
      </c>
    </row>
    <row r="414" spans="2:16" x14ac:dyDescent="0.45">
      <c r="B414" s="4">
        <v>413</v>
      </c>
      <c r="C414" s="4" t="s">
        <v>40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s">
        <v>28</v>
      </c>
      <c r="I414" s="4">
        <v>18</v>
      </c>
      <c r="J414" s="5">
        <v>53.1</v>
      </c>
      <c r="K414" s="6">
        <v>1.57</v>
      </c>
      <c r="L414" s="4">
        <v>3</v>
      </c>
      <c r="M414" s="4">
        <v>109</v>
      </c>
      <c r="N414" s="4">
        <v>96</v>
      </c>
      <c r="O414" s="4" t="s">
        <v>21</v>
      </c>
      <c r="P414" s="7" t="s">
        <v>19</v>
      </c>
    </row>
    <row r="415" spans="2:16" x14ac:dyDescent="0.45">
      <c r="B415" s="4">
        <v>414</v>
      </c>
      <c r="C415" s="4" t="s">
        <v>27</v>
      </c>
      <c r="D415" s="4" t="s">
        <v>23</v>
      </c>
      <c r="E415" s="4" t="s">
        <v>35</v>
      </c>
      <c r="F415" s="4" t="s">
        <v>42</v>
      </c>
      <c r="G415" s="4" t="s">
        <v>19</v>
      </c>
      <c r="H415" s="4" t="s">
        <v>34</v>
      </c>
      <c r="I415" s="4">
        <v>51</v>
      </c>
      <c r="J415" s="5">
        <v>59.2</v>
      </c>
      <c r="K415" s="6">
        <v>1.53</v>
      </c>
      <c r="L415" s="4">
        <v>4</v>
      </c>
      <c r="M415" s="4">
        <v>106</v>
      </c>
      <c r="N415" s="4">
        <v>104</v>
      </c>
      <c r="O415" s="4" t="s">
        <v>21</v>
      </c>
      <c r="P415" s="7" t="s">
        <v>19</v>
      </c>
    </row>
    <row r="416" spans="2:16" x14ac:dyDescent="0.45">
      <c r="B416" s="4">
        <v>415</v>
      </c>
      <c r="C416" s="4" t="s">
        <v>41</v>
      </c>
      <c r="D416" s="4" t="s">
        <v>23</v>
      </c>
      <c r="E416" s="4" t="s">
        <v>35</v>
      </c>
      <c r="F416" s="4" t="s">
        <v>24</v>
      </c>
      <c r="G416" s="4" t="s">
        <v>19</v>
      </c>
      <c r="H416" s="4" t="s">
        <v>32</v>
      </c>
      <c r="I416" s="4">
        <v>38</v>
      </c>
      <c r="J416" s="5">
        <v>53</v>
      </c>
      <c r="K416" s="6">
        <v>1.65</v>
      </c>
      <c r="L416" s="4">
        <v>2</v>
      </c>
      <c r="M416" s="4">
        <v>118</v>
      </c>
      <c r="N416" s="4">
        <v>148</v>
      </c>
      <c r="O416" s="4" t="s">
        <v>26</v>
      </c>
      <c r="P416" s="7" t="s">
        <v>19</v>
      </c>
    </row>
    <row r="417" spans="2:16" x14ac:dyDescent="0.45">
      <c r="B417" s="4">
        <v>416</v>
      </c>
      <c r="C417" s="4" t="s">
        <v>43</v>
      </c>
      <c r="D417" s="4" t="s">
        <v>16</v>
      </c>
      <c r="E417" s="4" t="s">
        <v>17</v>
      </c>
      <c r="F417" s="4" t="s">
        <v>28</v>
      </c>
      <c r="G417" s="4" t="s">
        <v>30</v>
      </c>
      <c r="H417" s="4" t="s">
        <v>28</v>
      </c>
      <c r="I417" s="4">
        <v>0</v>
      </c>
      <c r="J417" s="5">
        <v>9.4</v>
      </c>
      <c r="K417" s="6">
        <v>0.91</v>
      </c>
      <c r="L417" s="4">
        <v>4</v>
      </c>
      <c r="M417" s="4">
        <v>106</v>
      </c>
      <c r="N417" s="4">
        <v>73</v>
      </c>
      <c r="O417" s="4" t="s">
        <v>21</v>
      </c>
      <c r="P417" s="7" t="s">
        <v>19</v>
      </c>
    </row>
    <row r="418" spans="2:16" x14ac:dyDescent="0.45">
      <c r="B418" s="4">
        <v>417</v>
      </c>
      <c r="C418" s="4" t="s">
        <v>33</v>
      </c>
      <c r="D418" s="4" t="s">
        <v>16</v>
      </c>
      <c r="E418" s="4" t="s">
        <v>35</v>
      </c>
      <c r="F418" s="4" t="s">
        <v>24</v>
      </c>
      <c r="G418" s="4" t="s">
        <v>19</v>
      </c>
      <c r="H418" s="4" t="s">
        <v>36</v>
      </c>
      <c r="I418" s="4">
        <v>20</v>
      </c>
      <c r="J418" s="5">
        <v>84.6</v>
      </c>
      <c r="K418" s="6">
        <v>1.73</v>
      </c>
      <c r="L418" s="4">
        <v>1</v>
      </c>
      <c r="M418" s="4">
        <v>120</v>
      </c>
      <c r="N418" s="4">
        <v>83</v>
      </c>
      <c r="O418" s="4" t="s">
        <v>21</v>
      </c>
      <c r="P418" s="7" t="s">
        <v>19</v>
      </c>
    </row>
    <row r="419" spans="2:16" x14ac:dyDescent="0.45">
      <c r="B419" s="4">
        <v>418</v>
      </c>
      <c r="C419" s="4" t="s">
        <v>41</v>
      </c>
      <c r="D419" s="4" t="s">
        <v>16</v>
      </c>
      <c r="E419" s="4" t="s">
        <v>17</v>
      </c>
      <c r="F419" s="4" t="s">
        <v>18</v>
      </c>
      <c r="G419" s="4" t="s">
        <v>19</v>
      </c>
      <c r="H419" s="4" t="s">
        <v>28</v>
      </c>
      <c r="I419" s="4">
        <v>3</v>
      </c>
      <c r="J419" s="5">
        <v>8.6</v>
      </c>
      <c r="K419" s="6">
        <v>0.66</v>
      </c>
      <c r="L419" s="4">
        <v>5</v>
      </c>
      <c r="M419" s="4">
        <v>94</v>
      </c>
      <c r="N419" s="4">
        <v>94</v>
      </c>
      <c r="O419" s="4" t="s">
        <v>21</v>
      </c>
      <c r="P419" s="7" t="s">
        <v>19</v>
      </c>
    </row>
    <row r="420" spans="2:16" x14ac:dyDescent="0.45">
      <c r="B420" s="4">
        <v>419</v>
      </c>
      <c r="C420" s="4" t="s">
        <v>31</v>
      </c>
      <c r="D420" s="4" t="s">
        <v>16</v>
      </c>
      <c r="E420" s="4" t="s">
        <v>35</v>
      </c>
      <c r="F420" s="4" t="s">
        <v>18</v>
      </c>
      <c r="G420" s="4" t="s">
        <v>30</v>
      </c>
      <c r="H420" s="4" t="s">
        <v>46</v>
      </c>
      <c r="I420" s="4">
        <v>40</v>
      </c>
      <c r="J420" s="5">
        <v>58.3</v>
      </c>
      <c r="K420" s="6">
        <v>1.63</v>
      </c>
      <c r="L420" s="4">
        <v>2</v>
      </c>
      <c r="M420" s="4">
        <v>103</v>
      </c>
      <c r="N420" s="4">
        <v>72</v>
      </c>
      <c r="O420" s="4" t="s">
        <v>26</v>
      </c>
      <c r="P420" s="7" t="s">
        <v>19</v>
      </c>
    </row>
    <row r="421" spans="2:16" x14ac:dyDescent="0.45">
      <c r="B421" s="4">
        <v>420</v>
      </c>
      <c r="C421" s="4" t="s">
        <v>45</v>
      </c>
      <c r="D421" s="4" t="s">
        <v>23</v>
      </c>
      <c r="E421" s="4" t="s">
        <v>35</v>
      </c>
      <c r="F421" s="4" t="s">
        <v>24</v>
      </c>
      <c r="G421" s="4" t="s">
        <v>19</v>
      </c>
      <c r="H421" s="4" t="s">
        <v>28</v>
      </c>
      <c r="I421" s="4">
        <v>53</v>
      </c>
      <c r="J421" s="5">
        <v>90.6</v>
      </c>
      <c r="K421" s="6">
        <v>1.51</v>
      </c>
      <c r="L421" s="4">
        <v>1</v>
      </c>
      <c r="M421" s="4">
        <v>136</v>
      </c>
      <c r="N421" s="4">
        <v>103</v>
      </c>
      <c r="O421" s="4" t="s">
        <v>26</v>
      </c>
      <c r="P421" s="7" t="s">
        <v>30</v>
      </c>
    </row>
    <row r="422" spans="2:16" x14ac:dyDescent="0.45">
      <c r="B422" s="4">
        <v>421</v>
      </c>
      <c r="C422" s="4" t="s">
        <v>40</v>
      </c>
      <c r="D422" s="4" t="s">
        <v>23</v>
      </c>
      <c r="E422" s="4" t="s">
        <v>37</v>
      </c>
      <c r="F422" s="4" t="s">
        <v>28</v>
      </c>
      <c r="G422" s="4" t="s">
        <v>19</v>
      </c>
      <c r="H422" s="4" t="s">
        <v>38</v>
      </c>
      <c r="I422" s="4">
        <v>19</v>
      </c>
      <c r="J422" s="5">
        <v>66</v>
      </c>
      <c r="K422" s="6">
        <v>1.9</v>
      </c>
      <c r="L422" s="4">
        <v>3</v>
      </c>
      <c r="M422" s="4">
        <v>114</v>
      </c>
      <c r="N422" s="4">
        <v>74</v>
      </c>
      <c r="O422" s="4" t="s">
        <v>21</v>
      </c>
      <c r="P422" s="7" t="s">
        <v>30</v>
      </c>
    </row>
    <row r="423" spans="2:16" x14ac:dyDescent="0.45">
      <c r="B423" s="4">
        <v>422</v>
      </c>
      <c r="C423" s="4" t="s">
        <v>15</v>
      </c>
      <c r="D423" s="4" t="s">
        <v>16</v>
      </c>
      <c r="E423" s="4" t="s">
        <v>35</v>
      </c>
      <c r="F423" s="4" t="s">
        <v>24</v>
      </c>
      <c r="G423" s="4" t="s">
        <v>19</v>
      </c>
      <c r="H423" s="4" t="s">
        <v>36</v>
      </c>
      <c r="I423" s="4">
        <v>85</v>
      </c>
      <c r="J423" s="5">
        <v>86.1</v>
      </c>
      <c r="K423" s="6">
        <v>1.78</v>
      </c>
      <c r="L423" s="4">
        <v>3</v>
      </c>
      <c r="M423" s="4">
        <v>140</v>
      </c>
      <c r="N423" s="4">
        <v>76</v>
      </c>
      <c r="O423" s="4" t="s">
        <v>26</v>
      </c>
      <c r="P423" s="7" t="s">
        <v>19</v>
      </c>
    </row>
    <row r="424" spans="2:16" x14ac:dyDescent="0.45">
      <c r="B424" s="4">
        <v>423</v>
      </c>
      <c r="C424" s="4" t="s">
        <v>33</v>
      </c>
      <c r="D424" s="4" t="s">
        <v>23</v>
      </c>
      <c r="E424" s="4" t="s">
        <v>17</v>
      </c>
      <c r="F424" s="4" t="s">
        <v>24</v>
      </c>
      <c r="G424" s="4" t="s">
        <v>19</v>
      </c>
      <c r="H424" s="4" t="s">
        <v>20</v>
      </c>
      <c r="I424" s="4">
        <v>4</v>
      </c>
      <c r="J424" s="5">
        <v>9.3000000000000007</v>
      </c>
      <c r="K424" s="6">
        <v>0.64</v>
      </c>
      <c r="L424" s="4">
        <v>4</v>
      </c>
      <c r="M424" s="4">
        <v>107</v>
      </c>
      <c r="N424" s="4">
        <v>94</v>
      </c>
      <c r="O424" s="4" t="s">
        <v>26</v>
      </c>
      <c r="P424" s="7" t="s">
        <v>19</v>
      </c>
    </row>
    <row r="425" spans="2:16" x14ac:dyDescent="0.45">
      <c r="B425" s="4">
        <v>424</v>
      </c>
      <c r="C425" s="4" t="s">
        <v>22</v>
      </c>
      <c r="D425" s="4" t="s">
        <v>23</v>
      </c>
      <c r="E425" s="4" t="s">
        <v>17</v>
      </c>
      <c r="F425" s="4" t="s">
        <v>24</v>
      </c>
      <c r="G425" s="4" t="s">
        <v>19</v>
      </c>
      <c r="H425" s="4" t="s">
        <v>25</v>
      </c>
      <c r="I425" s="4">
        <v>4</v>
      </c>
      <c r="J425" s="5">
        <v>9.4</v>
      </c>
      <c r="K425" s="6">
        <v>0.66</v>
      </c>
      <c r="L425" s="4">
        <v>5</v>
      </c>
      <c r="M425" s="4">
        <v>101</v>
      </c>
      <c r="N425" s="4">
        <v>99</v>
      </c>
      <c r="O425" s="4" t="s">
        <v>26</v>
      </c>
      <c r="P425" s="7" t="s">
        <v>19</v>
      </c>
    </row>
    <row r="426" spans="2:16" x14ac:dyDescent="0.45">
      <c r="B426" s="4">
        <v>425</v>
      </c>
      <c r="C426" s="4" t="s">
        <v>45</v>
      </c>
      <c r="D426" s="4" t="s">
        <v>16</v>
      </c>
      <c r="E426" s="4" t="s">
        <v>35</v>
      </c>
      <c r="F426" s="4" t="s">
        <v>24</v>
      </c>
      <c r="G426" s="4" t="s">
        <v>19</v>
      </c>
      <c r="H426" s="4" t="s">
        <v>28</v>
      </c>
      <c r="I426" s="4">
        <v>26</v>
      </c>
      <c r="J426" s="5">
        <v>87.8</v>
      </c>
      <c r="K426" s="6">
        <v>1.78</v>
      </c>
      <c r="L426" s="4">
        <v>1</v>
      </c>
      <c r="M426" s="4">
        <v>104</v>
      </c>
      <c r="N426" s="4">
        <v>88</v>
      </c>
      <c r="O426" s="4" t="s">
        <v>26</v>
      </c>
      <c r="P426" s="7" t="s">
        <v>19</v>
      </c>
    </row>
    <row r="427" spans="2:16" x14ac:dyDescent="0.45">
      <c r="B427" s="4">
        <v>426</v>
      </c>
      <c r="C427" s="4" t="s">
        <v>22</v>
      </c>
      <c r="D427" s="4" t="s">
        <v>23</v>
      </c>
      <c r="E427" s="4" t="s">
        <v>17</v>
      </c>
      <c r="F427" s="4" t="s">
        <v>18</v>
      </c>
      <c r="G427" s="4" t="s">
        <v>19</v>
      </c>
      <c r="H427" s="4" t="s">
        <v>34</v>
      </c>
      <c r="I427" s="4">
        <v>8</v>
      </c>
      <c r="J427" s="5">
        <v>27</v>
      </c>
      <c r="K427" s="6">
        <v>1.31</v>
      </c>
      <c r="L427" s="4">
        <v>2</v>
      </c>
      <c r="M427" s="4">
        <v>109</v>
      </c>
      <c r="N427" s="4">
        <v>93</v>
      </c>
      <c r="O427" s="4" t="s">
        <v>21</v>
      </c>
      <c r="P427" s="7" t="s">
        <v>30</v>
      </c>
    </row>
    <row r="428" spans="2:16" x14ac:dyDescent="0.45">
      <c r="B428" s="4">
        <v>427</v>
      </c>
      <c r="C428" s="4" t="s">
        <v>41</v>
      </c>
      <c r="D428" s="4" t="s">
        <v>16</v>
      </c>
      <c r="E428" s="4" t="s">
        <v>17</v>
      </c>
      <c r="F428" s="4" t="s">
        <v>24</v>
      </c>
      <c r="G428" s="4" t="s">
        <v>19</v>
      </c>
      <c r="H428" s="4" t="s">
        <v>36</v>
      </c>
      <c r="I428" s="4">
        <v>63</v>
      </c>
      <c r="J428" s="5">
        <v>65.8</v>
      </c>
      <c r="K428" s="6">
        <v>1.79</v>
      </c>
      <c r="L428" s="4">
        <v>1</v>
      </c>
      <c r="M428" s="4">
        <v>149</v>
      </c>
      <c r="N428" s="4">
        <v>97</v>
      </c>
      <c r="O428" s="4" t="s">
        <v>21</v>
      </c>
      <c r="P428" s="7" t="s">
        <v>19</v>
      </c>
    </row>
    <row r="429" spans="2:16" x14ac:dyDescent="0.45">
      <c r="B429" s="4">
        <v>428</v>
      </c>
      <c r="C429" s="4" t="s">
        <v>29</v>
      </c>
      <c r="D429" s="4" t="s">
        <v>23</v>
      </c>
      <c r="E429" s="4" t="s">
        <v>44</v>
      </c>
      <c r="F429" s="4" t="s">
        <v>18</v>
      </c>
      <c r="G429" s="4" t="s">
        <v>19</v>
      </c>
      <c r="H429" s="4" t="s">
        <v>32</v>
      </c>
      <c r="I429" s="4">
        <v>19</v>
      </c>
      <c r="J429" s="5">
        <v>64.7</v>
      </c>
      <c r="K429" s="6">
        <v>1.7</v>
      </c>
      <c r="L429" s="4">
        <v>3</v>
      </c>
      <c r="M429" s="4">
        <v>120</v>
      </c>
      <c r="N429" s="4">
        <v>164</v>
      </c>
      <c r="O429" s="4" t="s">
        <v>21</v>
      </c>
      <c r="P429" s="7" t="s">
        <v>30</v>
      </c>
    </row>
    <row r="430" spans="2:16" x14ac:dyDescent="0.45">
      <c r="B430" s="4">
        <v>429</v>
      </c>
      <c r="C430" s="4" t="s">
        <v>22</v>
      </c>
      <c r="D430" s="4" t="s">
        <v>23</v>
      </c>
      <c r="E430" s="4" t="s">
        <v>17</v>
      </c>
      <c r="F430" s="4" t="s">
        <v>28</v>
      </c>
      <c r="G430" s="4" t="s">
        <v>19</v>
      </c>
      <c r="H430" s="4" t="s">
        <v>34</v>
      </c>
      <c r="I430" s="4">
        <v>5</v>
      </c>
      <c r="J430" s="5">
        <v>33.6</v>
      </c>
      <c r="K430" s="6">
        <v>1.41</v>
      </c>
      <c r="L430" s="4">
        <v>3</v>
      </c>
      <c r="M430" s="4">
        <v>116</v>
      </c>
      <c r="N430" s="4">
        <v>99</v>
      </c>
      <c r="O430" s="4" t="s">
        <v>26</v>
      </c>
      <c r="P430" s="7" t="s">
        <v>19</v>
      </c>
    </row>
    <row r="431" spans="2:16" x14ac:dyDescent="0.45">
      <c r="B431" s="4">
        <v>430</v>
      </c>
      <c r="C431" s="4" t="s">
        <v>22</v>
      </c>
      <c r="D431" s="4" t="s">
        <v>23</v>
      </c>
      <c r="E431" s="4" t="s">
        <v>44</v>
      </c>
      <c r="F431" s="4" t="s">
        <v>24</v>
      </c>
      <c r="G431" s="4" t="s">
        <v>19</v>
      </c>
      <c r="H431" s="4" t="s">
        <v>28</v>
      </c>
      <c r="I431" s="4">
        <v>61</v>
      </c>
      <c r="J431" s="5">
        <v>49.4</v>
      </c>
      <c r="K431" s="6">
        <v>1.71</v>
      </c>
      <c r="L431" s="4">
        <v>1</v>
      </c>
      <c r="M431" s="4">
        <v>127</v>
      </c>
      <c r="N431" s="4">
        <v>88</v>
      </c>
      <c r="O431" s="4" t="s">
        <v>21</v>
      </c>
      <c r="P431" s="7" t="s">
        <v>19</v>
      </c>
    </row>
    <row r="432" spans="2:16" x14ac:dyDescent="0.45">
      <c r="B432" s="4">
        <v>431</v>
      </c>
      <c r="C432" s="4" t="s">
        <v>33</v>
      </c>
      <c r="D432" s="4" t="s">
        <v>23</v>
      </c>
      <c r="E432" s="4" t="s">
        <v>17</v>
      </c>
      <c r="F432" s="4" t="s">
        <v>28</v>
      </c>
      <c r="G432" s="4" t="s">
        <v>30</v>
      </c>
      <c r="H432" s="4" t="s">
        <v>38</v>
      </c>
      <c r="I432" s="4">
        <v>40</v>
      </c>
      <c r="J432" s="5">
        <v>82.2</v>
      </c>
      <c r="K432" s="6">
        <v>1.81</v>
      </c>
      <c r="L432" s="4">
        <v>2</v>
      </c>
      <c r="M432" s="4">
        <v>111</v>
      </c>
      <c r="N432" s="4">
        <v>80</v>
      </c>
      <c r="O432" s="4" t="s">
        <v>26</v>
      </c>
      <c r="P432" s="7" t="s">
        <v>19</v>
      </c>
    </row>
    <row r="433" spans="2:16" x14ac:dyDescent="0.45">
      <c r="B433" s="4">
        <v>432</v>
      </c>
      <c r="C433" s="4" t="s">
        <v>27</v>
      </c>
      <c r="D433" s="4" t="s">
        <v>16</v>
      </c>
      <c r="E433" s="4" t="s">
        <v>17</v>
      </c>
      <c r="F433" s="4" t="s">
        <v>24</v>
      </c>
      <c r="G433" s="4" t="s">
        <v>19</v>
      </c>
      <c r="H433" s="4" t="s">
        <v>20</v>
      </c>
      <c r="I433" s="4">
        <v>2</v>
      </c>
      <c r="J433" s="5">
        <v>17.100000000000001</v>
      </c>
      <c r="K433" s="6">
        <v>0.77</v>
      </c>
      <c r="L433" s="4">
        <v>5</v>
      </c>
      <c r="M433" s="4">
        <v>104</v>
      </c>
      <c r="N433" s="4">
        <v>79</v>
      </c>
      <c r="O433" s="4" t="s">
        <v>21</v>
      </c>
      <c r="P433" s="7" t="s">
        <v>30</v>
      </c>
    </row>
    <row r="434" spans="2:16" x14ac:dyDescent="0.45">
      <c r="B434" s="4">
        <v>433</v>
      </c>
      <c r="C434" s="4" t="s">
        <v>41</v>
      </c>
      <c r="D434" s="4" t="s">
        <v>16</v>
      </c>
      <c r="E434" s="4" t="s">
        <v>17</v>
      </c>
      <c r="F434" s="4" t="s">
        <v>24</v>
      </c>
      <c r="G434" s="4" t="s">
        <v>19</v>
      </c>
      <c r="H434" s="4" t="s">
        <v>34</v>
      </c>
      <c r="I434" s="4">
        <v>40</v>
      </c>
      <c r="J434" s="5">
        <v>70</v>
      </c>
      <c r="K434" s="6">
        <v>1.76</v>
      </c>
      <c r="L434" s="4">
        <v>9</v>
      </c>
      <c r="M434" s="4">
        <v>117</v>
      </c>
      <c r="N434" s="4">
        <v>79</v>
      </c>
      <c r="O434" s="4" t="s">
        <v>26</v>
      </c>
      <c r="P434" s="7" t="s">
        <v>19</v>
      </c>
    </row>
    <row r="435" spans="2:16" x14ac:dyDescent="0.45">
      <c r="B435" s="4">
        <v>434</v>
      </c>
      <c r="C435" s="4" t="s">
        <v>41</v>
      </c>
      <c r="D435" s="4" t="s">
        <v>16</v>
      </c>
      <c r="E435" s="4" t="s">
        <v>17</v>
      </c>
      <c r="F435" s="4" t="s">
        <v>24</v>
      </c>
      <c r="G435" s="4" t="s">
        <v>30</v>
      </c>
      <c r="H435" s="4" t="s">
        <v>32</v>
      </c>
      <c r="I435" s="4">
        <v>5</v>
      </c>
      <c r="J435" s="5">
        <v>21.5</v>
      </c>
      <c r="K435" s="6">
        <v>1.39</v>
      </c>
      <c r="L435" s="4">
        <v>6</v>
      </c>
      <c r="M435" s="4">
        <v>109</v>
      </c>
      <c r="N435" s="4">
        <v>170</v>
      </c>
      <c r="O435" s="4" t="s">
        <v>21</v>
      </c>
      <c r="P435" s="7" t="s">
        <v>19</v>
      </c>
    </row>
    <row r="436" spans="2:16" x14ac:dyDescent="0.45">
      <c r="B436" s="4">
        <v>435</v>
      </c>
      <c r="C436" s="4" t="s">
        <v>29</v>
      </c>
      <c r="D436" s="4" t="s">
        <v>23</v>
      </c>
      <c r="E436" s="4" t="s">
        <v>35</v>
      </c>
      <c r="F436" s="4" t="s">
        <v>24</v>
      </c>
      <c r="G436" s="4" t="s">
        <v>30</v>
      </c>
      <c r="H436" s="4" t="s">
        <v>36</v>
      </c>
      <c r="I436" s="4">
        <v>31</v>
      </c>
      <c r="J436" s="5">
        <v>84.1</v>
      </c>
      <c r="K436" s="6">
        <v>1.68</v>
      </c>
      <c r="L436" s="4">
        <v>9</v>
      </c>
      <c r="M436" s="4">
        <v>117</v>
      </c>
      <c r="N436" s="4">
        <v>101</v>
      </c>
      <c r="O436" s="4" t="s">
        <v>26</v>
      </c>
      <c r="P436" s="7" t="s">
        <v>19</v>
      </c>
    </row>
    <row r="437" spans="2:16" x14ac:dyDescent="0.45">
      <c r="B437" s="4">
        <v>436</v>
      </c>
      <c r="C437" s="4" t="s">
        <v>15</v>
      </c>
      <c r="D437" s="4" t="s">
        <v>16</v>
      </c>
      <c r="E437" s="4" t="s">
        <v>35</v>
      </c>
      <c r="F437" s="4" t="s">
        <v>18</v>
      </c>
      <c r="G437" s="4" t="s">
        <v>19</v>
      </c>
      <c r="H437" s="4" t="s">
        <v>25</v>
      </c>
      <c r="I437" s="4">
        <v>48</v>
      </c>
      <c r="J437" s="5">
        <v>75.3</v>
      </c>
      <c r="K437" s="6">
        <v>1.63</v>
      </c>
      <c r="L437" s="4">
        <v>5</v>
      </c>
      <c r="M437" s="4">
        <v>113</v>
      </c>
      <c r="N437" s="4">
        <v>89</v>
      </c>
      <c r="O437" s="4" t="s">
        <v>21</v>
      </c>
      <c r="P437" s="7" t="s">
        <v>19</v>
      </c>
    </row>
    <row r="438" spans="2:16" x14ac:dyDescent="0.45">
      <c r="B438" s="4">
        <v>437</v>
      </c>
      <c r="C438" s="4" t="s">
        <v>40</v>
      </c>
      <c r="D438" s="4" t="s">
        <v>23</v>
      </c>
      <c r="E438" s="4" t="s">
        <v>17</v>
      </c>
      <c r="F438" s="4" t="s">
        <v>18</v>
      </c>
      <c r="G438" s="4" t="s">
        <v>19</v>
      </c>
      <c r="H438" s="4" t="s">
        <v>28</v>
      </c>
      <c r="I438" s="4">
        <v>24</v>
      </c>
      <c r="J438" s="5">
        <v>91.3</v>
      </c>
      <c r="K438" s="6">
        <v>1.72</v>
      </c>
      <c r="L438" s="4">
        <v>2</v>
      </c>
      <c r="M438" s="4">
        <v>125</v>
      </c>
      <c r="N438" s="4">
        <v>75</v>
      </c>
      <c r="O438" s="4" t="s">
        <v>21</v>
      </c>
      <c r="P438" s="7" t="s">
        <v>30</v>
      </c>
    </row>
    <row r="439" spans="2:16" x14ac:dyDescent="0.45">
      <c r="B439" s="4">
        <v>438</v>
      </c>
      <c r="C439" s="4" t="s">
        <v>27</v>
      </c>
      <c r="D439" s="4" t="s">
        <v>16</v>
      </c>
      <c r="E439" s="4" t="s">
        <v>17</v>
      </c>
      <c r="F439" s="4" t="s">
        <v>18</v>
      </c>
      <c r="G439" s="4" t="s">
        <v>30</v>
      </c>
      <c r="H439" s="4" t="s">
        <v>36</v>
      </c>
      <c r="I439" s="4">
        <v>29</v>
      </c>
      <c r="J439" s="5">
        <v>45.9</v>
      </c>
      <c r="K439" s="6">
        <v>1.83</v>
      </c>
      <c r="L439" s="4">
        <v>4</v>
      </c>
      <c r="M439" s="4">
        <v>127</v>
      </c>
      <c r="N439" s="4">
        <v>77</v>
      </c>
      <c r="O439" s="4" t="s">
        <v>21</v>
      </c>
      <c r="P439" s="7" t="s">
        <v>19</v>
      </c>
    </row>
    <row r="440" spans="2:16" x14ac:dyDescent="0.45">
      <c r="B440" s="4">
        <v>439</v>
      </c>
      <c r="C440" s="4" t="s">
        <v>45</v>
      </c>
      <c r="D440" s="4" t="s">
        <v>16</v>
      </c>
      <c r="E440" s="4" t="s">
        <v>37</v>
      </c>
      <c r="F440" s="4" t="s">
        <v>18</v>
      </c>
      <c r="G440" s="4" t="s">
        <v>19</v>
      </c>
      <c r="H440" s="4" t="s">
        <v>20</v>
      </c>
      <c r="I440" s="4">
        <v>7</v>
      </c>
      <c r="J440" s="5">
        <v>31.8</v>
      </c>
      <c r="K440" s="6">
        <v>1.05</v>
      </c>
      <c r="L440" s="4">
        <v>6</v>
      </c>
      <c r="M440" s="4">
        <v>102</v>
      </c>
      <c r="N440" s="4">
        <v>101</v>
      </c>
      <c r="O440" s="4" t="s">
        <v>26</v>
      </c>
      <c r="P440" s="7" t="s">
        <v>19</v>
      </c>
    </row>
    <row r="441" spans="2:16" x14ac:dyDescent="0.45">
      <c r="B441" s="4">
        <v>440</v>
      </c>
      <c r="C441" s="4" t="s">
        <v>22</v>
      </c>
      <c r="D441" s="4" t="s">
        <v>23</v>
      </c>
      <c r="E441" s="4" t="s">
        <v>17</v>
      </c>
      <c r="F441" s="4" t="s">
        <v>18</v>
      </c>
      <c r="G441" s="4" t="s">
        <v>19</v>
      </c>
      <c r="H441" s="4" t="s">
        <v>25</v>
      </c>
      <c r="I441" s="4">
        <v>13</v>
      </c>
      <c r="J441" s="5">
        <v>59.1</v>
      </c>
      <c r="K441" s="6">
        <v>1.55</v>
      </c>
      <c r="L441" s="4">
        <v>6</v>
      </c>
      <c r="M441" s="4">
        <v>107</v>
      </c>
      <c r="N441" s="4">
        <v>73</v>
      </c>
      <c r="O441" s="4" t="s">
        <v>26</v>
      </c>
      <c r="P441" s="7" t="s">
        <v>19</v>
      </c>
    </row>
    <row r="442" spans="2:16" x14ac:dyDescent="0.45">
      <c r="B442" s="4">
        <v>441</v>
      </c>
      <c r="C442" s="4" t="s">
        <v>22</v>
      </c>
      <c r="D442" s="4" t="s">
        <v>23</v>
      </c>
      <c r="E442" s="4" t="s">
        <v>17</v>
      </c>
      <c r="F442" s="4" t="s">
        <v>24</v>
      </c>
      <c r="G442" s="4" t="s">
        <v>19</v>
      </c>
      <c r="H442" s="4" t="s">
        <v>20</v>
      </c>
      <c r="I442" s="4">
        <v>5</v>
      </c>
      <c r="J442" s="5">
        <v>34.299999999999997</v>
      </c>
      <c r="K442" s="6">
        <v>1.08</v>
      </c>
      <c r="L442" s="4">
        <v>3</v>
      </c>
      <c r="M442" s="4">
        <v>99</v>
      </c>
      <c r="N442" s="4">
        <v>85</v>
      </c>
      <c r="O442" s="4" t="s">
        <v>21</v>
      </c>
      <c r="P442" s="7" t="s">
        <v>19</v>
      </c>
    </row>
    <row r="443" spans="2:16" x14ac:dyDescent="0.45">
      <c r="B443" s="4">
        <v>442</v>
      </c>
      <c r="C443" s="4" t="s">
        <v>39</v>
      </c>
      <c r="D443" s="4" t="s">
        <v>23</v>
      </c>
      <c r="E443" s="4" t="s">
        <v>35</v>
      </c>
      <c r="F443" s="4" t="s">
        <v>18</v>
      </c>
      <c r="G443" s="4" t="s">
        <v>30</v>
      </c>
      <c r="H443" s="4" t="s">
        <v>36</v>
      </c>
      <c r="I443" s="4">
        <v>18</v>
      </c>
      <c r="J443" s="5">
        <v>77.7</v>
      </c>
      <c r="K443" s="6">
        <v>1.53</v>
      </c>
      <c r="L443" s="4">
        <v>1</v>
      </c>
      <c r="M443" s="4">
        <v>124</v>
      </c>
      <c r="N443" s="4">
        <v>80</v>
      </c>
      <c r="O443" s="4" t="s">
        <v>26</v>
      </c>
      <c r="P443" s="7" t="s">
        <v>19</v>
      </c>
    </row>
    <row r="444" spans="2:16" x14ac:dyDescent="0.45">
      <c r="B444" s="4">
        <v>443</v>
      </c>
      <c r="C444" s="4" t="s">
        <v>45</v>
      </c>
      <c r="D444" s="4" t="s">
        <v>16</v>
      </c>
      <c r="E444" s="4" t="s">
        <v>17</v>
      </c>
      <c r="F444" s="4" t="s">
        <v>18</v>
      </c>
      <c r="G444" s="4" t="s">
        <v>19</v>
      </c>
      <c r="H444" s="4" t="s">
        <v>36</v>
      </c>
      <c r="I444" s="4">
        <v>77</v>
      </c>
      <c r="J444" s="5">
        <v>48.2</v>
      </c>
      <c r="K444" s="6">
        <v>1.71</v>
      </c>
      <c r="L444" s="4">
        <v>1</v>
      </c>
      <c r="M444" s="4">
        <v>137</v>
      </c>
      <c r="N444" s="4">
        <v>90</v>
      </c>
      <c r="O444" s="4" t="s">
        <v>21</v>
      </c>
      <c r="P444" s="7" t="s">
        <v>19</v>
      </c>
    </row>
    <row r="445" spans="2:16" x14ac:dyDescent="0.45">
      <c r="B445" s="4">
        <v>444</v>
      </c>
      <c r="C445" s="4" t="s">
        <v>39</v>
      </c>
      <c r="D445" s="4" t="s">
        <v>23</v>
      </c>
      <c r="E445" s="4" t="s">
        <v>44</v>
      </c>
      <c r="F445" s="4" t="s">
        <v>18</v>
      </c>
      <c r="G445" s="4" t="s">
        <v>19</v>
      </c>
      <c r="H445" s="4" t="s">
        <v>20</v>
      </c>
      <c r="I445" s="4">
        <v>17</v>
      </c>
      <c r="J445" s="5">
        <v>44.7</v>
      </c>
      <c r="K445" s="6">
        <v>1.68</v>
      </c>
      <c r="L445" s="4">
        <v>3</v>
      </c>
      <c r="M445" s="4">
        <v>112</v>
      </c>
      <c r="N445" s="4">
        <v>82</v>
      </c>
      <c r="O445" s="4" t="s">
        <v>26</v>
      </c>
      <c r="P445" s="7" t="s">
        <v>19</v>
      </c>
    </row>
    <row r="446" spans="2:16" x14ac:dyDescent="0.45">
      <c r="B446" s="4">
        <v>445</v>
      </c>
      <c r="C446" s="4" t="s">
        <v>22</v>
      </c>
      <c r="D446" s="4" t="s">
        <v>23</v>
      </c>
      <c r="E446" s="4" t="s">
        <v>35</v>
      </c>
      <c r="F446" s="4" t="s">
        <v>24</v>
      </c>
      <c r="G446" s="4" t="s">
        <v>19</v>
      </c>
      <c r="H446" s="4" t="s">
        <v>34</v>
      </c>
      <c r="I446" s="4">
        <v>16</v>
      </c>
      <c r="J446" s="5">
        <v>55.9</v>
      </c>
      <c r="K446" s="6">
        <v>1.59</v>
      </c>
      <c r="L446" s="4">
        <v>4</v>
      </c>
      <c r="M446" s="4">
        <v>112</v>
      </c>
      <c r="N446" s="4">
        <v>80</v>
      </c>
      <c r="O446" s="4" t="s">
        <v>26</v>
      </c>
      <c r="P446" s="7" t="s">
        <v>19</v>
      </c>
    </row>
    <row r="447" spans="2:16" x14ac:dyDescent="0.45">
      <c r="B447" s="4">
        <v>446</v>
      </c>
      <c r="C447" s="4" t="s">
        <v>43</v>
      </c>
      <c r="D447" s="4" t="s">
        <v>16</v>
      </c>
      <c r="E447" s="4" t="s">
        <v>17</v>
      </c>
      <c r="F447" s="4" t="s">
        <v>28</v>
      </c>
      <c r="G447" s="4" t="s">
        <v>19</v>
      </c>
      <c r="H447" s="4" t="s">
        <v>28</v>
      </c>
      <c r="I447" s="4">
        <v>15</v>
      </c>
      <c r="J447" s="5">
        <v>62.3</v>
      </c>
      <c r="K447" s="6">
        <v>1.66</v>
      </c>
      <c r="L447" s="4">
        <v>9</v>
      </c>
      <c r="M447" s="4">
        <v>96</v>
      </c>
      <c r="N447" s="4">
        <v>86</v>
      </c>
      <c r="O447" s="4" t="s">
        <v>26</v>
      </c>
      <c r="P447" s="7" t="s">
        <v>19</v>
      </c>
    </row>
    <row r="448" spans="2:16" x14ac:dyDescent="0.45">
      <c r="B448" s="4">
        <v>447</v>
      </c>
      <c r="C448" s="4" t="s">
        <v>39</v>
      </c>
      <c r="D448" s="4" t="s">
        <v>23</v>
      </c>
      <c r="E448" s="4" t="s">
        <v>44</v>
      </c>
      <c r="F448" s="4" t="s">
        <v>28</v>
      </c>
      <c r="G448" s="4" t="s">
        <v>19</v>
      </c>
      <c r="H448" s="4" t="s">
        <v>38</v>
      </c>
      <c r="I448" s="4">
        <v>3</v>
      </c>
      <c r="J448" s="5">
        <v>13.3</v>
      </c>
      <c r="K448" s="6">
        <v>0.87</v>
      </c>
      <c r="L448" s="4">
        <v>3</v>
      </c>
      <c r="M448" s="4">
        <v>107</v>
      </c>
      <c r="N448" s="4">
        <v>71</v>
      </c>
      <c r="O448" s="4" t="s">
        <v>21</v>
      </c>
      <c r="P448" s="7" t="s">
        <v>19</v>
      </c>
    </row>
    <row r="449" spans="2:16" x14ac:dyDescent="0.45">
      <c r="B449" s="4">
        <v>448</v>
      </c>
      <c r="C449" s="4" t="s">
        <v>45</v>
      </c>
      <c r="D449" s="4" t="s">
        <v>16</v>
      </c>
      <c r="E449" s="4" t="s">
        <v>17</v>
      </c>
      <c r="F449" s="4" t="s">
        <v>18</v>
      </c>
      <c r="G449" s="4" t="s">
        <v>19</v>
      </c>
      <c r="H449" s="4" t="s">
        <v>36</v>
      </c>
      <c r="I449" s="4">
        <v>34</v>
      </c>
      <c r="J449" s="5">
        <v>81.7</v>
      </c>
      <c r="K449" s="6">
        <v>1.54</v>
      </c>
      <c r="L449" s="4">
        <v>6</v>
      </c>
      <c r="M449" s="4">
        <v>140</v>
      </c>
      <c r="N449" s="4">
        <v>83</v>
      </c>
      <c r="O449" s="4" t="s">
        <v>26</v>
      </c>
      <c r="P449" s="7" t="s">
        <v>19</v>
      </c>
    </row>
    <row r="450" spans="2:16" x14ac:dyDescent="0.45">
      <c r="B450" s="4">
        <v>449</v>
      </c>
      <c r="C450" s="4" t="s">
        <v>33</v>
      </c>
      <c r="D450" s="4" t="s">
        <v>16</v>
      </c>
      <c r="E450" s="4" t="s">
        <v>35</v>
      </c>
      <c r="F450" s="4" t="s">
        <v>18</v>
      </c>
      <c r="G450" s="4" t="s">
        <v>19</v>
      </c>
      <c r="H450" s="4" t="s">
        <v>28</v>
      </c>
      <c r="I450" s="4">
        <v>4</v>
      </c>
      <c r="J450" s="5">
        <v>15.2</v>
      </c>
      <c r="K450" s="6">
        <v>0.77</v>
      </c>
      <c r="L450" s="4">
        <v>1</v>
      </c>
      <c r="M450" s="4">
        <v>113</v>
      </c>
      <c r="N450" s="4">
        <v>72</v>
      </c>
      <c r="O450" s="4" t="s">
        <v>26</v>
      </c>
      <c r="P450" s="7" t="s">
        <v>19</v>
      </c>
    </row>
    <row r="451" spans="2:16" x14ac:dyDescent="0.45">
      <c r="B451" s="4">
        <v>450</v>
      </c>
      <c r="C451" s="4" t="s">
        <v>22</v>
      </c>
      <c r="D451" s="4" t="s">
        <v>16</v>
      </c>
      <c r="E451" s="4" t="s">
        <v>17</v>
      </c>
      <c r="F451" s="4" t="s">
        <v>18</v>
      </c>
      <c r="G451" s="4" t="s">
        <v>19</v>
      </c>
      <c r="H451" s="4" t="s">
        <v>38</v>
      </c>
      <c r="I451" s="4">
        <v>12</v>
      </c>
      <c r="J451" s="5">
        <v>53.8</v>
      </c>
      <c r="K451" s="6">
        <v>1.58</v>
      </c>
      <c r="L451" s="4">
        <v>1</v>
      </c>
      <c r="M451" s="4">
        <v>94</v>
      </c>
      <c r="N451" s="4">
        <v>87</v>
      </c>
      <c r="O451" s="4" t="s">
        <v>21</v>
      </c>
      <c r="P451" s="7" t="s">
        <v>19</v>
      </c>
    </row>
    <row r="452" spans="2:16" x14ac:dyDescent="0.45">
      <c r="B452" s="4">
        <v>451</v>
      </c>
      <c r="C452" s="4" t="s">
        <v>41</v>
      </c>
      <c r="D452" s="4" t="s">
        <v>16</v>
      </c>
      <c r="E452" s="4" t="s">
        <v>37</v>
      </c>
      <c r="F452" s="4" t="s">
        <v>18</v>
      </c>
      <c r="G452" s="4" t="s">
        <v>19</v>
      </c>
      <c r="H452" s="4" t="s">
        <v>38</v>
      </c>
      <c r="I452" s="4">
        <v>10</v>
      </c>
      <c r="J452" s="5">
        <v>30</v>
      </c>
      <c r="K452" s="6">
        <v>1.07</v>
      </c>
      <c r="L452" s="4">
        <v>4</v>
      </c>
      <c r="M452" s="4">
        <v>117</v>
      </c>
      <c r="N452" s="4">
        <v>99</v>
      </c>
      <c r="O452" s="4" t="s">
        <v>21</v>
      </c>
      <c r="P452" s="7" t="s">
        <v>19</v>
      </c>
    </row>
    <row r="453" spans="2:16" x14ac:dyDescent="0.45">
      <c r="B453" s="4">
        <v>452</v>
      </c>
      <c r="C453" s="4" t="s">
        <v>41</v>
      </c>
      <c r="D453" s="4" t="s">
        <v>16</v>
      </c>
      <c r="E453" s="4" t="s">
        <v>35</v>
      </c>
      <c r="F453" s="4" t="s">
        <v>28</v>
      </c>
      <c r="G453" s="4" t="s">
        <v>30</v>
      </c>
      <c r="H453" s="4" t="s">
        <v>34</v>
      </c>
      <c r="I453" s="4">
        <v>52</v>
      </c>
      <c r="J453" s="5">
        <v>59.6</v>
      </c>
      <c r="K453" s="6">
        <v>1.71</v>
      </c>
      <c r="L453" s="4">
        <v>0</v>
      </c>
      <c r="M453" s="4">
        <v>121</v>
      </c>
      <c r="N453" s="4">
        <v>74</v>
      </c>
      <c r="O453" s="4" t="s">
        <v>21</v>
      </c>
      <c r="P453" s="7" t="s">
        <v>30</v>
      </c>
    </row>
    <row r="454" spans="2:16" x14ac:dyDescent="0.45">
      <c r="B454" s="4">
        <v>453</v>
      </c>
      <c r="C454" s="4" t="s">
        <v>39</v>
      </c>
      <c r="D454" s="4" t="s">
        <v>16</v>
      </c>
      <c r="E454" s="4" t="s">
        <v>35</v>
      </c>
      <c r="F454" s="4" t="s">
        <v>18</v>
      </c>
      <c r="G454" s="4" t="s">
        <v>30</v>
      </c>
      <c r="H454" s="4" t="s">
        <v>20</v>
      </c>
      <c r="I454" s="4">
        <v>28</v>
      </c>
      <c r="J454" s="5">
        <v>57.1</v>
      </c>
      <c r="K454" s="6">
        <v>1.71</v>
      </c>
      <c r="L454" s="4">
        <v>5</v>
      </c>
      <c r="M454" s="4">
        <v>113</v>
      </c>
      <c r="N454" s="4">
        <v>89</v>
      </c>
      <c r="O454" s="4" t="s">
        <v>21</v>
      </c>
      <c r="P454" s="7" t="s">
        <v>19</v>
      </c>
    </row>
    <row r="455" spans="2:16" x14ac:dyDescent="0.45">
      <c r="B455" s="4">
        <v>454</v>
      </c>
      <c r="C455" s="4" t="s">
        <v>22</v>
      </c>
      <c r="D455" s="4" t="s">
        <v>16</v>
      </c>
      <c r="E455" s="4" t="s">
        <v>37</v>
      </c>
      <c r="F455" s="4" t="s">
        <v>24</v>
      </c>
      <c r="G455" s="4" t="s">
        <v>19</v>
      </c>
      <c r="H455" s="4" t="s">
        <v>20</v>
      </c>
      <c r="I455" s="4">
        <v>21</v>
      </c>
      <c r="J455" s="5">
        <v>89.8</v>
      </c>
      <c r="K455" s="6">
        <v>1.57</v>
      </c>
      <c r="L455" s="4">
        <v>5</v>
      </c>
      <c r="M455" s="4">
        <v>104</v>
      </c>
      <c r="N455" s="4">
        <v>76</v>
      </c>
      <c r="O455" s="4" t="s">
        <v>26</v>
      </c>
      <c r="P455" s="7" t="s">
        <v>19</v>
      </c>
    </row>
    <row r="456" spans="2:16" x14ac:dyDescent="0.45">
      <c r="B456" s="4">
        <v>455</v>
      </c>
      <c r="C456" s="4" t="s">
        <v>27</v>
      </c>
      <c r="D456" s="4" t="s">
        <v>23</v>
      </c>
      <c r="E456" s="4" t="s">
        <v>17</v>
      </c>
      <c r="F456" s="4" t="s">
        <v>18</v>
      </c>
      <c r="G456" s="4" t="s">
        <v>30</v>
      </c>
      <c r="H456" s="4" t="s">
        <v>46</v>
      </c>
      <c r="I456" s="4">
        <v>22</v>
      </c>
      <c r="J456" s="5">
        <v>89.9</v>
      </c>
      <c r="K456" s="6">
        <v>1.57</v>
      </c>
      <c r="L456" s="4">
        <v>0</v>
      </c>
      <c r="M456" s="4">
        <v>113</v>
      </c>
      <c r="N456" s="4">
        <v>101</v>
      </c>
      <c r="O456" s="4" t="s">
        <v>21</v>
      </c>
      <c r="P456" s="7" t="s">
        <v>30</v>
      </c>
    </row>
    <row r="457" spans="2:16" x14ac:dyDescent="0.45">
      <c r="B457" s="4">
        <v>456</v>
      </c>
      <c r="C457" s="4" t="s">
        <v>15</v>
      </c>
      <c r="D457" s="4" t="s">
        <v>23</v>
      </c>
      <c r="E457" s="4" t="s">
        <v>35</v>
      </c>
      <c r="F457" s="4" t="s">
        <v>18</v>
      </c>
      <c r="G457" s="4" t="s">
        <v>30</v>
      </c>
      <c r="H457" s="4" t="s">
        <v>28</v>
      </c>
      <c r="I457" s="4">
        <v>6</v>
      </c>
      <c r="J457" s="5">
        <v>26.9</v>
      </c>
      <c r="K457" s="6">
        <v>1.42</v>
      </c>
      <c r="L457" s="4">
        <v>1</v>
      </c>
      <c r="M457" s="4">
        <v>108</v>
      </c>
      <c r="N457" s="4">
        <v>105</v>
      </c>
      <c r="O457" s="4" t="s">
        <v>21</v>
      </c>
      <c r="P457" s="7" t="s">
        <v>19</v>
      </c>
    </row>
    <row r="458" spans="2:16" x14ac:dyDescent="0.45">
      <c r="B458" s="4">
        <v>457</v>
      </c>
      <c r="C458" s="4" t="s">
        <v>22</v>
      </c>
      <c r="D458" s="4" t="s">
        <v>23</v>
      </c>
      <c r="E458" s="4" t="s">
        <v>37</v>
      </c>
      <c r="F458" s="4" t="s">
        <v>24</v>
      </c>
      <c r="G458" s="4" t="s">
        <v>19</v>
      </c>
      <c r="H458" s="4" t="s">
        <v>36</v>
      </c>
      <c r="I458" s="4">
        <v>11</v>
      </c>
      <c r="J458" s="5">
        <v>35.1</v>
      </c>
      <c r="K458" s="6">
        <v>1.22</v>
      </c>
      <c r="L458" s="4">
        <v>4</v>
      </c>
      <c r="M458" s="4">
        <v>125</v>
      </c>
      <c r="N458" s="4">
        <v>100</v>
      </c>
      <c r="O458" s="4" t="s">
        <v>26</v>
      </c>
      <c r="P458" s="7" t="s">
        <v>19</v>
      </c>
    </row>
    <row r="459" spans="2:16" x14ac:dyDescent="0.45">
      <c r="B459" s="4">
        <v>458</v>
      </c>
      <c r="C459" s="4" t="s">
        <v>41</v>
      </c>
      <c r="D459" s="4" t="s">
        <v>16</v>
      </c>
      <c r="E459" s="4" t="s">
        <v>44</v>
      </c>
      <c r="F459" s="4" t="s">
        <v>24</v>
      </c>
      <c r="G459" s="4" t="s">
        <v>19</v>
      </c>
      <c r="H459" s="4" t="s">
        <v>28</v>
      </c>
      <c r="I459" s="4">
        <v>19</v>
      </c>
      <c r="J459" s="5">
        <v>73.3</v>
      </c>
      <c r="K459" s="6">
        <v>1.65</v>
      </c>
      <c r="L459" s="4">
        <v>0</v>
      </c>
      <c r="M459" s="4">
        <v>108</v>
      </c>
      <c r="N459" s="4">
        <v>97</v>
      </c>
      <c r="O459" s="4" t="s">
        <v>26</v>
      </c>
      <c r="P459" s="7" t="s">
        <v>19</v>
      </c>
    </row>
    <row r="460" spans="2:16" x14ac:dyDescent="0.45">
      <c r="B460" s="4">
        <v>459</v>
      </c>
      <c r="C460" s="4" t="s">
        <v>15</v>
      </c>
      <c r="D460" s="4" t="s">
        <v>16</v>
      </c>
      <c r="E460" s="4" t="s">
        <v>17</v>
      </c>
      <c r="F460" s="4" t="s">
        <v>18</v>
      </c>
      <c r="G460" s="4" t="s">
        <v>19</v>
      </c>
      <c r="H460" s="4" t="s">
        <v>20</v>
      </c>
      <c r="I460" s="4">
        <v>43</v>
      </c>
      <c r="J460" s="5">
        <v>54.5</v>
      </c>
      <c r="K460" s="6">
        <v>1.69</v>
      </c>
      <c r="L460" s="4">
        <v>3</v>
      </c>
      <c r="M460" s="4">
        <v>109</v>
      </c>
      <c r="N460" s="4">
        <v>79</v>
      </c>
      <c r="O460" s="4" t="s">
        <v>26</v>
      </c>
      <c r="P460" s="7" t="s">
        <v>30</v>
      </c>
    </row>
    <row r="461" spans="2:16" x14ac:dyDescent="0.45">
      <c r="B461" s="4">
        <v>460</v>
      </c>
      <c r="C461" s="4" t="s">
        <v>39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s">
        <v>46</v>
      </c>
      <c r="I461" s="4">
        <v>22</v>
      </c>
      <c r="J461" s="5">
        <v>91.1</v>
      </c>
      <c r="K461" s="6">
        <v>1.54</v>
      </c>
      <c r="L461" s="4">
        <v>0</v>
      </c>
      <c r="M461" s="4">
        <v>108</v>
      </c>
      <c r="N461" s="4">
        <v>72</v>
      </c>
      <c r="O461" s="4" t="s">
        <v>26</v>
      </c>
      <c r="P461" s="7" t="s">
        <v>19</v>
      </c>
    </row>
    <row r="462" spans="2:16" x14ac:dyDescent="0.45">
      <c r="B462" s="4">
        <v>461</v>
      </c>
      <c r="C462" s="4" t="s">
        <v>22</v>
      </c>
      <c r="D462" s="4" t="s">
        <v>23</v>
      </c>
      <c r="E462" s="4" t="s">
        <v>17</v>
      </c>
      <c r="F462" s="4" t="s">
        <v>24</v>
      </c>
      <c r="G462" s="4" t="s">
        <v>19</v>
      </c>
      <c r="H462" s="4" t="s">
        <v>32</v>
      </c>
      <c r="I462" s="4">
        <v>15</v>
      </c>
      <c r="J462" s="5">
        <v>51</v>
      </c>
      <c r="K462" s="6">
        <v>1.54</v>
      </c>
      <c r="L462" s="4">
        <v>3</v>
      </c>
      <c r="M462" s="4">
        <v>116</v>
      </c>
      <c r="N462" s="4">
        <v>168</v>
      </c>
      <c r="O462" s="4" t="s">
        <v>26</v>
      </c>
      <c r="P462" s="7" t="s">
        <v>19</v>
      </c>
    </row>
    <row r="463" spans="2:16" x14ac:dyDescent="0.45">
      <c r="B463" s="4">
        <v>462</v>
      </c>
      <c r="C463" s="4" t="s">
        <v>15</v>
      </c>
      <c r="D463" s="4" t="s">
        <v>16</v>
      </c>
      <c r="E463" s="4" t="s">
        <v>17</v>
      </c>
      <c r="F463" s="4" t="s">
        <v>24</v>
      </c>
      <c r="G463" s="4" t="s">
        <v>19</v>
      </c>
      <c r="H463" s="4" t="s">
        <v>36</v>
      </c>
      <c r="I463" s="4">
        <v>38</v>
      </c>
      <c r="J463" s="5">
        <v>75.2</v>
      </c>
      <c r="K463" s="6">
        <v>1.8</v>
      </c>
      <c r="L463" s="4">
        <v>1</v>
      </c>
      <c r="M463" s="4">
        <v>140</v>
      </c>
      <c r="N463" s="4">
        <v>85</v>
      </c>
      <c r="O463" s="4" t="s">
        <v>21</v>
      </c>
      <c r="P463" s="7" t="s">
        <v>19</v>
      </c>
    </row>
    <row r="464" spans="2:16" x14ac:dyDescent="0.45">
      <c r="B464" s="4">
        <v>463</v>
      </c>
      <c r="C464" s="4" t="s">
        <v>40</v>
      </c>
      <c r="D464" s="4" t="s">
        <v>16</v>
      </c>
      <c r="E464" s="4" t="s">
        <v>44</v>
      </c>
      <c r="F464" s="4" t="s">
        <v>24</v>
      </c>
      <c r="G464" s="4" t="s">
        <v>19</v>
      </c>
      <c r="H464" s="4" t="s">
        <v>20</v>
      </c>
      <c r="I464" s="4">
        <v>4</v>
      </c>
      <c r="J464" s="5">
        <v>13.7</v>
      </c>
      <c r="K464" s="6">
        <v>0.62</v>
      </c>
      <c r="L464" s="4">
        <v>2</v>
      </c>
      <c r="M464" s="4">
        <v>97</v>
      </c>
      <c r="N464" s="4">
        <v>102</v>
      </c>
      <c r="O464" s="4" t="s">
        <v>26</v>
      </c>
      <c r="P464" s="7" t="s">
        <v>19</v>
      </c>
    </row>
    <row r="465" spans="2:16" x14ac:dyDescent="0.45">
      <c r="B465" s="4">
        <v>464</v>
      </c>
      <c r="C465" s="4" t="s">
        <v>45</v>
      </c>
      <c r="D465" s="4" t="s">
        <v>16</v>
      </c>
      <c r="E465" s="4" t="s">
        <v>17</v>
      </c>
      <c r="F465" s="4" t="s">
        <v>24</v>
      </c>
      <c r="G465" s="4" t="s">
        <v>19</v>
      </c>
      <c r="H465" s="4" t="s">
        <v>20</v>
      </c>
      <c r="I465" s="4">
        <v>64</v>
      </c>
      <c r="J465" s="5">
        <v>72.3</v>
      </c>
      <c r="K465" s="6">
        <v>1.51</v>
      </c>
      <c r="L465" s="4">
        <v>2</v>
      </c>
      <c r="M465" s="4">
        <v>133</v>
      </c>
      <c r="N465" s="4">
        <v>100</v>
      </c>
      <c r="O465" s="4" t="s">
        <v>26</v>
      </c>
      <c r="P465" s="7" t="s">
        <v>30</v>
      </c>
    </row>
    <row r="466" spans="2:16" x14ac:dyDescent="0.45">
      <c r="B466" s="4">
        <v>465</v>
      </c>
      <c r="C466" s="4" t="s">
        <v>27</v>
      </c>
      <c r="D466" s="4" t="s">
        <v>23</v>
      </c>
      <c r="E466" s="4" t="s">
        <v>35</v>
      </c>
      <c r="F466" s="4" t="s">
        <v>28</v>
      </c>
      <c r="G466" s="4" t="s">
        <v>19</v>
      </c>
      <c r="H466" s="4" t="s">
        <v>28</v>
      </c>
      <c r="I466" s="4">
        <v>46</v>
      </c>
      <c r="J466" s="5">
        <v>84.9</v>
      </c>
      <c r="K466" s="6">
        <v>1.79</v>
      </c>
      <c r="L466" s="4">
        <v>3</v>
      </c>
      <c r="M466" s="4">
        <v>128</v>
      </c>
      <c r="N466" s="4">
        <v>93</v>
      </c>
      <c r="O466" s="4" t="s">
        <v>26</v>
      </c>
      <c r="P466" s="7" t="s">
        <v>30</v>
      </c>
    </row>
    <row r="467" spans="2:16" x14ac:dyDescent="0.45">
      <c r="B467" s="4">
        <v>466</v>
      </c>
      <c r="C467" s="4" t="s">
        <v>22</v>
      </c>
      <c r="D467" s="4" t="s">
        <v>16</v>
      </c>
      <c r="E467" s="4" t="s">
        <v>17</v>
      </c>
      <c r="F467" s="4" t="s">
        <v>42</v>
      </c>
      <c r="G467" s="4" t="s">
        <v>30</v>
      </c>
      <c r="H467" s="4" t="s">
        <v>25</v>
      </c>
      <c r="I467" s="4">
        <v>10</v>
      </c>
      <c r="J467" s="5">
        <v>18.7</v>
      </c>
      <c r="K467" s="6">
        <v>1.41</v>
      </c>
      <c r="L467" s="4">
        <v>1</v>
      </c>
      <c r="M467" s="4">
        <v>114</v>
      </c>
      <c r="N467" s="4">
        <v>77</v>
      </c>
      <c r="O467" s="4" t="s">
        <v>21</v>
      </c>
      <c r="P467" s="7" t="s">
        <v>19</v>
      </c>
    </row>
    <row r="468" spans="2:16" x14ac:dyDescent="0.45">
      <c r="B468" s="4">
        <v>467</v>
      </c>
      <c r="C468" s="4" t="s">
        <v>22</v>
      </c>
      <c r="D468" s="4" t="s">
        <v>16</v>
      </c>
      <c r="E468" s="4" t="s">
        <v>35</v>
      </c>
      <c r="F468" s="4" t="s">
        <v>28</v>
      </c>
      <c r="G468" s="4" t="s">
        <v>19</v>
      </c>
      <c r="H468" s="4" t="s">
        <v>20</v>
      </c>
      <c r="I468" s="4">
        <v>51</v>
      </c>
      <c r="J468" s="5">
        <v>66</v>
      </c>
      <c r="K468" s="6">
        <v>1.83</v>
      </c>
      <c r="L468" s="4">
        <v>0</v>
      </c>
      <c r="M468" s="4">
        <v>110</v>
      </c>
      <c r="N468" s="4">
        <v>83</v>
      </c>
      <c r="O468" s="4" t="s">
        <v>26</v>
      </c>
      <c r="P468" s="7" t="s">
        <v>19</v>
      </c>
    </row>
    <row r="469" spans="2:16" x14ac:dyDescent="0.45">
      <c r="B469" s="4">
        <v>468</v>
      </c>
      <c r="C469" s="4" t="s">
        <v>29</v>
      </c>
      <c r="D469" s="4" t="s">
        <v>16</v>
      </c>
      <c r="E469" s="4" t="s">
        <v>17</v>
      </c>
      <c r="F469" s="4" t="s">
        <v>24</v>
      </c>
      <c r="G469" s="4" t="s">
        <v>19</v>
      </c>
      <c r="H469" s="4" t="s">
        <v>28</v>
      </c>
      <c r="I469" s="4">
        <v>26</v>
      </c>
      <c r="J469" s="5">
        <v>75.599999999999994</v>
      </c>
      <c r="K469" s="6">
        <v>1.6</v>
      </c>
      <c r="L469" s="4">
        <v>1</v>
      </c>
      <c r="M469" s="4">
        <v>110</v>
      </c>
      <c r="N469" s="4">
        <v>75</v>
      </c>
      <c r="O469" s="4" t="s">
        <v>26</v>
      </c>
      <c r="P469" s="7" t="s">
        <v>19</v>
      </c>
    </row>
    <row r="470" spans="2:16" x14ac:dyDescent="0.45">
      <c r="B470" s="4">
        <v>469</v>
      </c>
      <c r="C470" s="4" t="s">
        <v>39</v>
      </c>
      <c r="D470" s="4" t="s">
        <v>16</v>
      </c>
      <c r="E470" s="4" t="s">
        <v>35</v>
      </c>
      <c r="F470" s="4" t="s">
        <v>24</v>
      </c>
      <c r="G470" s="4" t="s">
        <v>30</v>
      </c>
      <c r="H470" s="4" t="s">
        <v>32</v>
      </c>
      <c r="I470" s="4">
        <v>15</v>
      </c>
      <c r="J470" s="5">
        <v>46.6</v>
      </c>
      <c r="K470" s="6">
        <v>1.64</v>
      </c>
      <c r="L470" s="4">
        <v>0</v>
      </c>
      <c r="M470" s="4">
        <v>105</v>
      </c>
      <c r="N470" s="4">
        <v>144</v>
      </c>
      <c r="O470" s="4" t="s">
        <v>21</v>
      </c>
      <c r="P470" s="7" t="s">
        <v>19</v>
      </c>
    </row>
    <row r="471" spans="2:16" x14ac:dyDescent="0.45">
      <c r="B471" s="4">
        <v>470</v>
      </c>
      <c r="C471" s="4" t="s">
        <v>31</v>
      </c>
      <c r="D471" s="4" t="s">
        <v>23</v>
      </c>
      <c r="E471" s="4" t="s">
        <v>17</v>
      </c>
      <c r="F471" s="4" t="s">
        <v>24</v>
      </c>
      <c r="G471" s="4" t="s">
        <v>19</v>
      </c>
      <c r="H471" s="4" t="s">
        <v>34</v>
      </c>
      <c r="I471" s="4">
        <v>32</v>
      </c>
      <c r="J471" s="5">
        <v>90</v>
      </c>
      <c r="K471" s="6">
        <v>1.67</v>
      </c>
      <c r="L471" s="4">
        <v>2</v>
      </c>
      <c r="M471" s="4">
        <v>119</v>
      </c>
      <c r="N471" s="4">
        <v>91</v>
      </c>
      <c r="O471" s="4" t="s">
        <v>21</v>
      </c>
      <c r="P471" s="7" t="s">
        <v>30</v>
      </c>
    </row>
    <row r="472" spans="2:16" x14ac:dyDescent="0.45">
      <c r="B472" s="4">
        <v>471</v>
      </c>
      <c r="C472" s="4" t="s">
        <v>41</v>
      </c>
      <c r="D472" s="4" t="s">
        <v>23</v>
      </c>
      <c r="E472" s="4" t="s">
        <v>35</v>
      </c>
      <c r="F472" s="4" t="s">
        <v>24</v>
      </c>
      <c r="G472" s="4" t="s">
        <v>19</v>
      </c>
      <c r="H472" s="4" t="s">
        <v>20</v>
      </c>
      <c r="I472" s="4">
        <v>32</v>
      </c>
      <c r="J472" s="5">
        <v>74.3</v>
      </c>
      <c r="K472" s="6">
        <v>1.89</v>
      </c>
      <c r="L472" s="4">
        <v>4</v>
      </c>
      <c r="M472" s="4">
        <v>126</v>
      </c>
      <c r="N472" s="4">
        <v>99</v>
      </c>
      <c r="O472" s="4" t="s">
        <v>26</v>
      </c>
      <c r="P472" s="7" t="s">
        <v>30</v>
      </c>
    </row>
    <row r="473" spans="2:16" x14ac:dyDescent="0.45">
      <c r="B473" s="4">
        <v>472</v>
      </c>
      <c r="C473" s="4" t="s">
        <v>41</v>
      </c>
      <c r="D473" s="4" t="s">
        <v>23</v>
      </c>
      <c r="E473" s="4" t="s">
        <v>17</v>
      </c>
      <c r="F473" s="4" t="s">
        <v>42</v>
      </c>
      <c r="G473" s="4" t="s">
        <v>30</v>
      </c>
      <c r="H473" s="4" t="s">
        <v>28</v>
      </c>
      <c r="I473" s="4">
        <v>21</v>
      </c>
      <c r="J473" s="5">
        <v>47.4</v>
      </c>
      <c r="K473" s="6">
        <v>1.64</v>
      </c>
      <c r="L473" s="4">
        <v>2</v>
      </c>
      <c r="M473" s="4">
        <v>103</v>
      </c>
      <c r="N473" s="4">
        <v>98</v>
      </c>
      <c r="O473" s="4" t="s">
        <v>21</v>
      </c>
      <c r="P473" s="7" t="s">
        <v>19</v>
      </c>
    </row>
    <row r="474" spans="2:16" x14ac:dyDescent="0.45">
      <c r="B474" s="4">
        <v>473</v>
      </c>
      <c r="C474" s="4" t="s">
        <v>22</v>
      </c>
      <c r="D474" s="4" t="s">
        <v>16</v>
      </c>
      <c r="E474" s="4" t="s">
        <v>17</v>
      </c>
      <c r="F474" s="4" t="s">
        <v>24</v>
      </c>
      <c r="G474" s="4" t="s">
        <v>19</v>
      </c>
      <c r="H474" s="4" t="s">
        <v>36</v>
      </c>
      <c r="I474" s="4">
        <v>82</v>
      </c>
      <c r="J474" s="5">
        <v>82.3</v>
      </c>
      <c r="K474" s="6">
        <v>1.86</v>
      </c>
      <c r="L474" s="4">
        <v>2</v>
      </c>
      <c r="M474" s="4">
        <v>160</v>
      </c>
      <c r="N474" s="4">
        <v>87</v>
      </c>
      <c r="O474" s="4" t="s">
        <v>26</v>
      </c>
      <c r="P474" s="7" t="s">
        <v>19</v>
      </c>
    </row>
    <row r="475" spans="2:16" x14ac:dyDescent="0.45">
      <c r="B475" s="4">
        <v>474</v>
      </c>
      <c r="C475" s="4" t="s">
        <v>27</v>
      </c>
      <c r="D475" s="4" t="s">
        <v>23</v>
      </c>
      <c r="E475" s="4" t="s">
        <v>35</v>
      </c>
      <c r="F475" s="4" t="s">
        <v>24</v>
      </c>
      <c r="G475" s="4" t="s">
        <v>19</v>
      </c>
      <c r="H475" s="4" t="s">
        <v>25</v>
      </c>
      <c r="I475" s="4">
        <v>13</v>
      </c>
      <c r="J475" s="5">
        <v>50.1</v>
      </c>
      <c r="K475" s="6">
        <v>1.65</v>
      </c>
      <c r="L475" s="4">
        <v>1</v>
      </c>
      <c r="M475" s="4">
        <v>97</v>
      </c>
      <c r="N475" s="4">
        <v>102</v>
      </c>
      <c r="O475" s="4" t="s">
        <v>21</v>
      </c>
      <c r="P475" s="7" t="s">
        <v>19</v>
      </c>
    </row>
    <row r="476" spans="2:16" x14ac:dyDescent="0.45">
      <c r="B476" s="4">
        <v>475</v>
      </c>
      <c r="C476" s="4" t="s">
        <v>29</v>
      </c>
      <c r="D476" s="4" t="s">
        <v>16</v>
      </c>
      <c r="E476" s="4" t="s">
        <v>17</v>
      </c>
      <c r="F476" s="4" t="s">
        <v>24</v>
      </c>
      <c r="G476" s="4" t="s">
        <v>19</v>
      </c>
      <c r="H476" s="4" t="s">
        <v>34</v>
      </c>
      <c r="I476" s="4">
        <v>8</v>
      </c>
      <c r="J476" s="5">
        <v>35.299999999999997</v>
      </c>
      <c r="K476" s="6">
        <v>1.36</v>
      </c>
      <c r="L476" s="4">
        <v>1</v>
      </c>
      <c r="M476" s="4">
        <v>98</v>
      </c>
      <c r="N476" s="4">
        <v>85</v>
      </c>
      <c r="O476" s="4" t="s">
        <v>21</v>
      </c>
      <c r="P476" s="7" t="s">
        <v>19</v>
      </c>
    </row>
    <row r="477" spans="2:16" x14ac:dyDescent="0.45">
      <c r="B477" s="4">
        <v>476</v>
      </c>
      <c r="C477" s="4" t="s">
        <v>39</v>
      </c>
      <c r="D477" s="4" t="s">
        <v>16</v>
      </c>
      <c r="E477" s="4" t="s">
        <v>17</v>
      </c>
      <c r="F477" s="4" t="s">
        <v>18</v>
      </c>
      <c r="G477" s="4" t="s">
        <v>30</v>
      </c>
      <c r="H477" s="4" t="s">
        <v>25</v>
      </c>
      <c r="I477" s="4">
        <v>29</v>
      </c>
      <c r="J477" s="5">
        <v>46.1</v>
      </c>
      <c r="K477" s="6">
        <v>1.73</v>
      </c>
      <c r="L477" s="4">
        <v>9</v>
      </c>
      <c r="M477" s="4">
        <v>117</v>
      </c>
      <c r="N477" s="4">
        <v>100</v>
      </c>
      <c r="O477" s="4" t="s">
        <v>21</v>
      </c>
      <c r="P477" s="7" t="s">
        <v>19</v>
      </c>
    </row>
    <row r="478" spans="2:16" x14ac:dyDescent="0.45">
      <c r="B478" s="4">
        <v>477</v>
      </c>
      <c r="C478" s="4" t="s">
        <v>41</v>
      </c>
      <c r="D478" s="4" t="s">
        <v>23</v>
      </c>
      <c r="E478" s="4" t="s">
        <v>17</v>
      </c>
      <c r="F478" s="4" t="s">
        <v>28</v>
      </c>
      <c r="G478" s="4" t="s">
        <v>19</v>
      </c>
      <c r="H478" s="4" t="s">
        <v>25</v>
      </c>
      <c r="I478" s="4">
        <v>47</v>
      </c>
      <c r="J478" s="5">
        <v>62.7</v>
      </c>
      <c r="K478" s="6">
        <v>1.54</v>
      </c>
      <c r="L478" s="4">
        <v>2</v>
      </c>
      <c r="M478" s="4">
        <v>133</v>
      </c>
      <c r="N478" s="4">
        <v>103</v>
      </c>
      <c r="O478" s="4" t="s">
        <v>26</v>
      </c>
      <c r="P478" s="7" t="s">
        <v>30</v>
      </c>
    </row>
    <row r="479" spans="2:16" x14ac:dyDescent="0.45">
      <c r="B479" s="4">
        <v>478</v>
      </c>
      <c r="C479" s="4" t="s">
        <v>27</v>
      </c>
      <c r="D479" s="4" t="s">
        <v>23</v>
      </c>
      <c r="E479" s="4" t="s">
        <v>17</v>
      </c>
      <c r="F479" s="4" t="s">
        <v>18</v>
      </c>
      <c r="G479" s="4" t="s">
        <v>30</v>
      </c>
      <c r="H479" s="4" t="s">
        <v>38</v>
      </c>
      <c r="I479" s="4">
        <v>7</v>
      </c>
      <c r="J479" s="5">
        <v>23.2</v>
      </c>
      <c r="K479" s="6">
        <v>1.28</v>
      </c>
      <c r="L479" s="4">
        <v>2</v>
      </c>
      <c r="M479" s="4">
        <v>104</v>
      </c>
      <c r="N479" s="4">
        <v>88</v>
      </c>
      <c r="O479" s="4" t="s">
        <v>21</v>
      </c>
      <c r="P479" s="7" t="s">
        <v>19</v>
      </c>
    </row>
    <row r="480" spans="2:16" x14ac:dyDescent="0.45">
      <c r="B480" s="4">
        <v>479</v>
      </c>
      <c r="C480" s="4" t="s">
        <v>31</v>
      </c>
      <c r="D480" s="4" t="s">
        <v>23</v>
      </c>
      <c r="E480" s="4" t="s">
        <v>35</v>
      </c>
      <c r="F480" s="4" t="s">
        <v>28</v>
      </c>
      <c r="G480" s="4" t="s">
        <v>19</v>
      </c>
      <c r="H480" s="4" t="s">
        <v>28</v>
      </c>
      <c r="I480" s="4">
        <v>38</v>
      </c>
      <c r="J480" s="5">
        <v>94.4</v>
      </c>
      <c r="K480" s="6">
        <v>1.49</v>
      </c>
      <c r="L480" s="4">
        <v>9</v>
      </c>
      <c r="M480" s="4">
        <v>127</v>
      </c>
      <c r="N480" s="4">
        <v>92</v>
      </c>
      <c r="O480" s="4" t="s">
        <v>26</v>
      </c>
      <c r="P480" s="7" t="s">
        <v>30</v>
      </c>
    </row>
    <row r="481" spans="2:16" x14ac:dyDescent="0.45">
      <c r="B481" s="4">
        <v>480</v>
      </c>
      <c r="C481" s="4" t="s">
        <v>31</v>
      </c>
      <c r="D481" s="4" t="s">
        <v>16</v>
      </c>
      <c r="E481" s="4" t="s">
        <v>35</v>
      </c>
      <c r="F481" s="4" t="s">
        <v>18</v>
      </c>
      <c r="G481" s="4" t="s">
        <v>19</v>
      </c>
      <c r="H481" s="4" t="s">
        <v>32</v>
      </c>
      <c r="I481" s="4">
        <v>20</v>
      </c>
      <c r="J481" s="5">
        <v>79</v>
      </c>
      <c r="K481" s="6">
        <v>1.74</v>
      </c>
      <c r="L481" s="4">
        <v>0</v>
      </c>
      <c r="M481" s="4">
        <v>106</v>
      </c>
      <c r="N481" s="4">
        <v>144</v>
      </c>
      <c r="O481" s="4" t="s">
        <v>26</v>
      </c>
      <c r="P481" s="7" t="s">
        <v>30</v>
      </c>
    </row>
    <row r="482" spans="2:16" x14ac:dyDescent="0.45">
      <c r="B482" s="4">
        <v>481</v>
      </c>
      <c r="C482" s="4" t="s">
        <v>15</v>
      </c>
      <c r="D482" s="4" t="s">
        <v>23</v>
      </c>
      <c r="E482" s="4" t="s">
        <v>35</v>
      </c>
      <c r="F482" s="4" t="s">
        <v>24</v>
      </c>
      <c r="G482" s="4" t="s">
        <v>19</v>
      </c>
      <c r="H482" s="4" t="s">
        <v>20</v>
      </c>
      <c r="I482" s="4">
        <v>7</v>
      </c>
      <c r="J482" s="5">
        <v>35.5</v>
      </c>
      <c r="K482" s="6">
        <v>1.3</v>
      </c>
      <c r="L482" s="4">
        <v>1</v>
      </c>
      <c r="M482" s="4">
        <v>116</v>
      </c>
      <c r="N482" s="4">
        <v>86</v>
      </c>
      <c r="O482" s="4" t="s">
        <v>26</v>
      </c>
      <c r="P482" s="7" t="s">
        <v>19</v>
      </c>
    </row>
    <row r="483" spans="2:16" x14ac:dyDescent="0.45">
      <c r="B483" s="4">
        <v>482</v>
      </c>
      <c r="C483" s="4" t="s">
        <v>22</v>
      </c>
      <c r="D483" s="4" t="s">
        <v>16</v>
      </c>
      <c r="E483" s="4" t="s">
        <v>35</v>
      </c>
      <c r="F483" s="4" t="s">
        <v>18</v>
      </c>
      <c r="G483" s="4" t="s">
        <v>30</v>
      </c>
      <c r="H483" s="4" t="s">
        <v>20</v>
      </c>
      <c r="I483" s="4">
        <v>6</v>
      </c>
      <c r="J483" s="5">
        <v>25.8</v>
      </c>
      <c r="K483" s="6">
        <v>1.2</v>
      </c>
      <c r="L483" s="4">
        <v>4</v>
      </c>
      <c r="M483" s="4">
        <v>116</v>
      </c>
      <c r="N483" s="4">
        <v>104</v>
      </c>
      <c r="O483" s="4" t="s">
        <v>21</v>
      </c>
      <c r="P483" s="7" t="s">
        <v>19</v>
      </c>
    </row>
    <row r="484" spans="2:16" x14ac:dyDescent="0.45">
      <c r="B484" s="4">
        <v>483</v>
      </c>
      <c r="C484" s="4" t="s">
        <v>41</v>
      </c>
      <c r="D484" s="4" t="s">
        <v>23</v>
      </c>
      <c r="E484" s="4" t="s">
        <v>17</v>
      </c>
      <c r="F484" s="4" t="s">
        <v>18</v>
      </c>
      <c r="G484" s="4" t="s">
        <v>30</v>
      </c>
      <c r="H484" s="4" t="s">
        <v>25</v>
      </c>
      <c r="I484" s="4">
        <v>16</v>
      </c>
      <c r="J484" s="5">
        <v>59</v>
      </c>
      <c r="K484" s="6">
        <v>1.67</v>
      </c>
      <c r="L484" s="4">
        <v>6</v>
      </c>
      <c r="M484" s="4">
        <v>114</v>
      </c>
      <c r="N484" s="4">
        <v>81</v>
      </c>
      <c r="O484" s="4" t="s">
        <v>21</v>
      </c>
      <c r="P484" s="7" t="s">
        <v>30</v>
      </c>
    </row>
    <row r="485" spans="2:16" x14ac:dyDescent="0.45">
      <c r="B485" s="4">
        <v>484</v>
      </c>
      <c r="C485" s="4" t="s">
        <v>27</v>
      </c>
      <c r="D485" s="4" t="s">
        <v>16</v>
      </c>
      <c r="E485" s="4" t="s">
        <v>17</v>
      </c>
      <c r="F485" s="4" t="s">
        <v>24</v>
      </c>
      <c r="G485" s="4" t="s">
        <v>19</v>
      </c>
      <c r="H485" s="4" t="s">
        <v>36</v>
      </c>
      <c r="I485" s="4">
        <v>18</v>
      </c>
      <c r="J485" s="5">
        <v>69.400000000000006</v>
      </c>
      <c r="K485" s="6">
        <v>1.73</v>
      </c>
      <c r="L485" s="4">
        <v>0</v>
      </c>
      <c r="M485" s="4">
        <v>129</v>
      </c>
      <c r="N485" s="4">
        <v>90</v>
      </c>
      <c r="O485" s="4" t="s">
        <v>26</v>
      </c>
      <c r="P485" s="7" t="s">
        <v>19</v>
      </c>
    </row>
    <row r="486" spans="2:16" x14ac:dyDescent="0.45">
      <c r="B486" s="4">
        <v>485</v>
      </c>
      <c r="C486" s="4" t="s">
        <v>15</v>
      </c>
      <c r="D486" s="4" t="s">
        <v>23</v>
      </c>
      <c r="E486" s="4" t="s">
        <v>37</v>
      </c>
      <c r="F486" s="4" t="s">
        <v>42</v>
      </c>
      <c r="G486" s="4" t="s">
        <v>19</v>
      </c>
      <c r="H486" s="4" t="s">
        <v>20</v>
      </c>
      <c r="I486" s="4">
        <v>11</v>
      </c>
      <c r="J486" s="5">
        <v>25.2</v>
      </c>
      <c r="K486" s="6">
        <v>1.06</v>
      </c>
      <c r="L486" s="4">
        <v>3</v>
      </c>
      <c r="M486" s="4">
        <v>96</v>
      </c>
      <c r="N486" s="4">
        <v>100</v>
      </c>
      <c r="O486" s="4" t="s">
        <v>26</v>
      </c>
      <c r="P486" s="7" t="s">
        <v>19</v>
      </c>
    </row>
    <row r="487" spans="2:16" x14ac:dyDescent="0.45">
      <c r="B487" s="4">
        <v>486</v>
      </c>
      <c r="C487" s="4" t="s">
        <v>33</v>
      </c>
      <c r="D487" s="4" t="s">
        <v>23</v>
      </c>
      <c r="E487" s="4" t="s">
        <v>35</v>
      </c>
      <c r="F487" s="4" t="s">
        <v>18</v>
      </c>
      <c r="G487" s="4" t="s">
        <v>19</v>
      </c>
      <c r="H487" s="4" t="s">
        <v>32</v>
      </c>
      <c r="I487" s="4">
        <v>2</v>
      </c>
      <c r="J487" s="5">
        <v>9.6999999999999993</v>
      </c>
      <c r="K487" s="6">
        <v>0.7</v>
      </c>
      <c r="L487" s="4">
        <v>2</v>
      </c>
      <c r="M487" s="4">
        <v>121</v>
      </c>
      <c r="N487" s="4">
        <v>166</v>
      </c>
      <c r="O487" s="4" t="s">
        <v>26</v>
      </c>
      <c r="P487" s="7" t="s">
        <v>30</v>
      </c>
    </row>
    <row r="488" spans="2:16" x14ac:dyDescent="0.45">
      <c r="B488" s="4">
        <v>487</v>
      </c>
      <c r="C488" s="4" t="s">
        <v>39</v>
      </c>
      <c r="D488" s="4" t="s">
        <v>16</v>
      </c>
      <c r="E488" s="4" t="s">
        <v>35</v>
      </c>
      <c r="F488" s="4" t="s">
        <v>24</v>
      </c>
      <c r="G488" s="4" t="s">
        <v>19</v>
      </c>
      <c r="H488" s="4" t="s">
        <v>25</v>
      </c>
      <c r="I488" s="4">
        <v>13</v>
      </c>
      <c r="J488" s="5">
        <v>43</v>
      </c>
      <c r="K488" s="6">
        <v>1.6</v>
      </c>
      <c r="L488" s="4">
        <v>3</v>
      </c>
      <c r="M488" s="4">
        <v>117</v>
      </c>
      <c r="N488" s="4">
        <v>73</v>
      </c>
      <c r="O488" s="4" t="s">
        <v>26</v>
      </c>
      <c r="P488" s="7" t="s">
        <v>19</v>
      </c>
    </row>
    <row r="489" spans="2:16" x14ac:dyDescent="0.45">
      <c r="B489" s="4">
        <v>488</v>
      </c>
      <c r="C489" s="4" t="s">
        <v>43</v>
      </c>
      <c r="D489" s="4" t="s">
        <v>16</v>
      </c>
      <c r="E489" s="4" t="s">
        <v>17</v>
      </c>
      <c r="F489" s="4" t="s">
        <v>24</v>
      </c>
      <c r="G489" s="4" t="s">
        <v>19</v>
      </c>
      <c r="H489" s="4" t="s">
        <v>25</v>
      </c>
      <c r="I489" s="4">
        <v>37</v>
      </c>
      <c r="J489" s="5">
        <v>94.7</v>
      </c>
      <c r="K489" s="6">
        <v>1.65</v>
      </c>
      <c r="L489" s="4">
        <v>2</v>
      </c>
      <c r="M489" s="4">
        <v>109</v>
      </c>
      <c r="N489" s="4">
        <v>71</v>
      </c>
      <c r="O489" s="4" t="s">
        <v>26</v>
      </c>
      <c r="P489" s="7" t="s">
        <v>30</v>
      </c>
    </row>
    <row r="490" spans="2:16" x14ac:dyDescent="0.45">
      <c r="B490" s="4">
        <v>489</v>
      </c>
      <c r="C490" s="4" t="s">
        <v>29</v>
      </c>
      <c r="D490" s="4" t="s">
        <v>16</v>
      </c>
      <c r="E490" s="4" t="s">
        <v>37</v>
      </c>
      <c r="F490" s="4" t="s">
        <v>24</v>
      </c>
      <c r="G490" s="4" t="s">
        <v>19</v>
      </c>
      <c r="H490" s="4" t="s">
        <v>34</v>
      </c>
      <c r="I490" s="4">
        <v>11</v>
      </c>
      <c r="J490" s="5">
        <v>37</v>
      </c>
      <c r="K490" s="6">
        <v>1.29</v>
      </c>
      <c r="L490" s="4">
        <v>8</v>
      </c>
      <c r="M490" s="4">
        <v>107</v>
      </c>
      <c r="N490" s="4">
        <v>78</v>
      </c>
      <c r="O490" s="4" t="s">
        <v>21</v>
      </c>
      <c r="P490" s="7" t="s">
        <v>19</v>
      </c>
    </row>
    <row r="491" spans="2:16" x14ac:dyDescent="0.45">
      <c r="B491" s="4">
        <v>490</v>
      </c>
      <c r="C491" s="4" t="s">
        <v>31</v>
      </c>
      <c r="D491" s="4" t="s">
        <v>23</v>
      </c>
      <c r="E491" s="4" t="s">
        <v>35</v>
      </c>
      <c r="F491" s="4" t="s">
        <v>18</v>
      </c>
      <c r="G491" s="4" t="s">
        <v>19</v>
      </c>
      <c r="H491" s="4" t="s">
        <v>28</v>
      </c>
      <c r="I491" s="4">
        <v>58</v>
      </c>
      <c r="J491" s="5">
        <v>74.599999999999994</v>
      </c>
      <c r="K491" s="6">
        <v>1.65</v>
      </c>
      <c r="L491" s="4">
        <v>1</v>
      </c>
      <c r="M491" s="4">
        <v>133</v>
      </c>
      <c r="N491" s="4">
        <v>98</v>
      </c>
      <c r="O491" s="4" t="s">
        <v>26</v>
      </c>
      <c r="P491" s="7" t="s">
        <v>30</v>
      </c>
    </row>
    <row r="492" spans="2:16" x14ac:dyDescent="0.45">
      <c r="B492" s="4">
        <v>491</v>
      </c>
      <c r="C492" s="4" t="s">
        <v>27</v>
      </c>
      <c r="D492" s="4" t="s">
        <v>16</v>
      </c>
      <c r="E492" s="4" t="s">
        <v>35</v>
      </c>
      <c r="F492" s="4" t="s">
        <v>24</v>
      </c>
      <c r="G492" s="4" t="s">
        <v>30</v>
      </c>
      <c r="H492" s="4" t="s">
        <v>34</v>
      </c>
      <c r="I492" s="4">
        <v>14</v>
      </c>
      <c r="J492" s="5">
        <v>46.9</v>
      </c>
      <c r="K492" s="6">
        <v>1.52</v>
      </c>
      <c r="L492" s="4">
        <v>1</v>
      </c>
      <c r="M492" s="4">
        <v>104</v>
      </c>
      <c r="N492" s="4">
        <v>99</v>
      </c>
      <c r="O492" s="4" t="s">
        <v>26</v>
      </c>
      <c r="P492" s="7" t="s">
        <v>19</v>
      </c>
    </row>
    <row r="493" spans="2:16" x14ac:dyDescent="0.45">
      <c r="B493" s="4">
        <v>492</v>
      </c>
      <c r="C493" s="4" t="s">
        <v>45</v>
      </c>
      <c r="D493" s="4" t="s">
        <v>23</v>
      </c>
      <c r="E493" s="4" t="s">
        <v>35</v>
      </c>
      <c r="F493" s="4" t="s">
        <v>24</v>
      </c>
      <c r="G493" s="4" t="s">
        <v>30</v>
      </c>
      <c r="H493" s="4" t="s">
        <v>46</v>
      </c>
      <c r="I493" s="4">
        <v>62</v>
      </c>
      <c r="J493" s="5">
        <v>62.3</v>
      </c>
      <c r="K493" s="6">
        <v>1.7</v>
      </c>
      <c r="L493" s="4">
        <v>1</v>
      </c>
      <c r="M493" s="4">
        <v>122</v>
      </c>
      <c r="N493" s="4">
        <v>100</v>
      </c>
      <c r="O493" s="4" t="s">
        <v>26</v>
      </c>
      <c r="P493" s="7" t="s">
        <v>19</v>
      </c>
    </row>
    <row r="494" spans="2:16" x14ac:dyDescent="0.45">
      <c r="B494" s="4">
        <v>493</v>
      </c>
      <c r="C494" s="4" t="s">
        <v>45</v>
      </c>
      <c r="D494" s="4" t="s">
        <v>16</v>
      </c>
      <c r="E494" s="4" t="s">
        <v>17</v>
      </c>
      <c r="F494" s="4" t="s">
        <v>28</v>
      </c>
      <c r="G494" s="4" t="s">
        <v>19</v>
      </c>
      <c r="H494" s="4" t="s">
        <v>28</v>
      </c>
      <c r="I494" s="4">
        <v>62</v>
      </c>
      <c r="J494" s="5">
        <v>72</v>
      </c>
      <c r="K494" s="6">
        <v>1.53</v>
      </c>
      <c r="L494" s="4">
        <v>2</v>
      </c>
      <c r="M494" s="4">
        <v>120</v>
      </c>
      <c r="N494" s="4">
        <v>83</v>
      </c>
      <c r="O494" s="4" t="s">
        <v>21</v>
      </c>
      <c r="P494" s="7" t="s">
        <v>19</v>
      </c>
    </row>
    <row r="495" spans="2:16" x14ac:dyDescent="0.45">
      <c r="B495" s="4">
        <v>494</v>
      </c>
      <c r="C495" s="4" t="s">
        <v>29</v>
      </c>
      <c r="D495" s="4" t="s">
        <v>23</v>
      </c>
      <c r="E495" s="4" t="s">
        <v>17</v>
      </c>
      <c r="F495" s="4" t="s">
        <v>18</v>
      </c>
      <c r="G495" s="4" t="s">
        <v>30</v>
      </c>
      <c r="H495" s="4" t="s">
        <v>32</v>
      </c>
      <c r="I495" s="4">
        <v>52</v>
      </c>
      <c r="J495" s="5">
        <v>75.400000000000006</v>
      </c>
      <c r="K495" s="6">
        <v>1.84</v>
      </c>
      <c r="L495" s="4">
        <v>2</v>
      </c>
      <c r="M495" s="4">
        <v>117</v>
      </c>
      <c r="N495" s="4">
        <v>146</v>
      </c>
      <c r="O495" s="4" t="s">
        <v>26</v>
      </c>
      <c r="P495" s="7" t="s">
        <v>30</v>
      </c>
    </row>
    <row r="496" spans="2:16" x14ac:dyDescent="0.45">
      <c r="B496" s="4">
        <v>495</v>
      </c>
      <c r="C496" s="4" t="s">
        <v>29</v>
      </c>
      <c r="D496" s="4" t="s">
        <v>23</v>
      </c>
      <c r="E496" s="4" t="s">
        <v>35</v>
      </c>
      <c r="F496" s="4" t="s">
        <v>24</v>
      </c>
      <c r="G496" s="4" t="s">
        <v>19</v>
      </c>
      <c r="H496" s="4" t="s">
        <v>28</v>
      </c>
      <c r="I496" s="4">
        <v>28</v>
      </c>
      <c r="J496" s="5">
        <v>67.8</v>
      </c>
      <c r="K496" s="6">
        <v>1.81</v>
      </c>
      <c r="L496" s="4">
        <v>2</v>
      </c>
      <c r="M496" s="4">
        <v>111</v>
      </c>
      <c r="N496" s="4">
        <v>102</v>
      </c>
      <c r="O496" s="4" t="s">
        <v>26</v>
      </c>
      <c r="P496" s="7" t="s">
        <v>19</v>
      </c>
    </row>
    <row r="497" spans="2:16" x14ac:dyDescent="0.45">
      <c r="B497" s="4">
        <v>496</v>
      </c>
      <c r="C497" s="4" t="s">
        <v>31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s">
        <v>28</v>
      </c>
      <c r="I497" s="4">
        <v>52</v>
      </c>
      <c r="J497" s="5">
        <v>89.1</v>
      </c>
      <c r="K497" s="6">
        <v>1.9</v>
      </c>
      <c r="L497" s="4">
        <v>0</v>
      </c>
      <c r="M497" s="4">
        <v>112</v>
      </c>
      <c r="N497" s="4">
        <v>97</v>
      </c>
      <c r="O497" s="4" t="s">
        <v>26</v>
      </c>
      <c r="P497" s="7" t="s">
        <v>19</v>
      </c>
    </row>
    <row r="498" spans="2:16" x14ac:dyDescent="0.45">
      <c r="B498" s="4">
        <v>497</v>
      </c>
      <c r="C498" s="4" t="s">
        <v>27</v>
      </c>
      <c r="D498" s="4" t="s">
        <v>23</v>
      </c>
      <c r="E498" s="4" t="s">
        <v>37</v>
      </c>
      <c r="F498" s="4" t="s">
        <v>24</v>
      </c>
      <c r="G498" s="4" t="s">
        <v>19</v>
      </c>
      <c r="H498" s="4" t="s">
        <v>28</v>
      </c>
      <c r="I498" s="4">
        <v>7</v>
      </c>
      <c r="J498" s="5">
        <v>38</v>
      </c>
      <c r="K498" s="6">
        <v>1.27</v>
      </c>
      <c r="L498" s="4">
        <v>5</v>
      </c>
      <c r="M498" s="4">
        <v>98</v>
      </c>
      <c r="N498" s="4">
        <v>74</v>
      </c>
      <c r="O498" s="4" t="s">
        <v>21</v>
      </c>
      <c r="P498" s="7" t="s">
        <v>19</v>
      </c>
    </row>
    <row r="499" spans="2:16" x14ac:dyDescent="0.45">
      <c r="B499" s="4">
        <v>498</v>
      </c>
      <c r="C499" s="4" t="s">
        <v>39</v>
      </c>
      <c r="D499" s="4" t="s">
        <v>23</v>
      </c>
      <c r="E499" s="4" t="s">
        <v>35</v>
      </c>
      <c r="F499" s="4" t="s">
        <v>28</v>
      </c>
      <c r="G499" s="4" t="s">
        <v>19</v>
      </c>
      <c r="H499" s="4" t="s">
        <v>25</v>
      </c>
      <c r="I499" s="4">
        <v>20</v>
      </c>
      <c r="J499" s="5">
        <v>90.7</v>
      </c>
      <c r="K499" s="6">
        <v>1.86</v>
      </c>
      <c r="L499" s="4">
        <v>4</v>
      </c>
      <c r="M499" s="4">
        <v>97</v>
      </c>
      <c r="N499" s="4">
        <v>87</v>
      </c>
      <c r="O499" s="4" t="s">
        <v>26</v>
      </c>
      <c r="P499" s="7" t="s">
        <v>19</v>
      </c>
    </row>
    <row r="500" spans="2:16" x14ac:dyDescent="0.45">
      <c r="B500" s="4">
        <v>499</v>
      </c>
      <c r="C500" s="4" t="s">
        <v>27</v>
      </c>
      <c r="D500" s="4" t="s">
        <v>16</v>
      </c>
      <c r="E500" s="4" t="s">
        <v>35</v>
      </c>
      <c r="F500" s="4" t="s">
        <v>24</v>
      </c>
      <c r="G500" s="4" t="s">
        <v>19</v>
      </c>
      <c r="H500" s="4" t="s">
        <v>25</v>
      </c>
      <c r="I500" s="4">
        <v>35</v>
      </c>
      <c r="J500" s="5">
        <v>68.7</v>
      </c>
      <c r="K500" s="6">
        <v>1.49</v>
      </c>
      <c r="L500" s="4">
        <v>1</v>
      </c>
      <c r="M500" s="4">
        <v>102</v>
      </c>
      <c r="N500" s="4">
        <v>90</v>
      </c>
      <c r="O500" s="4" t="s">
        <v>26</v>
      </c>
      <c r="P500" s="7" t="s">
        <v>19</v>
      </c>
    </row>
    <row r="501" spans="2:16" x14ac:dyDescent="0.45">
      <c r="B501" s="4">
        <v>500</v>
      </c>
      <c r="C501" s="4" t="s">
        <v>27</v>
      </c>
      <c r="D501" s="4" t="s">
        <v>16</v>
      </c>
      <c r="E501" s="4" t="s">
        <v>17</v>
      </c>
      <c r="F501" s="4" t="s">
        <v>18</v>
      </c>
      <c r="G501" s="4" t="s">
        <v>30</v>
      </c>
      <c r="H501" s="4" t="s">
        <v>20</v>
      </c>
      <c r="I501" s="4">
        <v>50</v>
      </c>
      <c r="J501" s="5">
        <v>82.5</v>
      </c>
      <c r="K501" s="6">
        <v>1.85</v>
      </c>
      <c r="L501" s="4">
        <v>4</v>
      </c>
      <c r="M501" s="4">
        <v>120</v>
      </c>
      <c r="N501" s="4">
        <v>94</v>
      </c>
      <c r="O501" s="4" t="s">
        <v>21</v>
      </c>
      <c r="P501" s="7" t="s">
        <v>19</v>
      </c>
    </row>
    <row r="502" spans="2:16" x14ac:dyDescent="0.45">
      <c r="B502" s="4">
        <v>501</v>
      </c>
      <c r="C502" s="4" t="s">
        <v>27</v>
      </c>
      <c r="D502" s="4" t="s">
        <v>16</v>
      </c>
      <c r="E502" s="4" t="s">
        <v>35</v>
      </c>
      <c r="F502" s="4" t="s">
        <v>24</v>
      </c>
      <c r="G502" s="4" t="s">
        <v>19</v>
      </c>
      <c r="H502" s="4" t="s">
        <v>34</v>
      </c>
      <c r="I502" s="4">
        <v>7</v>
      </c>
      <c r="J502" s="5">
        <v>18.399999999999999</v>
      </c>
      <c r="K502" s="6">
        <v>1.29</v>
      </c>
      <c r="L502" s="4">
        <v>0</v>
      </c>
      <c r="M502" s="4">
        <v>99</v>
      </c>
      <c r="N502" s="4">
        <v>101</v>
      </c>
      <c r="O502" s="4" t="s">
        <v>26</v>
      </c>
      <c r="P502" s="7" t="s">
        <v>19</v>
      </c>
    </row>
    <row r="503" spans="2:16" x14ac:dyDescent="0.45">
      <c r="B503" s="4">
        <v>502</v>
      </c>
      <c r="C503" s="4" t="s">
        <v>29</v>
      </c>
      <c r="D503" s="4" t="s">
        <v>16</v>
      </c>
      <c r="E503" s="4" t="s">
        <v>35</v>
      </c>
      <c r="F503" s="4" t="s">
        <v>24</v>
      </c>
      <c r="G503" s="4" t="s">
        <v>19</v>
      </c>
      <c r="H503" s="4" t="s">
        <v>38</v>
      </c>
      <c r="I503" s="4">
        <v>42</v>
      </c>
      <c r="J503" s="5">
        <v>89</v>
      </c>
      <c r="K503" s="6">
        <v>1.58</v>
      </c>
      <c r="L503" s="4">
        <v>3</v>
      </c>
      <c r="M503" s="4">
        <v>103</v>
      </c>
      <c r="N503" s="4">
        <v>83</v>
      </c>
      <c r="O503" s="4" t="s">
        <v>26</v>
      </c>
      <c r="P503" s="7" t="s">
        <v>19</v>
      </c>
    </row>
    <row r="504" spans="2:16" x14ac:dyDescent="0.45">
      <c r="B504" s="4">
        <v>503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s">
        <v>20</v>
      </c>
      <c r="I504" s="4">
        <v>53</v>
      </c>
      <c r="J504" s="5">
        <v>89.6</v>
      </c>
      <c r="K504" s="6">
        <v>1.77</v>
      </c>
      <c r="L504" s="4">
        <v>7</v>
      </c>
      <c r="M504" s="4">
        <v>109</v>
      </c>
      <c r="N504" s="4">
        <v>89</v>
      </c>
      <c r="O504" s="4" t="s">
        <v>26</v>
      </c>
      <c r="P504" s="7" t="s">
        <v>19</v>
      </c>
    </row>
    <row r="505" spans="2:16" x14ac:dyDescent="0.45">
      <c r="B505" s="4">
        <v>504</v>
      </c>
      <c r="C505" s="4" t="s">
        <v>15</v>
      </c>
      <c r="D505" s="4" t="s">
        <v>23</v>
      </c>
      <c r="E505" s="4" t="s">
        <v>35</v>
      </c>
      <c r="F505" s="4" t="s">
        <v>28</v>
      </c>
      <c r="G505" s="4" t="s">
        <v>19</v>
      </c>
      <c r="H505" s="4" t="s">
        <v>36</v>
      </c>
      <c r="I505" s="4">
        <v>10</v>
      </c>
      <c r="J505" s="5">
        <v>28.8</v>
      </c>
      <c r="K505" s="6">
        <v>1.1000000000000001</v>
      </c>
      <c r="L505" s="4">
        <v>3</v>
      </c>
      <c r="M505" s="4">
        <v>126</v>
      </c>
      <c r="N505" s="4">
        <v>84</v>
      </c>
      <c r="O505" s="4" t="s">
        <v>26</v>
      </c>
      <c r="P505" s="7" t="s">
        <v>19</v>
      </c>
    </row>
    <row r="506" spans="2:16" x14ac:dyDescent="0.45">
      <c r="B506" s="4">
        <v>505</v>
      </c>
      <c r="C506" s="4" t="s">
        <v>45</v>
      </c>
      <c r="D506" s="4" t="s">
        <v>16</v>
      </c>
      <c r="E506" s="4" t="s">
        <v>37</v>
      </c>
      <c r="F506" s="4" t="s">
        <v>24</v>
      </c>
      <c r="G506" s="4" t="s">
        <v>19</v>
      </c>
      <c r="H506" s="4" t="s">
        <v>28</v>
      </c>
      <c r="I506" s="4">
        <v>0</v>
      </c>
      <c r="J506" s="5">
        <v>16.3</v>
      </c>
      <c r="K506" s="6">
        <v>0.65</v>
      </c>
      <c r="L506" s="4">
        <v>2</v>
      </c>
      <c r="M506" s="4">
        <v>110</v>
      </c>
      <c r="N506" s="4">
        <v>82</v>
      </c>
      <c r="O506" s="4" t="s">
        <v>21</v>
      </c>
      <c r="P506" s="7" t="s">
        <v>19</v>
      </c>
    </row>
    <row r="507" spans="2:16" x14ac:dyDescent="0.45">
      <c r="B507" s="4">
        <v>506</v>
      </c>
      <c r="C507" s="4" t="s">
        <v>39</v>
      </c>
      <c r="D507" s="4" t="s">
        <v>23</v>
      </c>
      <c r="E507" s="4" t="s">
        <v>17</v>
      </c>
      <c r="F507" s="4" t="s">
        <v>24</v>
      </c>
      <c r="G507" s="4" t="s">
        <v>19</v>
      </c>
      <c r="H507" s="4" t="s">
        <v>46</v>
      </c>
      <c r="I507" s="4">
        <v>27</v>
      </c>
      <c r="J507" s="5">
        <v>66.599999999999994</v>
      </c>
      <c r="K507" s="6">
        <v>1.5</v>
      </c>
      <c r="L507" s="4">
        <v>5</v>
      </c>
      <c r="M507" s="4">
        <v>103</v>
      </c>
      <c r="N507" s="4">
        <v>78</v>
      </c>
      <c r="O507" s="4" t="s">
        <v>21</v>
      </c>
      <c r="P507" s="7" t="s">
        <v>19</v>
      </c>
    </row>
    <row r="508" spans="2:16" x14ac:dyDescent="0.45">
      <c r="B508" s="4">
        <v>507</v>
      </c>
      <c r="C508" s="4" t="s">
        <v>22</v>
      </c>
      <c r="D508" s="4" t="s">
        <v>16</v>
      </c>
      <c r="E508" s="4" t="s">
        <v>44</v>
      </c>
      <c r="F508" s="4" t="s">
        <v>24</v>
      </c>
      <c r="G508" s="4" t="s">
        <v>30</v>
      </c>
      <c r="H508" s="4" t="s">
        <v>28</v>
      </c>
      <c r="I508" s="4">
        <v>12</v>
      </c>
      <c r="J508" s="5">
        <v>58.3</v>
      </c>
      <c r="K508" s="6">
        <v>1.51</v>
      </c>
      <c r="L508" s="4">
        <v>0</v>
      </c>
      <c r="M508" s="4">
        <v>113</v>
      </c>
      <c r="N508" s="4">
        <v>90</v>
      </c>
      <c r="O508" s="4" t="s">
        <v>21</v>
      </c>
      <c r="P508" s="7" t="s">
        <v>19</v>
      </c>
    </row>
    <row r="509" spans="2:16" x14ac:dyDescent="0.45">
      <c r="B509" s="4">
        <v>508</v>
      </c>
      <c r="C509" s="4" t="s">
        <v>22</v>
      </c>
      <c r="D509" s="4" t="s">
        <v>16</v>
      </c>
      <c r="E509" s="4" t="s">
        <v>17</v>
      </c>
      <c r="F509" s="4" t="s">
        <v>18</v>
      </c>
      <c r="G509" s="4" t="s">
        <v>30</v>
      </c>
      <c r="H509" s="4" t="s">
        <v>28</v>
      </c>
      <c r="I509" s="4">
        <v>43</v>
      </c>
      <c r="J509" s="5">
        <v>80.599999999999994</v>
      </c>
      <c r="K509" s="6">
        <v>1.58</v>
      </c>
      <c r="L509" s="4">
        <v>0</v>
      </c>
      <c r="M509" s="4">
        <v>110</v>
      </c>
      <c r="N509" s="4">
        <v>76</v>
      </c>
      <c r="O509" s="4" t="s">
        <v>21</v>
      </c>
      <c r="P509" s="7" t="s">
        <v>19</v>
      </c>
    </row>
    <row r="510" spans="2:16" x14ac:dyDescent="0.45">
      <c r="B510" s="4">
        <v>509</v>
      </c>
      <c r="C510" s="4" t="s">
        <v>27</v>
      </c>
      <c r="D510" s="4" t="s">
        <v>23</v>
      </c>
      <c r="E510" s="4" t="s">
        <v>17</v>
      </c>
      <c r="F510" s="4" t="s">
        <v>18</v>
      </c>
      <c r="G510" s="4" t="s">
        <v>30</v>
      </c>
      <c r="H510" s="4" t="s">
        <v>46</v>
      </c>
      <c r="I510" s="4">
        <v>3</v>
      </c>
      <c r="J510" s="5">
        <v>9</v>
      </c>
      <c r="K510" s="6">
        <v>1.02</v>
      </c>
      <c r="L510" s="4">
        <v>5</v>
      </c>
      <c r="M510" s="4">
        <v>108</v>
      </c>
      <c r="N510" s="4">
        <v>86</v>
      </c>
      <c r="O510" s="4" t="s">
        <v>26</v>
      </c>
      <c r="P510" s="7" t="s">
        <v>30</v>
      </c>
    </row>
    <row r="511" spans="2:16" x14ac:dyDescent="0.45">
      <c r="B511" s="4">
        <v>510</v>
      </c>
      <c r="C511" s="4" t="s">
        <v>45</v>
      </c>
      <c r="D511" s="4" t="s">
        <v>23</v>
      </c>
      <c r="E511" s="4" t="s">
        <v>17</v>
      </c>
      <c r="F511" s="4" t="s">
        <v>42</v>
      </c>
      <c r="G511" s="4" t="s">
        <v>19</v>
      </c>
      <c r="H511" s="4" t="s">
        <v>20</v>
      </c>
      <c r="I511" s="4">
        <v>12</v>
      </c>
      <c r="J511" s="5">
        <v>44.3</v>
      </c>
      <c r="K511" s="6">
        <v>1.66</v>
      </c>
      <c r="L511" s="4">
        <v>0</v>
      </c>
      <c r="M511" s="4">
        <v>104</v>
      </c>
      <c r="N511" s="4">
        <v>77</v>
      </c>
      <c r="O511" s="4" t="s">
        <v>21</v>
      </c>
      <c r="P511" s="7" t="s">
        <v>19</v>
      </c>
    </row>
    <row r="512" spans="2:16" x14ac:dyDescent="0.45">
      <c r="B512" s="4">
        <v>511</v>
      </c>
      <c r="C512" s="4" t="s">
        <v>29</v>
      </c>
      <c r="D512" s="4" t="s">
        <v>23</v>
      </c>
      <c r="E512" s="4" t="s">
        <v>35</v>
      </c>
      <c r="F512" s="4" t="s">
        <v>28</v>
      </c>
      <c r="G512" s="4" t="s">
        <v>30</v>
      </c>
      <c r="H512" s="4" t="s">
        <v>20</v>
      </c>
      <c r="I512" s="4">
        <v>42</v>
      </c>
      <c r="J512" s="5">
        <v>83.7</v>
      </c>
      <c r="K512" s="6">
        <v>1.6</v>
      </c>
      <c r="L512" s="4">
        <v>2</v>
      </c>
      <c r="M512" s="4">
        <v>116</v>
      </c>
      <c r="N512" s="4">
        <v>95</v>
      </c>
      <c r="O512" s="4" t="s">
        <v>21</v>
      </c>
      <c r="P512" s="7" t="s">
        <v>30</v>
      </c>
    </row>
    <row r="513" spans="2:16" x14ac:dyDescent="0.45">
      <c r="B513" s="4">
        <v>512</v>
      </c>
      <c r="C513" s="4" t="s">
        <v>29</v>
      </c>
      <c r="D513" s="4" t="s">
        <v>16</v>
      </c>
      <c r="E513" s="4" t="s">
        <v>35</v>
      </c>
      <c r="F513" s="4" t="s">
        <v>28</v>
      </c>
      <c r="G513" s="4" t="s">
        <v>19</v>
      </c>
      <c r="H513" s="4" t="s">
        <v>28</v>
      </c>
      <c r="I513" s="4">
        <v>42</v>
      </c>
      <c r="J513" s="5">
        <v>58.7</v>
      </c>
      <c r="K513" s="6">
        <v>1.86</v>
      </c>
      <c r="L513" s="4">
        <v>1</v>
      </c>
      <c r="M513" s="4">
        <v>126</v>
      </c>
      <c r="N513" s="4">
        <v>84</v>
      </c>
      <c r="O513" s="4" t="s">
        <v>21</v>
      </c>
      <c r="P513" s="7" t="s">
        <v>19</v>
      </c>
    </row>
    <row r="514" spans="2:16" x14ac:dyDescent="0.45">
      <c r="B514" s="4">
        <v>513</v>
      </c>
      <c r="C514" s="4" t="s">
        <v>27</v>
      </c>
      <c r="D514" s="4" t="s">
        <v>16</v>
      </c>
      <c r="E514" s="4" t="s">
        <v>35</v>
      </c>
      <c r="F514" s="4" t="s">
        <v>28</v>
      </c>
      <c r="G514" s="4" t="s">
        <v>19</v>
      </c>
      <c r="H514" s="4" t="s">
        <v>25</v>
      </c>
      <c r="I514" s="4">
        <v>88</v>
      </c>
      <c r="J514" s="5">
        <v>73.400000000000006</v>
      </c>
      <c r="K514" s="6">
        <v>1.54</v>
      </c>
      <c r="L514" s="4">
        <v>5</v>
      </c>
      <c r="M514" s="4">
        <v>128</v>
      </c>
      <c r="N514" s="4">
        <v>72</v>
      </c>
      <c r="O514" s="4" t="s">
        <v>26</v>
      </c>
      <c r="P514" s="7" t="s">
        <v>19</v>
      </c>
    </row>
    <row r="515" spans="2:16" x14ac:dyDescent="0.45">
      <c r="B515" s="4">
        <v>514</v>
      </c>
      <c r="C515" s="4" t="s">
        <v>43</v>
      </c>
      <c r="D515" s="4" t="s">
        <v>23</v>
      </c>
      <c r="E515" s="4" t="s">
        <v>37</v>
      </c>
      <c r="F515" s="4" t="s">
        <v>42</v>
      </c>
      <c r="G515" s="4" t="s">
        <v>30</v>
      </c>
      <c r="H515" s="4" t="s">
        <v>36</v>
      </c>
      <c r="I515" s="4">
        <v>45</v>
      </c>
      <c r="J515" s="5">
        <v>53.9</v>
      </c>
      <c r="K515" s="6">
        <v>1.65</v>
      </c>
      <c r="L515" s="4">
        <v>7</v>
      </c>
      <c r="M515" s="4">
        <v>136</v>
      </c>
      <c r="N515" s="4">
        <v>96</v>
      </c>
      <c r="O515" s="4" t="s">
        <v>26</v>
      </c>
      <c r="P515" s="7" t="s">
        <v>19</v>
      </c>
    </row>
    <row r="516" spans="2:16" x14ac:dyDescent="0.45">
      <c r="B516" s="4">
        <v>515</v>
      </c>
      <c r="C516" s="4" t="s">
        <v>43</v>
      </c>
      <c r="D516" s="4" t="s">
        <v>23</v>
      </c>
      <c r="E516" s="4" t="s">
        <v>17</v>
      </c>
      <c r="F516" s="4" t="s">
        <v>28</v>
      </c>
      <c r="G516" s="4" t="s">
        <v>19</v>
      </c>
      <c r="H516" s="4" t="s">
        <v>20</v>
      </c>
      <c r="I516" s="4">
        <v>0</v>
      </c>
      <c r="J516" s="5">
        <v>11.6</v>
      </c>
      <c r="K516" s="6">
        <v>0.65</v>
      </c>
      <c r="L516" s="4">
        <v>2</v>
      </c>
      <c r="M516" s="4">
        <v>97</v>
      </c>
      <c r="N516" s="4">
        <v>97</v>
      </c>
      <c r="O516" s="4" t="s">
        <v>21</v>
      </c>
      <c r="P516" s="7" t="s">
        <v>19</v>
      </c>
    </row>
    <row r="517" spans="2:16" x14ac:dyDescent="0.45">
      <c r="B517" s="4">
        <v>516</v>
      </c>
      <c r="C517" s="4" t="s">
        <v>29</v>
      </c>
      <c r="D517" s="4" t="s">
        <v>23</v>
      </c>
      <c r="E517" s="4" t="s">
        <v>17</v>
      </c>
      <c r="F517" s="4" t="s">
        <v>24</v>
      </c>
      <c r="G517" s="4" t="s">
        <v>19</v>
      </c>
      <c r="H517" s="4" t="s">
        <v>28</v>
      </c>
      <c r="I517" s="4">
        <v>2</v>
      </c>
      <c r="J517" s="5">
        <v>11.9</v>
      </c>
      <c r="K517" s="6">
        <v>0.64</v>
      </c>
      <c r="L517" s="4">
        <v>2</v>
      </c>
      <c r="M517" s="4">
        <v>106</v>
      </c>
      <c r="N517" s="4">
        <v>91</v>
      </c>
      <c r="O517" s="4" t="s">
        <v>26</v>
      </c>
      <c r="P517" s="7" t="s">
        <v>19</v>
      </c>
    </row>
    <row r="518" spans="2:16" x14ac:dyDescent="0.45">
      <c r="B518" s="4">
        <v>517</v>
      </c>
      <c r="C518" s="4" t="s">
        <v>22</v>
      </c>
      <c r="D518" s="4" t="s">
        <v>16</v>
      </c>
      <c r="E518" s="4" t="s">
        <v>35</v>
      </c>
      <c r="F518" s="4" t="s">
        <v>18</v>
      </c>
      <c r="G518" s="4" t="s">
        <v>19</v>
      </c>
      <c r="H518" s="4" t="s">
        <v>38</v>
      </c>
      <c r="I518" s="4">
        <v>35</v>
      </c>
      <c r="J518" s="5">
        <v>69.2</v>
      </c>
      <c r="K518" s="6">
        <v>1.76</v>
      </c>
      <c r="L518" s="4">
        <v>1</v>
      </c>
      <c r="M518" s="4">
        <v>118</v>
      </c>
      <c r="N518" s="4">
        <v>87</v>
      </c>
      <c r="O518" s="4" t="s">
        <v>26</v>
      </c>
      <c r="P518" s="7" t="s">
        <v>19</v>
      </c>
    </row>
    <row r="519" spans="2:16" x14ac:dyDescent="0.45">
      <c r="B519" s="4">
        <v>518</v>
      </c>
      <c r="C519" s="4" t="s">
        <v>39</v>
      </c>
      <c r="D519" s="4" t="s">
        <v>16</v>
      </c>
      <c r="E519" s="4" t="s">
        <v>44</v>
      </c>
      <c r="F519" s="4" t="s">
        <v>18</v>
      </c>
      <c r="G519" s="4" t="s">
        <v>19</v>
      </c>
      <c r="H519" s="4" t="s">
        <v>36</v>
      </c>
      <c r="I519" s="4">
        <v>11</v>
      </c>
      <c r="J519" s="5">
        <v>23</v>
      </c>
      <c r="K519" s="6">
        <v>1.1100000000000001</v>
      </c>
      <c r="L519" s="4">
        <v>7</v>
      </c>
      <c r="M519" s="4">
        <v>133</v>
      </c>
      <c r="N519" s="4">
        <v>84</v>
      </c>
      <c r="O519" s="4" t="s">
        <v>26</v>
      </c>
      <c r="P519" s="7" t="s">
        <v>19</v>
      </c>
    </row>
    <row r="520" spans="2:16" x14ac:dyDescent="0.45">
      <c r="B520" s="4">
        <v>519</v>
      </c>
      <c r="C520" s="4" t="s">
        <v>43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s">
        <v>25</v>
      </c>
      <c r="I520" s="4">
        <v>82</v>
      </c>
      <c r="J520" s="5">
        <v>53.8</v>
      </c>
      <c r="K520" s="6">
        <v>1.52</v>
      </c>
      <c r="L520" s="4">
        <v>0</v>
      </c>
      <c r="M520" s="4">
        <v>124</v>
      </c>
      <c r="N520" s="4">
        <v>71</v>
      </c>
      <c r="O520" s="4" t="s">
        <v>21</v>
      </c>
      <c r="P520" s="7" t="s">
        <v>19</v>
      </c>
    </row>
    <row r="521" spans="2:16" x14ac:dyDescent="0.45">
      <c r="B521" s="4">
        <v>520</v>
      </c>
      <c r="C521" s="4" t="s">
        <v>27</v>
      </c>
      <c r="D521" s="4" t="s">
        <v>16</v>
      </c>
      <c r="E521" s="4" t="s">
        <v>37</v>
      </c>
      <c r="F521" s="4" t="s">
        <v>28</v>
      </c>
      <c r="G521" s="4" t="s">
        <v>30</v>
      </c>
      <c r="H521" s="4" t="s">
        <v>36</v>
      </c>
      <c r="I521" s="4">
        <v>11</v>
      </c>
      <c r="J521" s="5">
        <v>35.1</v>
      </c>
      <c r="K521" s="6">
        <v>1.1100000000000001</v>
      </c>
      <c r="L521" s="4">
        <v>1</v>
      </c>
      <c r="M521" s="4">
        <v>134</v>
      </c>
      <c r="N521" s="4">
        <v>76</v>
      </c>
      <c r="O521" s="4" t="s">
        <v>26</v>
      </c>
      <c r="P521" s="7" t="s">
        <v>19</v>
      </c>
    </row>
    <row r="522" spans="2:16" x14ac:dyDescent="0.45">
      <c r="B522" s="4">
        <v>521</v>
      </c>
      <c r="C522" s="4" t="s">
        <v>29</v>
      </c>
      <c r="D522" s="4" t="s">
        <v>16</v>
      </c>
      <c r="E522" s="4" t="s">
        <v>35</v>
      </c>
      <c r="F522" s="4" t="s">
        <v>24</v>
      </c>
      <c r="G522" s="4" t="s">
        <v>19</v>
      </c>
      <c r="H522" s="4" t="s">
        <v>46</v>
      </c>
      <c r="I522" s="4">
        <v>33</v>
      </c>
      <c r="J522" s="5">
        <v>70</v>
      </c>
      <c r="K522" s="6">
        <v>1.65</v>
      </c>
      <c r="L522" s="4">
        <v>6</v>
      </c>
      <c r="M522" s="4">
        <v>119</v>
      </c>
      <c r="N522" s="4">
        <v>90</v>
      </c>
      <c r="O522" s="4" t="s">
        <v>26</v>
      </c>
      <c r="P522" s="7" t="s">
        <v>19</v>
      </c>
    </row>
    <row r="523" spans="2:16" x14ac:dyDescent="0.45">
      <c r="B523" s="4">
        <v>522</v>
      </c>
      <c r="C523" s="4" t="s">
        <v>39</v>
      </c>
      <c r="D523" s="4" t="s">
        <v>16</v>
      </c>
      <c r="E523" s="4" t="s">
        <v>17</v>
      </c>
      <c r="F523" s="4" t="s">
        <v>24</v>
      </c>
      <c r="G523" s="4" t="s">
        <v>30</v>
      </c>
      <c r="H523" s="4" t="s">
        <v>34</v>
      </c>
      <c r="I523" s="4">
        <v>31</v>
      </c>
      <c r="J523" s="5">
        <v>61.7</v>
      </c>
      <c r="K523" s="6">
        <v>1.73</v>
      </c>
      <c r="L523" s="4">
        <v>0</v>
      </c>
      <c r="M523" s="4">
        <v>101</v>
      </c>
      <c r="N523" s="4">
        <v>103</v>
      </c>
      <c r="O523" s="4" t="s">
        <v>21</v>
      </c>
      <c r="P523" s="7" t="s">
        <v>19</v>
      </c>
    </row>
    <row r="524" spans="2:16" x14ac:dyDescent="0.45">
      <c r="B524" s="4">
        <v>523</v>
      </c>
      <c r="C524" s="4" t="s">
        <v>29</v>
      </c>
      <c r="D524" s="4" t="s">
        <v>23</v>
      </c>
      <c r="E524" s="4" t="s">
        <v>35</v>
      </c>
      <c r="F524" s="4" t="s">
        <v>18</v>
      </c>
      <c r="G524" s="4" t="s">
        <v>30</v>
      </c>
      <c r="H524" s="4" t="s">
        <v>28</v>
      </c>
      <c r="I524" s="4">
        <v>24</v>
      </c>
      <c r="J524" s="5">
        <v>69.400000000000006</v>
      </c>
      <c r="K524" s="6">
        <v>1.79</v>
      </c>
      <c r="L524" s="4">
        <v>1</v>
      </c>
      <c r="M524" s="4">
        <v>123</v>
      </c>
      <c r="N524" s="4">
        <v>102</v>
      </c>
      <c r="O524" s="4" t="s">
        <v>21</v>
      </c>
      <c r="P524" s="7" t="s">
        <v>30</v>
      </c>
    </row>
    <row r="525" spans="2:16" x14ac:dyDescent="0.45">
      <c r="B525" s="4">
        <v>524</v>
      </c>
      <c r="C525" s="4" t="s">
        <v>39</v>
      </c>
      <c r="D525" s="4" t="s">
        <v>16</v>
      </c>
      <c r="E525" s="4" t="s">
        <v>35</v>
      </c>
      <c r="F525" s="4" t="s">
        <v>24</v>
      </c>
      <c r="G525" s="4" t="s">
        <v>19</v>
      </c>
      <c r="H525" s="4" t="s">
        <v>46</v>
      </c>
      <c r="I525" s="4">
        <v>22</v>
      </c>
      <c r="J525" s="5">
        <v>82.3</v>
      </c>
      <c r="K525" s="6">
        <v>1.71</v>
      </c>
      <c r="L525" s="4">
        <v>10</v>
      </c>
      <c r="M525" s="4">
        <v>106</v>
      </c>
      <c r="N525" s="4">
        <v>72</v>
      </c>
      <c r="O525" s="4" t="s">
        <v>26</v>
      </c>
      <c r="P525" s="7" t="s">
        <v>19</v>
      </c>
    </row>
    <row r="526" spans="2:16" x14ac:dyDescent="0.45">
      <c r="B526" s="4">
        <v>525</v>
      </c>
      <c r="C526" s="4" t="s">
        <v>27</v>
      </c>
      <c r="D526" s="4" t="s">
        <v>16</v>
      </c>
      <c r="E526" s="4" t="s">
        <v>17</v>
      </c>
      <c r="F526" s="4" t="s">
        <v>24</v>
      </c>
      <c r="G526" s="4" t="s">
        <v>19</v>
      </c>
      <c r="H526" s="4" t="s">
        <v>36</v>
      </c>
      <c r="I526" s="4">
        <v>15</v>
      </c>
      <c r="J526" s="5">
        <v>51.3</v>
      </c>
      <c r="K526" s="6">
        <v>1.63</v>
      </c>
      <c r="L526" s="4">
        <v>3</v>
      </c>
      <c r="M526" s="4">
        <v>115</v>
      </c>
      <c r="N526" s="4">
        <v>89</v>
      </c>
      <c r="O526" s="4" t="s">
        <v>26</v>
      </c>
      <c r="P526" s="7" t="s">
        <v>19</v>
      </c>
    </row>
    <row r="527" spans="2:16" x14ac:dyDescent="0.45">
      <c r="B527" s="4">
        <v>526</v>
      </c>
      <c r="C527" s="4" t="s">
        <v>39</v>
      </c>
      <c r="D527" s="4" t="s">
        <v>23</v>
      </c>
      <c r="E527" s="4" t="s">
        <v>35</v>
      </c>
      <c r="F527" s="4" t="s">
        <v>24</v>
      </c>
      <c r="G527" s="4" t="s">
        <v>19</v>
      </c>
      <c r="H527" s="4" t="s">
        <v>20</v>
      </c>
      <c r="I527" s="4">
        <v>12</v>
      </c>
      <c r="J527" s="5">
        <v>47.3</v>
      </c>
      <c r="K527" s="6">
        <v>1.5</v>
      </c>
      <c r="L527" s="4">
        <v>6</v>
      </c>
      <c r="M527" s="4">
        <v>105</v>
      </c>
      <c r="N527" s="4">
        <v>79</v>
      </c>
      <c r="O527" s="4" t="s">
        <v>26</v>
      </c>
      <c r="P527" s="7" t="s">
        <v>19</v>
      </c>
    </row>
    <row r="528" spans="2:16" x14ac:dyDescent="0.45">
      <c r="B528" s="4">
        <v>527</v>
      </c>
      <c r="C528" s="4" t="s">
        <v>41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s">
        <v>34</v>
      </c>
      <c r="I528" s="4">
        <v>70</v>
      </c>
      <c r="J528" s="5">
        <v>83.5</v>
      </c>
      <c r="K528" s="6">
        <v>1.54</v>
      </c>
      <c r="L528" s="4">
        <v>0</v>
      </c>
      <c r="M528" s="4">
        <v>128</v>
      </c>
      <c r="N528" s="4">
        <v>99</v>
      </c>
      <c r="O528" s="4" t="s">
        <v>21</v>
      </c>
      <c r="P528" s="7" t="s">
        <v>30</v>
      </c>
    </row>
    <row r="529" spans="2:16" x14ac:dyDescent="0.45">
      <c r="B529" s="4">
        <v>528</v>
      </c>
      <c r="C529" s="4" t="s">
        <v>22</v>
      </c>
      <c r="D529" s="4" t="s">
        <v>16</v>
      </c>
      <c r="E529" s="4" t="s">
        <v>17</v>
      </c>
      <c r="F529" s="4" t="s">
        <v>24</v>
      </c>
      <c r="G529" s="4" t="s">
        <v>19</v>
      </c>
      <c r="H529" s="4" t="s">
        <v>20</v>
      </c>
      <c r="I529" s="4">
        <v>0</v>
      </c>
      <c r="J529" s="5">
        <v>17.600000000000001</v>
      </c>
      <c r="K529" s="6">
        <v>0.85</v>
      </c>
      <c r="L529" s="4">
        <v>1</v>
      </c>
      <c r="M529" s="4">
        <v>100</v>
      </c>
      <c r="N529" s="4">
        <v>73</v>
      </c>
      <c r="O529" s="4" t="s">
        <v>26</v>
      </c>
      <c r="P529" s="7" t="s">
        <v>19</v>
      </c>
    </row>
    <row r="530" spans="2:16" x14ac:dyDescent="0.45">
      <c r="B530" s="4">
        <v>529</v>
      </c>
      <c r="C530" s="4" t="s">
        <v>33</v>
      </c>
      <c r="D530" s="4" t="s">
        <v>16</v>
      </c>
      <c r="E530" s="4" t="s">
        <v>17</v>
      </c>
      <c r="F530" s="4" t="s">
        <v>24</v>
      </c>
      <c r="G530" s="4" t="s">
        <v>19</v>
      </c>
      <c r="H530" s="4" t="s">
        <v>28</v>
      </c>
      <c r="I530" s="4">
        <v>38</v>
      </c>
      <c r="J530" s="5">
        <v>57</v>
      </c>
      <c r="K530" s="6">
        <v>1.54</v>
      </c>
      <c r="L530" s="4">
        <v>5</v>
      </c>
      <c r="M530" s="4">
        <v>113</v>
      </c>
      <c r="N530" s="4">
        <v>75</v>
      </c>
      <c r="O530" s="4" t="s">
        <v>26</v>
      </c>
      <c r="P530" s="7" t="s">
        <v>19</v>
      </c>
    </row>
    <row r="531" spans="2:16" x14ac:dyDescent="0.45">
      <c r="B531" s="4">
        <v>530</v>
      </c>
      <c r="C531" s="4" t="s">
        <v>31</v>
      </c>
      <c r="D531" s="4" t="s">
        <v>16</v>
      </c>
      <c r="E531" s="4" t="s">
        <v>17</v>
      </c>
      <c r="F531" s="4" t="s">
        <v>28</v>
      </c>
      <c r="G531" s="4" t="s">
        <v>19</v>
      </c>
      <c r="H531" s="4" t="s">
        <v>20</v>
      </c>
      <c r="I531" s="4">
        <v>11</v>
      </c>
      <c r="J531" s="5">
        <v>18.8</v>
      </c>
      <c r="K531" s="6">
        <v>1.37</v>
      </c>
      <c r="L531" s="4">
        <v>4</v>
      </c>
      <c r="M531" s="4">
        <v>108</v>
      </c>
      <c r="N531" s="4">
        <v>93</v>
      </c>
      <c r="O531" s="4" t="s">
        <v>26</v>
      </c>
      <c r="P531" s="7" t="s">
        <v>19</v>
      </c>
    </row>
    <row r="532" spans="2:16" x14ac:dyDescent="0.45">
      <c r="B532" s="4">
        <v>531</v>
      </c>
      <c r="C532" s="4" t="s">
        <v>45</v>
      </c>
      <c r="D532" s="4" t="s">
        <v>16</v>
      </c>
      <c r="E532" s="4" t="s">
        <v>17</v>
      </c>
      <c r="F532" s="4" t="s">
        <v>28</v>
      </c>
      <c r="G532" s="4" t="s">
        <v>19</v>
      </c>
      <c r="H532" s="4" t="s">
        <v>20</v>
      </c>
      <c r="I532" s="4">
        <v>5</v>
      </c>
      <c r="J532" s="5">
        <v>21.7</v>
      </c>
      <c r="K532" s="6">
        <v>1.2</v>
      </c>
      <c r="L532" s="4">
        <v>2</v>
      </c>
      <c r="M532" s="4">
        <v>96</v>
      </c>
      <c r="N532" s="4">
        <v>94</v>
      </c>
      <c r="O532" s="4" t="s">
        <v>21</v>
      </c>
      <c r="P532" s="7" t="s">
        <v>19</v>
      </c>
    </row>
    <row r="533" spans="2:16" x14ac:dyDescent="0.45">
      <c r="B533" s="4">
        <v>532</v>
      </c>
      <c r="C533" s="4" t="s">
        <v>31</v>
      </c>
      <c r="D533" s="4" t="s">
        <v>16</v>
      </c>
      <c r="E533" s="4" t="s">
        <v>35</v>
      </c>
      <c r="F533" s="4" t="s">
        <v>24</v>
      </c>
      <c r="G533" s="4" t="s">
        <v>19</v>
      </c>
      <c r="H533" s="4" t="s">
        <v>25</v>
      </c>
      <c r="I533" s="4">
        <v>32</v>
      </c>
      <c r="J533" s="5">
        <v>62.8</v>
      </c>
      <c r="K533" s="6">
        <v>1.75</v>
      </c>
      <c r="L533" s="4">
        <v>3</v>
      </c>
      <c r="M533" s="4">
        <v>120</v>
      </c>
      <c r="N533" s="4">
        <v>79</v>
      </c>
      <c r="O533" s="4" t="s">
        <v>26</v>
      </c>
      <c r="P533" s="7" t="s">
        <v>19</v>
      </c>
    </row>
    <row r="534" spans="2:16" x14ac:dyDescent="0.45">
      <c r="B534" s="4">
        <v>533</v>
      </c>
      <c r="C534" s="4" t="s">
        <v>15</v>
      </c>
      <c r="D534" s="4" t="s">
        <v>23</v>
      </c>
      <c r="E534" s="4" t="s">
        <v>37</v>
      </c>
      <c r="F534" s="4" t="s">
        <v>24</v>
      </c>
      <c r="G534" s="4" t="s">
        <v>19</v>
      </c>
      <c r="H534" s="4" t="s">
        <v>38</v>
      </c>
      <c r="I534" s="4">
        <v>24</v>
      </c>
      <c r="J534" s="5">
        <v>76.599999999999994</v>
      </c>
      <c r="K534" s="6">
        <v>1.57</v>
      </c>
      <c r="L534" s="4">
        <v>6</v>
      </c>
      <c r="M534" s="4">
        <v>113</v>
      </c>
      <c r="N534" s="4">
        <v>89</v>
      </c>
      <c r="O534" s="4" t="s">
        <v>26</v>
      </c>
      <c r="P534" s="7" t="s">
        <v>19</v>
      </c>
    </row>
    <row r="535" spans="2:16" x14ac:dyDescent="0.45">
      <c r="B535" s="4">
        <v>534</v>
      </c>
      <c r="C535" s="4" t="s">
        <v>27</v>
      </c>
      <c r="D535" s="4" t="s">
        <v>23</v>
      </c>
      <c r="E535" s="4" t="s">
        <v>17</v>
      </c>
      <c r="F535" s="4" t="s">
        <v>24</v>
      </c>
      <c r="G535" s="4" t="s">
        <v>30</v>
      </c>
      <c r="H535" s="4" t="s">
        <v>38</v>
      </c>
      <c r="I535" s="4">
        <v>21</v>
      </c>
      <c r="J535" s="5">
        <v>87.1</v>
      </c>
      <c r="K535" s="6">
        <v>1.83</v>
      </c>
      <c r="L535" s="4">
        <v>2</v>
      </c>
      <c r="M535" s="4">
        <v>104</v>
      </c>
      <c r="N535" s="4">
        <v>83</v>
      </c>
      <c r="O535" s="4" t="s">
        <v>21</v>
      </c>
      <c r="P535" s="7" t="s">
        <v>30</v>
      </c>
    </row>
    <row r="536" spans="2:16" x14ac:dyDescent="0.45">
      <c r="B536" s="4">
        <v>535</v>
      </c>
      <c r="C536" s="4" t="s">
        <v>45</v>
      </c>
      <c r="D536" s="4" t="s">
        <v>16</v>
      </c>
      <c r="E536" s="4" t="s">
        <v>35</v>
      </c>
      <c r="F536" s="4" t="s">
        <v>18</v>
      </c>
      <c r="G536" s="4" t="s">
        <v>30</v>
      </c>
      <c r="H536" s="4" t="s">
        <v>28</v>
      </c>
      <c r="I536" s="4">
        <v>12</v>
      </c>
      <c r="J536" s="5">
        <v>59.2</v>
      </c>
      <c r="K536" s="6">
        <v>1.46</v>
      </c>
      <c r="L536" s="4">
        <v>10</v>
      </c>
      <c r="M536" s="4">
        <v>96</v>
      </c>
      <c r="N536" s="4">
        <v>72</v>
      </c>
      <c r="O536" s="4" t="s">
        <v>26</v>
      </c>
      <c r="P536" s="7" t="s">
        <v>19</v>
      </c>
    </row>
    <row r="537" spans="2:16" x14ac:dyDescent="0.45">
      <c r="B537" s="4">
        <v>536</v>
      </c>
      <c r="C537" s="4" t="s">
        <v>41</v>
      </c>
      <c r="D537" s="4" t="s">
        <v>16</v>
      </c>
      <c r="E537" s="4" t="s">
        <v>35</v>
      </c>
      <c r="F537" s="4" t="s">
        <v>24</v>
      </c>
      <c r="G537" s="4" t="s">
        <v>19</v>
      </c>
      <c r="H537" s="4" t="s">
        <v>25</v>
      </c>
      <c r="I537" s="4">
        <v>26</v>
      </c>
      <c r="J537" s="5">
        <v>55.5</v>
      </c>
      <c r="K537" s="6">
        <v>1.62</v>
      </c>
      <c r="L537" s="4">
        <v>1</v>
      </c>
      <c r="M537" s="4">
        <v>114</v>
      </c>
      <c r="N537" s="4">
        <v>94</v>
      </c>
      <c r="O537" s="4" t="s">
        <v>21</v>
      </c>
      <c r="P537" s="7" t="s">
        <v>19</v>
      </c>
    </row>
    <row r="538" spans="2:16" x14ac:dyDescent="0.45">
      <c r="B538" s="4">
        <v>537</v>
      </c>
      <c r="C538" s="4" t="s">
        <v>27</v>
      </c>
      <c r="D538" s="4" t="s">
        <v>23</v>
      </c>
      <c r="E538" s="4" t="s">
        <v>17</v>
      </c>
      <c r="F538" s="4" t="s">
        <v>18</v>
      </c>
      <c r="G538" s="4" t="s">
        <v>19</v>
      </c>
      <c r="H538" s="4" t="s">
        <v>38</v>
      </c>
      <c r="I538" s="4">
        <v>15</v>
      </c>
      <c r="J538" s="5">
        <v>44.6</v>
      </c>
      <c r="K538" s="6">
        <v>1.59</v>
      </c>
      <c r="L538" s="4">
        <v>5</v>
      </c>
      <c r="M538" s="4">
        <v>110</v>
      </c>
      <c r="N538" s="4">
        <v>96</v>
      </c>
      <c r="O538" s="4" t="s">
        <v>21</v>
      </c>
      <c r="P538" s="7" t="s">
        <v>19</v>
      </c>
    </row>
    <row r="539" spans="2:16" x14ac:dyDescent="0.45">
      <c r="B539" s="4">
        <v>538</v>
      </c>
      <c r="C539" s="4" t="s">
        <v>41</v>
      </c>
      <c r="D539" s="4" t="s">
        <v>23</v>
      </c>
      <c r="E539" s="4" t="s">
        <v>17</v>
      </c>
      <c r="F539" s="4" t="s">
        <v>24</v>
      </c>
      <c r="G539" s="4" t="s">
        <v>19</v>
      </c>
      <c r="H539" s="4" t="s">
        <v>28</v>
      </c>
      <c r="I539" s="4">
        <v>11</v>
      </c>
      <c r="J539" s="5">
        <v>20.2</v>
      </c>
      <c r="K539" s="6">
        <v>1.05</v>
      </c>
      <c r="L539" s="4">
        <v>7</v>
      </c>
      <c r="M539" s="4">
        <v>105</v>
      </c>
      <c r="N539" s="4">
        <v>98</v>
      </c>
      <c r="O539" s="4" t="s">
        <v>26</v>
      </c>
      <c r="P539" s="7" t="s">
        <v>30</v>
      </c>
    </row>
    <row r="540" spans="2:16" x14ac:dyDescent="0.45">
      <c r="B540" s="4">
        <v>539</v>
      </c>
      <c r="C540" s="4" t="s">
        <v>45</v>
      </c>
      <c r="D540" s="4" t="s">
        <v>23</v>
      </c>
      <c r="E540" s="4" t="s">
        <v>17</v>
      </c>
      <c r="F540" s="4" t="s">
        <v>42</v>
      </c>
      <c r="G540" s="4" t="s">
        <v>19</v>
      </c>
      <c r="H540" s="4" t="s">
        <v>34</v>
      </c>
      <c r="I540" s="4">
        <v>77</v>
      </c>
      <c r="J540" s="5">
        <v>63.2</v>
      </c>
      <c r="K540" s="6">
        <v>1.82</v>
      </c>
      <c r="L540" s="4">
        <v>2</v>
      </c>
      <c r="M540" s="4">
        <v>124</v>
      </c>
      <c r="N540" s="4">
        <v>78</v>
      </c>
      <c r="O540" s="4" t="s">
        <v>21</v>
      </c>
      <c r="P540" s="7" t="s">
        <v>19</v>
      </c>
    </row>
    <row r="541" spans="2:16" x14ac:dyDescent="0.45">
      <c r="B541" s="4">
        <v>540</v>
      </c>
      <c r="C541" s="4" t="s">
        <v>15</v>
      </c>
      <c r="D541" s="4" t="s">
        <v>16</v>
      </c>
      <c r="E541" s="4" t="s">
        <v>17</v>
      </c>
      <c r="F541" s="4" t="s">
        <v>28</v>
      </c>
      <c r="G541" s="4" t="s">
        <v>19</v>
      </c>
      <c r="H541" s="4" t="s">
        <v>38</v>
      </c>
      <c r="I541" s="4">
        <v>26</v>
      </c>
      <c r="J541" s="5">
        <v>64.8</v>
      </c>
      <c r="K541" s="6">
        <v>1.73</v>
      </c>
      <c r="L541" s="4">
        <v>0</v>
      </c>
      <c r="M541" s="4">
        <v>105</v>
      </c>
      <c r="N541" s="4">
        <v>72</v>
      </c>
      <c r="O541" s="4" t="s">
        <v>21</v>
      </c>
      <c r="P541" s="7" t="s">
        <v>30</v>
      </c>
    </row>
    <row r="542" spans="2:16" x14ac:dyDescent="0.45">
      <c r="B542" s="4">
        <v>541</v>
      </c>
      <c r="C542" s="4" t="s">
        <v>45</v>
      </c>
      <c r="D542" s="4" t="s">
        <v>16</v>
      </c>
      <c r="E542" s="4" t="s">
        <v>35</v>
      </c>
      <c r="F542" s="4" t="s">
        <v>28</v>
      </c>
      <c r="G542" s="4" t="s">
        <v>19</v>
      </c>
      <c r="H542" s="4" t="s">
        <v>25</v>
      </c>
      <c r="I542" s="4">
        <v>31</v>
      </c>
      <c r="J542" s="5">
        <v>49.1</v>
      </c>
      <c r="K542" s="6">
        <v>1.57</v>
      </c>
      <c r="L542" s="4">
        <v>1</v>
      </c>
      <c r="M542" s="4">
        <v>110</v>
      </c>
      <c r="N542" s="4">
        <v>78</v>
      </c>
      <c r="O542" s="4" t="s">
        <v>26</v>
      </c>
      <c r="P542" s="7" t="s">
        <v>19</v>
      </c>
    </row>
    <row r="543" spans="2:16" x14ac:dyDescent="0.45">
      <c r="B543" s="4">
        <v>542</v>
      </c>
      <c r="C543" s="4" t="s">
        <v>45</v>
      </c>
      <c r="D543" s="4" t="s">
        <v>16</v>
      </c>
      <c r="E543" s="4" t="s">
        <v>35</v>
      </c>
      <c r="F543" s="4" t="s">
        <v>28</v>
      </c>
      <c r="G543" s="4" t="s">
        <v>19</v>
      </c>
      <c r="H543" s="4" t="s">
        <v>25</v>
      </c>
      <c r="I543" s="4">
        <v>10</v>
      </c>
      <c r="J543" s="5">
        <v>20.7</v>
      </c>
      <c r="K543" s="6">
        <v>1.43</v>
      </c>
      <c r="L543" s="4">
        <v>6</v>
      </c>
      <c r="M543" s="4">
        <v>95</v>
      </c>
      <c r="N543" s="4">
        <v>99</v>
      </c>
      <c r="O543" s="4" t="s">
        <v>21</v>
      </c>
      <c r="P543" s="7" t="s">
        <v>19</v>
      </c>
    </row>
    <row r="544" spans="2:16" x14ac:dyDescent="0.45">
      <c r="B544" s="4">
        <v>543</v>
      </c>
      <c r="C544" s="4" t="s">
        <v>39</v>
      </c>
      <c r="D544" s="4" t="s">
        <v>23</v>
      </c>
      <c r="E544" s="4" t="s">
        <v>44</v>
      </c>
      <c r="F544" s="4" t="s">
        <v>28</v>
      </c>
      <c r="G544" s="4" t="s">
        <v>19</v>
      </c>
      <c r="H544" s="4" t="s">
        <v>20</v>
      </c>
      <c r="I544" s="4">
        <v>64</v>
      </c>
      <c r="J544" s="5">
        <v>81</v>
      </c>
      <c r="K544" s="6">
        <v>1.8</v>
      </c>
      <c r="L544" s="4">
        <v>6</v>
      </c>
      <c r="M544" s="4">
        <v>114</v>
      </c>
      <c r="N544" s="4">
        <v>91</v>
      </c>
      <c r="O544" s="4" t="s">
        <v>26</v>
      </c>
      <c r="P544" s="7" t="s">
        <v>19</v>
      </c>
    </row>
    <row r="545" spans="2:16" x14ac:dyDescent="0.45">
      <c r="B545" s="4">
        <v>544</v>
      </c>
      <c r="C545" s="4" t="s">
        <v>22</v>
      </c>
      <c r="D545" s="4" t="s">
        <v>23</v>
      </c>
      <c r="E545" s="4" t="s">
        <v>37</v>
      </c>
      <c r="F545" s="4" t="s">
        <v>24</v>
      </c>
      <c r="G545" s="4" t="s">
        <v>19</v>
      </c>
      <c r="H545" s="4" t="s">
        <v>28</v>
      </c>
      <c r="I545" s="4">
        <v>24</v>
      </c>
      <c r="J545" s="5">
        <v>61.1</v>
      </c>
      <c r="K545" s="6">
        <v>1.87</v>
      </c>
      <c r="L545" s="4">
        <v>9</v>
      </c>
      <c r="M545" s="4">
        <v>109</v>
      </c>
      <c r="N545" s="4">
        <v>97</v>
      </c>
      <c r="O545" s="4" t="s">
        <v>26</v>
      </c>
      <c r="P545" s="7" t="s">
        <v>19</v>
      </c>
    </row>
    <row r="546" spans="2:16" x14ac:dyDescent="0.45">
      <c r="B546" s="4">
        <v>545</v>
      </c>
      <c r="C546" s="4" t="s">
        <v>39</v>
      </c>
      <c r="D546" s="4" t="s">
        <v>16</v>
      </c>
      <c r="E546" s="4" t="s">
        <v>35</v>
      </c>
      <c r="F546" s="4" t="s">
        <v>24</v>
      </c>
      <c r="G546" s="4" t="s">
        <v>19</v>
      </c>
      <c r="H546" s="4" t="s">
        <v>36</v>
      </c>
      <c r="I546" s="4">
        <v>14</v>
      </c>
      <c r="J546" s="5">
        <v>49.3</v>
      </c>
      <c r="K546" s="6">
        <v>1.56</v>
      </c>
      <c r="L546" s="4">
        <v>2</v>
      </c>
      <c r="M546" s="4">
        <v>118</v>
      </c>
      <c r="N546" s="4">
        <v>73</v>
      </c>
      <c r="O546" s="4" t="s">
        <v>26</v>
      </c>
      <c r="P546" s="7" t="s">
        <v>19</v>
      </c>
    </row>
    <row r="547" spans="2:16" x14ac:dyDescent="0.45">
      <c r="B547" s="4">
        <v>546</v>
      </c>
      <c r="C547" s="4" t="s">
        <v>45</v>
      </c>
      <c r="D547" s="4" t="s">
        <v>16</v>
      </c>
      <c r="E547" s="4" t="s">
        <v>35</v>
      </c>
      <c r="F547" s="4" t="s">
        <v>18</v>
      </c>
      <c r="G547" s="4" t="s">
        <v>30</v>
      </c>
      <c r="H547" s="4" t="s">
        <v>25</v>
      </c>
      <c r="I547" s="4">
        <v>76</v>
      </c>
      <c r="J547" s="5">
        <v>62.3</v>
      </c>
      <c r="K547" s="6">
        <v>1.8</v>
      </c>
      <c r="L547" s="4">
        <v>1</v>
      </c>
      <c r="M547" s="4">
        <v>139</v>
      </c>
      <c r="N547" s="4">
        <v>85</v>
      </c>
      <c r="O547" s="4" t="s">
        <v>26</v>
      </c>
      <c r="P547" s="7" t="s">
        <v>30</v>
      </c>
    </row>
    <row r="548" spans="2:16" x14ac:dyDescent="0.45">
      <c r="B548" s="4">
        <v>547</v>
      </c>
      <c r="C548" s="4" t="s">
        <v>43</v>
      </c>
      <c r="D548" s="4" t="s">
        <v>16</v>
      </c>
      <c r="E548" s="4" t="s">
        <v>17</v>
      </c>
      <c r="F548" s="4" t="s">
        <v>42</v>
      </c>
      <c r="G548" s="4" t="s">
        <v>30</v>
      </c>
      <c r="H548" s="4" t="s">
        <v>36</v>
      </c>
      <c r="I548" s="4">
        <v>10</v>
      </c>
      <c r="J548" s="5">
        <v>37</v>
      </c>
      <c r="K548" s="6">
        <v>1.2</v>
      </c>
      <c r="L548" s="4">
        <v>1</v>
      </c>
      <c r="M548" s="4">
        <v>131</v>
      </c>
      <c r="N548" s="4">
        <v>95</v>
      </c>
      <c r="O548" s="4" t="s">
        <v>21</v>
      </c>
      <c r="P548" s="7" t="s">
        <v>19</v>
      </c>
    </row>
    <row r="549" spans="2:16" x14ac:dyDescent="0.45">
      <c r="B549" s="4">
        <v>548</v>
      </c>
      <c r="C549" s="4" t="s">
        <v>40</v>
      </c>
      <c r="D549" s="4" t="s">
        <v>16</v>
      </c>
      <c r="E549" s="4" t="s">
        <v>35</v>
      </c>
      <c r="F549" s="4" t="s">
        <v>24</v>
      </c>
      <c r="G549" s="4" t="s">
        <v>30</v>
      </c>
      <c r="H549" s="4" t="s">
        <v>28</v>
      </c>
      <c r="I549" s="4">
        <v>8</v>
      </c>
      <c r="J549" s="5">
        <v>24.7</v>
      </c>
      <c r="K549" s="6">
        <v>1.0900000000000001</v>
      </c>
      <c r="L549" s="4">
        <v>2</v>
      </c>
      <c r="M549" s="4">
        <v>98</v>
      </c>
      <c r="N549" s="4">
        <v>94</v>
      </c>
      <c r="O549" s="4" t="s">
        <v>21</v>
      </c>
      <c r="P549" s="7" t="s">
        <v>19</v>
      </c>
    </row>
    <row r="550" spans="2:16" x14ac:dyDescent="0.45">
      <c r="B550" s="4">
        <v>549</v>
      </c>
      <c r="C550" s="4" t="s">
        <v>40</v>
      </c>
      <c r="D550" s="4" t="s">
        <v>23</v>
      </c>
      <c r="E550" s="4" t="s">
        <v>35</v>
      </c>
      <c r="F550" s="4" t="s">
        <v>24</v>
      </c>
      <c r="G550" s="4" t="s">
        <v>19</v>
      </c>
      <c r="H550" s="4" t="s">
        <v>20</v>
      </c>
      <c r="I550" s="4">
        <v>10</v>
      </c>
      <c r="J550" s="5">
        <v>19.899999999999999</v>
      </c>
      <c r="K550" s="6">
        <v>1.27</v>
      </c>
      <c r="L550" s="4">
        <v>0</v>
      </c>
      <c r="M550" s="4">
        <v>124</v>
      </c>
      <c r="N550" s="4">
        <v>104</v>
      </c>
      <c r="O550" s="4" t="s">
        <v>26</v>
      </c>
      <c r="P550" s="7" t="s">
        <v>30</v>
      </c>
    </row>
    <row r="551" spans="2:16" x14ac:dyDescent="0.45">
      <c r="B551" s="4">
        <v>550</v>
      </c>
      <c r="C551" s="4" t="s">
        <v>15</v>
      </c>
      <c r="D551" s="4" t="s">
        <v>16</v>
      </c>
      <c r="E551" s="4" t="s">
        <v>17</v>
      </c>
      <c r="F551" s="4" t="s">
        <v>24</v>
      </c>
      <c r="G551" s="4" t="s">
        <v>19</v>
      </c>
      <c r="H551" s="4" t="s">
        <v>25</v>
      </c>
      <c r="I551" s="4">
        <v>27</v>
      </c>
      <c r="J551" s="5">
        <v>71.099999999999994</v>
      </c>
      <c r="K551" s="6">
        <v>1.69</v>
      </c>
      <c r="L551" s="4">
        <v>5</v>
      </c>
      <c r="M551" s="4">
        <v>104</v>
      </c>
      <c r="N551" s="4">
        <v>73</v>
      </c>
      <c r="O551" s="4" t="s">
        <v>21</v>
      </c>
      <c r="P551" s="7" t="s">
        <v>19</v>
      </c>
    </row>
    <row r="552" spans="2:16" x14ac:dyDescent="0.45">
      <c r="B552" s="4">
        <v>551</v>
      </c>
      <c r="C552" s="4" t="s">
        <v>15</v>
      </c>
      <c r="D552" s="4" t="s">
        <v>23</v>
      </c>
      <c r="E552" s="4" t="s">
        <v>17</v>
      </c>
      <c r="F552" s="4" t="s">
        <v>24</v>
      </c>
      <c r="G552" s="4" t="s">
        <v>19</v>
      </c>
      <c r="H552" s="4" t="s">
        <v>25</v>
      </c>
      <c r="I552" s="4">
        <v>53</v>
      </c>
      <c r="J552" s="5">
        <v>88.9</v>
      </c>
      <c r="K552" s="6">
        <v>1.67</v>
      </c>
      <c r="L552" s="4">
        <v>0</v>
      </c>
      <c r="M552" s="4">
        <v>125</v>
      </c>
      <c r="N552" s="4">
        <v>88</v>
      </c>
      <c r="O552" s="4" t="s">
        <v>21</v>
      </c>
      <c r="P552" s="7" t="s">
        <v>19</v>
      </c>
    </row>
    <row r="553" spans="2:16" x14ac:dyDescent="0.45">
      <c r="B553" s="4">
        <v>552</v>
      </c>
      <c r="C553" s="4" t="s">
        <v>41</v>
      </c>
      <c r="D553" s="4" t="s">
        <v>23</v>
      </c>
      <c r="E553" s="4" t="s">
        <v>35</v>
      </c>
      <c r="F553" s="4" t="s">
        <v>28</v>
      </c>
      <c r="G553" s="4" t="s">
        <v>19</v>
      </c>
      <c r="H553" s="4" t="s">
        <v>38</v>
      </c>
      <c r="I553" s="4">
        <v>88</v>
      </c>
      <c r="J553" s="5">
        <v>55.4</v>
      </c>
      <c r="K553" s="6">
        <v>1.58</v>
      </c>
      <c r="L553" s="4">
        <v>6</v>
      </c>
      <c r="M553" s="4">
        <v>134</v>
      </c>
      <c r="N553" s="4">
        <v>86</v>
      </c>
      <c r="O553" s="4" t="s">
        <v>26</v>
      </c>
      <c r="P553" s="7" t="s">
        <v>19</v>
      </c>
    </row>
    <row r="554" spans="2:16" x14ac:dyDescent="0.45">
      <c r="B554" s="4">
        <v>553</v>
      </c>
      <c r="C554" s="4" t="s">
        <v>29</v>
      </c>
      <c r="D554" s="4" t="s">
        <v>16</v>
      </c>
      <c r="E554" s="4" t="s">
        <v>17</v>
      </c>
      <c r="F554" s="4" t="s">
        <v>18</v>
      </c>
      <c r="G554" s="4" t="s">
        <v>19</v>
      </c>
      <c r="H554" s="4" t="s">
        <v>25</v>
      </c>
      <c r="I554" s="4">
        <v>41</v>
      </c>
      <c r="J554" s="5">
        <v>62.9</v>
      </c>
      <c r="K554" s="6">
        <v>1.53</v>
      </c>
      <c r="L554" s="4">
        <v>0</v>
      </c>
      <c r="M554" s="4">
        <v>108</v>
      </c>
      <c r="N554" s="4">
        <v>91</v>
      </c>
      <c r="O554" s="4" t="s">
        <v>26</v>
      </c>
      <c r="P554" s="7" t="s">
        <v>19</v>
      </c>
    </row>
    <row r="555" spans="2:16" x14ac:dyDescent="0.45">
      <c r="B555" s="4">
        <v>554</v>
      </c>
      <c r="C555" s="4" t="s">
        <v>29</v>
      </c>
      <c r="D555" s="4" t="s">
        <v>16</v>
      </c>
      <c r="E555" s="4" t="s">
        <v>35</v>
      </c>
      <c r="F555" s="4" t="s">
        <v>24</v>
      </c>
      <c r="G555" s="4" t="s">
        <v>19</v>
      </c>
      <c r="H555" s="4" t="s">
        <v>46</v>
      </c>
      <c r="I555" s="4">
        <v>35</v>
      </c>
      <c r="J555" s="5">
        <v>77.599999999999994</v>
      </c>
      <c r="K555" s="6">
        <v>1.88</v>
      </c>
      <c r="L555" s="4">
        <v>7</v>
      </c>
      <c r="M555" s="4">
        <v>110</v>
      </c>
      <c r="N555" s="4">
        <v>75</v>
      </c>
      <c r="O555" s="4" t="s">
        <v>26</v>
      </c>
      <c r="P555" s="7" t="s">
        <v>30</v>
      </c>
    </row>
    <row r="556" spans="2:16" x14ac:dyDescent="0.45">
      <c r="B556" s="4">
        <v>555</v>
      </c>
      <c r="C556" s="4" t="s">
        <v>27</v>
      </c>
      <c r="D556" s="4" t="s">
        <v>23</v>
      </c>
      <c r="E556" s="4" t="s">
        <v>17</v>
      </c>
      <c r="F556" s="4" t="s">
        <v>28</v>
      </c>
      <c r="G556" s="4" t="s">
        <v>30</v>
      </c>
      <c r="H556" s="4" t="s">
        <v>36</v>
      </c>
      <c r="I556" s="4">
        <v>49</v>
      </c>
      <c r="J556" s="5">
        <v>86.9</v>
      </c>
      <c r="K556" s="6">
        <v>1.63</v>
      </c>
      <c r="L556" s="4">
        <v>4</v>
      </c>
      <c r="M556" s="4">
        <v>132</v>
      </c>
      <c r="N556" s="4">
        <v>83</v>
      </c>
      <c r="O556" s="4" t="s">
        <v>26</v>
      </c>
      <c r="P556" s="7" t="s">
        <v>19</v>
      </c>
    </row>
    <row r="557" spans="2:16" x14ac:dyDescent="0.45">
      <c r="B557" s="4">
        <v>556</v>
      </c>
      <c r="C557" s="4" t="s">
        <v>33</v>
      </c>
      <c r="D557" s="4" t="s">
        <v>23</v>
      </c>
      <c r="E557" s="4" t="s">
        <v>17</v>
      </c>
      <c r="F557" s="4" t="s">
        <v>24</v>
      </c>
      <c r="G557" s="4" t="s">
        <v>19</v>
      </c>
      <c r="H557" s="4" t="s">
        <v>36</v>
      </c>
      <c r="I557" s="4">
        <v>69</v>
      </c>
      <c r="J557" s="5">
        <v>45.2</v>
      </c>
      <c r="K557" s="6">
        <v>1.75</v>
      </c>
      <c r="L557" s="4">
        <v>7</v>
      </c>
      <c r="M557" s="4">
        <v>148</v>
      </c>
      <c r="N557" s="4">
        <v>78</v>
      </c>
      <c r="O557" s="4" t="s">
        <v>26</v>
      </c>
      <c r="P557" s="7" t="s">
        <v>19</v>
      </c>
    </row>
    <row r="558" spans="2:16" x14ac:dyDescent="0.45">
      <c r="B558" s="4">
        <v>557</v>
      </c>
      <c r="C558" s="4" t="s">
        <v>15</v>
      </c>
      <c r="D558" s="4" t="s">
        <v>16</v>
      </c>
      <c r="E558" s="4" t="s">
        <v>35</v>
      </c>
      <c r="F558" s="4" t="s">
        <v>28</v>
      </c>
      <c r="G558" s="4" t="s">
        <v>19</v>
      </c>
      <c r="H558" s="4" t="s">
        <v>36</v>
      </c>
      <c r="I558" s="4">
        <v>6</v>
      </c>
      <c r="J558" s="5">
        <v>19.8</v>
      </c>
      <c r="K558" s="6">
        <v>1.2</v>
      </c>
      <c r="L558" s="4">
        <v>1</v>
      </c>
      <c r="M558" s="4">
        <v>120</v>
      </c>
      <c r="N558" s="4">
        <v>102</v>
      </c>
      <c r="O558" s="4" t="s">
        <v>26</v>
      </c>
      <c r="P558" s="7" t="s">
        <v>19</v>
      </c>
    </row>
    <row r="559" spans="2:16" x14ac:dyDescent="0.45">
      <c r="B559" s="4">
        <v>558</v>
      </c>
      <c r="C559" s="4" t="s">
        <v>29</v>
      </c>
      <c r="D559" s="4" t="s">
        <v>16</v>
      </c>
      <c r="E559" s="4" t="s">
        <v>17</v>
      </c>
      <c r="F559" s="4" t="s">
        <v>28</v>
      </c>
      <c r="G559" s="4" t="s">
        <v>19</v>
      </c>
      <c r="H559" s="4" t="s">
        <v>20</v>
      </c>
      <c r="I559" s="4">
        <v>10</v>
      </c>
      <c r="J559" s="5">
        <v>29.2</v>
      </c>
      <c r="K559" s="6">
        <v>1.2</v>
      </c>
      <c r="L559" s="4">
        <v>1</v>
      </c>
      <c r="M559" s="4">
        <v>109</v>
      </c>
      <c r="N559" s="4">
        <v>97</v>
      </c>
      <c r="O559" s="4" t="s">
        <v>26</v>
      </c>
      <c r="P559" s="7" t="s">
        <v>19</v>
      </c>
    </row>
    <row r="560" spans="2:16" x14ac:dyDescent="0.45">
      <c r="B560" s="4">
        <v>559</v>
      </c>
      <c r="C560" s="4" t="s">
        <v>27</v>
      </c>
      <c r="D560" s="4" t="s">
        <v>16</v>
      </c>
      <c r="E560" s="4" t="s">
        <v>44</v>
      </c>
      <c r="F560" s="4" t="s">
        <v>24</v>
      </c>
      <c r="G560" s="4" t="s">
        <v>19</v>
      </c>
      <c r="H560" s="4" t="s">
        <v>28</v>
      </c>
      <c r="I560" s="4">
        <v>7</v>
      </c>
      <c r="J560" s="5">
        <v>29.1</v>
      </c>
      <c r="K560" s="6">
        <v>1.24</v>
      </c>
      <c r="L560" s="4">
        <v>5</v>
      </c>
      <c r="M560" s="4">
        <v>103</v>
      </c>
      <c r="N560" s="4">
        <v>77</v>
      </c>
      <c r="O560" s="4" t="s">
        <v>26</v>
      </c>
      <c r="P560" s="7" t="s">
        <v>30</v>
      </c>
    </row>
    <row r="561" spans="2:16" x14ac:dyDescent="0.45">
      <c r="B561" s="4">
        <v>560</v>
      </c>
      <c r="C561" s="4" t="s">
        <v>33</v>
      </c>
      <c r="D561" s="4" t="s">
        <v>16</v>
      </c>
      <c r="E561" s="4" t="s">
        <v>35</v>
      </c>
      <c r="F561" s="4" t="s">
        <v>24</v>
      </c>
      <c r="G561" s="4" t="s">
        <v>19</v>
      </c>
      <c r="H561" s="4" t="s">
        <v>25</v>
      </c>
      <c r="I561" s="4">
        <v>13</v>
      </c>
      <c r="J561" s="5">
        <v>59.8</v>
      </c>
      <c r="K561" s="6">
        <v>1.65</v>
      </c>
      <c r="L561" s="4">
        <v>1</v>
      </c>
      <c r="M561" s="4">
        <v>104</v>
      </c>
      <c r="N561" s="4">
        <v>84</v>
      </c>
      <c r="O561" s="4" t="s">
        <v>26</v>
      </c>
      <c r="P561" s="7" t="s">
        <v>19</v>
      </c>
    </row>
    <row r="562" spans="2:16" x14ac:dyDescent="0.45">
      <c r="B562" s="4">
        <v>561</v>
      </c>
      <c r="C562" s="4" t="s">
        <v>22</v>
      </c>
      <c r="D562" s="4" t="s">
        <v>16</v>
      </c>
      <c r="E562" s="4" t="s">
        <v>17</v>
      </c>
      <c r="F562" s="4" t="s">
        <v>18</v>
      </c>
      <c r="G562" s="4" t="s">
        <v>19</v>
      </c>
      <c r="H562" s="4" t="s">
        <v>36</v>
      </c>
      <c r="I562" s="4">
        <v>44</v>
      </c>
      <c r="J562" s="5">
        <v>94.8</v>
      </c>
      <c r="K562" s="6">
        <v>1.69</v>
      </c>
      <c r="L562" s="4">
        <v>1</v>
      </c>
      <c r="M562" s="4">
        <v>133</v>
      </c>
      <c r="N562" s="4">
        <v>84</v>
      </c>
      <c r="O562" s="4" t="s">
        <v>21</v>
      </c>
      <c r="P562" s="7" t="s">
        <v>19</v>
      </c>
    </row>
    <row r="563" spans="2:16" x14ac:dyDescent="0.45">
      <c r="B563" s="4">
        <v>562</v>
      </c>
      <c r="C563" s="4" t="s">
        <v>27</v>
      </c>
      <c r="D563" s="4" t="s">
        <v>16</v>
      </c>
      <c r="E563" s="4" t="s">
        <v>37</v>
      </c>
      <c r="F563" s="4" t="s">
        <v>24</v>
      </c>
      <c r="G563" s="4" t="s">
        <v>30</v>
      </c>
      <c r="H563" s="4" t="s">
        <v>28</v>
      </c>
      <c r="I563" s="4">
        <v>61</v>
      </c>
      <c r="J563" s="5">
        <v>51.6</v>
      </c>
      <c r="K563" s="6">
        <v>1.59</v>
      </c>
      <c r="L563" s="4">
        <v>5</v>
      </c>
      <c r="M563" s="4">
        <v>112</v>
      </c>
      <c r="N563" s="4">
        <v>72</v>
      </c>
      <c r="O563" s="4" t="s">
        <v>26</v>
      </c>
      <c r="P563" s="7" t="s">
        <v>19</v>
      </c>
    </row>
    <row r="564" spans="2:16" x14ac:dyDescent="0.45">
      <c r="B564" s="4">
        <v>563</v>
      </c>
      <c r="C564" s="4" t="s">
        <v>40</v>
      </c>
      <c r="D564" s="4" t="s">
        <v>16</v>
      </c>
      <c r="E564" s="4" t="s">
        <v>35</v>
      </c>
      <c r="F564" s="4" t="s">
        <v>28</v>
      </c>
      <c r="G564" s="4" t="s">
        <v>19</v>
      </c>
      <c r="H564" s="4" t="s">
        <v>38</v>
      </c>
      <c r="I564" s="4">
        <v>9</v>
      </c>
      <c r="J564" s="5">
        <v>28.2</v>
      </c>
      <c r="K564" s="6">
        <v>1.34</v>
      </c>
      <c r="L564" s="4">
        <v>0</v>
      </c>
      <c r="M564" s="4">
        <v>98</v>
      </c>
      <c r="N564" s="4">
        <v>96</v>
      </c>
      <c r="O564" s="4" t="s">
        <v>26</v>
      </c>
      <c r="P564" s="7" t="s">
        <v>19</v>
      </c>
    </row>
    <row r="565" spans="2:16" x14ac:dyDescent="0.45">
      <c r="B565" s="4">
        <v>564</v>
      </c>
      <c r="C565" s="4" t="s">
        <v>39</v>
      </c>
      <c r="D565" s="4" t="s">
        <v>16</v>
      </c>
      <c r="E565" s="4" t="s">
        <v>35</v>
      </c>
      <c r="F565" s="4" t="s">
        <v>24</v>
      </c>
      <c r="G565" s="4" t="s">
        <v>19</v>
      </c>
      <c r="H565" s="4" t="s">
        <v>38</v>
      </c>
      <c r="I565" s="4">
        <v>79</v>
      </c>
      <c r="J565" s="5">
        <v>60.2</v>
      </c>
      <c r="K565" s="6">
        <v>1.64</v>
      </c>
      <c r="L565" s="4">
        <v>6</v>
      </c>
      <c r="M565" s="4">
        <v>121</v>
      </c>
      <c r="N565" s="4">
        <v>72</v>
      </c>
      <c r="O565" s="4" t="s">
        <v>26</v>
      </c>
      <c r="P565" s="7" t="s">
        <v>30</v>
      </c>
    </row>
    <row r="566" spans="2:16" x14ac:dyDescent="0.45">
      <c r="B566" s="4">
        <v>565</v>
      </c>
      <c r="C566" s="4" t="s">
        <v>27</v>
      </c>
      <c r="D566" s="4" t="s">
        <v>23</v>
      </c>
      <c r="E566" s="4" t="s">
        <v>37</v>
      </c>
      <c r="F566" s="4" t="s">
        <v>18</v>
      </c>
      <c r="G566" s="4" t="s">
        <v>19</v>
      </c>
      <c r="H566" s="4" t="s">
        <v>46</v>
      </c>
      <c r="I566" s="4">
        <v>23</v>
      </c>
      <c r="J566" s="5">
        <v>76.2</v>
      </c>
      <c r="K566" s="6">
        <v>1.65</v>
      </c>
      <c r="L566" s="4">
        <v>5</v>
      </c>
      <c r="M566" s="4">
        <v>109</v>
      </c>
      <c r="N566" s="4">
        <v>89</v>
      </c>
      <c r="O566" s="4" t="s">
        <v>21</v>
      </c>
      <c r="P566" s="7" t="s">
        <v>30</v>
      </c>
    </row>
    <row r="567" spans="2:16" x14ac:dyDescent="0.45">
      <c r="B567" s="4">
        <v>566</v>
      </c>
      <c r="C567" s="4" t="s">
        <v>27</v>
      </c>
      <c r="D567" s="4" t="s">
        <v>23</v>
      </c>
      <c r="E567" s="4" t="s">
        <v>44</v>
      </c>
      <c r="F567" s="4" t="s">
        <v>24</v>
      </c>
      <c r="G567" s="4" t="s">
        <v>19</v>
      </c>
      <c r="H567" s="4" t="s">
        <v>36</v>
      </c>
      <c r="I567" s="4">
        <v>19</v>
      </c>
      <c r="J567" s="5">
        <v>66.099999999999994</v>
      </c>
      <c r="K567" s="6">
        <v>1.62</v>
      </c>
      <c r="L567" s="4">
        <v>7</v>
      </c>
      <c r="M567" s="4">
        <v>134</v>
      </c>
      <c r="N567" s="4">
        <v>74</v>
      </c>
      <c r="O567" s="4" t="s">
        <v>21</v>
      </c>
      <c r="P567" s="7" t="s">
        <v>30</v>
      </c>
    </row>
    <row r="568" spans="2:16" x14ac:dyDescent="0.45">
      <c r="B568" s="4">
        <v>567</v>
      </c>
      <c r="C568" s="4" t="s">
        <v>29</v>
      </c>
      <c r="D568" s="4" t="s">
        <v>16</v>
      </c>
      <c r="E568" s="4" t="s">
        <v>35</v>
      </c>
      <c r="F568" s="4" t="s">
        <v>18</v>
      </c>
      <c r="G568" s="4" t="s">
        <v>19</v>
      </c>
      <c r="H568" s="4" t="s">
        <v>25</v>
      </c>
      <c r="I568" s="4">
        <v>38</v>
      </c>
      <c r="J568" s="5">
        <v>60.3</v>
      </c>
      <c r="K568" s="6">
        <v>1.85</v>
      </c>
      <c r="L568" s="4">
        <v>1</v>
      </c>
      <c r="M568" s="4">
        <v>126</v>
      </c>
      <c r="N568" s="4">
        <v>77</v>
      </c>
      <c r="O568" s="4" t="s">
        <v>21</v>
      </c>
      <c r="P568" s="7" t="s">
        <v>30</v>
      </c>
    </row>
    <row r="569" spans="2:16" x14ac:dyDescent="0.45">
      <c r="B569" s="4">
        <v>568</v>
      </c>
      <c r="C569" s="4" t="s">
        <v>45</v>
      </c>
      <c r="D569" s="4" t="s">
        <v>16</v>
      </c>
      <c r="E569" s="4" t="s">
        <v>37</v>
      </c>
      <c r="F569" s="4" t="s">
        <v>28</v>
      </c>
      <c r="G569" s="4" t="s">
        <v>19</v>
      </c>
      <c r="H569" s="4" t="s">
        <v>36</v>
      </c>
      <c r="I569" s="4">
        <v>3</v>
      </c>
      <c r="J569" s="5">
        <v>8.8000000000000007</v>
      </c>
      <c r="K569" s="6">
        <v>0.77</v>
      </c>
      <c r="L569" s="4">
        <v>5</v>
      </c>
      <c r="M569" s="4">
        <v>134</v>
      </c>
      <c r="N569" s="4">
        <v>101</v>
      </c>
      <c r="O569" s="4" t="s">
        <v>26</v>
      </c>
      <c r="P569" s="7" t="s">
        <v>19</v>
      </c>
    </row>
    <row r="570" spans="2:16" x14ac:dyDescent="0.45">
      <c r="B570" s="4">
        <v>569</v>
      </c>
      <c r="C570" s="4" t="s">
        <v>15</v>
      </c>
      <c r="D570" s="4" t="s">
        <v>23</v>
      </c>
      <c r="E570" s="4" t="s">
        <v>35</v>
      </c>
      <c r="F570" s="4" t="s">
        <v>24</v>
      </c>
      <c r="G570" s="4" t="s">
        <v>19</v>
      </c>
      <c r="H570" s="4" t="s">
        <v>25</v>
      </c>
      <c r="I570" s="4">
        <v>1</v>
      </c>
      <c r="J570" s="5">
        <v>12</v>
      </c>
      <c r="K570" s="6">
        <v>0.68</v>
      </c>
      <c r="L570" s="4">
        <v>4</v>
      </c>
      <c r="M570" s="4">
        <v>95</v>
      </c>
      <c r="N570" s="4">
        <v>89</v>
      </c>
      <c r="O570" s="4" t="s">
        <v>26</v>
      </c>
      <c r="P570" s="7" t="s">
        <v>19</v>
      </c>
    </row>
    <row r="571" spans="2:16" x14ac:dyDescent="0.45">
      <c r="B571" s="4">
        <v>570</v>
      </c>
      <c r="C571" s="4" t="s">
        <v>40</v>
      </c>
      <c r="D571" s="4" t="s">
        <v>16</v>
      </c>
      <c r="E571" s="4" t="s">
        <v>17</v>
      </c>
      <c r="F571" s="4" t="s">
        <v>28</v>
      </c>
      <c r="G571" s="4" t="s">
        <v>19</v>
      </c>
      <c r="H571" s="4" t="s">
        <v>34</v>
      </c>
      <c r="I571" s="4">
        <v>51</v>
      </c>
      <c r="J571" s="5">
        <v>79.3</v>
      </c>
      <c r="K571" s="6">
        <v>1.74</v>
      </c>
      <c r="L571" s="4">
        <v>5</v>
      </c>
      <c r="M571" s="4">
        <v>130</v>
      </c>
      <c r="N571" s="4">
        <v>93</v>
      </c>
      <c r="O571" s="4" t="s">
        <v>26</v>
      </c>
      <c r="P571" s="7" t="s">
        <v>19</v>
      </c>
    </row>
    <row r="572" spans="2:16" x14ac:dyDescent="0.45">
      <c r="B572" s="4">
        <v>571</v>
      </c>
      <c r="C572" s="4" t="s">
        <v>22</v>
      </c>
      <c r="D572" s="4" t="s">
        <v>16</v>
      </c>
      <c r="E572" s="4" t="s">
        <v>17</v>
      </c>
      <c r="F572" s="4" t="s">
        <v>18</v>
      </c>
      <c r="G572" s="4" t="s">
        <v>30</v>
      </c>
      <c r="H572" s="4" t="s">
        <v>20</v>
      </c>
      <c r="I572" s="4">
        <v>62</v>
      </c>
      <c r="J572" s="5">
        <v>76.8</v>
      </c>
      <c r="K572" s="6">
        <v>1.64</v>
      </c>
      <c r="L572" s="4">
        <v>3</v>
      </c>
      <c r="M572" s="4">
        <v>126</v>
      </c>
      <c r="N572" s="4">
        <v>73</v>
      </c>
      <c r="O572" s="4" t="s">
        <v>21</v>
      </c>
      <c r="P572" s="7" t="s">
        <v>19</v>
      </c>
    </row>
    <row r="573" spans="2:16" x14ac:dyDescent="0.45">
      <c r="B573" s="4">
        <v>572</v>
      </c>
      <c r="C573" s="4" t="s">
        <v>27</v>
      </c>
      <c r="D573" s="4" t="s">
        <v>16</v>
      </c>
      <c r="E573" s="4" t="s">
        <v>35</v>
      </c>
      <c r="F573" s="4" t="s">
        <v>28</v>
      </c>
      <c r="G573" s="4" t="s">
        <v>19</v>
      </c>
      <c r="H573" s="4" t="s">
        <v>20</v>
      </c>
      <c r="I573" s="4">
        <v>52</v>
      </c>
      <c r="J573" s="5">
        <v>74.5</v>
      </c>
      <c r="K573" s="6">
        <v>1.68</v>
      </c>
      <c r="L573" s="4">
        <v>3</v>
      </c>
      <c r="M573" s="4">
        <v>113</v>
      </c>
      <c r="N573" s="4">
        <v>104</v>
      </c>
      <c r="O573" s="4" t="s">
        <v>21</v>
      </c>
      <c r="P573" s="7" t="s">
        <v>19</v>
      </c>
    </row>
    <row r="574" spans="2:16" x14ac:dyDescent="0.45">
      <c r="B574" s="4">
        <v>573</v>
      </c>
      <c r="C574" s="4" t="s">
        <v>27</v>
      </c>
      <c r="D574" s="4" t="s">
        <v>23</v>
      </c>
      <c r="E574" s="4" t="s">
        <v>17</v>
      </c>
      <c r="F574" s="4" t="s">
        <v>24</v>
      </c>
      <c r="G574" s="4" t="s">
        <v>19</v>
      </c>
      <c r="H574" s="4" t="s">
        <v>46</v>
      </c>
      <c r="I574" s="4">
        <v>8</v>
      </c>
      <c r="J574" s="5">
        <v>28.2</v>
      </c>
      <c r="K574" s="6">
        <v>1.1000000000000001</v>
      </c>
      <c r="L574" s="4">
        <v>0</v>
      </c>
      <c r="M574" s="4">
        <v>117</v>
      </c>
      <c r="N574" s="4">
        <v>104</v>
      </c>
      <c r="O574" s="4" t="s">
        <v>26</v>
      </c>
      <c r="P574" s="7" t="s">
        <v>19</v>
      </c>
    </row>
    <row r="575" spans="2:16" x14ac:dyDescent="0.45">
      <c r="B575" s="4">
        <v>574</v>
      </c>
      <c r="C575" s="4" t="s">
        <v>31</v>
      </c>
      <c r="D575" s="4" t="s">
        <v>16</v>
      </c>
      <c r="E575" s="4" t="s">
        <v>35</v>
      </c>
      <c r="F575" s="4" t="s">
        <v>18</v>
      </c>
      <c r="G575" s="4" t="s">
        <v>30</v>
      </c>
      <c r="H575" s="4" t="s">
        <v>25</v>
      </c>
      <c r="I575" s="4">
        <v>24</v>
      </c>
      <c r="J575" s="5">
        <v>84.8</v>
      </c>
      <c r="K575" s="6">
        <v>1.88</v>
      </c>
      <c r="L575" s="4">
        <v>2</v>
      </c>
      <c r="M575" s="4">
        <v>116</v>
      </c>
      <c r="N575" s="4">
        <v>103</v>
      </c>
      <c r="O575" s="4" t="s">
        <v>21</v>
      </c>
      <c r="P575" s="7" t="s">
        <v>30</v>
      </c>
    </row>
    <row r="576" spans="2:16" x14ac:dyDescent="0.45">
      <c r="B576" s="4">
        <v>575</v>
      </c>
      <c r="C576" s="4" t="s">
        <v>41</v>
      </c>
      <c r="D576" s="4" t="s">
        <v>16</v>
      </c>
      <c r="E576" s="4" t="s">
        <v>35</v>
      </c>
      <c r="F576" s="4" t="s">
        <v>24</v>
      </c>
      <c r="G576" s="4" t="s">
        <v>19</v>
      </c>
      <c r="H576" s="4" t="s">
        <v>38</v>
      </c>
      <c r="I576" s="4">
        <v>33</v>
      </c>
      <c r="J576" s="5">
        <v>82.7</v>
      </c>
      <c r="K576" s="6">
        <v>1.63</v>
      </c>
      <c r="L576" s="4">
        <v>2</v>
      </c>
      <c r="M576" s="4">
        <v>116</v>
      </c>
      <c r="N576" s="4">
        <v>78</v>
      </c>
      <c r="O576" s="4" t="s">
        <v>26</v>
      </c>
      <c r="P576" s="7" t="s">
        <v>19</v>
      </c>
    </row>
    <row r="577" spans="2:16" x14ac:dyDescent="0.45">
      <c r="B577" s="4">
        <v>576</v>
      </c>
      <c r="C577" s="4" t="s">
        <v>39</v>
      </c>
      <c r="D577" s="4" t="s">
        <v>23</v>
      </c>
      <c r="E577" s="4" t="s">
        <v>44</v>
      </c>
      <c r="F577" s="4" t="s">
        <v>28</v>
      </c>
      <c r="G577" s="4" t="s">
        <v>30</v>
      </c>
      <c r="H577" s="4" t="s">
        <v>20</v>
      </c>
      <c r="I577" s="4">
        <v>7</v>
      </c>
      <c r="J577" s="5">
        <v>25.8</v>
      </c>
      <c r="K577" s="6">
        <v>1.17</v>
      </c>
      <c r="L577" s="4">
        <v>2</v>
      </c>
      <c r="M577" s="4">
        <v>96</v>
      </c>
      <c r="N577" s="4">
        <v>83</v>
      </c>
      <c r="O577" s="4" t="s">
        <v>21</v>
      </c>
      <c r="P577" s="7" t="s">
        <v>19</v>
      </c>
    </row>
    <row r="578" spans="2:16" x14ac:dyDescent="0.45">
      <c r="B578" s="4">
        <v>577</v>
      </c>
      <c r="C578" s="4" t="s">
        <v>22</v>
      </c>
      <c r="D578" s="4" t="s">
        <v>16</v>
      </c>
      <c r="E578" s="4" t="s">
        <v>35</v>
      </c>
      <c r="F578" s="4" t="s">
        <v>42</v>
      </c>
      <c r="G578" s="4" t="s">
        <v>19</v>
      </c>
      <c r="H578" s="4" t="s">
        <v>28</v>
      </c>
      <c r="I578" s="4">
        <v>2</v>
      </c>
      <c r="J578" s="5">
        <v>12.2</v>
      </c>
      <c r="K578" s="6">
        <v>0.86</v>
      </c>
      <c r="L578" s="4">
        <v>5</v>
      </c>
      <c r="M578" s="4">
        <v>95</v>
      </c>
      <c r="N578" s="4">
        <v>102</v>
      </c>
      <c r="O578" s="4" t="s">
        <v>21</v>
      </c>
      <c r="P578" s="7" t="s">
        <v>19</v>
      </c>
    </row>
    <row r="579" spans="2:16" x14ac:dyDescent="0.45">
      <c r="B579" s="4">
        <v>578</v>
      </c>
      <c r="C579" s="4" t="s">
        <v>22</v>
      </c>
      <c r="D579" s="4" t="s">
        <v>23</v>
      </c>
      <c r="E579" s="4" t="s">
        <v>17</v>
      </c>
      <c r="F579" s="4" t="s">
        <v>24</v>
      </c>
      <c r="G579" s="4" t="s">
        <v>30</v>
      </c>
      <c r="H579" s="4" t="s">
        <v>20</v>
      </c>
      <c r="I579" s="4">
        <v>8</v>
      </c>
      <c r="J579" s="5">
        <v>24.6</v>
      </c>
      <c r="K579" s="6">
        <v>1.39</v>
      </c>
      <c r="L579" s="4">
        <v>4</v>
      </c>
      <c r="M579" s="4">
        <v>104</v>
      </c>
      <c r="N579" s="4">
        <v>85</v>
      </c>
      <c r="O579" s="4" t="s">
        <v>21</v>
      </c>
      <c r="P579" s="7" t="s">
        <v>19</v>
      </c>
    </row>
    <row r="580" spans="2:16" x14ac:dyDescent="0.45">
      <c r="B580" s="4">
        <v>579</v>
      </c>
      <c r="C580" s="4" t="s">
        <v>31</v>
      </c>
      <c r="D580" s="4" t="s">
        <v>16</v>
      </c>
      <c r="E580" s="4" t="s">
        <v>35</v>
      </c>
      <c r="F580" s="4" t="s">
        <v>24</v>
      </c>
      <c r="G580" s="4" t="s">
        <v>30</v>
      </c>
      <c r="H580" s="4" t="s">
        <v>25</v>
      </c>
      <c r="I580" s="4">
        <v>25</v>
      </c>
      <c r="J580" s="5">
        <v>61.8</v>
      </c>
      <c r="K580" s="6">
        <v>1.81</v>
      </c>
      <c r="L580" s="4">
        <v>2</v>
      </c>
      <c r="M580" s="4">
        <v>122</v>
      </c>
      <c r="N580" s="4">
        <v>73</v>
      </c>
      <c r="O580" s="4" t="s">
        <v>26</v>
      </c>
      <c r="P580" s="7" t="s">
        <v>30</v>
      </c>
    </row>
    <row r="581" spans="2:16" x14ac:dyDescent="0.45">
      <c r="B581" s="4">
        <v>580</v>
      </c>
      <c r="C581" s="4" t="s">
        <v>27</v>
      </c>
      <c r="D581" s="4" t="s">
        <v>16</v>
      </c>
      <c r="E581" s="4" t="s">
        <v>35</v>
      </c>
      <c r="F581" s="4" t="s">
        <v>18</v>
      </c>
      <c r="G581" s="4" t="s">
        <v>19</v>
      </c>
      <c r="H581" s="4" t="s">
        <v>20</v>
      </c>
      <c r="I581" s="4">
        <v>15</v>
      </c>
      <c r="J581" s="5">
        <v>40.4</v>
      </c>
      <c r="K581" s="6">
        <v>1.53</v>
      </c>
      <c r="L581" s="4">
        <v>4</v>
      </c>
      <c r="M581" s="4">
        <v>106</v>
      </c>
      <c r="N581" s="4">
        <v>82</v>
      </c>
      <c r="O581" s="4" t="s">
        <v>26</v>
      </c>
      <c r="P581" s="7" t="s">
        <v>19</v>
      </c>
    </row>
    <row r="582" spans="2:16" x14ac:dyDescent="0.45">
      <c r="B582" s="4">
        <v>581</v>
      </c>
      <c r="C582" s="4" t="s">
        <v>45</v>
      </c>
      <c r="D582" s="4" t="s">
        <v>23</v>
      </c>
      <c r="E582" s="4" t="s">
        <v>35</v>
      </c>
      <c r="F582" s="4" t="s">
        <v>18</v>
      </c>
      <c r="G582" s="4" t="s">
        <v>19</v>
      </c>
      <c r="H582" s="4" t="s">
        <v>20</v>
      </c>
      <c r="I582" s="4">
        <v>89</v>
      </c>
      <c r="J582" s="5">
        <v>88.3</v>
      </c>
      <c r="K582" s="6">
        <v>1.73</v>
      </c>
      <c r="L582" s="4">
        <v>1</v>
      </c>
      <c r="M582" s="4">
        <v>118</v>
      </c>
      <c r="N582" s="4">
        <v>82</v>
      </c>
      <c r="O582" s="4" t="s">
        <v>26</v>
      </c>
      <c r="P582" s="7" t="s">
        <v>19</v>
      </c>
    </row>
    <row r="583" spans="2:16" x14ac:dyDescent="0.45">
      <c r="B583" s="4">
        <v>582</v>
      </c>
      <c r="C583" s="4" t="s">
        <v>40</v>
      </c>
      <c r="D583" s="4" t="s">
        <v>16</v>
      </c>
      <c r="E583" s="4" t="s">
        <v>17</v>
      </c>
      <c r="F583" s="4" t="s">
        <v>24</v>
      </c>
      <c r="G583" s="4" t="s">
        <v>19</v>
      </c>
      <c r="H583" s="4" t="s">
        <v>36</v>
      </c>
      <c r="I583" s="4">
        <v>9</v>
      </c>
      <c r="J583" s="5">
        <v>32.9</v>
      </c>
      <c r="K583" s="6">
        <v>1.4</v>
      </c>
      <c r="L583" s="4">
        <v>3</v>
      </c>
      <c r="M583" s="4">
        <v>132</v>
      </c>
      <c r="N583" s="4">
        <v>86</v>
      </c>
      <c r="O583" s="4" t="s">
        <v>21</v>
      </c>
      <c r="P583" s="7" t="s">
        <v>19</v>
      </c>
    </row>
    <row r="584" spans="2:16" x14ac:dyDescent="0.45">
      <c r="B584" s="4">
        <v>583</v>
      </c>
      <c r="C584" s="4" t="s">
        <v>33</v>
      </c>
      <c r="D584" s="4" t="s">
        <v>23</v>
      </c>
      <c r="E584" s="4" t="s">
        <v>44</v>
      </c>
      <c r="F584" s="4" t="s">
        <v>24</v>
      </c>
      <c r="G584" s="4" t="s">
        <v>19</v>
      </c>
      <c r="H584" s="4" t="s">
        <v>34</v>
      </c>
      <c r="I584" s="4">
        <v>13</v>
      </c>
      <c r="J584" s="5">
        <v>42.8</v>
      </c>
      <c r="K584" s="6">
        <v>1.5</v>
      </c>
      <c r="L584" s="4">
        <v>2</v>
      </c>
      <c r="M584" s="4">
        <v>96</v>
      </c>
      <c r="N584" s="4">
        <v>72</v>
      </c>
      <c r="O584" s="4" t="s">
        <v>21</v>
      </c>
      <c r="P584" s="7" t="s">
        <v>19</v>
      </c>
    </row>
    <row r="585" spans="2:16" x14ac:dyDescent="0.45">
      <c r="B585" s="4">
        <v>584</v>
      </c>
      <c r="C585" s="4" t="s">
        <v>45</v>
      </c>
      <c r="D585" s="4" t="s">
        <v>16</v>
      </c>
      <c r="E585" s="4" t="s">
        <v>35</v>
      </c>
      <c r="F585" s="4" t="s">
        <v>18</v>
      </c>
      <c r="G585" s="4" t="s">
        <v>19</v>
      </c>
      <c r="H585" s="4" t="s">
        <v>38</v>
      </c>
      <c r="I585" s="4">
        <v>40</v>
      </c>
      <c r="J585" s="5">
        <v>85.7</v>
      </c>
      <c r="K585" s="6">
        <v>1.86</v>
      </c>
      <c r="L585" s="4">
        <v>1</v>
      </c>
      <c r="M585" s="4">
        <v>113</v>
      </c>
      <c r="N585" s="4">
        <v>102</v>
      </c>
      <c r="O585" s="4" t="s">
        <v>21</v>
      </c>
      <c r="P585" s="7" t="s">
        <v>19</v>
      </c>
    </row>
    <row r="586" spans="2:16" x14ac:dyDescent="0.45">
      <c r="B586" s="4">
        <v>585</v>
      </c>
      <c r="C586" s="4" t="s">
        <v>22</v>
      </c>
      <c r="D586" s="4" t="s">
        <v>16</v>
      </c>
      <c r="E586" s="4" t="s">
        <v>35</v>
      </c>
      <c r="F586" s="4" t="s">
        <v>28</v>
      </c>
      <c r="G586" s="4" t="s">
        <v>19</v>
      </c>
      <c r="H586" s="4" t="s">
        <v>28</v>
      </c>
      <c r="I586" s="4">
        <v>42</v>
      </c>
      <c r="J586" s="5">
        <v>54.5</v>
      </c>
      <c r="K586" s="6">
        <v>1.51</v>
      </c>
      <c r="L586" s="4">
        <v>2</v>
      </c>
      <c r="M586" s="4">
        <v>115</v>
      </c>
      <c r="N586" s="4">
        <v>81</v>
      </c>
      <c r="O586" s="4" t="s">
        <v>21</v>
      </c>
      <c r="P586" s="7" t="s">
        <v>30</v>
      </c>
    </row>
    <row r="587" spans="2:16" x14ac:dyDescent="0.45">
      <c r="B587" s="4">
        <v>586</v>
      </c>
      <c r="C587" s="4" t="s">
        <v>39</v>
      </c>
      <c r="D587" s="4" t="s">
        <v>23</v>
      </c>
      <c r="E587" s="4" t="s">
        <v>17</v>
      </c>
      <c r="F587" s="4" t="s">
        <v>24</v>
      </c>
      <c r="G587" s="4" t="s">
        <v>19</v>
      </c>
      <c r="H587" s="4" t="s">
        <v>36</v>
      </c>
      <c r="I587" s="4">
        <v>8</v>
      </c>
      <c r="J587" s="5">
        <v>18.5</v>
      </c>
      <c r="K587" s="6">
        <v>1.36</v>
      </c>
      <c r="L587" s="4">
        <v>3</v>
      </c>
      <c r="M587" s="4">
        <v>122</v>
      </c>
      <c r="N587" s="4">
        <v>101</v>
      </c>
      <c r="O587" s="4" t="s">
        <v>26</v>
      </c>
      <c r="P587" s="7" t="s">
        <v>19</v>
      </c>
    </row>
    <row r="588" spans="2:16" x14ac:dyDescent="0.45">
      <c r="B588" s="4">
        <v>587</v>
      </c>
      <c r="C588" s="4" t="s">
        <v>33</v>
      </c>
      <c r="D588" s="4" t="s">
        <v>23</v>
      </c>
      <c r="E588" s="4" t="s">
        <v>35</v>
      </c>
      <c r="F588" s="4" t="s">
        <v>24</v>
      </c>
      <c r="G588" s="4" t="s">
        <v>30</v>
      </c>
      <c r="H588" s="4" t="s">
        <v>36</v>
      </c>
      <c r="I588" s="4">
        <v>11</v>
      </c>
      <c r="J588" s="5">
        <v>35.299999999999997</v>
      </c>
      <c r="K588" s="6">
        <v>1.4</v>
      </c>
      <c r="L588" s="4">
        <v>8</v>
      </c>
      <c r="M588" s="4">
        <v>143</v>
      </c>
      <c r="N588" s="4">
        <v>89</v>
      </c>
      <c r="O588" s="4" t="s">
        <v>21</v>
      </c>
      <c r="P588" s="7" t="s">
        <v>30</v>
      </c>
    </row>
    <row r="589" spans="2:16" x14ac:dyDescent="0.45">
      <c r="B589" s="4">
        <v>588</v>
      </c>
      <c r="C589" s="4" t="s">
        <v>45</v>
      </c>
      <c r="D589" s="4" t="s">
        <v>16</v>
      </c>
      <c r="E589" s="4" t="s">
        <v>35</v>
      </c>
      <c r="F589" s="4" t="s">
        <v>24</v>
      </c>
      <c r="G589" s="4" t="s">
        <v>19</v>
      </c>
      <c r="H589" s="4" t="s">
        <v>20</v>
      </c>
      <c r="I589" s="4">
        <v>32</v>
      </c>
      <c r="J589" s="5">
        <v>54.7</v>
      </c>
      <c r="K589" s="6">
        <v>1.62</v>
      </c>
      <c r="L589" s="4">
        <v>2</v>
      </c>
      <c r="M589" s="4">
        <v>119</v>
      </c>
      <c r="N589" s="4">
        <v>100</v>
      </c>
      <c r="O589" s="4" t="s">
        <v>26</v>
      </c>
      <c r="P589" s="7" t="s">
        <v>19</v>
      </c>
    </row>
    <row r="590" spans="2:16" x14ac:dyDescent="0.45">
      <c r="B590" s="4">
        <v>589</v>
      </c>
      <c r="C590" s="4" t="s">
        <v>29</v>
      </c>
      <c r="D590" s="4" t="s">
        <v>16</v>
      </c>
      <c r="E590" s="4" t="s">
        <v>35</v>
      </c>
      <c r="F590" s="4" t="s">
        <v>24</v>
      </c>
      <c r="G590" s="4" t="s">
        <v>19</v>
      </c>
      <c r="H590" s="4" t="s">
        <v>36</v>
      </c>
      <c r="I590" s="4">
        <v>14</v>
      </c>
      <c r="J590" s="5">
        <v>57.6</v>
      </c>
      <c r="K590" s="6">
        <v>1.45</v>
      </c>
      <c r="L590" s="4">
        <v>2</v>
      </c>
      <c r="M590" s="4">
        <v>125</v>
      </c>
      <c r="N590" s="4">
        <v>93</v>
      </c>
      <c r="O590" s="4" t="s">
        <v>26</v>
      </c>
      <c r="P590" s="7" t="s">
        <v>19</v>
      </c>
    </row>
    <row r="591" spans="2:16" x14ac:dyDescent="0.45">
      <c r="B591" s="4">
        <v>590</v>
      </c>
      <c r="C591" s="4" t="s">
        <v>15</v>
      </c>
      <c r="D591" s="4" t="s">
        <v>23</v>
      </c>
      <c r="E591" s="4" t="s">
        <v>35</v>
      </c>
      <c r="F591" s="4" t="s">
        <v>28</v>
      </c>
      <c r="G591" s="4" t="s">
        <v>19</v>
      </c>
      <c r="H591" s="4" t="s">
        <v>20</v>
      </c>
      <c r="I591" s="4">
        <v>28</v>
      </c>
      <c r="J591" s="5">
        <v>78.900000000000006</v>
      </c>
      <c r="K591" s="6">
        <v>1.69</v>
      </c>
      <c r="L591" s="4">
        <v>6</v>
      </c>
      <c r="M591" s="4">
        <v>117</v>
      </c>
      <c r="N591" s="4">
        <v>83</v>
      </c>
      <c r="O591" s="4" t="s">
        <v>21</v>
      </c>
      <c r="P591" s="7" t="s">
        <v>19</v>
      </c>
    </row>
    <row r="592" spans="2:16" x14ac:dyDescent="0.45">
      <c r="B592" s="4">
        <v>591</v>
      </c>
      <c r="C592" s="4" t="s">
        <v>39</v>
      </c>
      <c r="D592" s="4" t="s">
        <v>23</v>
      </c>
      <c r="E592" s="4" t="s">
        <v>17</v>
      </c>
      <c r="F592" s="4" t="s">
        <v>18</v>
      </c>
      <c r="G592" s="4" t="s">
        <v>30</v>
      </c>
      <c r="H592" s="4" t="s">
        <v>20</v>
      </c>
      <c r="I592" s="4">
        <v>11</v>
      </c>
      <c r="J592" s="5">
        <v>32.9</v>
      </c>
      <c r="K592" s="6">
        <v>1.38</v>
      </c>
      <c r="L592" s="4">
        <v>2</v>
      </c>
      <c r="M592" s="4">
        <v>97</v>
      </c>
      <c r="N592" s="4">
        <v>101</v>
      </c>
      <c r="O592" s="4" t="s">
        <v>21</v>
      </c>
      <c r="P592" s="7" t="s">
        <v>19</v>
      </c>
    </row>
    <row r="593" spans="2:16" x14ac:dyDescent="0.45">
      <c r="B593" s="4">
        <v>592</v>
      </c>
      <c r="C593" s="4" t="s">
        <v>40</v>
      </c>
      <c r="D593" s="4" t="s">
        <v>16</v>
      </c>
      <c r="E593" s="4" t="s">
        <v>35</v>
      </c>
      <c r="F593" s="4" t="s">
        <v>28</v>
      </c>
      <c r="G593" s="4" t="s">
        <v>30</v>
      </c>
      <c r="H593" s="4" t="s">
        <v>28</v>
      </c>
      <c r="I593" s="4">
        <v>11</v>
      </c>
      <c r="J593" s="5">
        <v>20</v>
      </c>
      <c r="K593" s="6">
        <v>1.37</v>
      </c>
      <c r="L593" s="4">
        <v>1</v>
      </c>
      <c r="M593" s="4">
        <v>118</v>
      </c>
      <c r="N593" s="4">
        <v>77</v>
      </c>
      <c r="O593" s="4" t="s">
        <v>21</v>
      </c>
      <c r="P593" s="7" t="s">
        <v>19</v>
      </c>
    </row>
    <row r="594" spans="2:16" x14ac:dyDescent="0.45">
      <c r="B594" s="4">
        <v>593</v>
      </c>
      <c r="C594" s="4" t="s">
        <v>15</v>
      </c>
      <c r="D594" s="4" t="s">
        <v>23</v>
      </c>
      <c r="E594" s="4" t="s">
        <v>35</v>
      </c>
      <c r="F594" s="4" t="s">
        <v>24</v>
      </c>
      <c r="G594" s="4" t="s">
        <v>19</v>
      </c>
      <c r="H594" s="4" t="s">
        <v>28</v>
      </c>
      <c r="I594" s="4">
        <v>5</v>
      </c>
      <c r="J594" s="5">
        <v>34.6</v>
      </c>
      <c r="K594" s="6">
        <v>1.42</v>
      </c>
      <c r="L594" s="4">
        <v>0</v>
      </c>
      <c r="M594" s="4">
        <v>108</v>
      </c>
      <c r="N594" s="4">
        <v>103</v>
      </c>
      <c r="O594" s="4" t="s">
        <v>26</v>
      </c>
      <c r="P594" s="7" t="s">
        <v>19</v>
      </c>
    </row>
    <row r="595" spans="2:16" x14ac:dyDescent="0.45">
      <c r="B595" s="4">
        <v>594</v>
      </c>
      <c r="C595" s="4" t="s">
        <v>39</v>
      </c>
      <c r="D595" s="4" t="s">
        <v>23</v>
      </c>
      <c r="E595" s="4" t="s">
        <v>35</v>
      </c>
      <c r="F595" s="4" t="s">
        <v>24</v>
      </c>
      <c r="G595" s="4" t="s">
        <v>19</v>
      </c>
      <c r="H595" s="4" t="s">
        <v>28</v>
      </c>
      <c r="I595" s="4">
        <v>71</v>
      </c>
      <c r="J595" s="5">
        <v>92.1</v>
      </c>
      <c r="K595" s="6">
        <v>1.55</v>
      </c>
      <c r="L595" s="4">
        <v>4</v>
      </c>
      <c r="M595" s="4">
        <v>136</v>
      </c>
      <c r="N595" s="4">
        <v>75</v>
      </c>
      <c r="O595" s="4" t="s">
        <v>21</v>
      </c>
      <c r="P595" s="7" t="s">
        <v>30</v>
      </c>
    </row>
    <row r="596" spans="2:16" x14ac:dyDescent="0.45">
      <c r="B596" s="4">
        <v>595</v>
      </c>
      <c r="C596" s="4" t="s">
        <v>33</v>
      </c>
      <c r="D596" s="4" t="s">
        <v>23</v>
      </c>
      <c r="E596" s="4" t="s">
        <v>44</v>
      </c>
      <c r="F596" s="4" t="s">
        <v>28</v>
      </c>
      <c r="G596" s="4" t="s">
        <v>19</v>
      </c>
      <c r="H596" s="4" t="s">
        <v>25</v>
      </c>
      <c r="I596" s="4">
        <v>14</v>
      </c>
      <c r="J596" s="5">
        <v>55.4</v>
      </c>
      <c r="K596" s="6">
        <v>1.72</v>
      </c>
      <c r="L596" s="4">
        <v>4</v>
      </c>
      <c r="M596" s="4">
        <v>107</v>
      </c>
      <c r="N596" s="4">
        <v>94</v>
      </c>
      <c r="O596" s="4" t="s">
        <v>26</v>
      </c>
      <c r="P596" s="7" t="s">
        <v>19</v>
      </c>
    </row>
    <row r="597" spans="2:16" x14ac:dyDescent="0.45">
      <c r="B597" s="4">
        <v>596</v>
      </c>
      <c r="C597" s="4" t="s">
        <v>27</v>
      </c>
      <c r="D597" s="4" t="s">
        <v>16</v>
      </c>
      <c r="E597" s="4" t="s">
        <v>17</v>
      </c>
      <c r="F597" s="4" t="s">
        <v>24</v>
      </c>
      <c r="G597" s="4" t="s">
        <v>19</v>
      </c>
      <c r="H597" s="4" t="s">
        <v>32</v>
      </c>
      <c r="I597" s="4">
        <v>37</v>
      </c>
      <c r="J597" s="5">
        <v>62.9</v>
      </c>
      <c r="K597" s="6">
        <v>1.64</v>
      </c>
      <c r="L597" s="4">
        <v>1</v>
      </c>
      <c r="M597" s="4">
        <v>104</v>
      </c>
      <c r="N597" s="4">
        <v>136</v>
      </c>
      <c r="O597" s="4" t="s">
        <v>21</v>
      </c>
      <c r="P597" s="7" t="s">
        <v>19</v>
      </c>
    </row>
    <row r="598" spans="2:16" x14ac:dyDescent="0.45">
      <c r="B598" s="4">
        <v>597</v>
      </c>
      <c r="C598" s="4" t="s">
        <v>31</v>
      </c>
      <c r="D598" s="4" t="s">
        <v>16</v>
      </c>
      <c r="E598" s="4" t="s">
        <v>17</v>
      </c>
      <c r="F598" s="4" t="s">
        <v>24</v>
      </c>
      <c r="G598" s="4" t="s">
        <v>19</v>
      </c>
      <c r="H598" s="4" t="s">
        <v>34</v>
      </c>
      <c r="I598" s="4">
        <v>51</v>
      </c>
      <c r="J598" s="5">
        <v>74.099999999999994</v>
      </c>
      <c r="K598" s="6">
        <v>1.83</v>
      </c>
      <c r="L598" s="4">
        <v>5</v>
      </c>
      <c r="M598" s="4">
        <v>118</v>
      </c>
      <c r="N598" s="4">
        <v>102</v>
      </c>
      <c r="O598" s="4" t="s">
        <v>26</v>
      </c>
      <c r="P598" s="7" t="s">
        <v>19</v>
      </c>
    </row>
    <row r="599" spans="2:16" x14ac:dyDescent="0.45">
      <c r="B599" s="4">
        <v>598</v>
      </c>
      <c r="C599" s="4" t="s">
        <v>45</v>
      </c>
      <c r="D599" s="4" t="s">
        <v>16</v>
      </c>
      <c r="E599" s="4" t="s">
        <v>37</v>
      </c>
      <c r="F599" s="4" t="s">
        <v>24</v>
      </c>
      <c r="G599" s="4" t="s">
        <v>19</v>
      </c>
      <c r="H599" s="4" t="s">
        <v>25</v>
      </c>
      <c r="I599" s="4">
        <v>57</v>
      </c>
      <c r="J599" s="5">
        <v>78.7</v>
      </c>
      <c r="K599" s="6">
        <v>1.83</v>
      </c>
      <c r="L599" s="4">
        <v>4</v>
      </c>
      <c r="M599" s="4">
        <v>112</v>
      </c>
      <c r="N599" s="4">
        <v>74</v>
      </c>
      <c r="O599" s="4" t="s">
        <v>21</v>
      </c>
      <c r="P599" s="7" t="s">
        <v>19</v>
      </c>
    </row>
    <row r="600" spans="2:16" x14ac:dyDescent="0.45">
      <c r="B600" s="4">
        <v>599</v>
      </c>
      <c r="C600" s="4" t="s">
        <v>41</v>
      </c>
      <c r="D600" s="4" t="s">
        <v>16</v>
      </c>
      <c r="E600" s="4" t="s">
        <v>35</v>
      </c>
      <c r="F600" s="4" t="s">
        <v>28</v>
      </c>
      <c r="G600" s="4" t="s">
        <v>19</v>
      </c>
      <c r="H600" s="4" t="s">
        <v>32</v>
      </c>
      <c r="I600" s="4">
        <v>55</v>
      </c>
      <c r="J600" s="5">
        <v>86.8</v>
      </c>
      <c r="K600" s="6">
        <v>1.89</v>
      </c>
      <c r="L600" s="4">
        <v>2</v>
      </c>
      <c r="M600" s="4">
        <v>114</v>
      </c>
      <c r="N600" s="4">
        <v>187</v>
      </c>
      <c r="O600" s="4" t="s">
        <v>21</v>
      </c>
      <c r="P600" s="7" t="s">
        <v>19</v>
      </c>
    </row>
    <row r="601" spans="2:16" x14ac:dyDescent="0.45">
      <c r="B601" s="4">
        <v>600</v>
      </c>
      <c r="C601" s="4" t="s">
        <v>33</v>
      </c>
      <c r="D601" s="4" t="s">
        <v>23</v>
      </c>
      <c r="E601" s="4" t="s">
        <v>17</v>
      </c>
      <c r="F601" s="4" t="s">
        <v>24</v>
      </c>
      <c r="G601" s="4" t="s">
        <v>19</v>
      </c>
      <c r="H601" s="4" t="s">
        <v>38</v>
      </c>
      <c r="I601" s="4">
        <v>3</v>
      </c>
      <c r="J601" s="5">
        <v>7.8</v>
      </c>
      <c r="K601" s="6">
        <v>0.92</v>
      </c>
      <c r="L601" s="4">
        <v>2</v>
      </c>
      <c r="M601" s="4">
        <v>111</v>
      </c>
      <c r="N601" s="4">
        <v>78</v>
      </c>
      <c r="O601" s="4" t="s">
        <v>26</v>
      </c>
      <c r="P601" s="7" t="s">
        <v>19</v>
      </c>
    </row>
    <row r="602" spans="2:16" x14ac:dyDescent="0.45">
      <c r="B602" s="4">
        <v>601</v>
      </c>
      <c r="C602" s="4" t="s">
        <v>43</v>
      </c>
      <c r="D602" s="4" t="s">
        <v>16</v>
      </c>
      <c r="E602" s="4" t="s">
        <v>35</v>
      </c>
      <c r="F602" s="4" t="s">
        <v>18</v>
      </c>
      <c r="G602" s="4" t="s">
        <v>19</v>
      </c>
      <c r="H602" s="4" t="s">
        <v>46</v>
      </c>
      <c r="I602" s="4">
        <v>60</v>
      </c>
      <c r="J602" s="5">
        <v>79.3</v>
      </c>
      <c r="K602" s="6">
        <v>1.85</v>
      </c>
      <c r="L602" s="4">
        <v>10</v>
      </c>
      <c r="M602" s="4">
        <v>114</v>
      </c>
      <c r="N602" s="4">
        <v>95</v>
      </c>
      <c r="O602" s="4" t="s">
        <v>26</v>
      </c>
      <c r="P602" s="7" t="s">
        <v>19</v>
      </c>
    </row>
    <row r="603" spans="2:16" x14ac:dyDescent="0.45">
      <c r="B603" s="4">
        <v>602</v>
      </c>
      <c r="C603" s="4" t="s">
        <v>27</v>
      </c>
      <c r="D603" s="4" t="s">
        <v>23</v>
      </c>
      <c r="E603" s="4" t="s">
        <v>17</v>
      </c>
      <c r="F603" s="4" t="s">
        <v>18</v>
      </c>
      <c r="G603" s="4" t="s">
        <v>19</v>
      </c>
      <c r="H603" s="4" t="s">
        <v>46</v>
      </c>
      <c r="I603" s="4">
        <v>4</v>
      </c>
      <c r="J603" s="5">
        <v>16.899999999999999</v>
      </c>
      <c r="K603" s="6">
        <v>0.88</v>
      </c>
      <c r="L603" s="4">
        <v>2</v>
      </c>
      <c r="M603" s="4">
        <v>102</v>
      </c>
      <c r="N603" s="4">
        <v>96</v>
      </c>
      <c r="O603" s="4" t="s">
        <v>26</v>
      </c>
      <c r="P603" s="7" t="s">
        <v>19</v>
      </c>
    </row>
    <row r="604" spans="2:16" x14ac:dyDescent="0.45">
      <c r="B604" s="4">
        <v>603</v>
      </c>
      <c r="C604" s="4" t="s">
        <v>27</v>
      </c>
      <c r="D604" s="4" t="s">
        <v>16</v>
      </c>
      <c r="E604" s="4" t="s">
        <v>37</v>
      </c>
      <c r="F604" s="4" t="s">
        <v>24</v>
      </c>
      <c r="G604" s="4" t="s">
        <v>19</v>
      </c>
      <c r="H604" s="4" t="s">
        <v>36</v>
      </c>
      <c r="I604" s="4">
        <v>5</v>
      </c>
      <c r="J604" s="5">
        <v>29</v>
      </c>
      <c r="K604" s="6">
        <v>1.17</v>
      </c>
      <c r="L604" s="4">
        <v>4</v>
      </c>
      <c r="M604" s="4">
        <v>120</v>
      </c>
      <c r="N604" s="4">
        <v>72</v>
      </c>
      <c r="O604" s="4" t="s">
        <v>21</v>
      </c>
      <c r="P604" s="7" t="s">
        <v>19</v>
      </c>
    </row>
    <row r="605" spans="2:16" x14ac:dyDescent="0.45">
      <c r="B605" s="4">
        <v>604</v>
      </c>
      <c r="C605" s="4" t="s">
        <v>22</v>
      </c>
      <c r="D605" s="4" t="s">
        <v>16</v>
      </c>
      <c r="E605" s="4" t="s">
        <v>37</v>
      </c>
      <c r="F605" s="4" t="s">
        <v>18</v>
      </c>
      <c r="G605" s="4" t="s">
        <v>19</v>
      </c>
      <c r="H605" s="4" t="s">
        <v>20</v>
      </c>
      <c r="I605" s="4">
        <v>8</v>
      </c>
      <c r="J605" s="5">
        <v>21</v>
      </c>
      <c r="K605" s="6">
        <v>1.22</v>
      </c>
      <c r="L605" s="4">
        <v>2</v>
      </c>
      <c r="M605" s="4">
        <v>92</v>
      </c>
      <c r="N605" s="4">
        <v>78</v>
      </c>
      <c r="O605" s="4" t="s">
        <v>26</v>
      </c>
      <c r="P605" s="7" t="s">
        <v>19</v>
      </c>
    </row>
    <row r="606" spans="2:16" x14ac:dyDescent="0.45">
      <c r="B606" s="4">
        <v>605</v>
      </c>
      <c r="C606" s="4" t="s">
        <v>33</v>
      </c>
      <c r="D606" s="4" t="s">
        <v>23</v>
      </c>
      <c r="E606" s="4" t="s">
        <v>35</v>
      </c>
      <c r="F606" s="4" t="s">
        <v>18</v>
      </c>
      <c r="G606" s="4" t="s">
        <v>19</v>
      </c>
      <c r="H606" s="4" t="s">
        <v>46</v>
      </c>
      <c r="I606" s="4">
        <v>18</v>
      </c>
      <c r="J606" s="5">
        <v>86.3</v>
      </c>
      <c r="K606" s="6">
        <v>1.71</v>
      </c>
      <c r="L606" s="4">
        <v>0</v>
      </c>
      <c r="M606" s="4">
        <v>114</v>
      </c>
      <c r="N606" s="4">
        <v>94</v>
      </c>
      <c r="O606" s="4" t="s">
        <v>26</v>
      </c>
      <c r="P606" s="7" t="s">
        <v>30</v>
      </c>
    </row>
    <row r="607" spans="2:16" x14ac:dyDescent="0.45">
      <c r="B607" s="4">
        <v>606</v>
      </c>
      <c r="C607" s="4" t="s">
        <v>45</v>
      </c>
      <c r="D607" s="4" t="s">
        <v>16</v>
      </c>
      <c r="E607" s="4" t="s">
        <v>17</v>
      </c>
      <c r="F607" s="4" t="s">
        <v>24</v>
      </c>
      <c r="G607" s="4" t="s">
        <v>30</v>
      </c>
      <c r="H607" s="4" t="s">
        <v>25</v>
      </c>
      <c r="I607" s="4">
        <v>44</v>
      </c>
      <c r="J607" s="5">
        <v>52.1</v>
      </c>
      <c r="K607" s="6">
        <v>1.83</v>
      </c>
      <c r="L607" s="4">
        <v>4</v>
      </c>
      <c r="M607" s="4">
        <v>113</v>
      </c>
      <c r="N607" s="4">
        <v>97</v>
      </c>
      <c r="O607" s="4" t="s">
        <v>26</v>
      </c>
      <c r="P607" s="7" t="s">
        <v>19</v>
      </c>
    </row>
    <row r="608" spans="2:16" x14ac:dyDescent="0.45">
      <c r="B608" s="4">
        <v>607</v>
      </c>
      <c r="C608" s="4" t="s">
        <v>41</v>
      </c>
      <c r="D608" s="4" t="s">
        <v>23</v>
      </c>
      <c r="E608" s="4" t="s">
        <v>44</v>
      </c>
      <c r="F608" s="4" t="s">
        <v>18</v>
      </c>
      <c r="G608" s="4" t="s">
        <v>19</v>
      </c>
      <c r="H608" s="4" t="s">
        <v>38</v>
      </c>
      <c r="I608" s="4">
        <v>44</v>
      </c>
      <c r="J608" s="5">
        <v>55.2</v>
      </c>
      <c r="K608" s="6">
        <v>1.64</v>
      </c>
      <c r="L608" s="4">
        <v>5</v>
      </c>
      <c r="M608" s="4">
        <v>120</v>
      </c>
      <c r="N608" s="4">
        <v>96</v>
      </c>
      <c r="O608" s="4" t="s">
        <v>21</v>
      </c>
      <c r="P608" s="7" t="s">
        <v>30</v>
      </c>
    </row>
    <row r="609" spans="2:16" x14ac:dyDescent="0.45">
      <c r="B609" s="4">
        <v>608</v>
      </c>
      <c r="C609" s="4" t="s">
        <v>27</v>
      </c>
      <c r="D609" s="4" t="s">
        <v>16</v>
      </c>
      <c r="E609" s="4" t="s">
        <v>35</v>
      </c>
      <c r="F609" s="4" t="s">
        <v>18</v>
      </c>
      <c r="G609" s="4" t="s">
        <v>30</v>
      </c>
      <c r="H609" s="4" t="s">
        <v>28</v>
      </c>
      <c r="I609" s="4">
        <v>11</v>
      </c>
      <c r="J609" s="5">
        <v>34.299999999999997</v>
      </c>
      <c r="K609" s="6">
        <v>1.1200000000000001</v>
      </c>
      <c r="L609" s="4">
        <v>3</v>
      </c>
      <c r="M609" s="4">
        <v>96</v>
      </c>
      <c r="N609" s="4">
        <v>77</v>
      </c>
      <c r="O609" s="4" t="s">
        <v>21</v>
      </c>
      <c r="P609" s="7" t="s">
        <v>19</v>
      </c>
    </row>
    <row r="610" spans="2:16" x14ac:dyDescent="0.45">
      <c r="B610" s="4">
        <v>609</v>
      </c>
      <c r="C610" s="4" t="s">
        <v>22</v>
      </c>
      <c r="D610" s="4" t="s">
        <v>16</v>
      </c>
      <c r="E610" s="4" t="s">
        <v>35</v>
      </c>
      <c r="F610" s="4" t="s">
        <v>24</v>
      </c>
      <c r="G610" s="4" t="s">
        <v>19</v>
      </c>
      <c r="H610" s="4" t="s">
        <v>36</v>
      </c>
      <c r="I610" s="4">
        <v>47</v>
      </c>
      <c r="J610" s="5">
        <v>61</v>
      </c>
      <c r="K610" s="6">
        <v>1.79</v>
      </c>
      <c r="L610" s="4">
        <v>2</v>
      </c>
      <c r="M610" s="4">
        <v>144</v>
      </c>
      <c r="N610" s="4">
        <v>90</v>
      </c>
      <c r="O610" s="4" t="s">
        <v>21</v>
      </c>
      <c r="P610" s="7" t="s">
        <v>19</v>
      </c>
    </row>
    <row r="611" spans="2:16" x14ac:dyDescent="0.45">
      <c r="B611" s="4">
        <v>610</v>
      </c>
      <c r="C611" s="4" t="s">
        <v>22</v>
      </c>
      <c r="D611" s="4" t="s">
        <v>16</v>
      </c>
      <c r="E611" s="4" t="s">
        <v>35</v>
      </c>
      <c r="F611" s="4" t="s">
        <v>24</v>
      </c>
      <c r="G611" s="4" t="s">
        <v>19</v>
      </c>
      <c r="H611" s="4" t="s">
        <v>20</v>
      </c>
      <c r="I611" s="4">
        <v>4</v>
      </c>
      <c r="J611" s="5">
        <v>16.8</v>
      </c>
      <c r="K611" s="6">
        <v>0.82</v>
      </c>
      <c r="L611" s="4">
        <v>3</v>
      </c>
      <c r="M611" s="4">
        <v>100</v>
      </c>
      <c r="N611" s="4">
        <v>71</v>
      </c>
      <c r="O611" s="4" t="s">
        <v>26</v>
      </c>
      <c r="P611" s="7" t="s">
        <v>19</v>
      </c>
    </row>
    <row r="612" spans="2:16" x14ac:dyDescent="0.45">
      <c r="B612" s="4">
        <v>611</v>
      </c>
      <c r="C612" s="4" t="s">
        <v>43</v>
      </c>
      <c r="D612" s="4" t="s">
        <v>23</v>
      </c>
      <c r="E612" s="4" t="s">
        <v>17</v>
      </c>
      <c r="F612" s="4" t="s">
        <v>24</v>
      </c>
      <c r="G612" s="4" t="s">
        <v>19</v>
      </c>
      <c r="H612" s="4" t="s">
        <v>28</v>
      </c>
      <c r="I612" s="4">
        <v>59</v>
      </c>
      <c r="J612" s="5">
        <v>54.5</v>
      </c>
      <c r="K612" s="6">
        <v>1.63</v>
      </c>
      <c r="L612" s="4">
        <v>4</v>
      </c>
      <c r="M612" s="4">
        <v>118</v>
      </c>
      <c r="N612" s="4">
        <v>91</v>
      </c>
      <c r="O612" s="4" t="s">
        <v>26</v>
      </c>
      <c r="P612" s="7" t="s">
        <v>19</v>
      </c>
    </row>
    <row r="613" spans="2:16" x14ac:dyDescent="0.45">
      <c r="B613" s="4">
        <v>612</v>
      </c>
      <c r="C613" s="4" t="s">
        <v>27</v>
      </c>
      <c r="D613" s="4" t="s">
        <v>16</v>
      </c>
      <c r="E613" s="4" t="s">
        <v>17</v>
      </c>
      <c r="F613" s="4" t="s">
        <v>42</v>
      </c>
      <c r="G613" s="4" t="s">
        <v>19</v>
      </c>
      <c r="H613" s="4" t="s">
        <v>36</v>
      </c>
      <c r="I613" s="4">
        <v>19</v>
      </c>
      <c r="J613" s="5">
        <v>78</v>
      </c>
      <c r="K613" s="6">
        <v>1.74</v>
      </c>
      <c r="L613" s="4">
        <v>9</v>
      </c>
      <c r="M613" s="4">
        <v>141</v>
      </c>
      <c r="N613" s="4">
        <v>94</v>
      </c>
      <c r="O613" s="4" t="s">
        <v>26</v>
      </c>
      <c r="P613" s="7" t="s">
        <v>19</v>
      </c>
    </row>
    <row r="614" spans="2:16" x14ac:dyDescent="0.45">
      <c r="B614" s="4">
        <v>613</v>
      </c>
      <c r="C614" s="4" t="s">
        <v>22</v>
      </c>
      <c r="D614" s="4" t="s">
        <v>16</v>
      </c>
      <c r="E614" s="4" t="s">
        <v>35</v>
      </c>
      <c r="F614" s="4" t="s">
        <v>24</v>
      </c>
      <c r="G614" s="4" t="s">
        <v>19</v>
      </c>
      <c r="H614" s="4" t="s">
        <v>28</v>
      </c>
      <c r="I614" s="4">
        <v>10</v>
      </c>
      <c r="J614" s="5">
        <v>25.4</v>
      </c>
      <c r="K614" s="6">
        <v>1.1599999999999999</v>
      </c>
      <c r="L614" s="4">
        <v>0</v>
      </c>
      <c r="M614" s="4">
        <v>112</v>
      </c>
      <c r="N614" s="4">
        <v>101</v>
      </c>
      <c r="O614" s="4" t="s">
        <v>21</v>
      </c>
      <c r="P614" s="7" t="s">
        <v>19</v>
      </c>
    </row>
    <row r="615" spans="2:16" x14ac:dyDescent="0.45">
      <c r="B615" s="4">
        <v>614</v>
      </c>
      <c r="C615" s="4" t="s">
        <v>40</v>
      </c>
      <c r="D615" s="4" t="s">
        <v>23</v>
      </c>
      <c r="E615" s="4" t="s">
        <v>35</v>
      </c>
      <c r="F615" s="4" t="s">
        <v>42</v>
      </c>
      <c r="G615" s="4" t="s">
        <v>19</v>
      </c>
      <c r="H615" s="4" t="s">
        <v>28</v>
      </c>
      <c r="I615" s="4">
        <v>20</v>
      </c>
      <c r="J615" s="5">
        <v>69.900000000000006</v>
      </c>
      <c r="K615" s="6">
        <v>1.52</v>
      </c>
      <c r="L615" s="4">
        <v>4</v>
      </c>
      <c r="M615" s="4">
        <v>106</v>
      </c>
      <c r="N615" s="4">
        <v>95</v>
      </c>
      <c r="O615" s="4" t="s">
        <v>21</v>
      </c>
      <c r="P615" s="7" t="s">
        <v>19</v>
      </c>
    </row>
    <row r="616" spans="2:16" x14ac:dyDescent="0.45">
      <c r="B616" s="4">
        <v>615</v>
      </c>
      <c r="C616" s="4" t="s">
        <v>45</v>
      </c>
      <c r="D616" s="4" t="s">
        <v>16</v>
      </c>
      <c r="E616" s="4" t="s">
        <v>17</v>
      </c>
      <c r="F616" s="4" t="s">
        <v>18</v>
      </c>
      <c r="G616" s="4" t="s">
        <v>19</v>
      </c>
      <c r="H616" s="4" t="s">
        <v>38</v>
      </c>
      <c r="I616" s="4">
        <v>22</v>
      </c>
      <c r="J616" s="5">
        <v>55.2</v>
      </c>
      <c r="K616" s="6">
        <v>1.87</v>
      </c>
      <c r="L616" s="4">
        <v>8</v>
      </c>
      <c r="M616" s="4">
        <v>97</v>
      </c>
      <c r="N616" s="4">
        <v>89</v>
      </c>
      <c r="O616" s="4" t="s">
        <v>26</v>
      </c>
      <c r="P616" s="7" t="s">
        <v>19</v>
      </c>
    </row>
    <row r="617" spans="2:16" x14ac:dyDescent="0.45">
      <c r="B617" s="4">
        <v>616</v>
      </c>
      <c r="C617" s="4" t="s">
        <v>22</v>
      </c>
      <c r="D617" s="4" t="s">
        <v>23</v>
      </c>
      <c r="E617" s="4" t="s">
        <v>35</v>
      </c>
      <c r="F617" s="4" t="s">
        <v>24</v>
      </c>
      <c r="G617" s="4" t="s">
        <v>19</v>
      </c>
      <c r="H617" s="4" t="s">
        <v>28</v>
      </c>
      <c r="I617" s="4">
        <v>0</v>
      </c>
      <c r="J617" s="5">
        <v>10.6</v>
      </c>
      <c r="K617" s="6">
        <v>0.72</v>
      </c>
      <c r="L617" s="4">
        <v>9</v>
      </c>
      <c r="M617" s="4">
        <v>97</v>
      </c>
      <c r="N617" s="4">
        <v>99</v>
      </c>
      <c r="O617" s="4" t="s">
        <v>26</v>
      </c>
      <c r="P617" s="7" t="s">
        <v>19</v>
      </c>
    </row>
    <row r="618" spans="2:16" x14ac:dyDescent="0.45">
      <c r="B618" s="4">
        <v>617</v>
      </c>
      <c r="C618" s="4" t="s">
        <v>43</v>
      </c>
      <c r="D618" s="4" t="s">
        <v>16</v>
      </c>
      <c r="E618" s="4" t="s">
        <v>35</v>
      </c>
      <c r="F618" s="4" t="s">
        <v>42</v>
      </c>
      <c r="G618" s="4" t="s">
        <v>30</v>
      </c>
      <c r="H618" s="4" t="s">
        <v>28</v>
      </c>
      <c r="I618" s="4">
        <v>42</v>
      </c>
      <c r="J618" s="5">
        <v>75.5</v>
      </c>
      <c r="K618" s="6">
        <v>1.72</v>
      </c>
      <c r="L618" s="4">
        <v>2</v>
      </c>
      <c r="M618" s="4">
        <v>114</v>
      </c>
      <c r="N618" s="4">
        <v>91</v>
      </c>
      <c r="O618" s="4" t="s">
        <v>21</v>
      </c>
      <c r="P618" s="7" t="s">
        <v>19</v>
      </c>
    </row>
    <row r="619" spans="2:16" x14ac:dyDescent="0.45">
      <c r="B619" s="4">
        <v>618</v>
      </c>
      <c r="C619" s="4" t="s">
        <v>41</v>
      </c>
      <c r="D619" s="4" t="s">
        <v>23</v>
      </c>
      <c r="E619" s="4" t="s">
        <v>17</v>
      </c>
      <c r="F619" s="4" t="s">
        <v>24</v>
      </c>
      <c r="G619" s="4" t="s">
        <v>19</v>
      </c>
      <c r="H619" s="4" t="s">
        <v>28</v>
      </c>
      <c r="I619" s="4">
        <v>13</v>
      </c>
      <c r="J619" s="5">
        <v>53.7</v>
      </c>
      <c r="K619" s="6">
        <v>1.64</v>
      </c>
      <c r="L619" s="4">
        <v>0</v>
      </c>
      <c r="M619" s="4">
        <v>108</v>
      </c>
      <c r="N619" s="4">
        <v>75</v>
      </c>
      <c r="O619" s="4" t="s">
        <v>26</v>
      </c>
      <c r="P619" s="7" t="s">
        <v>19</v>
      </c>
    </row>
    <row r="620" spans="2:16" x14ac:dyDescent="0.45">
      <c r="B620" s="4">
        <v>619</v>
      </c>
      <c r="C620" s="4" t="s">
        <v>33</v>
      </c>
      <c r="D620" s="4" t="s">
        <v>16</v>
      </c>
      <c r="E620" s="4" t="s">
        <v>35</v>
      </c>
      <c r="F620" s="4" t="s">
        <v>24</v>
      </c>
      <c r="G620" s="4" t="s">
        <v>30</v>
      </c>
      <c r="H620" s="4" t="s">
        <v>38</v>
      </c>
      <c r="I620" s="4">
        <v>16</v>
      </c>
      <c r="J620" s="5">
        <v>50.1</v>
      </c>
      <c r="K620" s="6">
        <v>1.63</v>
      </c>
      <c r="L620" s="4">
        <v>1</v>
      </c>
      <c r="M620" s="4">
        <v>96</v>
      </c>
      <c r="N620" s="4">
        <v>78</v>
      </c>
      <c r="O620" s="4" t="s">
        <v>21</v>
      </c>
      <c r="P620" s="7" t="s">
        <v>19</v>
      </c>
    </row>
    <row r="621" spans="2:16" x14ac:dyDescent="0.45">
      <c r="B621" s="4">
        <v>620</v>
      </c>
      <c r="C621" s="4" t="s">
        <v>15</v>
      </c>
      <c r="D621" s="4" t="s">
        <v>16</v>
      </c>
      <c r="E621" s="4" t="s">
        <v>37</v>
      </c>
      <c r="F621" s="4" t="s">
        <v>28</v>
      </c>
      <c r="G621" s="4" t="s">
        <v>30</v>
      </c>
      <c r="H621" s="4" t="s">
        <v>32</v>
      </c>
      <c r="I621" s="4">
        <v>35</v>
      </c>
      <c r="J621" s="5">
        <v>49</v>
      </c>
      <c r="K621" s="6">
        <v>1.59</v>
      </c>
      <c r="L621" s="4">
        <v>2</v>
      </c>
      <c r="M621" s="4">
        <v>116</v>
      </c>
      <c r="N621" s="4">
        <v>162</v>
      </c>
      <c r="O621" s="4" t="s">
        <v>26</v>
      </c>
      <c r="P621" s="7" t="s">
        <v>19</v>
      </c>
    </row>
    <row r="622" spans="2:16" x14ac:dyDescent="0.45">
      <c r="B622" s="4">
        <v>621</v>
      </c>
      <c r="C622" s="4" t="s">
        <v>27</v>
      </c>
      <c r="D622" s="4" t="s">
        <v>23</v>
      </c>
      <c r="E622" s="4" t="s">
        <v>17</v>
      </c>
      <c r="F622" s="4" t="s">
        <v>24</v>
      </c>
      <c r="G622" s="4" t="s">
        <v>19</v>
      </c>
      <c r="H622" s="4" t="s">
        <v>32</v>
      </c>
      <c r="I622" s="4">
        <v>5</v>
      </c>
      <c r="J622" s="5">
        <v>36.1</v>
      </c>
      <c r="K622" s="6">
        <v>1.22</v>
      </c>
      <c r="L622" s="4">
        <v>10</v>
      </c>
      <c r="M622" s="4">
        <v>105</v>
      </c>
      <c r="N622" s="4">
        <v>174</v>
      </c>
      <c r="O622" s="4" t="s">
        <v>21</v>
      </c>
      <c r="P622" s="7" t="s">
        <v>19</v>
      </c>
    </row>
    <row r="623" spans="2:16" x14ac:dyDescent="0.45">
      <c r="B623" s="4">
        <v>622</v>
      </c>
      <c r="C623" s="4" t="s">
        <v>22</v>
      </c>
      <c r="D623" s="4" t="s">
        <v>16</v>
      </c>
      <c r="E623" s="4" t="s">
        <v>35</v>
      </c>
      <c r="F623" s="4" t="s">
        <v>18</v>
      </c>
      <c r="G623" s="4" t="s">
        <v>19</v>
      </c>
      <c r="H623" s="4" t="s">
        <v>20</v>
      </c>
      <c r="I623" s="4">
        <v>13</v>
      </c>
      <c r="J623" s="5">
        <v>47.6</v>
      </c>
      <c r="K623" s="6">
        <v>1.73</v>
      </c>
      <c r="L623" s="4">
        <v>5</v>
      </c>
      <c r="M623" s="4">
        <v>100</v>
      </c>
      <c r="N623" s="4">
        <v>72</v>
      </c>
      <c r="O623" s="4" t="s">
        <v>26</v>
      </c>
      <c r="P623" s="7" t="s">
        <v>19</v>
      </c>
    </row>
    <row r="624" spans="2:16" x14ac:dyDescent="0.45">
      <c r="B624" s="4">
        <v>623</v>
      </c>
      <c r="C624" s="4" t="s">
        <v>39</v>
      </c>
      <c r="D624" s="4" t="s">
        <v>23</v>
      </c>
      <c r="E624" s="4" t="s">
        <v>35</v>
      </c>
      <c r="F624" s="4" t="s">
        <v>28</v>
      </c>
      <c r="G624" s="4" t="s">
        <v>19</v>
      </c>
      <c r="H624" s="4" t="s">
        <v>20</v>
      </c>
      <c r="I624" s="4">
        <v>41</v>
      </c>
      <c r="J624" s="5">
        <v>66</v>
      </c>
      <c r="K624" s="6">
        <v>1.85</v>
      </c>
      <c r="L624" s="4">
        <v>1</v>
      </c>
      <c r="M624" s="4">
        <v>114</v>
      </c>
      <c r="N624" s="4">
        <v>99</v>
      </c>
      <c r="O624" s="4" t="s">
        <v>26</v>
      </c>
      <c r="P624" s="7" t="s">
        <v>19</v>
      </c>
    </row>
    <row r="625" spans="2:16" x14ac:dyDescent="0.45">
      <c r="B625" s="4">
        <v>624</v>
      </c>
      <c r="C625" s="4" t="s">
        <v>40</v>
      </c>
      <c r="D625" s="4" t="s">
        <v>23</v>
      </c>
      <c r="E625" s="4" t="s">
        <v>35</v>
      </c>
      <c r="F625" s="4" t="s">
        <v>18</v>
      </c>
      <c r="G625" s="4" t="s">
        <v>19</v>
      </c>
      <c r="H625" s="4" t="s">
        <v>38</v>
      </c>
      <c r="I625" s="4">
        <v>18</v>
      </c>
      <c r="J625" s="5">
        <v>78.5</v>
      </c>
      <c r="K625" s="6">
        <v>1.74</v>
      </c>
      <c r="L625" s="4">
        <v>4</v>
      </c>
      <c r="M625" s="4">
        <v>108</v>
      </c>
      <c r="N625" s="4">
        <v>74</v>
      </c>
      <c r="O625" s="4" t="s">
        <v>21</v>
      </c>
      <c r="P625" s="7" t="s">
        <v>19</v>
      </c>
    </row>
    <row r="626" spans="2:16" x14ac:dyDescent="0.45">
      <c r="B626" s="4">
        <v>625</v>
      </c>
      <c r="C626" s="4" t="s">
        <v>43</v>
      </c>
      <c r="D626" s="4" t="s">
        <v>16</v>
      </c>
      <c r="E626" s="4" t="s">
        <v>35</v>
      </c>
      <c r="F626" s="4" t="s">
        <v>42</v>
      </c>
      <c r="G626" s="4" t="s">
        <v>30</v>
      </c>
      <c r="H626" s="4" t="s">
        <v>20</v>
      </c>
      <c r="I626" s="4">
        <v>59</v>
      </c>
      <c r="J626" s="5">
        <v>73.599999999999994</v>
      </c>
      <c r="K626" s="6">
        <v>1.83</v>
      </c>
      <c r="L626" s="4">
        <v>4</v>
      </c>
      <c r="M626" s="4">
        <v>108</v>
      </c>
      <c r="N626" s="4">
        <v>79</v>
      </c>
      <c r="O626" s="4" t="s">
        <v>21</v>
      </c>
      <c r="P626" s="7" t="s">
        <v>19</v>
      </c>
    </row>
    <row r="627" spans="2:16" x14ac:dyDescent="0.45">
      <c r="B627" s="4">
        <v>626</v>
      </c>
      <c r="C627" s="4" t="s">
        <v>31</v>
      </c>
      <c r="D627" s="4" t="s">
        <v>16</v>
      </c>
      <c r="E627" s="4" t="s">
        <v>37</v>
      </c>
      <c r="F627" s="4" t="s">
        <v>28</v>
      </c>
      <c r="G627" s="4" t="s">
        <v>19</v>
      </c>
      <c r="H627" s="4" t="s">
        <v>28</v>
      </c>
      <c r="I627" s="4">
        <v>8</v>
      </c>
      <c r="J627" s="5">
        <v>32.200000000000003</v>
      </c>
      <c r="K627" s="6">
        <v>1.1000000000000001</v>
      </c>
      <c r="L627" s="4">
        <v>3</v>
      </c>
      <c r="M627" s="4">
        <v>96</v>
      </c>
      <c r="N627" s="4">
        <v>81</v>
      </c>
      <c r="O627" s="4" t="s">
        <v>26</v>
      </c>
      <c r="P627" s="7" t="s">
        <v>19</v>
      </c>
    </row>
    <row r="628" spans="2:16" x14ac:dyDescent="0.45">
      <c r="B628" s="4">
        <v>627</v>
      </c>
      <c r="C628" s="4" t="s">
        <v>22</v>
      </c>
      <c r="D628" s="4" t="s">
        <v>16</v>
      </c>
      <c r="E628" s="4" t="s">
        <v>35</v>
      </c>
      <c r="F628" s="4" t="s">
        <v>24</v>
      </c>
      <c r="G628" s="4" t="s">
        <v>19</v>
      </c>
      <c r="H628" s="4" t="s">
        <v>28</v>
      </c>
      <c r="I628" s="4">
        <v>45</v>
      </c>
      <c r="J628" s="5">
        <v>51.1</v>
      </c>
      <c r="K628" s="6">
        <v>1.76</v>
      </c>
      <c r="L628" s="4">
        <v>1</v>
      </c>
      <c r="M628" s="4">
        <v>115</v>
      </c>
      <c r="N628" s="4">
        <v>100</v>
      </c>
      <c r="O628" s="4" t="s">
        <v>26</v>
      </c>
      <c r="P628" s="7" t="s">
        <v>19</v>
      </c>
    </row>
    <row r="629" spans="2:16" x14ac:dyDescent="0.45">
      <c r="B629" s="4">
        <v>628</v>
      </c>
      <c r="C629" s="4" t="s">
        <v>31</v>
      </c>
      <c r="D629" s="4" t="s">
        <v>16</v>
      </c>
      <c r="E629" s="4" t="s">
        <v>17</v>
      </c>
      <c r="F629" s="4" t="s">
        <v>42</v>
      </c>
      <c r="G629" s="4" t="s">
        <v>30</v>
      </c>
      <c r="H629" s="4" t="s">
        <v>32</v>
      </c>
      <c r="I629" s="4">
        <v>24</v>
      </c>
      <c r="J629" s="5">
        <v>72.400000000000006</v>
      </c>
      <c r="K629" s="6">
        <v>1.75</v>
      </c>
      <c r="L629" s="4">
        <v>1</v>
      </c>
      <c r="M629" s="4">
        <v>100</v>
      </c>
      <c r="N629" s="4">
        <v>155</v>
      </c>
      <c r="O629" s="4" t="s">
        <v>26</v>
      </c>
      <c r="P629" s="7" t="s">
        <v>19</v>
      </c>
    </row>
    <row r="630" spans="2:16" x14ac:dyDescent="0.45">
      <c r="B630" s="4">
        <v>629</v>
      </c>
      <c r="C630" s="4" t="s">
        <v>41</v>
      </c>
      <c r="D630" s="4" t="s">
        <v>16</v>
      </c>
      <c r="E630" s="4" t="s">
        <v>35</v>
      </c>
      <c r="F630" s="4" t="s">
        <v>18</v>
      </c>
      <c r="G630" s="4" t="s">
        <v>19</v>
      </c>
      <c r="H630" s="4" t="s">
        <v>28</v>
      </c>
      <c r="I630" s="4">
        <v>33</v>
      </c>
      <c r="J630" s="5">
        <v>79</v>
      </c>
      <c r="K630" s="6">
        <v>1.6</v>
      </c>
      <c r="L630" s="4">
        <v>2</v>
      </c>
      <c r="M630" s="4">
        <v>108</v>
      </c>
      <c r="N630" s="4">
        <v>70</v>
      </c>
      <c r="O630" s="4" t="s">
        <v>26</v>
      </c>
      <c r="P630" s="7" t="s">
        <v>19</v>
      </c>
    </row>
    <row r="631" spans="2:16" x14ac:dyDescent="0.45">
      <c r="B631" s="4">
        <v>630</v>
      </c>
      <c r="C631" s="4" t="s">
        <v>29</v>
      </c>
      <c r="D631" s="4" t="s">
        <v>23</v>
      </c>
      <c r="E631" s="4" t="s">
        <v>17</v>
      </c>
      <c r="F631" s="4" t="s">
        <v>24</v>
      </c>
      <c r="G631" s="4" t="s">
        <v>19</v>
      </c>
      <c r="H631" s="4" t="s">
        <v>36</v>
      </c>
      <c r="I631" s="4">
        <v>1</v>
      </c>
      <c r="J631" s="5">
        <v>17.5</v>
      </c>
      <c r="K631" s="6">
        <v>0.63</v>
      </c>
      <c r="L631" s="4">
        <v>0</v>
      </c>
      <c r="M631" s="4">
        <v>134</v>
      </c>
      <c r="N631" s="4">
        <v>88</v>
      </c>
      <c r="O631" s="4" t="s">
        <v>26</v>
      </c>
      <c r="P631" s="7" t="s">
        <v>19</v>
      </c>
    </row>
    <row r="632" spans="2:16" x14ac:dyDescent="0.45">
      <c r="B632" s="4">
        <v>631</v>
      </c>
      <c r="C632" s="4" t="s">
        <v>33</v>
      </c>
      <c r="D632" s="4" t="s">
        <v>16</v>
      </c>
      <c r="E632" s="4" t="s">
        <v>17</v>
      </c>
      <c r="F632" s="4" t="s">
        <v>28</v>
      </c>
      <c r="G632" s="4" t="s">
        <v>19</v>
      </c>
      <c r="H632" s="4" t="s">
        <v>25</v>
      </c>
      <c r="I632" s="4">
        <v>52</v>
      </c>
      <c r="J632" s="5">
        <v>83.3</v>
      </c>
      <c r="K632" s="6">
        <v>1.53</v>
      </c>
      <c r="L632" s="4">
        <v>3</v>
      </c>
      <c r="M632" s="4">
        <v>125</v>
      </c>
      <c r="N632" s="4">
        <v>90</v>
      </c>
      <c r="O632" s="4" t="s">
        <v>21</v>
      </c>
      <c r="P632" s="7" t="s">
        <v>19</v>
      </c>
    </row>
    <row r="633" spans="2:16" x14ac:dyDescent="0.45">
      <c r="B633" s="4">
        <v>632</v>
      </c>
      <c r="C633" s="4" t="s">
        <v>22</v>
      </c>
      <c r="D633" s="4" t="s">
        <v>16</v>
      </c>
      <c r="E633" s="4" t="s">
        <v>17</v>
      </c>
      <c r="F633" s="4" t="s">
        <v>28</v>
      </c>
      <c r="G633" s="4" t="s">
        <v>30</v>
      </c>
      <c r="H633" s="4" t="s">
        <v>20</v>
      </c>
      <c r="I633" s="4">
        <v>13</v>
      </c>
      <c r="J633" s="5">
        <v>39.200000000000003</v>
      </c>
      <c r="K633" s="6">
        <v>1.51</v>
      </c>
      <c r="L633" s="4">
        <v>1</v>
      </c>
      <c r="M633" s="4">
        <v>101</v>
      </c>
      <c r="N633" s="4">
        <v>81</v>
      </c>
      <c r="O633" s="4" t="s">
        <v>21</v>
      </c>
      <c r="P633" s="7" t="s">
        <v>19</v>
      </c>
    </row>
    <row r="634" spans="2:16" x14ac:dyDescent="0.45">
      <c r="B634" s="4">
        <v>633</v>
      </c>
      <c r="C634" s="4" t="s">
        <v>29</v>
      </c>
      <c r="D634" s="4" t="s">
        <v>16</v>
      </c>
      <c r="E634" s="4" t="s">
        <v>17</v>
      </c>
      <c r="F634" s="4" t="s">
        <v>24</v>
      </c>
      <c r="G634" s="4" t="s">
        <v>19</v>
      </c>
      <c r="H634" s="4" t="s">
        <v>20</v>
      </c>
      <c r="I634" s="4">
        <v>2</v>
      </c>
      <c r="J634" s="5">
        <v>13.8</v>
      </c>
      <c r="K634" s="6">
        <v>0.75</v>
      </c>
      <c r="L634" s="4">
        <v>0</v>
      </c>
      <c r="M634" s="4">
        <v>97</v>
      </c>
      <c r="N634" s="4">
        <v>82</v>
      </c>
      <c r="O634" s="4" t="s">
        <v>21</v>
      </c>
      <c r="P634" s="7" t="s">
        <v>19</v>
      </c>
    </row>
    <row r="635" spans="2:16" x14ac:dyDescent="0.45">
      <c r="B635" s="4">
        <v>634</v>
      </c>
      <c r="C635" s="4" t="s">
        <v>15</v>
      </c>
      <c r="D635" s="4" t="s">
        <v>23</v>
      </c>
      <c r="E635" s="4" t="s">
        <v>35</v>
      </c>
      <c r="F635" s="4" t="s">
        <v>28</v>
      </c>
      <c r="G635" s="4" t="s">
        <v>19</v>
      </c>
      <c r="H635" s="4" t="s">
        <v>28</v>
      </c>
      <c r="I635" s="4">
        <v>38</v>
      </c>
      <c r="J635" s="5">
        <v>55</v>
      </c>
      <c r="K635" s="6">
        <v>1.5</v>
      </c>
      <c r="L635" s="4">
        <v>6</v>
      </c>
      <c r="M635" s="4">
        <v>131</v>
      </c>
      <c r="N635" s="4">
        <v>100</v>
      </c>
      <c r="O635" s="4" t="s">
        <v>21</v>
      </c>
      <c r="P635" s="7" t="s">
        <v>30</v>
      </c>
    </row>
    <row r="636" spans="2:16" x14ac:dyDescent="0.45">
      <c r="B636" s="4">
        <v>635</v>
      </c>
      <c r="C636" s="4" t="s">
        <v>39</v>
      </c>
      <c r="D636" s="4" t="s">
        <v>16</v>
      </c>
      <c r="E636" s="4" t="s">
        <v>17</v>
      </c>
      <c r="F636" s="4" t="s">
        <v>18</v>
      </c>
      <c r="G636" s="4" t="s">
        <v>19</v>
      </c>
      <c r="H636" s="4" t="s">
        <v>36</v>
      </c>
      <c r="I636" s="4">
        <v>61</v>
      </c>
      <c r="J636" s="5">
        <v>47.1</v>
      </c>
      <c r="K636" s="6">
        <v>1.51</v>
      </c>
      <c r="L636" s="4">
        <v>4</v>
      </c>
      <c r="M636" s="4">
        <v>151</v>
      </c>
      <c r="N636" s="4">
        <v>72</v>
      </c>
      <c r="O636" s="4" t="s">
        <v>26</v>
      </c>
      <c r="P636" s="7" t="s">
        <v>19</v>
      </c>
    </row>
    <row r="637" spans="2:16" x14ac:dyDescent="0.45">
      <c r="B637" s="4">
        <v>636</v>
      </c>
      <c r="C637" s="4" t="s">
        <v>43</v>
      </c>
      <c r="D637" s="4" t="s">
        <v>23</v>
      </c>
      <c r="E637" s="4" t="s">
        <v>44</v>
      </c>
      <c r="F637" s="4" t="s">
        <v>24</v>
      </c>
      <c r="G637" s="4" t="s">
        <v>19</v>
      </c>
      <c r="H637" s="4" t="s">
        <v>36</v>
      </c>
      <c r="I637" s="4">
        <v>7</v>
      </c>
      <c r="J637" s="5">
        <v>20.7</v>
      </c>
      <c r="K637" s="6">
        <v>1.28</v>
      </c>
      <c r="L637" s="4">
        <v>4</v>
      </c>
      <c r="M637" s="4">
        <v>117</v>
      </c>
      <c r="N637" s="4">
        <v>81</v>
      </c>
      <c r="O637" s="4" t="s">
        <v>21</v>
      </c>
      <c r="P637" s="7" t="s">
        <v>19</v>
      </c>
    </row>
    <row r="638" spans="2:16" x14ac:dyDescent="0.45">
      <c r="B638" s="4">
        <v>637</v>
      </c>
      <c r="C638" s="4" t="s">
        <v>27</v>
      </c>
      <c r="D638" s="4" t="s">
        <v>23</v>
      </c>
      <c r="E638" s="4" t="s">
        <v>17</v>
      </c>
      <c r="F638" s="4" t="s">
        <v>18</v>
      </c>
      <c r="G638" s="4" t="s">
        <v>30</v>
      </c>
      <c r="H638" s="4" t="s">
        <v>28</v>
      </c>
      <c r="I638" s="4">
        <v>47</v>
      </c>
      <c r="J638" s="5">
        <v>86.9</v>
      </c>
      <c r="K638" s="6">
        <v>1.63</v>
      </c>
      <c r="L638" s="4">
        <v>1</v>
      </c>
      <c r="M638" s="4">
        <v>132</v>
      </c>
      <c r="N638" s="4">
        <v>98</v>
      </c>
      <c r="O638" s="4" t="s">
        <v>21</v>
      </c>
      <c r="P638" s="7" t="s">
        <v>30</v>
      </c>
    </row>
    <row r="639" spans="2:16" x14ac:dyDescent="0.45">
      <c r="B639" s="4">
        <v>638</v>
      </c>
      <c r="C639" s="4" t="s">
        <v>27</v>
      </c>
      <c r="D639" s="4" t="s">
        <v>23</v>
      </c>
      <c r="E639" s="4" t="s">
        <v>17</v>
      </c>
      <c r="F639" s="4" t="s">
        <v>18</v>
      </c>
      <c r="G639" s="4" t="s">
        <v>30</v>
      </c>
      <c r="H639" s="4" t="s">
        <v>28</v>
      </c>
      <c r="I639" s="4">
        <v>3</v>
      </c>
      <c r="J639" s="5">
        <v>10.1</v>
      </c>
      <c r="K639" s="6">
        <v>0.63</v>
      </c>
      <c r="L639" s="4">
        <v>1</v>
      </c>
      <c r="M639" s="4">
        <v>92</v>
      </c>
      <c r="N639" s="4">
        <v>71</v>
      </c>
      <c r="O639" s="4" t="s">
        <v>21</v>
      </c>
      <c r="P639" s="7" t="s">
        <v>19</v>
      </c>
    </row>
    <row r="640" spans="2:16" x14ac:dyDescent="0.45">
      <c r="B640" s="4">
        <v>639</v>
      </c>
      <c r="C640" s="4" t="s">
        <v>31</v>
      </c>
      <c r="D640" s="4" t="s">
        <v>23</v>
      </c>
      <c r="E640" s="4" t="s">
        <v>35</v>
      </c>
      <c r="F640" s="4" t="s">
        <v>24</v>
      </c>
      <c r="G640" s="4" t="s">
        <v>19</v>
      </c>
      <c r="H640" s="4" t="s">
        <v>20</v>
      </c>
      <c r="I640" s="4">
        <v>16</v>
      </c>
      <c r="J640" s="5">
        <v>61</v>
      </c>
      <c r="K640" s="6">
        <v>1.58</v>
      </c>
      <c r="L640" s="4">
        <v>4</v>
      </c>
      <c r="M640" s="4">
        <v>112</v>
      </c>
      <c r="N640" s="4">
        <v>101</v>
      </c>
      <c r="O640" s="4" t="s">
        <v>26</v>
      </c>
      <c r="P640" s="7" t="s">
        <v>19</v>
      </c>
    </row>
    <row r="641" spans="2:16" x14ac:dyDescent="0.45">
      <c r="B641" s="4">
        <v>640</v>
      </c>
      <c r="C641" s="4" t="s">
        <v>22</v>
      </c>
      <c r="D641" s="4" t="s">
        <v>16</v>
      </c>
      <c r="E641" s="4" t="s">
        <v>35</v>
      </c>
      <c r="F641" s="4" t="s">
        <v>18</v>
      </c>
      <c r="G641" s="4" t="s">
        <v>19</v>
      </c>
      <c r="H641" s="4" t="s">
        <v>28</v>
      </c>
      <c r="I641" s="4">
        <v>2</v>
      </c>
      <c r="J641" s="5">
        <v>15.7</v>
      </c>
      <c r="K641" s="6">
        <v>0.65</v>
      </c>
      <c r="L641" s="4">
        <v>3</v>
      </c>
      <c r="M641" s="4">
        <v>92</v>
      </c>
      <c r="N641" s="4">
        <v>77</v>
      </c>
      <c r="O641" s="4" t="s">
        <v>21</v>
      </c>
      <c r="P641" s="7" t="s">
        <v>19</v>
      </c>
    </row>
    <row r="642" spans="2:16" x14ac:dyDescent="0.45">
      <c r="B642" s="4">
        <v>641</v>
      </c>
      <c r="C642" s="4" t="s">
        <v>15</v>
      </c>
      <c r="D642" s="4" t="s">
        <v>16</v>
      </c>
      <c r="E642" s="4" t="s">
        <v>35</v>
      </c>
      <c r="F642" s="4" t="s">
        <v>24</v>
      </c>
      <c r="G642" s="4" t="s">
        <v>30</v>
      </c>
      <c r="H642" s="4" t="s">
        <v>32</v>
      </c>
      <c r="I642" s="4">
        <v>1</v>
      </c>
      <c r="J642" s="5">
        <v>9.3000000000000007</v>
      </c>
      <c r="K642" s="6">
        <v>0.88</v>
      </c>
      <c r="L642" s="4">
        <v>3</v>
      </c>
      <c r="M642" s="4">
        <v>111</v>
      </c>
      <c r="N642" s="4">
        <v>134</v>
      </c>
      <c r="O642" s="4" t="s">
        <v>26</v>
      </c>
      <c r="P642" s="7" t="s">
        <v>19</v>
      </c>
    </row>
    <row r="643" spans="2:16" x14ac:dyDescent="0.45">
      <c r="B643" s="4">
        <v>642</v>
      </c>
      <c r="C643" s="4" t="s">
        <v>43</v>
      </c>
      <c r="D643" s="4" t="s">
        <v>16</v>
      </c>
      <c r="E643" s="4" t="s">
        <v>35</v>
      </c>
      <c r="F643" s="4" t="s">
        <v>24</v>
      </c>
      <c r="G643" s="4" t="s">
        <v>30</v>
      </c>
      <c r="H643" s="4" t="s">
        <v>28</v>
      </c>
      <c r="I643" s="4">
        <v>56</v>
      </c>
      <c r="J643" s="5">
        <v>56.7</v>
      </c>
      <c r="K643" s="6">
        <v>1.67</v>
      </c>
      <c r="L643" s="4">
        <v>2</v>
      </c>
      <c r="M643" s="4">
        <v>132</v>
      </c>
      <c r="N643" s="4">
        <v>75</v>
      </c>
      <c r="O643" s="4" t="s">
        <v>21</v>
      </c>
      <c r="P643" s="7" t="s">
        <v>30</v>
      </c>
    </row>
    <row r="644" spans="2:16" x14ac:dyDescent="0.45">
      <c r="B644" s="4">
        <v>643</v>
      </c>
      <c r="C644" s="4" t="s">
        <v>22</v>
      </c>
      <c r="D644" s="4" t="s">
        <v>23</v>
      </c>
      <c r="E644" s="4" t="s">
        <v>35</v>
      </c>
      <c r="F644" s="4" t="s">
        <v>18</v>
      </c>
      <c r="G644" s="4" t="s">
        <v>19</v>
      </c>
      <c r="H644" s="4" t="s">
        <v>36</v>
      </c>
      <c r="I644" s="4">
        <v>61</v>
      </c>
      <c r="J644" s="5">
        <v>47.3</v>
      </c>
      <c r="K644" s="6">
        <v>1.58</v>
      </c>
      <c r="L644" s="4">
        <v>9</v>
      </c>
      <c r="M644" s="4">
        <v>136</v>
      </c>
      <c r="N644" s="4">
        <v>76</v>
      </c>
      <c r="O644" s="4" t="s">
        <v>21</v>
      </c>
      <c r="P644" s="7" t="s">
        <v>19</v>
      </c>
    </row>
    <row r="645" spans="2:16" x14ac:dyDescent="0.45">
      <c r="B645" s="4">
        <v>644</v>
      </c>
      <c r="C645" s="4" t="s">
        <v>40</v>
      </c>
      <c r="D645" s="4" t="s">
        <v>16</v>
      </c>
      <c r="E645" s="4" t="s">
        <v>17</v>
      </c>
      <c r="F645" s="4" t="s">
        <v>24</v>
      </c>
      <c r="G645" s="4" t="s">
        <v>19</v>
      </c>
      <c r="H645" s="4" t="s">
        <v>36</v>
      </c>
      <c r="I645" s="4">
        <v>39</v>
      </c>
      <c r="J645" s="5">
        <v>86.1</v>
      </c>
      <c r="K645" s="6">
        <v>1.87</v>
      </c>
      <c r="L645" s="4">
        <v>4</v>
      </c>
      <c r="M645" s="4">
        <v>140</v>
      </c>
      <c r="N645" s="4">
        <v>79</v>
      </c>
      <c r="O645" s="4" t="s">
        <v>26</v>
      </c>
      <c r="P645" s="7" t="s">
        <v>19</v>
      </c>
    </row>
    <row r="646" spans="2:16" x14ac:dyDescent="0.45">
      <c r="B646" s="4">
        <v>645</v>
      </c>
      <c r="C646" s="4" t="s">
        <v>45</v>
      </c>
      <c r="D646" s="4" t="s">
        <v>16</v>
      </c>
      <c r="E646" s="4" t="s">
        <v>35</v>
      </c>
      <c r="F646" s="4" t="s">
        <v>18</v>
      </c>
      <c r="G646" s="4" t="s">
        <v>19</v>
      </c>
      <c r="H646" s="4" t="s">
        <v>32</v>
      </c>
      <c r="I646" s="4">
        <v>12</v>
      </c>
      <c r="J646" s="5">
        <v>45.8</v>
      </c>
      <c r="K646" s="6">
        <v>1.69</v>
      </c>
      <c r="L646" s="4">
        <v>3</v>
      </c>
      <c r="M646" s="4">
        <v>118</v>
      </c>
      <c r="N646" s="4">
        <v>137</v>
      </c>
      <c r="O646" s="4" t="s">
        <v>26</v>
      </c>
      <c r="P646" s="7" t="s">
        <v>19</v>
      </c>
    </row>
    <row r="647" spans="2:16" x14ac:dyDescent="0.45">
      <c r="B647" s="4">
        <v>646</v>
      </c>
      <c r="C647" s="4" t="s">
        <v>22</v>
      </c>
      <c r="D647" s="4" t="s">
        <v>23</v>
      </c>
      <c r="E647" s="4" t="s">
        <v>17</v>
      </c>
      <c r="F647" s="4" t="s">
        <v>24</v>
      </c>
      <c r="G647" s="4" t="s">
        <v>19</v>
      </c>
      <c r="H647" s="4" t="s">
        <v>20</v>
      </c>
      <c r="I647" s="4">
        <v>12</v>
      </c>
      <c r="J647" s="5">
        <v>64</v>
      </c>
      <c r="K647" s="6">
        <v>1.56</v>
      </c>
      <c r="L647" s="4">
        <v>2</v>
      </c>
      <c r="M647" s="4">
        <v>112</v>
      </c>
      <c r="N647" s="4">
        <v>81</v>
      </c>
      <c r="O647" s="4" t="s">
        <v>26</v>
      </c>
      <c r="P647" s="7" t="s">
        <v>19</v>
      </c>
    </row>
    <row r="648" spans="2:16" x14ac:dyDescent="0.45">
      <c r="B648" s="4">
        <v>647</v>
      </c>
      <c r="C648" s="4" t="s">
        <v>31</v>
      </c>
      <c r="D648" s="4" t="s">
        <v>23</v>
      </c>
      <c r="E648" s="4" t="s">
        <v>35</v>
      </c>
      <c r="F648" s="4" t="s">
        <v>24</v>
      </c>
      <c r="G648" s="4" t="s">
        <v>19</v>
      </c>
      <c r="H648" s="4" t="s">
        <v>25</v>
      </c>
      <c r="I648" s="4">
        <v>40</v>
      </c>
      <c r="J648" s="5">
        <v>57.4</v>
      </c>
      <c r="K648" s="6">
        <v>1.88</v>
      </c>
      <c r="L648" s="4">
        <v>2</v>
      </c>
      <c r="M648" s="4">
        <v>110</v>
      </c>
      <c r="N648" s="4">
        <v>96</v>
      </c>
      <c r="O648" s="4" t="s">
        <v>26</v>
      </c>
      <c r="P648" s="7" t="s">
        <v>19</v>
      </c>
    </row>
    <row r="649" spans="2:16" x14ac:dyDescent="0.45">
      <c r="B649" s="4">
        <v>648</v>
      </c>
      <c r="C649" s="4" t="s">
        <v>29</v>
      </c>
      <c r="D649" s="4" t="s">
        <v>23</v>
      </c>
      <c r="E649" s="4" t="s">
        <v>35</v>
      </c>
      <c r="F649" s="4" t="s">
        <v>24</v>
      </c>
      <c r="G649" s="4" t="s">
        <v>19</v>
      </c>
      <c r="H649" s="4" t="s">
        <v>20</v>
      </c>
      <c r="I649" s="4">
        <v>2</v>
      </c>
      <c r="J649" s="5">
        <v>8.3000000000000007</v>
      </c>
      <c r="K649" s="6">
        <v>0.85</v>
      </c>
      <c r="L649" s="4">
        <v>4</v>
      </c>
      <c r="M649" s="4">
        <v>92</v>
      </c>
      <c r="N649" s="4">
        <v>104</v>
      </c>
      <c r="O649" s="4" t="s">
        <v>26</v>
      </c>
      <c r="P649" s="7" t="s">
        <v>19</v>
      </c>
    </row>
    <row r="650" spans="2:16" x14ac:dyDescent="0.45">
      <c r="B650" s="4">
        <v>649</v>
      </c>
      <c r="C650" s="4" t="s">
        <v>41</v>
      </c>
      <c r="D650" s="4" t="s">
        <v>23</v>
      </c>
      <c r="E650" s="4" t="s">
        <v>17</v>
      </c>
      <c r="F650" s="4" t="s">
        <v>24</v>
      </c>
      <c r="G650" s="4" t="s">
        <v>19</v>
      </c>
      <c r="H650" s="4" t="s">
        <v>34</v>
      </c>
      <c r="I650" s="4">
        <v>55</v>
      </c>
      <c r="J650" s="5">
        <v>75.3</v>
      </c>
      <c r="K650" s="6">
        <v>1.66</v>
      </c>
      <c r="L650" s="4">
        <v>2</v>
      </c>
      <c r="M650" s="4">
        <v>116</v>
      </c>
      <c r="N650" s="4">
        <v>91</v>
      </c>
      <c r="O650" s="4" t="s">
        <v>21</v>
      </c>
      <c r="P650" s="7" t="s">
        <v>19</v>
      </c>
    </row>
    <row r="651" spans="2:16" x14ac:dyDescent="0.45">
      <c r="B651" s="4">
        <v>650</v>
      </c>
      <c r="C651" s="4" t="s">
        <v>27</v>
      </c>
      <c r="D651" s="4" t="s">
        <v>16</v>
      </c>
      <c r="E651" s="4" t="s">
        <v>17</v>
      </c>
      <c r="F651" s="4" t="s">
        <v>24</v>
      </c>
      <c r="G651" s="4" t="s">
        <v>19</v>
      </c>
      <c r="H651" s="4" t="s">
        <v>38</v>
      </c>
      <c r="I651" s="4">
        <v>12</v>
      </c>
      <c r="J651" s="5">
        <v>46.9</v>
      </c>
      <c r="K651" s="6">
        <v>1.52</v>
      </c>
      <c r="L651" s="4">
        <v>1</v>
      </c>
      <c r="M651" s="4">
        <v>103</v>
      </c>
      <c r="N651" s="4">
        <v>99</v>
      </c>
      <c r="O651" s="4" t="s">
        <v>21</v>
      </c>
      <c r="P651" s="7" t="s">
        <v>19</v>
      </c>
    </row>
    <row r="652" spans="2:16" x14ac:dyDescent="0.45">
      <c r="B652" s="4">
        <v>651</v>
      </c>
      <c r="C652" s="4" t="s">
        <v>15</v>
      </c>
      <c r="D652" s="4" t="s">
        <v>16</v>
      </c>
      <c r="E652" s="4" t="s">
        <v>35</v>
      </c>
      <c r="F652" s="4" t="s">
        <v>24</v>
      </c>
      <c r="G652" s="4" t="s">
        <v>30</v>
      </c>
      <c r="H652" s="4" t="s">
        <v>20</v>
      </c>
      <c r="I652" s="4">
        <v>47</v>
      </c>
      <c r="J652" s="5">
        <v>50.6</v>
      </c>
      <c r="K652" s="6">
        <v>1.54</v>
      </c>
      <c r="L652" s="4">
        <v>1</v>
      </c>
      <c r="M652" s="4">
        <v>128</v>
      </c>
      <c r="N652" s="4">
        <v>74</v>
      </c>
      <c r="O652" s="4" t="s">
        <v>26</v>
      </c>
      <c r="P652" s="7" t="s">
        <v>19</v>
      </c>
    </row>
    <row r="653" spans="2:16" x14ac:dyDescent="0.45">
      <c r="B653" s="4">
        <v>652</v>
      </c>
      <c r="C653" s="4" t="s">
        <v>40</v>
      </c>
      <c r="D653" s="4" t="s">
        <v>16</v>
      </c>
      <c r="E653" s="4" t="s">
        <v>35</v>
      </c>
      <c r="F653" s="4" t="s">
        <v>24</v>
      </c>
      <c r="G653" s="4" t="s">
        <v>19</v>
      </c>
      <c r="H653" s="4" t="s">
        <v>46</v>
      </c>
      <c r="I653" s="4">
        <v>23</v>
      </c>
      <c r="J653" s="5">
        <v>70.099999999999994</v>
      </c>
      <c r="K653" s="6">
        <v>1.64</v>
      </c>
      <c r="L653" s="4">
        <v>2</v>
      </c>
      <c r="M653" s="4">
        <v>97</v>
      </c>
      <c r="N653" s="4">
        <v>75</v>
      </c>
      <c r="O653" s="4" t="s">
        <v>26</v>
      </c>
      <c r="P653" s="7" t="s">
        <v>19</v>
      </c>
    </row>
    <row r="654" spans="2:16" x14ac:dyDescent="0.45">
      <c r="B654" s="4">
        <v>653</v>
      </c>
      <c r="C654" s="4" t="s">
        <v>33</v>
      </c>
      <c r="D654" s="4" t="s">
        <v>16</v>
      </c>
      <c r="E654" s="4" t="s">
        <v>17</v>
      </c>
      <c r="F654" s="4" t="s">
        <v>18</v>
      </c>
      <c r="G654" s="4" t="s">
        <v>30</v>
      </c>
      <c r="H654" s="4" t="s">
        <v>28</v>
      </c>
      <c r="I654" s="4">
        <v>85</v>
      </c>
      <c r="J654" s="5">
        <v>81</v>
      </c>
      <c r="K654" s="6">
        <v>1.61</v>
      </c>
      <c r="L654" s="4">
        <v>6</v>
      </c>
      <c r="M654" s="4">
        <v>133</v>
      </c>
      <c r="N654" s="4">
        <v>89</v>
      </c>
      <c r="O654" s="4" t="s">
        <v>21</v>
      </c>
      <c r="P654" s="7" t="s">
        <v>19</v>
      </c>
    </row>
    <row r="655" spans="2:16" x14ac:dyDescent="0.45">
      <c r="B655" s="4">
        <v>654</v>
      </c>
      <c r="C655" s="4" t="s">
        <v>27</v>
      </c>
      <c r="D655" s="4" t="s">
        <v>16</v>
      </c>
      <c r="E655" s="4" t="s">
        <v>35</v>
      </c>
      <c r="F655" s="4" t="s">
        <v>18</v>
      </c>
      <c r="G655" s="4" t="s">
        <v>30</v>
      </c>
      <c r="H655" s="4" t="s">
        <v>20</v>
      </c>
      <c r="I655" s="4">
        <v>3</v>
      </c>
      <c r="J655" s="5">
        <v>13.6</v>
      </c>
      <c r="K655" s="6">
        <v>0.87</v>
      </c>
      <c r="L655" s="4">
        <v>6</v>
      </c>
      <c r="M655" s="4">
        <v>97</v>
      </c>
      <c r="N655" s="4">
        <v>94</v>
      </c>
      <c r="O655" s="4" t="s">
        <v>21</v>
      </c>
      <c r="P655" s="7" t="s">
        <v>19</v>
      </c>
    </row>
    <row r="656" spans="2:16" x14ac:dyDescent="0.45">
      <c r="B656" s="4">
        <v>655</v>
      </c>
      <c r="C656" s="4" t="s">
        <v>29</v>
      </c>
      <c r="D656" s="4" t="s">
        <v>16</v>
      </c>
      <c r="E656" s="4" t="s">
        <v>35</v>
      </c>
      <c r="F656" s="4" t="s">
        <v>28</v>
      </c>
      <c r="G656" s="4" t="s">
        <v>30</v>
      </c>
      <c r="H656" s="4" t="s">
        <v>46</v>
      </c>
      <c r="I656" s="4">
        <v>17</v>
      </c>
      <c r="J656" s="5">
        <v>47.5</v>
      </c>
      <c r="K656" s="6">
        <v>1.56</v>
      </c>
      <c r="L656" s="4">
        <v>2</v>
      </c>
      <c r="M656" s="4">
        <v>101</v>
      </c>
      <c r="N656" s="4">
        <v>84</v>
      </c>
      <c r="O656" s="4" t="s">
        <v>21</v>
      </c>
      <c r="P656" s="7" t="s">
        <v>19</v>
      </c>
    </row>
    <row r="657" spans="2:16" x14ac:dyDescent="0.45">
      <c r="B657" s="4">
        <v>656</v>
      </c>
      <c r="C657" s="4" t="s">
        <v>43</v>
      </c>
      <c r="D657" s="4" t="s">
        <v>23</v>
      </c>
      <c r="E657" s="4" t="s">
        <v>35</v>
      </c>
      <c r="F657" s="4" t="s">
        <v>24</v>
      </c>
      <c r="G657" s="4" t="s">
        <v>19</v>
      </c>
      <c r="H657" s="4" t="s">
        <v>20</v>
      </c>
      <c r="I657" s="4">
        <v>19</v>
      </c>
      <c r="J657" s="5">
        <v>78.7</v>
      </c>
      <c r="K657" s="6">
        <v>1.68</v>
      </c>
      <c r="L657" s="4">
        <v>2</v>
      </c>
      <c r="M657" s="4">
        <v>99</v>
      </c>
      <c r="N657" s="4">
        <v>85</v>
      </c>
      <c r="O657" s="4" t="s">
        <v>21</v>
      </c>
      <c r="P657" s="7" t="s">
        <v>19</v>
      </c>
    </row>
    <row r="658" spans="2:16" x14ac:dyDescent="0.45">
      <c r="B658" s="4">
        <v>657</v>
      </c>
      <c r="C658" s="4" t="s">
        <v>43</v>
      </c>
      <c r="D658" s="4" t="s">
        <v>16</v>
      </c>
      <c r="E658" s="4" t="s">
        <v>17</v>
      </c>
      <c r="F658" s="4" t="s">
        <v>18</v>
      </c>
      <c r="G658" s="4" t="s">
        <v>30</v>
      </c>
      <c r="H658" s="4" t="s">
        <v>25</v>
      </c>
      <c r="I658" s="4">
        <v>1</v>
      </c>
      <c r="J658" s="5">
        <v>12</v>
      </c>
      <c r="K658" s="6">
        <v>0.9</v>
      </c>
      <c r="L658" s="4">
        <v>3</v>
      </c>
      <c r="M658" s="4">
        <v>110</v>
      </c>
      <c r="N658" s="4">
        <v>99</v>
      </c>
      <c r="O658" s="4" t="s">
        <v>26</v>
      </c>
      <c r="P658" s="7" t="s">
        <v>19</v>
      </c>
    </row>
    <row r="659" spans="2:16" x14ac:dyDescent="0.45">
      <c r="B659" s="4">
        <v>658</v>
      </c>
      <c r="C659" s="4" t="s">
        <v>31</v>
      </c>
      <c r="D659" s="4" t="s">
        <v>16</v>
      </c>
      <c r="E659" s="4" t="s">
        <v>17</v>
      </c>
      <c r="F659" s="4" t="s">
        <v>18</v>
      </c>
      <c r="G659" s="4" t="s">
        <v>19</v>
      </c>
      <c r="H659" s="4" t="s">
        <v>36</v>
      </c>
      <c r="I659" s="4">
        <v>9</v>
      </c>
      <c r="J659" s="5">
        <v>19.2</v>
      </c>
      <c r="K659" s="6">
        <v>1.37</v>
      </c>
      <c r="L659" s="4">
        <v>1</v>
      </c>
      <c r="M659" s="4">
        <v>133</v>
      </c>
      <c r="N659" s="4">
        <v>81</v>
      </c>
      <c r="O659" s="4" t="s">
        <v>26</v>
      </c>
      <c r="P659" s="7" t="s">
        <v>19</v>
      </c>
    </row>
    <row r="660" spans="2:16" x14ac:dyDescent="0.45">
      <c r="B660" s="4">
        <v>659</v>
      </c>
      <c r="C660" s="4" t="s">
        <v>41</v>
      </c>
      <c r="D660" s="4" t="s">
        <v>16</v>
      </c>
      <c r="E660" s="4" t="s">
        <v>17</v>
      </c>
      <c r="F660" s="4" t="s">
        <v>42</v>
      </c>
      <c r="G660" s="4" t="s">
        <v>30</v>
      </c>
      <c r="H660" s="4" t="s">
        <v>36</v>
      </c>
      <c r="I660" s="4">
        <v>9</v>
      </c>
      <c r="J660" s="5">
        <v>33.4</v>
      </c>
      <c r="K660" s="6">
        <v>1.37</v>
      </c>
      <c r="L660" s="4">
        <v>2</v>
      </c>
      <c r="M660" s="4">
        <v>122</v>
      </c>
      <c r="N660" s="4">
        <v>84</v>
      </c>
      <c r="O660" s="4" t="s">
        <v>21</v>
      </c>
      <c r="P660" s="7" t="s">
        <v>19</v>
      </c>
    </row>
    <row r="661" spans="2:16" x14ac:dyDescent="0.45">
      <c r="B661" s="4">
        <v>660</v>
      </c>
      <c r="C661" s="4" t="s">
        <v>39</v>
      </c>
      <c r="D661" s="4" t="s">
        <v>23</v>
      </c>
      <c r="E661" s="4" t="s">
        <v>17</v>
      </c>
      <c r="F661" s="4" t="s">
        <v>28</v>
      </c>
      <c r="G661" s="4" t="s">
        <v>19</v>
      </c>
      <c r="H661" s="4" t="s">
        <v>28</v>
      </c>
      <c r="I661" s="4">
        <v>7</v>
      </c>
      <c r="J661" s="5">
        <v>18.600000000000001</v>
      </c>
      <c r="K661" s="6">
        <v>1.37</v>
      </c>
      <c r="L661" s="4">
        <v>1</v>
      </c>
      <c r="M661" s="4">
        <v>99</v>
      </c>
      <c r="N661" s="4">
        <v>75</v>
      </c>
      <c r="O661" s="4" t="s">
        <v>21</v>
      </c>
      <c r="P661" s="7" t="s">
        <v>19</v>
      </c>
    </row>
    <row r="662" spans="2:16" x14ac:dyDescent="0.45">
      <c r="B662" s="4">
        <v>661</v>
      </c>
      <c r="C662" s="4" t="s">
        <v>39</v>
      </c>
      <c r="D662" s="4" t="s">
        <v>23</v>
      </c>
      <c r="E662" s="4" t="s">
        <v>35</v>
      </c>
      <c r="F662" s="4" t="s">
        <v>28</v>
      </c>
      <c r="G662" s="4" t="s">
        <v>30</v>
      </c>
      <c r="H662" s="4" t="s">
        <v>20</v>
      </c>
      <c r="I662" s="4">
        <v>22</v>
      </c>
      <c r="J662" s="5">
        <v>60.7</v>
      </c>
      <c r="K662" s="6">
        <v>1.63</v>
      </c>
      <c r="L662" s="4">
        <v>2</v>
      </c>
      <c r="M662" s="4">
        <v>100</v>
      </c>
      <c r="N662" s="4">
        <v>84</v>
      </c>
      <c r="O662" s="4" t="s">
        <v>21</v>
      </c>
      <c r="P662" s="7" t="s">
        <v>19</v>
      </c>
    </row>
    <row r="663" spans="2:16" x14ac:dyDescent="0.45">
      <c r="B663" s="4">
        <v>662</v>
      </c>
      <c r="C663" s="4" t="s">
        <v>27</v>
      </c>
      <c r="D663" s="4" t="s">
        <v>23</v>
      </c>
      <c r="E663" s="4" t="s">
        <v>17</v>
      </c>
      <c r="F663" s="4" t="s">
        <v>18</v>
      </c>
      <c r="G663" s="4" t="s">
        <v>19</v>
      </c>
      <c r="H663" s="4" t="s">
        <v>34</v>
      </c>
      <c r="I663" s="4">
        <v>3</v>
      </c>
      <c r="J663" s="5">
        <v>8.1999999999999993</v>
      </c>
      <c r="K663" s="6">
        <v>0.9</v>
      </c>
      <c r="L663" s="4">
        <v>1</v>
      </c>
      <c r="M663" s="4">
        <v>96</v>
      </c>
      <c r="N663" s="4">
        <v>95</v>
      </c>
      <c r="O663" s="4" t="s">
        <v>21</v>
      </c>
      <c r="P663" s="7" t="s">
        <v>19</v>
      </c>
    </row>
    <row r="664" spans="2:16" x14ac:dyDescent="0.45">
      <c r="B664" s="4">
        <v>663</v>
      </c>
      <c r="C664" s="4" t="s">
        <v>22</v>
      </c>
      <c r="D664" s="4" t="s">
        <v>16</v>
      </c>
      <c r="E664" s="4" t="s">
        <v>17</v>
      </c>
      <c r="F664" s="4" t="s">
        <v>18</v>
      </c>
      <c r="G664" s="4" t="s">
        <v>30</v>
      </c>
      <c r="H664" s="4" t="s">
        <v>20</v>
      </c>
      <c r="I664" s="4">
        <v>54</v>
      </c>
      <c r="J664" s="5">
        <v>70.099999999999994</v>
      </c>
      <c r="K664" s="6">
        <v>1.76</v>
      </c>
      <c r="L664" s="4">
        <v>5</v>
      </c>
      <c r="M664" s="4">
        <v>115</v>
      </c>
      <c r="N664" s="4">
        <v>89</v>
      </c>
      <c r="O664" s="4" t="s">
        <v>21</v>
      </c>
      <c r="P664" s="7" t="s">
        <v>19</v>
      </c>
    </row>
    <row r="665" spans="2:16" x14ac:dyDescent="0.45">
      <c r="B665" s="4">
        <v>664</v>
      </c>
      <c r="C665" s="4" t="s">
        <v>22</v>
      </c>
      <c r="D665" s="4" t="s">
        <v>16</v>
      </c>
      <c r="E665" s="4" t="s">
        <v>35</v>
      </c>
      <c r="F665" s="4" t="s">
        <v>18</v>
      </c>
      <c r="G665" s="4" t="s">
        <v>19</v>
      </c>
      <c r="H665" s="4" t="s">
        <v>20</v>
      </c>
      <c r="I665" s="4">
        <v>5</v>
      </c>
      <c r="J665" s="5">
        <v>21.7</v>
      </c>
      <c r="K665" s="6">
        <v>1.31</v>
      </c>
      <c r="L665" s="4">
        <v>3</v>
      </c>
      <c r="M665" s="4">
        <v>109</v>
      </c>
      <c r="N665" s="4">
        <v>90</v>
      </c>
      <c r="O665" s="4" t="s">
        <v>26</v>
      </c>
      <c r="P665" s="7" t="s">
        <v>19</v>
      </c>
    </row>
    <row r="666" spans="2:16" x14ac:dyDescent="0.45">
      <c r="B666" s="4">
        <v>665</v>
      </c>
      <c r="C666" s="4" t="s">
        <v>22</v>
      </c>
      <c r="D666" s="4" t="s">
        <v>16</v>
      </c>
      <c r="E666" s="4" t="s">
        <v>35</v>
      </c>
      <c r="F666" s="4" t="s">
        <v>24</v>
      </c>
      <c r="G666" s="4" t="s">
        <v>19</v>
      </c>
      <c r="H666" s="4" t="s">
        <v>25</v>
      </c>
      <c r="I666" s="4">
        <v>37</v>
      </c>
      <c r="J666" s="5">
        <v>77.7</v>
      </c>
      <c r="K666" s="6">
        <v>1.8</v>
      </c>
      <c r="L666" s="4">
        <v>7</v>
      </c>
      <c r="M666" s="4">
        <v>123</v>
      </c>
      <c r="N666" s="4">
        <v>81</v>
      </c>
      <c r="O666" s="4" t="s">
        <v>21</v>
      </c>
      <c r="P666" s="7" t="s">
        <v>19</v>
      </c>
    </row>
    <row r="667" spans="2:16" x14ac:dyDescent="0.45">
      <c r="B667" s="4">
        <v>666</v>
      </c>
      <c r="C667" s="4" t="s">
        <v>31</v>
      </c>
      <c r="D667" s="4" t="s">
        <v>23</v>
      </c>
      <c r="E667" s="4" t="s">
        <v>17</v>
      </c>
      <c r="F667" s="4" t="s">
        <v>24</v>
      </c>
      <c r="G667" s="4" t="s">
        <v>19</v>
      </c>
      <c r="H667" s="4" t="s">
        <v>34</v>
      </c>
      <c r="I667" s="4">
        <v>16</v>
      </c>
      <c r="J667" s="5">
        <v>53</v>
      </c>
      <c r="K667" s="6">
        <v>1.49</v>
      </c>
      <c r="L667" s="4">
        <v>3</v>
      </c>
      <c r="M667" s="4">
        <v>109</v>
      </c>
      <c r="N667" s="4">
        <v>94</v>
      </c>
      <c r="O667" s="4" t="s">
        <v>21</v>
      </c>
      <c r="P667" s="7" t="s">
        <v>19</v>
      </c>
    </row>
    <row r="668" spans="2:16" x14ac:dyDescent="0.45">
      <c r="B668" s="4">
        <v>667</v>
      </c>
      <c r="C668" s="4" t="s">
        <v>27</v>
      </c>
      <c r="D668" s="4" t="s">
        <v>16</v>
      </c>
      <c r="E668" s="4" t="s">
        <v>17</v>
      </c>
      <c r="F668" s="4" t="s">
        <v>18</v>
      </c>
      <c r="G668" s="4" t="s">
        <v>19</v>
      </c>
      <c r="H668" s="4" t="s">
        <v>46</v>
      </c>
      <c r="I668" s="4">
        <v>28</v>
      </c>
      <c r="J668" s="5">
        <v>76.7</v>
      </c>
      <c r="K668" s="6">
        <v>1.65</v>
      </c>
      <c r="L668" s="4">
        <v>4</v>
      </c>
      <c r="M668" s="4">
        <v>125</v>
      </c>
      <c r="N668" s="4">
        <v>73</v>
      </c>
      <c r="O668" s="4" t="s">
        <v>26</v>
      </c>
      <c r="P668" s="7" t="s">
        <v>30</v>
      </c>
    </row>
    <row r="669" spans="2:16" x14ac:dyDescent="0.45">
      <c r="B669" s="4">
        <v>668</v>
      </c>
      <c r="C669" s="4" t="s">
        <v>41</v>
      </c>
      <c r="D669" s="4" t="s">
        <v>16</v>
      </c>
      <c r="E669" s="4" t="s">
        <v>35</v>
      </c>
      <c r="F669" s="4" t="s">
        <v>28</v>
      </c>
      <c r="G669" s="4" t="s">
        <v>30</v>
      </c>
      <c r="H669" s="4" t="s">
        <v>36</v>
      </c>
      <c r="I669" s="4">
        <v>12</v>
      </c>
      <c r="J669" s="5">
        <v>45.3</v>
      </c>
      <c r="K669" s="6">
        <v>1.72</v>
      </c>
      <c r="L669" s="4">
        <v>1</v>
      </c>
      <c r="M669" s="4">
        <v>131</v>
      </c>
      <c r="N669" s="4">
        <v>99</v>
      </c>
      <c r="O669" s="4" t="s">
        <v>26</v>
      </c>
      <c r="P669" s="7" t="s">
        <v>19</v>
      </c>
    </row>
    <row r="670" spans="2:16" x14ac:dyDescent="0.45">
      <c r="B670" s="4">
        <v>669</v>
      </c>
      <c r="C670" s="4" t="s">
        <v>22</v>
      </c>
      <c r="D670" s="4" t="s">
        <v>23</v>
      </c>
      <c r="E670" s="4" t="s">
        <v>17</v>
      </c>
      <c r="F670" s="4" t="s">
        <v>18</v>
      </c>
      <c r="G670" s="4" t="s">
        <v>19</v>
      </c>
      <c r="H670" s="4" t="s">
        <v>28</v>
      </c>
      <c r="I670" s="4">
        <v>56</v>
      </c>
      <c r="J670" s="5">
        <v>76.599999999999994</v>
      </c>
      <c r="K670" s="6">
        <v>1.71</v>
      </c>
      <c r="L670" s="4">
        <v>4</v>
      </c>
      <c r="M670" s="4">
        <v>115</v>
      </c>
      <c r="N670" s="4">
        <v>87</v>
      </c>
      <c r="O670" s="4" t="s">
        <v>26</v>
      </c>
      <c r="P670" s="7" t="s">
        <v>19</v>
      </c>
    </row>
    <row r="671" spans="2:16" x14ac:dyDescent="0.45">
      <c r="B671" s="4">
        <v>670</v>
      </c>
      <c r="C671" s="4" t="s">
        <v>22</v>
      </c>
      <c r="D671" s="4" t="s">
        <v>16</v>
      </c>
      <c r="E671" s="4" t="s">
        <v>17</v>
      </c>
      <c r="F671" s="4" t="s">
        <v>24</v>
      </c>
      <c r="G671" s="4" t="s">
        <v>19</v>
      </c>
      <c r="H671" s="4" t="s">
        <v>25</v>
      </c>
      <c r="I671" s="4">
        <v>4</v>
      </c>
      <c r="J671" s="5">
        <v>17.8</v>
      </c>
      <c r="K671" s="6">
        <v>1.01</v>
      </c>
      <c r="L671" s="4">
        <v>2</v>
      </c>
      <c r="M671" s="4">
        <v>101</v>
      </c>
      <c r="N671" s="4">
        <v>94</v>
      </c>
      <c r="O671" s="4" t="s">
        <v>21</v>
      </c>
      <c r="P671" s="7" t="s">
        <v>19</v>
      </c>
    </row>
    <row r="672" spans="2:16" x14ac:dyDescent="0.45">
      <c r="B672" s="4">
        <v>671</v>
      </c>
      <c r="C672" s="4" t="s">
        <v>41</v>
      </c>
      <c r="D672" s="4" t="s">
        <v>16</v>
      </c>
      <c r="E672" s="4" t="s">
        <v>17</v>
      </c>
      <c r="F672" s="4" t="s">
        <v>24</v>
      </c>
      <c r="G672" s="4" t="s">
        <v>19</v>
      </c>
      <c r="H672" s="4" t="s">
        <v>20</v>
      </c>
      <c r="I672" s="4">
        <v>6</v>
      </c>
      <c r="J672" s="5">
        <v>32</v>
      </c>
      <c r="K672" s="6">
        <v>1.3</v>
      </c>
      <c r="L672" s="4">
        <v>4</v>
      </c>
      <c r="M672" s="4">
        <v>110</v>
      </c>
      <c r="N672" s="4">
        <v>75</v>
      </c>
      <c r="O672" s="4" t="s">
        <v>26</v>
      </c>
      <c r="P672" s="7" t="s">
        <v>19</v>
      </c>
    </row>
    <row r="673" spans="2:16" x14ac:dyDescent="0.45">
      <c r="B673" s="4">
        <v>672</v>
      </c>
      <c r="C673" s="4" t="s">
        <v>22</v>
      </c>
      <c r="D673" s="4" t="s">
        <v>16</v>
      </c>
      <c r="E673" s="4" t="s">
        <v>17</v>
      </c>
      <c r="F673" s="4" t="s">
        <v>28</v>
      </c>
      <c r="G673" s="4" t="s">
        <v>19</v>
      </c>
      <c r="H673" s="4" t="s">
        <v>20</v>
      </c>
      <c r="I673" s="4">
        <v>29</v>
      </c>
      <c r="J673" s="5">
        <v>60.8</v>
      </c>
      <c r="K673" s="6">
        <v>1.5</v>
      </c>
      <c r="L673" s="4">
        <v>2</v>
      </c>
      <c r="M673" s="4">
        <v>107</v>
      </c>
      <c r="N673" s="4">
        <v>92</v>
      </c>
      <c r="O673" s="4" t="s">
        <v>26</v>
      </c>
      <c r="P673" s="7" t="s">
        <v>19</v>
      </c>
    </row>
    <row r="674" spans="2:16" x14ac:dyDescent="0.45">
      <c r="B674" s="4">
        <v>673</v>
      </c>
      <c r="C674" s="4" t="s">
        <v>45</v>
      </c>
      <c r="D674" s="4" t="s">
        <v>16</v>
      </c>
      <c r="E674" s="4" t="s">
        <v>35</v>
      </c>
      <c r="F674" s="4" t="s">
        <v>18</v>
      </c>
      <c r="G674" s="4" t="s">
        <v>19</v>
      </c>
      <c r="H674" s="4" t="s">
        <v>20</v>
      </c>
      <c r="I674" s="4">
        <v>10</v>
      </c>
      <c r="J674" s="5">
        <v>20.2</v>
      </c>
      <c r="K674" s="6">
        <v>1.1100000000000001</v>
      </c>
      <c r="L674" s="4">
        <v>7</v>
      </c>
      <c r="M674" s="4">
        <v>100</v>
      </c>
      <c r="N674" s="4">
        <v>74</v>
      </c>
      <c r="O674" s="4" t="s">
        <v>26</v>
      </c>
      <c r="P674" s="7" t="s">
        <v>19</v>
      </c>
    </row>
    <row r="675" spans="2:16" x14ac:dyDescent="0.45">
      <c r="B675" s="4">
        <v>674</v>
      </c>
      <c r="C675" s="4" t="s">
        <v>41</v>
      </c>
      <c r="D675" s="4" t="s">
        <v>16</v>
      </c>
      <c r="E675" s="4" t="s">
        <v>17</v>
      </c>
      <c r="F675" s="4" t="s">
        <v>24</v>
      </c>
      <c r="G675" s="4" t="s">
        <v>19</v>
      </c>
      <c r="H675" s="4" t="s">
        <v>20</v>
      </c>
      <c r="I675" s="4">
        <v>23</v>
      </c>
      <c r="J675" s="5">
        <v>63.9</v>
      </c>
      <c r="K675" s="6">
        <v>1.49</v>
      </c>
      <c r="L675" s="4">
        <v>3</v>
      </c>
      <c r="M675" s="4">
        <v>120</v>
      </c>
      <c r="N675" s="4">
        <v>79</v>
      </c>
      <c r="O675" s="4" t="s">
        <v>21</v>
      </c>
      <c r="P675" s="7" t="s">
        <v>19</v>
      </c>
    </row>
    <row r="676" spans="2:16" x14ac:dyDescent="0.45">
      <c r="B676" s="4">
        <v>675</v>
      </c>
      <c r="C676" s="4" t="s">
        <v>45</v>
      </c>
      <c r="D676" s="4" t="s">
        <v>23</v>
      </c>
      <c r="E676" s="4" t="s">
        <v>37</v>
      </c>
      <c r="F676" s="4" t="s">
        <v>28</v>
      </c>
      <c r="G676" s="4" t="s">
        <v>19</v>
      </c>
      <c r="H676" s="4" t="s">
        <v>25</v>
      </c>
      <c r="I676" s="4">
        <v>18</v>
      </c>
      <c r="J676" s="5">
        <v>67.900000000000006</v>
      </c>
      <c r="K676" s="6">
        <v>1.83</v>
      </c>
      <c r="L676" s="4">
        <v>0</v>
      </c>
      <c r="M676" s="4">
        <v>107</v>
      </c>
      <c r="N676" s="4">
        <v>92</v>
      </c>
      <c r="O676" s="4" t="s">
        <v>26</v>
      </c>
      <c r="P676" s="7" t="s">
        <v>19</v>
      </c>
    </row>
    <row r="677" spans="2:16" x14ac:dyDescent="0.45">
      <c r="B677" s="4">
        <v>676</v>
      </c>
      <c r="C677" s="4" t="s">
        <v>27</v>
      </c>
      <c r="D677" s="4" t="s">
        <v>23</v>
      </c>
      <c r="E677" s="4" t="s">
        <v>35</v>
      </c>
      <c r="F677" s="4" t="s">
        <v>18</v>
      </c>
      <c r="G677" s="4" t="s">
        <v>19</v>
      </c>
      <c r="H677" s="4" t="s">
        <v>36</v>
      </c>
      <c r="I677" s="4">
        <v>33</v>
      </c>
      <c r="J677" s="5">
        <v>48.3</v>
      </c>
      <c r="K677" s="6">
        <v>1.54</v>
      </c>
      <c r="L677" s="4">
        <v>6</v>
      </c>
      <c r="M677" s="4">
        <v>119</v>
      </c>
      <c r="N677" s="4">
        <v>77</v>
      </c>
      <c r="O677" s="4" t="s">
        <v>21</v>
      </c>
      <c r="P677" s="7" t="s">
        <v>19</v>
      </c>
    </row>
    <row r="678" spans="2:16" x14ac:dyDescent="0.45">
      <c r="B678" s="4">
        <v>677</v>
      </c>
      <c r="C678" s="4" t="s">
        <v>22</v>
      </c>
      <c r="D678" s="4" t="s">
        <v>16</v>
      </c>
      <c r="E678" s="4" t="s">
        <v>17</v>
      </c>
      <c r="F678" s="4" t="s">
        <v>18</v>
      </c>
      <c r="G678" s="4" t="s">
        <v>19</v>
      </c>
      <c r="H678" s="4" t="s">
        <v>25</v>
      </c>
      <c r="I678" s="4">
        <v>19</v>
      </c>
      <c r="J678" s="5">
        <v>55.9</v>
      </c>
      <c r="K678" s="6">
        <v>1.57</v>
      </c>
      <c r="L678" s="4">
        <v>2</v>
      </c>
      <c r="M678" s="4">
        <v>110</v>
      </c>
      <c r="N678" s="4">
        <v>79</v>
      </c>
      <c r="O678" s="4" t="s">
        <v>26</v>
      </c>
      <c r="P678" s="7" t="s">
        <v>19</v>
      </c>
    </row>
    <row r="679" spans="2:16" x14ac:dyDescent="0.45">
      <c r="B679" s="4">
        <v>678</v>
      </c>
      <c r="C679" s="4" t="s">
        <v>43</v>
      </c>
      <c r="D679" s="4" t="s">
        <v>23</v>
      </c>
      <c r="E679" s="4" t="s">
        <v>44</v>
      </c>
      <c r="F679" s="4" t="s">
        <v>24</v>
      </c>
      <c r="G679" s="4" t="s">
        <v>19</v>
      </c>
      <c r="H679" s="4" t="s">
        <v>20</v>
      </c>
      <c r="I679" s="4">
        <v>18</v>
      </c>
      <c r="J679" s="5">
        <v>94.9</v>
      </c>
      <c r="K679" s="6">
        <v>1.73</v>
      </c>
      <c r="L679" s="4">
        <v>8</v>
      </c>
      <c r="M679" s="4">
        <v>104</v>
      </c>
      <c r="N679" s="4">
        <v>79</v>
      </c>
      <c r="O679" s="4" t="s">
        <v>26</v>
      </c>
      <c r="P679" s="7" t="s">
        <v>19</v>
      </c>
    </row>
    <row r="680" spans="2:16" x14ac:dyDescent="0.45">
      <c r="B680" s="4">
        <v>679</v>
      </c>
      <c r="C680" s="4" t="s">
        <v>29</v>
      </c>
      <c r="D680" s="4" t="s">
        <v>23</v>
      </c>
      <c r="E680" s="4" t="s">
        <v>35</v>
      </c>
      <c r="F680" s="4" t="s">
        <v>24</v>
      </c>
      <c r="G680" s="4" t="s">
        <v>19</v>
      </c>
      <c r="H680" s="4" t="s">
        <v>32</v>
      </c>
      <c r="I680" s="4">
        <v>16</v>
      </c>
      <c r="J680" s="5">
        <v>47.4</v>
      </c>
      <c r="K680" s="6">
        <v>1.68</v>
      </c>
      <c r="L680" s="4">
        <v>6</v>
      </c>
      <c r="M680" s="4">
        <v>102</v>
      </c>
      <c r="N680" s="4">
        <v>163</v>
      </c>
      <c r="O680" s="4" t="s">
        <v>26</v>
      </c>
      <c r="P680" s="7" t="s">
        <v>19</v>
      </c>
    </row>
    <row r="681" spans="2:16" x14ac:dyDescent="0.45">
      <c r="B681" s="4">
        <v>680</v>
      </c>
      <c r="C681" s="4" t="s">
        <v>33</v>
      </c>
      <c r="D681" s="4" t="s">
        <v>16</v>
      </c>
      <c r="E681" s="4" t="s">
        <v>17</v>
      </c>
      <c r="F681" s="4" t="s">
        <v>18</v>
      </c>
      <c r="G681" s="4" t="s">
        <v>19</v>
      </c>
      <c r="H681" s="4" t="s">
        <v>34</v>
      </c>
      <c r="I681" s="4">
        <v>6</v>
      </c>
      <c r="J681" s="5">
        <v>31.4</v>
      </c>
      <c r="K681" s="6">
        <v>1.25</v>
      </c>
      <c r="L681" s="4">
        <v>3</v>
      </c>
      <c r="M681" s="4">
        <v>109</v>
      </c>
      <c r="N681" s="4">
        <v>89</v>
      </c>
      <c r="O681" s="4" t="s">
        <v>21</v>
      </c>
      <c r="P681" s="7" t="s">
        <v>19</v>
      </c>
    </row>
    <row r="682" spans="2:16" x14ac:dyDescent="0.45">
      <c r="B682" s="4">
        <v>681</v>
      </c>
      <c r="C682" s="4" t="s">
        <v>31</v>
      </c>
      <c r="D682" s="4" t="s">
        <v>16</v>
      </c>
      <c r="E682" s="4" t="s">
        <v>37</v>
      </c>
      <c r="F682" s="4" t="s">
        <v>18</v>
      </c>
      <c r="G682" s="4" t="s">
        <v>30</v>
      </c>
      <c r="H682" s="4" t="s">
        <v>20</v>
      </c>
      <c r="I682" s="4">
        <v>36</v>
      </c>
      <c r="J682" s="5">
        <v>67.7</v>
      </c>
      <c r="K682" s="6">
        <v>1.64</v>
      </c>
      <c r="L682" s="4">
        <v>3</v>
      </c>
      <c r="M682" s="4">
        <v>111</v>
      </c>
      <c r="N682" s="4">
        <v>101</v>
      </c>
      <c r="O682" s="4" t="s">
        <v>21</v>
      </c>
      <c r="P682" s="7" t="s">
        <v>19</v>
      </c>
    </row>
    <row r="683" spans="2:16" x14ac:dyDescent="0.45">
      <c r="B683" s="4">
        <v>682</v>
      </c>
      <c r="C683" s="4" t="s">
        <v>29</v>
      </c>
      <c r="D683" s="4" t="s">
        <v>23</v>
      </c>
      <c r="E683" s="4" t="s">
        <v>35</v>
      </c>
      <c r="F683" s="4" t="s">
        <v>24</v>
      </c>
      <c r="G683" s="4" t="s">
        <v>19</v>
      </c>
      <c r="H683" s="4" t="s">
        <v>34</v>
      </c>
      <c r="I683" s="4">
        <v>14</v>
      </c>
      <c r="J683" s="5">
        <v>58.3</v>
      </c>
      <c r="K683" s="6">
        <v>1.68</v>
      </c>
      <c r="L683" s="4">
        <v>9</v>
      </c>
      <c r="M683" s="4">
        <v>126</v>
      </c>
      <c r="N683" s="4">
        <v>72</v>
      </c>
      <c r="O683" s="4" t="s">
        <v>21</v>
      </c>
      <c r="P683" s="7" t="s">
        <v>30</v>
      </c>
    </row>
    <row r="684" spans="2:16" x14ac:dyDescent="0.45">
      <c r="B684" s="4">
        <v>683</v>
      </c>
      <c r="C684" s="4" t="s">
        <v>31</v>
      </c>
      <c r="D684" s="4" t="s">
        <v>16</v>
      </c>
      <c r="E684" s="4" t="s">
        <v>35</v>
      </c>
      <c r="F684" s="4" t="s">
        <v>24</v>
      </c>
      <c r="G684" s="4" t="s">
        <v>19</v>
      </c>
      <c r="H684" s="4" t="s">
        <v>20</v>
      </c>
      <c r="I684" s="4">
        <v>45</v>
      </c>
      <c r="J684" s="5">
        <v>91.8</v>
      </c>
      <c r="K684" s="6">
        <v>1.72</v>
      </c>
      <c r="L684" s="4">
        <v>2</v>
      </c>
      <c r="M684" s="4">
        <v>112</v>
      </c>
      <c r="N684" s="4">
        <v>77</v>
      </c>
      <c r="O684" s="4" t="s">
        <v>26</v>
      </c>
      <c r="P684" s="7" t="s">
        <v>30</v>
      </c>
    </row>
    <row r="685" spans="2:16" x14ac:dyDescent="0.45">
      <c r="B685" s="4">
        <v>684</v>
      </c>
      <c r="C685" s="4" t="s">
        <v>27</v>
      </c>
      <c r="D685" s="4" t="s">
        <v>23</v>
      </c>
      <c r="E685" s="4" t="s">
        <v>17</v>
      </c>
      <c r="F685" s="4" t="s">
        <v>28</v>
      </c>
      <c r="G685" s="4" t="s">
        <v>19</v>
      </c>
      <c r="H685" s="4" t="s">
        <v>20</v>
      </c>
      <c r="I685" s="4">
        <v>4</v>
      </c>
      <c r="J685" s="5">
        <v>14</v>
      </c>
      <c r="K685" s="6">
        <v>0.63</v>
      </c>
      <c r="L685" s="4">
        <v>4</v>
      </c>
      <c r="M685" s="4">
        <v>115</v>
      </c>
      <c r="N685" s="4">
        <v>102</v>
      </c>
      <c r="O685" s="4" t="s">
        <v>21</v>
      </c>
      <c r="P685" s="7" t="s">
        <v>19</v>
      </c>
    </row>
    <row r="686" spans="2:16" x14ac:dyDescent="0.45">
      <c r="B686" s="4">
        <v>685</v>
      </c>
      <c r="C686" s="4" t="s">
        <v>33</v>
      </c>
      <c r="D686" s="4" t="s">
        <v>16</v>
      </c>
      <c r="E686" s="4" t="s">
        <v>35</v>
      </c>
      <c r="F686" s="4" t="s">
        <v>18</v>
      </c>
      <c r="G686" s="4" t="s">
        <v>30</v>
      </c>
      <c r="H686" s="4" t="s">
        <v>38</v>
      </c>
      <c r="I686" s="4">
        <v>10</v>
      </c>
      <c r="J686" s="5">
        <v>29</v>
      </c>
      <c r="K686" s="6">
        <v>1.35</v>
      </c>
      <c r="L686" s="4">
        <v>4</v>
      </c>
      <c r="M686" s="4">
        <v>109</v>
      </c>
      <c r="N686" s="4">
        <v>98</v>
      </c>
      <c r="O686" s="4" t="s">
        <v>21</v>
      </c>
      <c r="P686" s="7" t="s">
        <v>19</v>
      </c>
    </row>
    <row r="687" spans="2:16" x14ac:dyDescent="0.45">
      <c r="B687" s="4">
        <v>686</v>
      </c>
      <c r="C687" s="4" t="s">
        <v>22</v>
      </c>
      <c r="D687" s="4" t="s">
        <v>16</v>
      </c>
      <c r="E687" s="4" t="s">
        <v>17</v>
      </c>
      <c r="F687" s="4" t="s">
        <v>24</v>
      </c>
      <c r="G687" s="4" t="s">
        <v>19</v>
      </c>
      <c r="H687" s="4" t="s">
        <v>25</v>
      </c>
      <c r="I687" s="4">
        <v>23</v>
      </c>
      <c r="J687" s="5">
        <v>76.900000000000006</v>
      </c>
      <c r="K687" s="6">
        <v>1.78</v>
      </c>
      <c r="L687" s="4">
        <v>1</v>
      </c>
      <c r="M687" s="4">
        <v>120</v>
      </c>
      <c r="N687" s="4">
        <v>73</v>
      </c>
      <c r="O687" s="4" t="s">
        <v>21</v>
      </c>
      <c r="P687" s="7" t="s">
        <v>30</v>
      </c>
    </row>
    <row r="688" spans="2:16" x14ac:dyDescent="0.45">
      <c r="B688" s="4">
        <v>687</v>
      </c>
      <c r="C688" s="4" t="s">
        <v>41</v>
      </c>
      <c r="D688" s="4" t="s">
        <v>16</v>
      </c>
      <c r="E688" s="4" t="s">
        <v>17</v>
      </c>
      <c r="F688" s="4" t="s">
        <v>24</v>
      </c>
      <c r="G688" s="4" t="s">
        <v>30</v>
      </c>
      <c r="H688" s="4" t="s">
        <v>20</v>
      </c>
      <c r="I688" s="4">
        <v>13</v>
      </c>
      <c r="J688" s="5">
        <v>57.9</v>
      </c>
      <c r="K688" s="6">
        <v>1.7</v>
      </c>
      <c r="L688" s="4">
        <v>5</v>
      </c>
      <c r="M688" s="4">
        <v>111</v>
      </c>
      <c r="N688" s="4">
        <v>102</v>
      </c>
      <c r="O688" s="4" t="s">
        <v>26</v>
      </c>
      <c r="P688" s="7" t="s">
        <v>19</v>
      </c>
    </row>
    <row r="689" spans="2:16" x14ac:dyDescent="0.45">
      <c r="B689" s="4">
        <v>688</v>
      </c>
      <c r="C689" s="4" t="s">
        <v>33</v>
      </c>
      <c r="D689" s="4" t="s">
        <v>16</v>
      </c>
      <c r="E689" s="4" t="s">
        <v>17</v>
      </c>
      <c r="F689" s="4" t="s">
        <v>28</v>
      </c>
      <c r="G689" s="4" t="s">
        <v>30</v>
      </c>
      <c r="H689" s="4" t="s">
        <v>20</v>
      </c>
      <c r="I689" s="4">
        <v>12</v>
      </c>
      <c r="J689" s="5">
        <v>48.1</v>
      </c>
      <c r="K689" s="6">
        <v>1.62</v>
      </c>
      <c r="L689" s="4">
        <v>0</v>
      </c>
      <c r="M689" s="4">
        <v>97</v>
      </c>
      <c r="N689" s="4">
        <v>98</v>
      </c>
      <c r="O689" s="4" t="s">
        <v>21</v>
      </c>
      <c r="P689" s="7" t="s">
        <v>19</v>
      </c>
    </row>
    <row r="690" spans="2:16" x14ac:dyDescent="0.45">
      <c r="B690" s="4">
        <v>689</v>
      </c>
      <c r="C690" s="4" t="s">
        <v>22</v>
      </c>
      <c r="D690" s="4" t="s">
        <v>16</v>
      </c>
      <c r="E690" s="4" t="s">
        <v>17</v>
      </c>
      <c r="F690" s="4" t="s">
        <v>24</v>
      </c>
      <c r="G690" s="4" t="s">
        <v>30</v>
      </c>
      <c r="H690" s="4" t="s">
        <v>46</v>
      </c>
      <c r="I690" s="4">
        <v>37</v>
      </c>
      <c r="J690" s="5">
        <v>80.3</v>
      </c>
      <c r="K690" s="6">
        <v>1.77</v>
      </c>
      <c r="L690" s="4">
        <v>2</v>
      </c>
      <c r="M690" s="4">
        <v>108</v>
      </c>
      <c r="N690" s="4">
        <v>96</v>
      </c>
      <c r="O690" s="4" t="s">
        <v>21</v>
      </c>
      <c r="P690" s="7" t="s">
        <v>19</v>
      </c>
    </row>
    <row r="691" spans="2:16" x14ac:dyDescent="0.45">
      <c r="B691" s="4">
        <v>690</v>
      </c>
      <c r="C691" s="4" t="s">
        <v>33</v>
      </c>
      <c r="D691" s="4" t="s">
        <v>23</v>
      </c>
      <c r="E691" s="4" t="s">
        <v>17</v>
      </c>
      <c r="F691" s="4" t="s">
        <v>24</v>
      </c>
      <c r="G691" s="4" t="s">
        <v>19</v>
      </c>
      <c r="H691" s="4" t="s">
        <v>34</v>
      </c>
      <c r="I691" s="4">
        <v>9</v>
      </c>
      <c r="J691" s="5">
        <v>18.600000000000001</v>
      </c>
      <c r="K691" s="6">
        <v>1.18</v>
      </c>
      <c r="L691" s="4">
        <v>10</v>
      </c>
      <c r="M691" s="4">
        <v>103</v>
      </c>
      <c r="N691" s="4">
        <v>74</v>
      </c>
      <c r="O691" s="4" t="s">
        <v>26</v>
      </c>
      <c r="P691" s="7" t="s">
        <v>19</v>
      </c>
    </row>
    <row r="692" spans="2:16" x14ac:dyDescent="0.45">
      <c r="B692" s="4">
        <v>691</v>
      </c>
      <c r="C692" s="4" t="s">
        <v>40</v>
      </c>
      <c r="D692" s="4" t="s">
        <v>23</v>
      </c>
      <c r="E692" s="4" t="s">
        <v>17</v>
      </c>
      <c r="F692" s="4" t="s">
        <v>24</v>
      </c>
      <c r="G692" s="4" t="s">
        <v>19</v>
      </c>
      <c r="H692" s="4" t="s">
        <v>32</v>
      </c>
      <c r="I692" s="4">
        <v>39</v>
      </c>
      <c r="J692" s="5">
        <v>66.400000000000006</v>
      </c>
      <c r="K692" s="6">
        <v>1.52</v>
      </c>
      <c r="L692" s="4">
        <v>3</v>
      </c>
      <c r="M692" s="4">
        <v>127</v>
      </c>
      <c r="N692" s="4">
        <v>137</v>
      </c>
      <c r="O692" s="4" t="s">
        <v>21</v>
      </c>
      <c r="P692" s="7" t="s">
        <v>30</v>
      </c>
    </row>
    <row r="693" spans="2:16" x14ac:dyDescent="0.45">
      <c r="B693" s="4">
        <v>692</v>
      </c>
      <c r="C693" s="4" t="s">
        <v>31</v>
      </c>
      <c r="D693" s="4" t="s">
        <v>16</v>
      </c>
      <c r="E693" s="4" t="s">
        <v>17</v>
      </c>
      <c r="F693" s="4" t="s">
        <v>42</v>
      </c>
      <c r="G693" s="4" t="s">
        <v>19</v>
      </c>
      <c r="H693" s="4" t="s">
        <v>28</v>
      </c>
      <c r="I693" s="4">
        <v>55</v>
      </c>
      <c r="J693" s="5">
        <v>77.7</v>
      </c>
      <c r="K693" s="6">
        <v>1.84</v>
      </c>
      <c r="L693" s="4">
        <v>2</v>
      </c>
      <c r="M693" s="4">
        <v>121</v>
      </c>
      <c r="N693" s="4">
        <v>94</v>
      </c>
      <c r="O693" s="4" t="s">
        <v>21</v>
      </c>
      <c r="P693" s="7" t="s">
        <v>19</v>
      </c>
    </row>
    <row r="694" spans="2:16" x14ac:dyDescent="0.45">
      <c r="B694" s="4">
        <v>693</v>
      </c>
      <c r="C694" s="4" t="s">
        <v>41</v>
      </c>
      <c r="D694" s="4" t="s">
        <v>16</v>
      </c>
      <c r="E694" s="4" t="s">
        <v>17</v>
      </c>
      <c r="F694" s="4" t="s">
        <v>18</v>
      </c>
      <c r="G694" s="4" t="s">
        <v>30</v>
      </c>
      <c r="H694" s="4" t="s">
        <v>36</v>
      </c>
      <c r="I694" s="4">
        <v>40</v>
      </c>
      <c r="J694" s="5">
        <v>45.7</v>
      </c>
      <c r="K694" s="6">
        <v>1.89</v>
      </c>
      <c r="L694" s="4">
        <v>6</v>
      </c>
      <c r="M694" s="4">
        <v>139</v>
      </c>
      <c r="N694" s="4">
        <v>75</v>
      </c>
      <c r="O694" s="4" t="s">
        <v>21</v>
      </c>
      <c r="P694" s="7" t="s">
        <v>19</v>
      </c>
    </row>
    <row r="695" spans="2:16" x14ac:dyDescent="0.45">
      <c r="B695" s="4">
        <v>694</v>
      </c>
      <c r="C695" s="4" t="s">
        <v>31</v>
      </c>
      <c r="D695" s="4" t="s">
        <v>16</v>
      </c>
      <c r="E695" s="4" t="s">
        <v>35</v>
      </c>
      <c r="F695" s="4" t="s">
        <v>18</v>
      </c>
      <c r="G695" s="4" t="s">
        <v>19</v>
      </c>
      <c r="H695" s="4" t="s">
        <v>38</v>
      </c>
      <c r="I695" s="4">
        <v>35</v>
      </c>
      <c r="J695" s="5">
        <v>89.3</v>
      </c>
      <c r="K695" s="6">
        <v>1.87</v>
      </c>
      <c r="L695" s="4">
        <v>8</v>
      </c>
      <c r="M695" s="4">
        <v>117</v>
      </c>
      <c r="N695" s="4">
        <v>102</v>
      </c>
      <c r="O695" s="4" t="s">
        <v>26</v>
      </c>
      <c r="P695" s="7" t="s">
        <v>19</v>
      </c>
    </row>
    <row r="696" spans="2:16" x14ac:dyDescent="0.45">
      <c r="B696" s="4">
        <v>695</v>
      </c>
      <c r="C696" s="4" t="s">
        <v>15</v>
      </c>
      <c r="D696" s="4" t="s">
        <v>16</v>
      </c>
      <c r="E696" s="4" t="s">
        <v>17</v>
      </c>
      <c r="F696" s="4" t="s">
        <v>28</v>
      </c>
      <c r="G696" s="4" t="s">
        <v>19</v>
      </c>
      <c r="H696" s="4" t="s">
        <v>20</v>
      </c>
      <c r="I696" s="4">
        <v>26</v>
      </c>
      <c r="J696" s="5">
        <v>49.2</v>
      </c>
      <c r="K696" s="6">
        <v>1.78</v>
      </c>
      <c r="L696" s="4">
        <v>2</v>
      </c>
      <c r="M696" s="4">
        <v>101</v>
      </c>
      <c r="N696" s="4">
        <v>94</v>
      </c>
      <c r="O696" s="4" t="s">
        <v>21</v>
      </c>
      <c r="P696" s="7" t="s">
        <v>19</v>
      </c>
    </row>
    <row r="697" spans="2:16" x14ac:dyDescent="0.45">
      <c r="B697" s="4">
        <v>696</v>
      </c>
      <c r="C697" s="4" t="s">
        <v>15</v>
      </c>
      <c r="D697" s="4" t="s">
        <v>16</v>
      </c>
      <c r="E697" s="4" t="s">
        <v>44</v>
      </c>
      <c r="F697" s="4" t="s">
        <v>24</v>
      </c>
      <c r="G697" s="4" t="s">
        <v>19</v>
      </c>
      <c r="H697" s="4" t="s">
        <v>36</v>
      </c>
      <c r="I697" s="4">
        <v>8</v>
      </c>
      <c r="J697" s="5">
        <v>23</v>
      </c>
      <c r="K697" s="6">
        <v>1.1399999999999999</v>
      </c>
      <c r="L697" s="4">
        <v>9</v>
      </c>
      <c r="M697" s="4">
        <v>124</v>
      </c>
      <c r="N697" s="4">
        <v>81</v>
      </c>
      <c r="O697" s="4" t="s">
        <v>26</v>
      </c>
      <c r="P697" s="7" t="s">
        <v>19</v>
      </c>
    </row>
    <row r="698" spans="2:16" x14ac:dyDescent="0.45">
      <c r="B698" s="4">
        <v>697</v>
      </c>
      <c r="C698" s="4" t="s">
        <v>27</v>
      </c>
      <c r="D698" s="4" t="s">
        <v>16</v>
      </c>
      <c r="E698" s="4" t="s">
        <v>37</v>
      </c>
      <c r="F698" s="4" t="s">
        <v>28</v>
      </c>
      <c r="G698" s="4" t="s">
        <v>19</v>
      </c>
      <c r="H698" s="4" t="s">
        <v>46</v>
      </c>
      <c r="I698" s="4">
        <v>19</v>
      </c>
      <c r="J698" s="5">
        <v>49.9</v>
      </c>
      <c r="K698" s="6">
        <v>1.73</v>
      </c>
      <c r="L698" s="4">
        <v>6</v>
      </c>
      <c r="M698" s="4">
        <v>106</v>
      </c>
      <c r="N698" s="4">
        <v>95</v>
      </c>
      <c r="O698" s="4" t="s">
        <v>26</v>
      </c>
      <c r="P698" s="7" t="s">
        <v>19</v>
      </c>
    </row>
    <row r="699" spans="2:16" x14ac:dyDescent="0.45">
      <c r="B699" s="4">
        <v>698</v>
      </c>
      <c r="C699" s="4" t="s">
        <v>31</v>
      </c>
      <c r="D699" s="4" t="s">
        <v>16</v>
      </c>
      <c r="E699" s="4" t="s">
        <v>37</v>
      </c>
      <c r="F699" s="4" t="s">
        <v>24</v>
      </c>
      <c r="G699" s="4" t="s">
        <v>19</v>
      </c>
      <c r="H699" s="4" t="s">
        <v>20</v>
      </c>
      <c r="I699" s="4">
        <v>21</v>
      </c>
      <c r="J699" s="5">
        <v>50.8</v>
      </c>
      <c r="K699" s="6">
        <v>1.65</v>
      </c>
      <c r="L699" s="4">
        <v>3</v>
      </c>
      <c r="M699" s="4">
        <v>120</v>
      </c>
      <c r="N699" s="4">
        <v>78</v>
      </c>
      <c r="O699" s="4" t="s">
        <v>26</v>
      </c>
      <c r="P699" s="7" t="s">
        <v>19</v>
      </c>
    </row>
    <row r="700" spans="2:16" x14ac:dyDescent="0.45">
      <c r="B700" s="4">
        <v>699</v>
      </c>
      <c r="C700" s="4" t="s">
        <v>22</v>
      </c>
      <c r="D700" s="4" t="s">
        <v>23</v>
      </c>
      <c r="E700" s="4" t="s">
        <v>17</v>
      </c>
      <c r="F700" s="4" t="s">
        <v>28</v>
      </c>
      <c r="G700" s="4" t="s">
        <v>19</v>
      </c>
      <c r="H700" s="4" t="s">
        <v>20</v>
      </c>
      <c r="I700" s="4">
        <v>4</v>
      </c>
      <c r="J700" s="5">
        <v>13</v>
      </c>
      <c r="K700" s="6">
        <v>1.04</v>
      </c>
      <c r="L700" s="4">
        <v>1</v>
      </c>
      <c r="M700" s="4">
        <v>96</v>
      </c>
      <c r="N700" s="4">
        <v>103</v>
      </c>
      <c r="O700" s="4" t="s">
        <v>21</v>
      </c>
      <c r="P700" s="7" t="s">
        <v>19</v>
      </c>
    </row>
    <row r="701" spans="2:16" x14ac:dyDescent="0.45">
      <c r="B701" s="4">
        <v>700</v>
      </c>
      <c r="C701" s="4" t="s">
        <v>31</v>
      </c>
      <c r="D701" s="4" t="s">
        <v>16</v>
      </c>
      <c r="E701" s="4" t="s">
        <v>17</v>
      </c>
      <c r="F701" s="4" t="s">
        <v>24</v>
      </c>
      <c r="G701" s="4" t="s">
        <v>19</v>
      </c>
      <c r="H701" s="4" t="s">
        <v>36</v>
      </c>
      <c r="I701" s="4">
        <v>24</v>
      </c>
      <c r="J701" s="5">
        <v>55.2</v>
      </c>
      <c r="K701" s="6">
        <v>1.58</v>
      </c>
      <c r="L701" s="4">
        <v>3</v>
      </c>
      <c r="M701" s="4">
        <v>140</v>
      </c>
      <c r="N701" s="4">
        <v>78</v>
      </c>
      <c r="O701" s="4" t="s">
        <v>26</v>
      </c>
      <c r="P701" s="7" t="s">
        <v>19</v>
      </c>
    </row>
    <row r="702" spans="2:16" x14ac:dyDescent="0.45">
      <c r="B702" s="4">
        <v>701</v>
      </c>
      <c r="C702" s="4" t="s">
        <v>41</v>
      </c>
      <c r="D702" s="4" t="s">
        <v>16</v>
      </c>
      <c r="E702" s="4" t="s">
        <v>44</v>
      </c>
      <c r="F702" s="4" t="s">
        <v>24</v>
      </c>
      <c r="G702" s="4" t="s">
        <v>19</v>
      </c>
      <c r="H702" s="4" t="s">
        <v>20</v>
      </c>
      <c r="I702" s="4">
        <v>41</v>
      </c>
      <c r="J702" s="5">
        <v>67</v>
      </c>
      <c r="K702" s="6">
        <v>1.69</v>
      </c>
      <c r="L702" s="4">
        <v>3</v>
      </c>
      <c r="M702" s="4">
        <v>104</v>
      </c>
      <c r="N702" s="4">
        <v>70</v>
      </c>
      <c r="O702" s="4" t="s">
        <v>21</v>
      </c>
      <c r="P702" s="7" t="s">
        <v>19</v>
      </c>
    </row>
    <row r="703" spans="2:16" x14ac:dyDescent="0.45">
      <c r="B703" s="4">
        <v>702</v>
      </c>
      <c r="C703" s="4" t="s">
        <v>27</v>
      </c>
      <c r="D703" s="4" t="s">
        <v>23</v>
      </c>
      <c r="E703" s="4" t="s">
        <v>17</v>
      </c>
      <c r="F703" s="4" t="s">
        <v>24</v>
      </c>
      <c r="G703" s="4" t="s">
        <v>19</v>
      </c>
      <c r="H703" s="4" t="s">
        <v>28</v>
      </c>
      <c r="I703" s="4">
        <v>29</v>
      </c>
      <c r="J703" s="5">
        <v>75.5</v>
      </c>
      <c r="K703" s="6">
        <v>1.68</v>
      </c>
      <c r="L703" s="4">
        <v>3</v>
      </c>
      <c r="M703" s="4">
        <v>110</v>
      </c>
      <c r="N703" s="4">
        <v>100</v>
      </c>
      <c r="O703" s="4" t="s">
        <v>26</v>
      </c>
      <c r="P703" s="7" t="s">
        <v>30</v>
      </c>
    </row>
    <row r="704" spans="2:16" x14ac:dyDescent="0.45">
      <c r="B704" s="4">
        <v>703</v>
      </c>
      <c r="C704" s="4" t="s">
        <v>22</v>
      </c>
      <c r="D704" s="4" t="s">
        <v>23</v>
      </c>
      <c r="E704" s="4" t="s">
        <v>44</v>
      </c>
      <c r="F704" s="4" t="s">
        <v>24</v>
      </c>
      <c r="G704" s="4" t="s">
        <v>19</v>
      </c>
      <c r="H704" s="4" t="s">
        <v>28</v>
      </c>
      <c r="I704" s="4">
        <v>10</v>
      </c>
      <c r="J704" s="5">
        <v>19.3</v>
      </c>
      <c r="K704" s="6">
        <v>1.22</v>
      </c>
      <c r="L704" s="4">
        <v>3</v>
      </c>
      <c r="M704" s="4">
        <v>99</v>
      </c>
      <c r="N704" s="4">
        <v>78</v>
      </c>
      <c r="O704" s="4" t="s">
        <v>26</v>
      </c>
      <c r="P704" s="7" t="s">
        <v>19</v>
      </c>
    </row>
    <row r="705" spans="2:16" x14ac:dyDescent="0.45">
      <c r="B705" s="4">
        <v>704</v>
      </c>
      <c r="C705" s="4" t="s">
        <v>15</v>
      </c>
      <c r="D705" s="4" t="s">
        <v>23</v>
      </c>
      <c r="E705" s="4" t="s">
        <v>35</v>
      </c>
      <c r="F705" s="4" t="s">
        <v>18</v>
      </c>
      <c r="G705" s="4" t="s">
        <v>19</v>
      </c>
      <c r="H705" s="4" t="s">
        <v>38</v>
      </c>
      <c r="I705" s="4">
        <v>4</v>
      </c>
      <c r="J705" s="5">
        <v>14.5</v>
      </c>
      <c r="K705" s="6">
        <v>0.73</v>
      </c>
      <c r="L705" s="4">
        <v>2</v>
      </c>
      <c r="M705" s="4">
        <v>110</v>
      </c>
      <c r="N705" s="4">
        <v>77</v>
      </c>
      <c r="O705" s="4" t="s">
        <v>26</v>
      </c>
      <c r="P705" s="7" t="s">
        <v>19</v>
      </c>
    </row>
    <row r="706" spans="2:16" x14ac:dyDescent="0.45">
      <c r="B706" s="4">
        <v>705</v>
      </c>
      <c r="C706" s="4" t="s">
        <v>40</v>
      </c>
      <c r="D706" s="4" t="s">
        <v>16</v>
      </c>
      <c r="E706" s="4" t="s">
        <v>17</v>
      </c>
      <c r="F706" s="4" t="s">
        <v>24</v>
      </c>
      <c r="G706" s="4" t="s">
        <v>19</v>
      </c>
      <c r="H706" s="4" t="s">
        <v>28</v>
      </c>
      <c r="I706" s="4">
        <v>8</v>
      </c>
      <c r="J706" s="5">
        <v>28.5</v>
      </c>
      <c r="K706" s="6">
        <v>1.1000000000000001</v>
      </c>
      <c r="L706" s="4">
        <v>1</v>
      </c>
      <c r="M706" s="4">
        <v>103</v>
      </c>
      <c r="N706" s="4">
        <v>71</v>
      </c>
      <c r="O706" s="4" t="s">
        <v>26</v>
      </c>
      <c r="P706" s="7" t="s">
        <v>19</v>
      </c>
    </row>
    <row r="707" spans="2:16" x14ac:dyDescent="0.45">
      <c r="B707" s="4">
        <v>706</v>
      </c>
      <c r="C707" s="4" t="s">
        <v>27</v>
      </c>
      <c r="D707" s="4" t="s">
        <v>16</v>
      </c>
      <c r="E707" s="4" t="s">
        <v>37</v>
      </c>
      <c r="F707" s="4" t="s">
        <v>24</v>
      </c>
      <c r="G707" s="4" t="s">
        <v>19</v>
      </c>
      <c r="H707" s="4" t="s">
        <v>28</v>
      </c>
      <c r="I707" s="4">
        <v>22</v>
      </c>
      <c r="J707" s="5">
        <v>91.2</v>
      </c>
      <c r="K707" s="6">
        <v>1.78</v>
      </c>
      <c r="L707" s="4">
        <v>4</v>
      </c>
      <c r="M707" s="4">
        <v>114</v>
      </c>
      <c r="N707" s="4">
        <v>102</v>
      </c>
      <c r="O707" s="4" t="s">
        <v>26</v>
      </c>
      <c r="P707" s="7" t="s">
        <v>19</v>
      </c>
    </row>
    <row r="708" spans="2:16" x14ac:dyDescent="0.45">
      <c r="B708" s="4">
        <v>707</v>
      </c>
      <c r="C708" s="4" t="s">
        <v>22</v>
      </c>
      <c r="D708" s="4" t="s">
        <v>23</v>
      </c>
      <c r="E708" s="4" t="s">
        <v>44</v>
      </c>
      <c r="F708" s="4" t="s">
        <v>18</v>
      </c>
      <c r="G708" s="4" t="s">
        <v>19</v>
      </c>
      <c r="H708" s="4" t="s">
        <v>28</v>
      </c>
      <c r="I708" s="4">
        <v>5</v>
      </c>
      <c r="J708" s="5">
        <v>28.1</v>
      </c>
      <c r="K708" s="6">
        <v>1.37</v>
      </c>
      <c r="L708" s="4">
        <v>2</v>
      </c>
      <c r="M708" s="4">
        <v>104</v>
      </c>
      <c r="N708" s="4">
        <v>94</v>
      </c>
      <c r="O708" s="4" t="s">
        <v>21</v>
      </c>
      <c r="P708" s="7" t="s">
        <v>30</v>
      </c>
    </row>
    <row r="709" spans="2:16" x14ac:dyDescent="0.45">
      <c r="B709" s="4">
        <v>708</v>
      </c>
      <c r="C709" s="4" t="s">
        <v>27</v>
      </c>
      <c r="D709" s="4" t="s">
        <v>23</v>
      </c>
      <c r="E709" s="4" t="s">
        <v>35</v>
      </c>
      <c r="F709" s="4" t="s">
        <v>24</v>
      </c>
      <c r="G709" s="4" t="s">
        <v>19</v>
      </c>
      <c r="H709" s="4" t="s">
        <v>28</v>
      </c>
      <c r="I709" s="4">
        <v>3</v>
      </c>
      <c r="J709" s="5">
        <v>8.4</v>
      </c>
      <c r="K709" s="6">
        <v>0.86</v>
      </c>
      <c r="L709" s="4">
        <v>10</v>
      </c>
      <c r="M709" s="4">
        <v>116</v>
      </c>
      <c r="N709" s="4">
        <v>83</v>
      </c>
      <c r="O709" s="4" t="s">
        <v>21</v>
      </c>
      <c r="P709" s="7" t="s">
        <v>30</v>
      </c>
    </row>
    <row r="710" spans="2:16" x14ac:dyDescent="0.45">
      <c r="B710" s="4">
        <v>709</v>
      </c>
      <c r="C710" s="4" t="s">
        <v>40</v>
      </c>
      <c r="D710" s="4" t="s">
        <v>16</v>
      </c>
      <c r="E710" s="4" t="s">
        <v>37</v>
      </c>
      <c r="F710" s="4" t="s">
        <v>24</v>
      </c>
      <c r="G710" s="4" t="s">
        <v>30</v>
      </c>
      <c r="H710" s="4" t="s">
        <v>20</v>
      </c>
      <c r="I710" s="4">
        <v>11</v>
      </c>
      <c r="J710" s="5">
        <v>37</v>
      </c>
      <c r="K710" s="6">
        <v>1.06</v>
      </c>
      <c r="L710" s="4">
        <v>0</v>
      </c>
      <c r="M710" s="4">
        <v>111</v>
      </c>
      <c r="N710" s="4">
        <v>80</v>
      </c>
      <c r="O710" s="4" t="s">
        <v>21</v>
      </c>
      <c r="P710" s="7" t="s">
        <v>19</v>
      </c>
    </row>
    <row r="711" spans="2:16" x14ac:dyDescent="0.45">
      <c r="B711" s="4">
        <v>710</v>
      </c>
      <c r="C711" s="4" t="s">
        <v>22</v>
      </c>
      <c r="D711" s="4" t="s">
        <v>23</v>
      </c>
      <c r="E711" s="4" t="s">
        <v>35</v>
      </c>
      <c r="F711" s="4" t="s">
        <v>18</v>
      </c>
      <c r="G711" s="4" t="s">
        <v>19</v>
      </c>
      <c r="H711" s="4" t="s">
        <v>25</v>
      </c>
      <c r="I711" s="4">
        <v>43</v>
      </c>
      <c r="J711" s="5">
        <v>69</v>
      </c>
      <c r="K711" s="6">
        <v>1.71</v>
      </c>
      <c r="L711" s="4">
        <v>2</v>
      </c>
      <c r="M711" s="4">
        <v>110</v>
      </c>
      <c r="N711" s="4">
        <v>96</v>
      </c>
      <c r="O711" s="4" t="s">
        <v>26</v>
      </c>
      <c r="P711" s="7" t="s">
        <v>19</v>
      </c>
    </row>
    <row r="712" spans="2:16" x14ac:dyDescent="0.45">
      <c r="B712" s="4">
        <v>711</v>
      </c>
      <c r="C712" s="4" t="s">
        <v>15</v>
      </c>
      <c r="D712" s="4" t="s">
        <v>23</v>
      </c>
      <c r="E712" s="4" t="s">
        <v>35</v>
      </c>
      <c r="F712" s="4" t="s">
        <v>28</v>
      </c>
      <c r="G712" s="4" t="s">
        <v>19</v>
      </c>
      <c r="H712" s="4" t="s">
        <v>20</v>
      </c>
      <c r="I712" s="4">
        <v>16</v>
      </c>
      <c r="J712" s="5">
        <v>55.9</v>
      </c>
      <c r="K712" s="6">
        <v>1.69</v>
      </c>
      <c r="L712" s="4">
        <v>2</v>
      </c>
      <c r="M712" s="4">
        <v>96</v>
      </c>
      <c r="N712" s="4">
        <v>104</v>
      </c>
      <c r="O712" s="4" t="s">
        <v>26</v>
      </c>
      <c r="P712" s="7" t="s">
        <v>19</v>
      </c>
    </row>
    <row r="713" spans="2:16" x14ac:dyDescent="0.45">
      <c r="B713" s="4">
        <v>712</v>
      </c>
      <c r="C713" s="4" t="s">
        <v>39</v>
      </c>
      <c r="D713" s="4" t="s">
        <v>23</v>
      </c>
      <c r="E713" s="4" t="s">
        <v>35</v>
      </c>
      <c r="F713" s="4" t="s">
        <v>42</v>
      </c>
      <c r="G713" s="4" t="s">
        <v>30</v>
      </c>
      <c r="H713" s="4" t="s">
        <v>46</v>
      </c>
      <c r="I713" s="4">
        <v>21</v>
      </c>
      <c r="J713" s="5">
        <v>65.2</v>
      </c>
      <c r="K713" s="6">
        <v>1.58</v>
      </c>
      <c r="L713" s="4">
        <v>1</v>
      </c>
      <c r="M713" s="4">
        <v>129</v>
      </c>
      <c r="N713" s="4">
        <v>92</v>
      </c>
      <c r="O713" s="4" t="s">
        <v>26</v>
      </c>
      <c r="P713" s="7" t="s">
        <v>30</v>
      </c>
    </row>
    <row r="714" spans="2:16" x14ac:dyDescent="0.45">
      <c r="B714" s="4">
        <v>713</v>
      </c>
      <c r="C714" s="4" t="s">
        <v>15</v>
      </c>
      <c r="D714" s="4" t="s">
        <v>16</v>
      </c>
      <c r="E714" s="4" t="s">
        <v>35</v>
      </c>
      <c r="F714" s="4" t="s">
        <v>24</v>
      </c>
      <c r="G714" s="4" t="s">
        <v>19</v>
      </c>
      <c r="H714" s="4" t="s">
        <v>36</v>
      </c>
      <c r="I714" s="4">
        <v>26</v>
      </c>
      <c r="J714" s="5">
        <v>64.5</v>
      </c>
      <c r="K714" s="6">
        <v>1.75</v>
      </c>
      <c r="L714" s="4">
        <v>0</v>
      </c>
      <c r="M714" s="4">
        <v>138</v>
      </c>
      <c r="N714" s="4">
        <v>74</v>
      </c>
      <c r="O714" s="4" t="s">
        <v>26</v>
      </c>
      <c r="P714" s="7" t="s">
        <v>19</v>
      </c>
    </row>
    <row r="715" spans="2:16" x14ac:dyDescent="0.45">
      <c r="B715" s="4">
        <v>714</v>
      </c>
      <c r="C715" s="4" t="s">
        <v>41</v>
      </c>
      <c r="D715" s="4" t="s">
        <v>23</v>
      </c>
      <c r="E715" s="4" t="s">
        <v>35</v>
      </c>
      <c r="F715" s="4" t="s">
        <v>24</v>
      </c>
      <c r="G715" s="4" t="s">
        <v>30</v>
      </c>
      <c r="H715" s="4" t="s">
        <v>36</v>
      </c>
      <c r="I715" s="4">
        <v>51</v>
      </c>
      <c r="J715" s="5">
        <v>83.5</v>
      </c>
      <c r="K715" s="6">
        <v>1.72</v>
      </c>
      <c r="L715" s="4">
        <v>5</v>
      </c>
      <c r="M715" s="4">
        <v>138</v>
      </c>
      <c r="N715" s="4">
        <v>88</v>
      </c>
      <c r="O715" s="4" t="s">
        <v>21</v>
      </c>
      <c r="P715" s="7" t="s">
        <v>19</v>
      </c>
    </row>
    <row r="716" spans="2:16" x14ac:dyDescent="0.45">
      <c r="B716" s="4">
        <v>715</v>
      </c>
      <c r="C716" s="4" t="s">
        <v>22</v>
      </c>
      <c r="D716" s="4" t="s">
        <v>23</v>
      </c>
      <c r="E716" s="4" t="s">
        <v>17</v>
      </c>
      <c r="F716" s="4" t="s">
        <v>18</v>
      </c>
      <c r="G716" s="4" t="s">
        <v>19</v>
      </c>
      <c r="H716" s="4" t="s">
        <v>28</v>
      </c>
      <c r="I716" s="4">
        <v>43</v>
      </c>
      <c r="J716" s="5">
        <v>77.599999999999994</v>
      </c>
      <c r="K716" s="6">
        <v>1.62</v>
      </c>
      <c r="L716" s="4">
        <v>7</v>
      </c>
      <c r="M716" s="4">
        <v>127</v>
      </c>
      <c r="N716" s="4">
        <v>76</v>
      </c>
      <c r="O716" s="4" t="s">
        <v>26</v>
      </c>
      <c r="P716" s="7" t="s">
        <v>30</v>
      </c>
    </row>
    <row r="717" spans="2:16" x14ac:dyDescent="0.45">
      <c r="B717" s="4">
        <v>716</v>
      </c>
      <c r="C717" s="4" t="s">
        <v>40</v>
      </c>
      <c r="D717" s="4" t="s">
        <v>23</v>
      </c>
      <c r="E717" s="4" t="s">
        <v>35</v>
      </c>
      <c r="F717" s="4" t="s">
        <v>28</v>
      </c>
      <c r="G717" s="4" t="s">
        <v>19</v>
      </c>
      <c r="H717" s="4" t="s">
        <v>28</v>
      </c>
      <c r="I717" s="4">
        <v>15</v>
      </c>
      <c r="J717" s="5">
        <v>52</v>
      </c>
      <c r="K717" s="6">
        <v>1.55</v>
      </c>
      <c r="L717" s="4">
        <v>3</v>
      </c>
      <c r="M717" s="4">
        <v>99</v>
      </c>
      <c r="N717" s="4">
        <v>72</v>
      </c>
      <c r="O717" s="4" t="s">
        <v>21</v>
      </c>
      <c r="P717" s="7" t="s">
        <v>19</v>
      </c>
    </row>
    <row r="718" spans="2:16" x14ac:dyDescent="0.45">
      <c r="B718" s="4">
        <v>717</v>
      </c>
      <c r="C718" s="4" t="s">
        <v>27</v>
      </c>
      <c r="D718" s="4" t="s">
        <v>23</v>
      </c>
      <c r="E718" s="4" t="s">
        <v>35</v>
      </c>
      <c r="F718" s="4" t="s">
        <v>18</v>
      </c>
      <c r="G718" s="4" t="s">
        <v>19</v>
      </c>
      <c r="H718" s="4" t="s">
        <v>28</v>
      </c>
      <c r="I718" s="4">
        <v>55</v>
      </c>
      <c r="J718" s="5">
        <v>89.2</v>
      </c>
      <c r="K718" s="6">
        <v>1.53</v>
      </c>
      <c r="L718" s="4">
        <v>1</v>
      </c>
      <c r="M718" s="4">
        <v>121</v>
      </c>
      <c r="N718" s="4">
        <v>74</v>
      </c>
      <c r="O718" s="4" t="s">
        <v>26</v>
      </c>
      <c r="P718" s="7" t="s">
        <v>30</v>
      </c>
    </row>
    <row r="719" spans="2:16" x14ac:dyDescent="0.45">
      <c r="B719" s="4">
        <v>718</v>
      </c>
      <c r="C719" s="4" t="s">
        <v>27</v>
      </c>
      <c r="D719" s="4" t="s">
        <v>23</v>
      </c>
      <c r="E719" s="4" t="s">
        <v>35</v>
      </c>
      <c r="F719" s="4" t="s">
        <v>28</v>
      </c>
      <c r="G719" s="4" t="s">
        <v>19</v>
      </c>
      <c r="H719" s="4" t="s">
        <v>36</v>
      </c>
      <c r="I719" s="4">
        <v>42</v>
      </c>
      <c r="J719" s="5">
        <v>67.400000000000006</v>
      </c>
      <c r="K719" s="6">
        <v>1.68</v>
      </c>
      <c r="L719" s="4">
        <v>7</v>
      </c>
      <c r="M719" s="4">
        <v>141</v>
      </c>
      <c r="N719" s="4">
        <v>100</v>
      </c>
      <c r="O719" s="4" t="s">
        <v>26</v>
      </c>
      <c r="P719" s="7" t="s">
        <v>19</v>
      </c>
    </row>
    <row r="720" spans="2:16" x14ac:dyDescent="0.45">
      <c r="B720" s="4">
        <v>719</v>
      </c>
      <c r="C720" s="4" t="s">
        <v>43</v>
      </c>
      <c r="D720" s="4" t="s">
        <v>23</v>
      </c>
      <c r="E720" s="4" t="s">
        <v>17</v>
      </c>
      <c r="F720" s="4" t="s">
        <v>24</v>
      </c>
      <c r="G720" s="4" t="s">
        <v>19</v>
      </c>
      <c r="H720" s="4" t="s">
        <v>38</v>
      </c>
      <c r="I720" s="4">
        <v>27</v>
      </c>
      <c r="J720" s="5">
        <v>74.400000000000006</v>
      </c>
      <c r="K720" s="6">
        <v>1.85</v>
      </c>
      <c r="L720" s="4">
        <v>1</v>
      </c>
      <c r="M720" s="4">
        <v>116</v>
      </c>
      <c r="N720" s="4">
        <v>84</v>
      </c>
      <c r="O720" s="4" t="s">
        <v>21</v>
      </c>
      <c r="P720" s="7" t="s">
        <v>19</v>
      </c>
    </row>
    <row r="721" spans="2:16" x14ac:dyDescent="0.45">
      <c r="B721" s="4">
        <v>720</v>
      </c>
      <c r="C721" s="4" t="s">
        <v>39</v>
      </c>
      <c r="D721" s="4" t="s">
        <v>23</v>
      </c>
      <c r="E721" s="4" t="s">
        <v>35</v>
      </c>
      <c r="F721" s="4" t="s">
        <v>24</v>
      </c>
      <c r="G721" s="4" t="s">
        <v>19</v>
      </c>
      <c r="H721" s="4" t="s">
        <v>28</v>
      </c>
      <c r="I721" s="4">
        <v>48</v>
      </c>
      <c r="J721" s="5">
        <v>83.1</v>
      </c>
      <c r="K721" s="6">
        <v>1.63</v>
      </c>
      <c r="L721" s="4">
        <v>3</v>
      </c>
      <c r="M721" s="4">
        <v>120</v>
      </c>
      <c r="N721" s="4">
        <v>89</v>
      </c>
      <c r="O721" s="4" t="s">
        <v>21</v>
      </c>
      <c r="P721" s="7" t="s">
        <v>30</v>
      </c>
    </row>
    <row r="722" spans="2:16" x14ac:dyDescent="0.45">
      <c r="B722" s="4">
        <v>721</v>
      </c>
      <c r="C722" s="4" t="s">
        <v>45</v>
      </c>
      <c r="D722" s="4" t="s">
        <v>23</v>
      </c>
      <c r="E722" s="4" t="s">
        <v>17</v>
      </c>
      <c r="F722" s="4" t="s">
        <v>24</v>
      </c>
      <c r="G722" s="4" t="s">
        <v>19</v>
      </c>
      <c r="H722" s="4" t="s">
        <v>36</v>
      </c>
      <c r="I722" s="4">
        <v>11</v>
      </c>
      <c r="J722" s="5">
        <v>21.4</v>
      </c>
      <c r="K722" s="6">
        <v>1.33</v>
      </c>
      <c r="L722" s="4">
        <v>4</v>
      </c>
      <c r="M722" s="4">
        <v>119</v>
      </c>
      <c r="N722" s="4">
        <v>78</v>
      </c>
      <c r="O722" s="4" t="s">
        <v>26</v>
      </c>
      <c r="P722" s="7" t="s">
        <v>19</v>
      </c>
    </row>
    <row r="723" spans="2:16" x14ac:dyDescent="0.45">
      <c r="B723" s="4">
        <v>722</v>
      </c>
      <c r="C723" s="4" t="s">
        <v>39</v>
      </c>
      <c r="D723" s="4" t="s">
        <v>16</v>
      </c>
      <c r="E723" s="4" t="s">
        <v>17</v>
      </c>
      <c r="F723" s="4" t="s">
        <v>28</v>
      </c>
      <c r="G723" s="4" t="s">
        <v>19</v>
      </c>
      <c r="H723" s="4" t="s">
        <v>36</v>
      </c>
      <c r="I723" s="4">
        <v>36</v>
      </c>
      <c r="J723" s="5">
        <v>91.8</v>
      </c>
      <c r="K723" s="6">
        <v>1.69</v>
      </c>
      <c r="L723" s="4">
        <v>8</v>
      </c>
      <c r="M723" s="4">
        <v>124</v>
      </c>
      <c r="N723" s="4">
        <v>103</v>
      </c>
      <c r="O723" s="4" t="s">
        <v>26</v>
      </c>
      <c r="P723" s="7" t="s">
        <v>30</v>
      </c>
    </row>
    <row r="724" spans="2:16" x14ac:dyDescent="0.45">
      <c r="B724" s="4">
        <v>723</v>
      </c>
      <c r="C724" s="4" t="s">
        <v>27</v>
      </c>
      <c r="D724" s="4" t="s">
        <v>23</v>
      </c>
      <c r="E724" s="4" t="s">
        <v>37</v>
      </c>
      <c r="F724" s="4" t="s">
        <v>18</v>
      </c>
      <c r="G724" s="4" t="s">
        <v>30</v>
      </c>
      <c r="H724" s="4" t="s">
        <v>46</v>
      </c>
      <c r="I724" s="4">
        <v>9</v>
      </c>
      <c r="J724" s="5">
        <v>29.6</v>
      </c>
      <c r="K724" s="6">
        <v>1.33</v>
      </c>
      <c r="L724" s="4">
        <v>2</v>
      </c>
      <c r="M724" s="4">
        <v>118</v>
      </c>
      <c r="N724" s="4">
        <v>86</v>
      </c>
      <c r="O724" s="4" t="s">
        <v>21</v>
      </c>
      <c r="P724" s="7" t="s">
        <v>30</v>
      </c>
    </row>
    <row r="725" spans="2:16" x14ac:dyDescent="0.45">
      <c r="B725" s="4">
        <v>724</v>
      </c>
      <c r="C725" s="4" t="s">
        <v>41</v>
      </c>
      <c r="D725" s="4" t="s">
        <v>23</v>
      </c>
      <c r="E725" s="4" t="s">
        <v>35</v>
      </c>
      <c r="F725" s="4" t="s">
        <v>24</v>
      </c>
      <c r="G725" s="4" t="s">
        <v>19</v>
      </c>
      <c r="H725" s="4" t="s">
        <v>20</v>
      </c>
      <c r="I725" s="4">
        <v>18</v>
      </c>
      <c r="J725" s="5">
        <v>79.400000000000006</v>
      </c>
      <c r="K725" s="6">
        <v>1.82</v>
      </c>
      <c r="L725" s="4">
        <v>2</v>
      </c>
      <c r="M725" s="4">
        <v>119</v>
      </c>
      <c r="N725" s="4">
        <v>100</v>
      </c>
      <c r="O725" s="4" t="s">
        <v>21</v>
      </c>
      <c r="P725" s="7" t="s">
        <v>19</v>
      </c>
    </row>
    <row r="726" spans="2:16" x14ac:dyDescent="0.45">
      <c r="B726" s="4">
        <v>725</v>
      </c>
      <c r="C726" s="4" t="s">
        <v>15</v>
      </c>
      <c r="D726" s="4" t="s">
        <v>16</v>
      </c>
      <c r="E726" s="4" t="s">
        <v>35</v>
      </c>
      <c r="F726" s="4" t="s">
        <v>24</v>
      </c>
      <c r="G726" s="4" t="s">
        <v>19</v>
      </c>
      <c r="H726" s="4" t="s">
        <v>46</v>
      </c>
      <c r="I726" s="4">
        <v>2</v>
      </c>
      <c r="J726" s="5">
        <v>9</v>
      </c>
      <c r="K726" s="6">
        <v>0.78</v>
      </c>
      <c r="L726" s="4">
        <v>1</v>
      </c>
      <c r="M726" s="4">
        <v>108</v>
      </c>
      <c r="N726" s="4">
        <v>79</v>
      </c>
      <c r="O726" s="4" t="s">
        <v>21</v>
      </c>
      <c r="P726" s="7" t="s">
        <v>19</v>
      </c>
    </row>
    <row r="727" spans="2:16" x14ac:dyDescent="0.45">
      <c r="B727" s="4">
        <v>726</v>
      </c>
      <c r="C727" s="4" t="s">
        <v>29</v>
      </c>
      <c r="D727" s="4" t="s">
        <v>16</v>
      </c>
      <c r="E727" s="4" t="s">
        <v>17</v>
      </c>
      <c r="F727" s="4" t="s">
        <v>18</v>
      </c>
      <c r="G727" s="4" t="s">
        <v>19</v>
      </c>
      <c r="H727" s="4" t="s">
        <v>25</v>
      </c>
      <c r="I727" s="4">
        <v>8</v>
      </c>
      <c r="J727" s="5">
        <v>35</v>
      </c>
      <c r="K727" s="6">
        <v>1.38</v>
      </c>
      <c r="L727" s="4">
        <v>6</v>
      </c>
      <c r="M727" s="4">
        <v>111</v>
      </c>
      <c r="N727" s="4">
        <v>78</v>
      </c>
      <c r="O727" s="4" t="s">
        <v>21</v>
      </c>
      <c r="P727" s="7" t="s">
        <v>19</v>
      </c>
    </row>
    <row r="728" spans="2:16" x14ac:dyDescent="0.45">
      <c r="B728" s="4">
        <v>727</v>
      </c>
      <c r="C728" s="4" t="s">
        <v>45</v>
      </c>
      <c r="D728" s="4" t="s">
        <v>16</v>
      </c>
      <c r="E728" s="4" t="s">
        <v>17</v>
      </c>
      <c r="F728" s="4" t="s">
        <v>28</v>
      </c>
      <c r="G728" s="4" t="s">
        <v>19</v>
      </c>
      <c r="H728" s="4" t="s">
        <v>28</v>
      </c>
      <c r="I728" s="4">
        <v>9</v>
      </c>
      <c r="J728" s="5">
        <v>20.7</v>
      </c>
      <c r="K728" s="6">
        <v>1.33</v>
      </c>
      <c r="L728" s="4">
        <v>2</v>
      </c>
      <c r="M728" s="4">
        <v>103</v>
      </c>
      <c r="N728" s="4">
        <v>100</v>
      </c>
      <c r="O728" s="4" t="s">
        <v>21</v>
      </c>
      <c r="P728" s="7" t="s">
        <v>19</v>
      </c>
    </row>
    <row r="729" spans="2:16" x14ac:dyDescent="0.45">
      <c r="B729" s="4">
        <v>728</v>
      </c>
      <c r="C729" s="4" t="s">
        <v>22</v>
      </c>
      <c r="D729" s="4" t="s">
        <v>23</v>
      </c>
      <c r="E729" s="4" t="s">
        <v>17</v>
      </c>
      <c r="F729" s="4" t="s">
        <v>28</v>
      </c>
      <c r="G729" s="4" t="s">
        <v>19</v>
      </c>
      <c r="H729" s="4" t="s">
        <v>36</v>
      </c>
      <c r="I729" s="4">
        <v>16</v>
      </c>
      <c r="J729" s="5">
        <v>51</v>
      </c>
      <c r="K729" s="6">
        <v>1.49</v>
      </c>
      <c r="L729" s="4">
        <v>2</v>
      </c>
      <c r="M729" s="4">
        <v>124</v>
      </c>
      <c r="N729" s="4">
        <v>104</v>
      </c>
      <c r="O729" s="4" t="s">
        <v>26</v>
      </c>
      <c r="P729" s="7" t="s">
        <v>19</v>
      </c>
    </row>
    <row r="730" spans="2:16" x14ac:dyDescent="0.45">
      <c r="B730" s="4">
        <v>729</v>
      </c>
      <c r="C730" s="4" t="s">
        <v>45</v>
      </c>
      <c r="D730" s="4" t="s">
        <v>23</v>
      </c>
      <c r="E730" s="4" t="s">
        <v>37</v>
      </c>
      <c r="F730" s="4" t="s">
        <v>24</v>
      </c>
      <c r="G730" s="4" t="s">
        <v>19</v>
      </c>
      <c r="H730" s="4" t="s">
        <v>25</v>
      </c>
      <c r="I730" s="4">
        <v>13</v>
      </c>
      <c r="J730" s="5">
        <v>60.7</v>
      </c>
      <c r="K730" s="6">
        <v>1.68</v>
      </c>
      <c r="L730" s="4">
        <v>9</v>
      </c>
      <c r="M730" s="4">
        <v>112</v>
      </c>
      <c r="N730" s="4">
        <v>92</v>
      </c>
      <c r="O730" s="4" t="s">
        <v>26</v>
      </c>
      <c r="P730" s="7" t="s">
        <v>19</v>
      </c>
    </row>
    <row r="731" spans="2:16" x14ac:dyDescent="0.45">
      <c r="B731" s="4">
        <v>730</v>
      </c>
      <c r="C731" s="4" t="s">
        <v>22</v>
      </c>
      <c r="D731" s="4" t="s">
        <v>23</v>
      </c>
      <c r="E731" s="4" t="s">
        <v>17</v>
      </c>
      <c r="F731" s="4" t="s">
        <v>24</v>
      </c>
      <c r="G731" s="4" t="s">
        <v>19</v>
      </c>
      <c r="H731" s="4" t="s">
        <v>20</v>
      </c>
      <c r="I731" s="4">
        <v>24</v>
      </c>
      <c r="J731" s="5">
        <v>49.2</v>
      </c>
      <c r="K731" s="6">
        <v>1.71</v>
      </c>
      <c r="L731" s="4">
        <v>6</v>
      </c>
      <c r="M731" s="4">
        <v>110</v>
      </c>
      <c r="N731" s="4">
        <v>86</v>
      </c>
      <c r="O731" s="4" t="s">
        <v>21</v>
      </c>
      <c r="P731" s="7" t="s">
        <v>19</v>
      </c>
    </row>
    <row r="732" spans="2:16" x14ac:dyDescent="0.45">
      <c r="B732" s="4">
        <v>731</v>
      </c>
      <c r="C732" s="4" t="s">
        <v>27</v>
      </c>
      <c r="D732" s="4" t="s">
        <v>23</v>
      </c>
      <c r="E732" s="4" t="s">
        <v>44</v>
      </c>
      <c r="F732" s="4" t="s">
        <v>18</v>
      </c>
      <c r="G732" s="4" t="s">
        <v>19</v>
      </c>
      <c r="H732" s="4" t="s">
        <v>34</v>
      </c>
      <c r="I732" s="4">
        <v>90</v>
      </c>
      <c r="J732" s="5">
        <v>74.900000000000006</v>
      </c>
      <c r="K732" s="6">
        <v>1.89</v>
      </c>
      <c r="L732" s="4">
        <v>1</v>
      </c>
      <c r="M732" s="4">
        <v>124</v>
      </c>
      <c r="N732" s="4">
        <v>82</v>
      </c>
      <c r="O732" s="4" t="s">
        <v>26</v>
      </c>
      <c r="P732" s="7" t="s">
        <v>19</v>
      </c>
    </row>
    <row r="733" spans="2:16" x14ac:dyDescent="0.45">
      <c r="B733" s="4">
        <v>732</v>
      </c>
      <c r="C733" s="4" t="s">
        <v>22</v>
      </c>
      <c r="D733" s="4" t="s">
        <v>16</v>
      </c>
      <c r="E733" s="4" t="s">
        <v>17</v>
      </c>
      <c r="F733" s="4" t="s">
        <v>24</v>
      </c>
      <c r="G733" s="4" t="s">
        <v>19</v>
      </c>
      <c r="H733" s="4" t="s">
        <v>34</v>
      </c>
      <c r="I733" s="4">
        <v>22</v>
      </c>
      <c r="J733" s="5">
        <v>86.6</v>
      </c>
      <c r="K733" s="6">
        <v>1.54</v>
      </c>
      <c r="L733" s="4">
        <v>6</v>
      </c>
      <c r="M733" s="4">
        <v>110</v>
      </c>
      <c r="N733" s="4">
        <v>93</v>
      </c>
      <c r="O733" s="4" t="s">
        <v>26</v>
      </c>
      <c r="P733" s="7" t="s">
        <v>19</v>
      </c>
    </row>
    <row r="734" spans="2:16" x14ac:dyDescent="0.45">
      <c r="B734" s="4">
        <v>733</v>
      </c>
      <c r="C734" s="4" t="s">
        <v>41</v>
      </c>
      <c r="D734" s="4" t="s">
        <v>23</v>
      </c>
      <c r="E734" s="4" t="s">
        <v>35</v>
      </c>
      <c r="F734" s="4" t="s">
        <v>18</v>
      </c>
      <c r="G734" s="4" t="s">
        <v>19</v>
      </c>
      <c r="H734" s="4" t="s">
        <v>28</v>
      </c>
      <c r="I734" s="4">
        <v>0</v>
      </c>
      <c r="J734" s="5">
        <v>11.5</v>
      </c>
      <c r="K734" s="6">
        <v>1.03</v>
      </c>
      <c r="L734" s="4">
        <v>0</v>
      </c>
      <c r="M734" s="4">
        <v>106</v>
      </c>
      <c r="N734" s="4">
        <v>83</v>
      </c>
      <c r="O734" s="4" t="s">
        <v>26</v>
      </c>
      <c r="P734" s="7" t="s">
        <v>19</v>
      </c>
    </row>
    <row r="735" spans="2:16" x14ac:dyDescent="0.45">
      <c r="B735" s="4">
        <v>734</v>
      </c>
      <c r="C735" s="4" t="s">
        <v>15</v>
      </c>
      <c r="D735" s="4" t="s">
        <v>23</v>
      </c>
      <c r="E735" s="4" t="s">
        <v>35</v>
      </c>
      <c r="F735" s="4" t="s">
        <v>24</v>
      </c>
      <c r="G735" s="4" t="s">
        <v>30</v>
      </c>
      <c r="H735" s="4" t="s">
        <v>34</v>
      </c>
      <c r="I735" s="4">
        <v>3</v>
      </c>
      <c r="J735" s="5">
        <v>17.600000000000001</v>
      </c>
      <c r="K735" s="6">
        <v>0.8</v>
      </c>
      <c r="L735" s="4">
        <v>2</v>
      </c>
      <c r="M735" s="4">
        <v>109</v>
      </c>
      <c r="N735" s="4">
        <v>90</v>
      </c>
      <c r="O735" s="4" t="s">
        <v>21</v>
      </c>
      <c r="P735" s="7" t="s">
        <v>19</v>
      </c>
    </row>
    <row r="736" spans="2:16" x14ac:dyDescent="0.45">
      <c r="B736" s="4">
        <v>735</v>
      </c>
      <c r="C736" s="4" t="s">
        <v>31</v>
      </c>
      <c r="D736" s="4" t="s">
        <v>16</v>
      </c>
      <c r="E736" s="4" t="s">
        <v>17</v>
      </c>
      <c r="F736" s="4" t="s">
        <v>18</v>
      </c>
      <c r="G736" s="4" t="s">
        <v>19</v>
      </c>
      <c r="H736" s="4" t="s">
        <v>20</v>
      </c>
      <c r="I736" s="4">
        <v>71</v>
      </c>
      <c r="J736" s="5">
        <v>88</v>
      </c>
      <c r="K736" s="6">
        <v>1.6</v>
      </c>
      <c r="L736" s="4">
        <v>5</v>
      </c>
      <c r="M736" s="4">
        <v>114</v>
      </c>
      <c r="N736" s="4">
        <v>77</v>
      </c>
      <c r="O736" s="4" t="s">
        <v>26</v>
      </c>
      <c r="P736" s="7" t="s">
        <v>19</v>
      </c>
    </row>
    <row r="737" spans="2:16" x14ac:dyDescent="0.45">
      <c r="B737" s="4">
        <v>736</v>
      </c>
      <c r="C737" s="4" t="s">
        <v>41</v>
      </c>
      <c r="D737" s="4" t="s">
        <v>16</v>
      </c>
      <c r="E737" s="4" t="s">
        <v>17</v>
      </c>
      <c r="F737" s="4" t="s">
        <v>18</v>
      </c>
      <c r="G737" s="4" t="s">
        <v>30</v>
      </c>
      <c r="H737" s="4" t="s">
        <v>20</v>
      </c>
      <c r="I737" s="4">
        <v>5</v>
      </c>
      <c r="J737" s="5">
        <v>33.200000000000003</v>
      </c>
      <c r="K737" s="6">
        <v>1.1599999999999999</v>
      </c>
      <c r="L737" s="4">
        <v>2</v>
      </c>
      <c r="M737" s="4">
        <v>102</v>
      </c>
      <c r="N737" s="4">
        <v>74</v>
      </c>
      <c r="O737" s="4" t="s">
        <v>26</v>
      </c>
      <c r="P737" s="7" t="s">
        <v>19</v>
      </c>
    </row>
    <row r="738" spans="2:16" x14ac:dyDescent="0.45">
      <c r="B738" s="4">
        <v>737</v>
      </c>
      <c r="C738" s="4" t="s">
        <v>31</v>
      </c>
      <c r="D738" s="4" t="s">
        <v>23</v>
      </c>
      <c r="E738" s="4" t="s">
        <v>35</v>
      </c>
      <c r="F738" s="4" t="s">
        <v>28</v>
      </c>
      <c r="G738" s="4" t="s">
        <v>19</v>
      </c>
      <c r="H738" s="4" t="s">
        <v>46</v>
      </c>
      <c r="I738" s="4">
        <v>20</v>
      </c>
      <c r="J738" s="5">
        <v>56.4</v>
      </c>
      <c r="K738" s="6">
        <v>1.5</v>
      </c>
      <c r="L738" s="4">
        <v>6</v>
      </c>
      <c r="M738" s="4">
        <v>121</v>
      </c>
      <c r="N738" s="4">
        <v>94</v>
      </c>
      <c r="O738" s="4" t="s">
        <v>26</v>
      </c>
      <c r="P738" s="7" t="s">
        <v>19</v>
      </c>
    </row>
    <row r="739" spans="2:16" x14ac:dyDescent="0.45">
      <c r="B739" s="4">
        <v>738</v>
      </c>
      <c r="C739" s="4" t="s">
        <v>45</v>
      </c>
      <c r="D739" s="4" t="s">
        <v>16</v>
      </c>
      <c r="E739" s="4" t="s">
        <v>37</v>
      </c>
      <c r="F739" s="4" t="s">
        <v>18</v>
      </c>
      <c r="G739" s="4" t="s">
        <v>19</v>
      </c>
      <c r="H739" s="4" t="s">
        <v>25</v>
      </c>
      <c r="I739" s="4">
        <v>2</v>
      </c>
      <c r="J739" s="5">
        <v>14.6</v>
      </c>
      <c r="K739" s="6">
        <v>0.75</v>
      </c>
      <c r="L739" s="4">
        <v>5</v>
      </c>
      <c r="M739" s="4">
        <v>105</v>
      </c>
      <c r="N739" s="4">
        <v>71</v>
      </c>
      <c r="O739" s="4" t="s">
        <v>21</v>
      </c>
      <c r="P739" s="7" t="s">
        <v>19</v>
      </c>
    </row>
    <row r="740" spans="2:16" x14ac:dyDescent="0.45">
      <c r="B740" s="4">
        <v>739</v>
      </c>
      <c r="C740" s="4" t="s">
        <v>15</v>
      </c>
      <c r="D740" s="4" t="s">
        <v>16</v>
      </c>
      <c r="E740" s="4" t="s">
        <v>35</v>
      </c>
      <c r="F740" s="4" t="s">
        <v>18</v>
      </c>
      <c r="G740" s="4" t="s">
        <v>19</v>
      </c>
      <c r="H740" s="4" t="s">
        <v>36</v>
      </c>
      <c r="I740" s="4">
        <v>77</v>
      </c>
      <c r="J740" s="5">
        <v>66</v>
      </c>
      <c r="K740" s="6">
        <v>1.63</v>
      </c>
      <c r="L740" s="4">
        <v>3</v>
      </c>
      <c r="M740" s="4">
        <v>154</v>
      </c>
      <c r="N740" s="4">
        <v>77</v>
      </c>
      <c r="O740" s="4" t="s">
        <v>21</v>
      </c>
      <c r="P740" s="7" t="s">
        <v>19</v>
      </c>
    </row>
    <row r="741" spans="2:16" x14ac:dyDescent="0.45">
      <c r="B741" s="4">
        <v>740</v>
      </c>
      <c r="C741" s="4" t="s">
        <v>22</v>
      </c>
      <c r="D741" s="4" t="s">
        <v>16</v>
      </c>
      <c r="E741" s="4" t="s">
        <v>44</v>
      </c>
      <c r="F741" s="4" t="s">
        <v>28</v>
      </c>
      <c r="G741" s="4" t="s">
        <v>19</v>
      </c>
      <c r="H741" s="4" t="s">
        <v>28</v>
      </c>
      <c r="I741" s="4">
        <v>5</v>
      </c>
      <c r="J741" s="5">
        <v>31.6</v>
      </c>
      <c r="K741" s="6">
        <v>1.08</v>
      </c>
      <c r="L741" s="4">
        <v>2</v>
      </c>
      <c r="M741" s="4">
        <v>102</v>
      </c>
      <c r="N741" s="4">
        <v>90</v>
      </c>
      <c r="O741" s="4" t="s">
        <v>21</v>
      </c>
      <c r="P741" s="7" t="s">
        <v>19</v>
      </c>
    </row>
    <row r="742" spans="2:16" x14ac:dyDescent="0.45">
      <c r="B742" s="4">
        <v>741</v>
      </c>
      <c r="C742" s="4" t="s">
        <v>45</v>
      </c>
      <c r="D742" s="4" t="s">
        <v>16</v>
      </c>
      <c r="E742" s="4" t="s">
        <v>17</v>
      </c>
      <c r="F742" s="4" t="s">
        <v>24</v>
      </c>
      <c r="G742" s="4" t="s">
        <v>19</v>
      </c>
      <c r="H742" s="4" t="s">
        <v>28</v>
      </c>
      <c r="I742" s="4">
        <v>6</v>
      </c>
      <c r="J742" s="5">
        <v>36.1</v>
      </c>
      <c r="K742" s="6">
        <v>1.0900000000000001</v>
      </c>
      <c r="L742" s="4">
        <v>6</v>
      </c>
      <c r="M742" s="4">
        <v>107</v>
      </c>
      <c r="N742" s="4">
        <v>94</v>
      </c>
      <c r="O742" s="4" t="s">
        <v>21</v>
      </c>
      <c r="P742" s="7" t="s">
        <v>19</v>
      </c>
    </row>
    <row r="743" spans="2:16" x14ac:dyDescent="0.45">
      <c r="B743" s="4">
        <v>742</v>
      </c>
      <c r="C743" s="4" t="s">
        <v>27</v>
      </c>
      <c r="D743" s="4" t="s">
        <v>23</v>
      </c>
      <c r="E743" s="4" t="s">
        <v>35</v>
      </c>
      <c r="F743" s="4" t="s">
        <v>42</v>
      </c>
      <c r="G743" s="4" t="s">
        <v>30</v>
      </c>
      <c r="H743" s="4" t="s">
        <v>28</v>
      </c>
      <c r="I743" s="4">
        <v>37</v>
      </c>
      <c r="J743" s="5">
        <v>93.5</v>
      </c>
      <c r="K743" s="6">
        <v>1.67</v>
      </c>
      <c r="L743" s="4">
        <v>5</v>
      </c>
      <c r="M743" s="4">
        <v>108</v>
      </c>
      <c r="N743" s="4">
        <v>70</v>
      </c>
      <c r="O743" s="4" t="s">
        <v>21</v>
      </c>
      <c r="P743" s="7" t="s">
        <v>19</v>
      </c>
    </row>
    <row r="744" spans="2:16" x14ac:dyDescent="0.45">
      <c r="B744" s="4">
        <v>743</v>
      </c>
      <c r="C744" s="4" t="s">
        <v>27</v>
      </c>
      <c r="D744" s="4" t="s">
        <v>23</v>
      </c>
      <c r="E744" s="4" t="s">
        <v>35</v>
      </c>
      <c r="F744" s="4" t="s">
        <v>24</v>
      </c>
      <c r="G744" s="4" t="s">
        <v>30</v>
      </c>
      <c r="H744" s="4" t="s">
        <v>28</v>
      </c>
      <c r="I744" s="4">
        <v>32</v>
      </c>
      <c r="J744" s="5">
        <v>71.2</v>
      </c>
      <c r="K744" s="6">
        <v>1.73</v>
      </c>
      <c r="L744" s="4">
        <v>2</v>
      </c>
      <c r="M744" s="4">
        <v>116</v>
      </c>
      <c r="N744" s="4">
        <v>72</v>
      </c>
      <c r="O744" s="4" t="s">
        <v>21</v>
      </c>
      <c r="P744" s="7" t="s">
        <v>19</v>
      </c>
    </row>
    <row r="745" spans="2:16" x14ac:dyDescent="0.45">
      <c r="B745" s="4">
        <v>744</v>
      </c>
      <c r="C745" s="4" t="s">
        <v>41</v>
      </c>
      <c r="D745" s="4" t="s">
        <v>23</v>
      </c>
      <c r="E745" s="4" t="s">
        <v>17</v>
      </c>
      <c r="F745" s="4" t="s">
        <v>18</v>
      </c>
      <c r="G745" s="4" t="s">
        <v>30</v>
      </c>
      <c r="H745" s="4" t="s">
        <v>25</v>
      </c>
      <c r="I745" s="4">
        <v>1</v>
      </c>
      <c r="J745" s="5">
        <v>15.8</v>
      </c>
      <c r="K745" s="6">
        <v>0.67</v>
      </c>
      <c r="L745" s="4">
        <v>4</v>
      </c>
      <c r="M745" s="4">
        <v>101</v>
      </c>
      <c r="N745" s="4">
        <v>97</v>
      </c>
      <c r="O745" s="4" t="s">
        <v>26</v>
      </c>
      <c r="P745" s="7" t="s">
        <v>19</v>
      </c>
    </row>
    <row r="746" spans="2:16" x14ac:dyDescent="0.45">
      <c r="B746" s="4">
        <v>745</v>
      </c>
      <c r="C746" s="4" t="s">
        <v>22</v>
      </c>
      <c r="D746" s="4" t="s">
        <v>23</v>
      </c>
      <c r="E746" s="4" t="s">
        <v>35</v>
      </c>
      <c r="F746" s="4" t="s">
        <v>28</v>
      </c>
      <c r="G746" s="4" t="s">
        <v>19</v>
      </c>
      <c r="H746" s="4" t="s">
        <v>20</v>
      </c>
      <c r="I746" s="4">
        <v>4</v>
      </c>
      <c r="J746" s="5">
        <v>11.2</v>
      </c>
      <c r="K746" s="6">
        <v>0.6</v>
      </c>
      <c r="L746" s="4">
        <v>3</v>
      </c>
      <c r="M746" s="4">
        <v>102</v>
      </c>
      <c r="N746" s="4">
        <v>79</v>
      </c>
      <c r="O746" s="4" t="s">
        <v>21</v>
      </c>
      <c r="P746" s="7" t="s">
        <v>30</v>
      </c>
    </row>
    <row r="747" spans="2:16" x14ac:dyDescent="0.45">
      <c r="B747" s="4">
        <v>746</v>
      </c>
      <c r="C747" s="4" t="s">
        <v>22</v>
      </c>
      <c r="D747" s="4" t="s">
        <v>23</v>
      </c>
      <c r="E747" s="4" t="s">
        <v>17</v>
      </c>
      <c r="F747" s="4" t="s">
        <v>18</v>
      </c>
      <c r="G747" s="4" t="s">
        <v>30</v>
      </c>
      <c r="H747" s="4" t="s">
        <v>32</v>
      </c>
      <c r="I747" s="4">
        <v>74</v>
      </c>
      <c r="J747" s="5">
        <v>54.3</v>
      </c>
      <c r="K747" s="6">
        <v>1.81</v>
      </c>
      <c r="L747" s="4">
        <v>4</v>
      </c>
      <c r="M747" s="4">
        <v>139</v>
      </c>
      <c r="N747" s="4">
        <v>161</v>
      </c>
      <c r="O747" s="4" t="s">
        <v>26</v>
      </c>
      <c r="P747" s="7" t="s">
        <v>30</v>
      </c>
    </row>
    <row r="748" spans="2:16" x14ac:dyDescent="0.45">
      <c r="B748" s="4">
        <v>747</v>
      </c>
      <c r="C748" s="4" t="s">
        <v>27</v>
      </c>
      <c r="D748" s="4" t="s">
        <v>16</v>
      </c>
      <c r="E748" s="4" t="s">
        <v>17</v>
      </c>
      <c r="F748" s="4" t="s">
        <v>18</v>
      </c>
      <c r="G748" s="4" t="s">
        <v>19</v>
      </c>
      <c r="H748" s="4" t="s">
        <v>20</v>
      </c>
      <c r="I748" s="4">
        <v>10</v>
      </c>
      <c r="J748" s="5">
        <v>20.399999999999999</v>
      </c>
      <c r="K748" s="6">
        <v>1.1200000000000001</v>
      </c>
      <c r="L748" s="4">
        <v>1</v>
      </c>
      <c r="M748" s="4">
        <v>117</v>
      </c>
      <c r="N748" s="4">
        <v>93</v>
      </c>
      <c r="O748" s="4" t="s">
        <v>26</v>
      </c>
      <c r="P748" s="7" t="s">
        <v>19</v>
      </c>
    </row>
    <row r="749" spans="2:16" x14ac:dyDescent="0.45">
      <c r="B749" s="4">
        <v>748</v>
      </c>
      <c r="C749" s="4" t="s">
        <v>15</v>
      </c>
      <c r="D749" s="4" t="s">
        <v>16</v>
      </c>
      <c r="E749" s="4" t="s">
        <v>35</v>
      </c>
      <c r="F749" s="4" t="s">
        <v>28</v>
      </c>
      <c r="G749" s="4" t="s">
        <v>19</v>
      </c>
      <c r="H749" s="4" t="s">
        <v>20</v>
      </c>
      <c r="I749" s="4">
        <v>41</v>
      </c>
      <c r="J749" s="5">
        <v>82</v>
      </c>
      <c r="K749" s="6">
        <v>1.87</v>
      </c>
      <c r="L749" s="4">
        <v>2</v>
      </c>
      <c r="M749" s="4">
        <v>104</v>
      </c>
      <c r="N749" s="4">
        <v>81</v>
      </c>
      <c r="O749" s="4" t="s">
        <v>26</v>
      </c>
      <c r="P749" s="7" t="s">
        <v>19</v>
      </c>
    </row>
    <row r="750" spans="2:16" x14ac:dyDescent="0.45">
      <c r="B750" s="4">
        <v>749</v>
      </c>
      <c r="C750" s="4" t="s">
        <v>22</v>
      </c>
      <c r="D750" s="4" t="s">
        <v>23</v>
      </c>
      <c r="E750" s="4" t="s">
        <v>17</v>
      </c>
      <c r="F750" s="4" t="s">
        <v>18</v>
      </c>
      <c r="G750" s="4" t="s">
        <v>19</v>
      </c>
      <c r="H750" s="4" t="s">
        <v>46</v>
      </c>
      <c r="I750" s="4">
        <v>38</v>
      </c>
      <c r="J750" s="5">
        <v>60.1</v>
      </c>
      <c r="K750" s="6">
        <v>1.75</v>
      </c>
      <c r="L750" s="4">
        <v>6</v>
      </c>
      <c r="M750" s="4">
        <v>101</v>
      </c>
      <c r="N750" s="4">
        <v>104</v>
      </c>
      <c r="O750" s="4" t="s">
        <v>26</v>
      </c>
      <c r="P750" s="7" t="s">
        <v>19</v>
      </c>
    </row>
    <row r="751" spans="2:16" x14ac:dyDescent="0.45">
      <c r="B751" s="4">
        <v>750</v>
      </c>
      <c r="C751" s="4" t="s">
        <v>31</v>
      </c>
      <c r="D751" s="4" t="s">
        <v>16</v>
      </c>
      <c r="E751" s="4" t="s">
        <v>35</v>
      </c>
      <c r="F751" s="4" t="s">
        <v>24</v>
      </c>
      <c r="G751" s="4" t="s">
        <v>19</v>
      </c>
      <c r="H751" s="4" t="s">
        <v>20</v>
      </c>
      <c r="I751" s="4">
        <v>6</v>
      </c>
      <c r="J751" s="5">
        <v>27.4</v>
      </c>
      <c r="K751" s="6">
        <v>1.23</v>
      </c>
      <c r="L751" s="4">
        <v>10</v>
      </c>
      <c r="M751" s="4">
        <v>95</v>
      </c>
      <c r="N751" s="4">
        <v>87</v>
      </c>
      <c r="O751" s="4" t="s">
        <v>26</v>
      </c>
      <c r="P751" s="7" t="s">
        <v>19</v>
      </c>
    </row>
    <row r="752" spans="2:16" x14ac:dyDescent="0.45">
      <c r="B752" s="4">
        <v>751</v>
      </c>
      <c r="C752" s="4" t="s">
        <v>29</v>
      </c>
      <c r="D752" s="4" t="s">
        <v>23</v>
      </c>
      <c r="E752" s="4" t="s">
        <v>17</v>
      </c>
      <c r="F752" s="4" t="s">
        <v>28</v>
      </c>
      <c r="G752" s="4" t="s">
        <v>19</v>
      </c>
      <c r="H752" s="4" t="s">
        <v>34</v>
      </c>
      <c r="I752" s="4">
        <v>73</v>
      </c>
      <c r="J752" s="5">
        <v>66.599999999999994</v>
      </c>
      <c r="K752" s="6">
        <v>1.85</v>
      </c>
      <c r="L752" s="4">
        <v>0</v>
      </c>
      <c r="M752" s="4">
        <v>128</v>
      </c>
      <c r="N752" s="4">
        <v>103</v>
      </c>
      <c r="O752" s="4" t="s">
        <v>21</v>
      </c>
      <c r="P752" s="7" t="s">
        <v>19</v>
      </c>
    </row>
    <row r="753" spans="2:16" x14ac:dyDescent="0.45">
      <c r="B753" s="4">
        <v>752</v>
      </c>
      <c r="C753" s="4" t="s">
        <v>41</v>
      </c>
      <c r="D753" s="4" t="s">
        <v>16</v>
      </c>
      <c r="E753" s="4" t="s">
        <v>17</v>
      </c>
      <c r="F753" s="4" t="s">
        <v>24</v>
      </c>
      <c r="G753" s="4" t="s">
        <v>19</v>
      </c>
      <c r="H753" s="4" t="s">
        <v>20</v>
      </c>
      <c r="I753" s="4">
        <v>64</v>
      </c>
      <c r="J753" s="5">
        <v>75.900000000000006</v>
      </c>
      <c r="K753" s="6">
        <v>1.55</v>
      </c>
      <c r="L753" s="4">
        <v>0</v>
      </c>
      <c r="M753" s="4">
        <v>128</v>
      </c>
      <c r="N753" s="4">
        <v>82</v>
      </c>
      <c r="O753" s="4" t="s">
        <v>21</v>
      </c>
      <c r="P753" s="7" t="s">
        <v>19</v>
      </c>
    </row>
    <row r="754" spans="2:16" x14ac:dyDescent="0.45">
      <c r="B754" s="4">
        <v>753</v>
      </c>
      <c r="C754" s="4" t="s">
        <v>33</v>
      </c>
      <c r="D754" s="4" t="s">
        <v>16</v>
      </c>
      <c r="E754" s="4" t="s">
        <v>35</v>
      </c>
      <c r="F754" s="4" t="s">
        <v>18</v>
      </c>
      <c r="G754" s="4" t="s">
        <v>19</v>
      </c>
      <c r="H754" s="4" t="s">
        <v>36</v>
      </c>
      <c r="I754" s="4">
        <v>15</v>
      </c>
      <c r="J754" s="5">
        <v>55.2</v>
      </c>
      <c r="K754" s="6">
        <v>1.61</v>
      </c>
      <c r="L754" s="4">
        <v>4</v>
      </c>
      <c r="M754" s="4">
        <v>116</v>
      </c>
      <c r="N754" s="4">
        <v>93</v>
      </c>
      <c r="O754" s="4" t="s">
        <v>21</v>
      </c>
      <c r="P754" s="7" t="s">
        <v>19</v>
      </c>
    </row>
    <row r="755" spans="2:16" x14ac:dyDescent="0.45">
      <c r="B755" s="4">
        <v>754</v>
      </c>
      <c r="C755" s="4" t="s">
        <v>33</v>
      </c>
      <c r="D755" s="4" t="s">
        <v>16</v>
      </c>
      <c r="E755" s="4" t="s">
        <v>44</v>
      </c>
      <c r="F755" s="4" t="s">
        <v>24</v>
      </c>
      <c r="G755" s="4" t="s">
        <v>19</v>
      </c>
      <c r="H755" s="4" t="s">
        <v>28</v>
      </c>
      <c r="I755" s="4">
        <v>32</v>
      </c>
      <c r="J755" s="5">
        <v>45.7</v>
      </c>
      <c r="K755" s="6">
        <v>1.51</v>
      </c>
      <c r="L755" s="4">
        <v>6</v>
      </c>
      <c r="M755" s="4">
        <v>113</v>
      </c>
      <c r="N755" s="4">
        <v>81</v>
      </c>
      <c r="O755" s="4" t="s">
        <v>26</v>
      </c>
      <c r="P755" s="7" t="s">
        <v>19</v>
      </c>
    </row>
    <row r="756" spans="2:16" x14ac:dyDescent="0.45">
      <c r="B756" s="4">
        <v>755</v>
      </c>
      <c r="C756" s="4" t="s">
        <v>45</v>
      </c>
      <c r="D756" s="4" t="s">
        <v>23</v>
      </c>
      <c r="E756" s="4" t="s">
        <v>35</v>
      </c>
      <c r="F756" s="4" t="s">
        <v>24</v>
      </c>
      <c r="G756" s="4" t="s">
        <v>30</v>
      </c>
      <c r="H756" s="4" t="s">
        <v>28</v>
      </c>
      <c r="I756" s="4">
        <v>2</v>
      </c>
      <c r="J756" s="5">
        <v>15.9</v>
      </c>
      <c r="K756" s="6">
        <v>1.03</v>
      </c>
      <c r="L756" s="4">
        <v>2</v>
      </c>
      <c r="M756" s="4">
        <v>100</v>
      </c>
      <c r="N756" s="4">
        <v>75</v>
      </c>
      <c r="O756" s="4" t="s">
        <v>21</v>
      </c>
      <c r="P756" s="7" t="s">
        <v>19</v>
      </c>
    </row>
    <row r="757" spans="2:16" x14ac:dyDescent="0.45">
      <c r="B757" s="4">
        <v>756</v>
      </c>
      <c r="C757" s="4" t="s">
        <v>31</v>
      </c>
      <c r="D757" s="4" t="s">
        <v>16</v>
      </c>
      <c r="E757" s="4" t="s">
        <v>37</v>
      </c>
      <c r="F757" s="4" t="s">
        <v>42</v>
      </c>
      <c r="G757" s="4" t="s">
        <v>30</v>
      </c>
      <c r="H757" s="4" t="s">
        <v>20</v>
      </c>
      <c r="I757" s="4">
        <v>17</v>
      </c>
      <c r="J757" s="5">
        <v>53.3</v>
      </c>
      <c r="K757" s="6">
        <v>1.54</v>
      </c>
      <c r="L757" s="4">
        <v>2</v>
      </c>
      <c r="M757" s="4">
        <v>95</v>
      </c>
      <c r="N757" s="4">
        <v>70</v>
      </c>
      <c r="O757" s="4" t="s">
        <v>21</v>
      </c>
      <c r="P757" s="7" t="s">
        <v>19</v>
      </c>
    </row>
    <row r="758" spans="2:16" x14ac:dyDescent="0.45">
      <c r="B758" s="4">
        <v>757</v>
      </c>
      <c r="C758" s="4" t="s">
        <v>22</v>
      </c>
      <c r="D758" s="4" t="s">
        <v>23</v>
      </c>
      <c r="E758" s="4" t="s">
        <v>35</v>
      </c>
      <c r="F758" s="4" t="s">
        <v>18</v>
      </c>
      <c r="G758" s="4" t="s">
        <v>19</v>
      </c>
      <c r="H758" s="4" t="s">
        <v>28</v>
      </c>
      <c r="I758" s="4">
        <v>22</v>
      </c>
      <c r="J758" s="5">
        <v>84.1</v>
      </c>
      <c r="K758" s="6">
        <v>1.71</v>
      </c>
      <c r="L758" s="4">
        <v>3</v>
      </c>
      <c r="M758" s="4">
        <v>114</v>
      </c>
      <c r="N758" s="4">
        <v>75</v>
      </c>
      <c r="O758" s="4" t="s">
        <v>26</v>
      </c>
      <c r="P758" s="7" t="s">
        <v>19</v>
      </c>
    </row>
    <row r="759" spans="2:16" x14ac:dyDescent="0.45">
      <c r="B759" s="4">
        <v>758</v>
      </c>
      <c r="C759" s="4" t="s">
        <v>39</v>
      </c>
      <c r="D759" s="4" t="s">
        <v>16</v>
      </c>
      <c r="E759" s="4" t="s">
        <v>35</v>
      </c>
      <c r="F759" s="4" t="s">
        <v>24</v>
      </c>
      <c r="G759" s="4" t="s">
        <v>30</v>
      </c>
      <c r="H759" s="4" t="s">
        <v>34</v>
      </c>
      <c r="I759" s="4">
        <v>22</v>
      </c>
      <c r="J759" s="5">
        <v>50.3</v>
      </c>
      <c r="K759" s="6">
        <v>1.61</v>
      </c>
      <c r="L759" s="4">
        <v>1</v>
      </c>
      <c r="M759" s="4">
        <v>118</v>
      </c>
      <c r="N759" s="4">
        <v>81</v>
      </c>
      <c r="O759" s="4" t="s">
        <v>21</v>
      </c>
      <c r="P759" s="7" t="s">
        <v>19</v>
      </c>
    </row>
    <row r="760" spans="2:16" x14ac:dyDescent="0.45">
      <c r="B760" s="4">
        <v>759</v>
      </c>
      <c r="C760" s="4" t="s">
        <v>29</v>
      </c>
      <c r="D760" s="4" t="s">
        <v>16</v>
      </c>
      <c r="E760" s="4" t="s">
        <v>17</v>
      </c>
      <c r="F760" s="4" t="s">
        <v>24</v>
      </c>
      <c r="G760" s="4" t="s">
        <v>19</v>
      </c>
      <c r="H760" s="4" t="s">
        <v>46</v>
      </c>
      <c r="I760" s="4">
        <v>35</v>
      </c>
      <c r="J760" s="5">
        <v>92.2</v>
      </c>
      <c r="K760" s="6">
        <v>1.78</v>
      </c>
      <c r="L760" s="4">
        <v>0</v>
      </c>
      <c r="M760" s="4">
        <v>125</v>
      </c>
      <c r="N760" s="4">
        <v>78</v>
      </c>
      <c r="O760" s="4" t="s">
        <v>21</v>
      </c>
      <c r="P760" s="7" t="s">
        <v>19</v>
      </c>
    </row>
    <row r="761" spans="2:16" x14ac:dyDescent="0.45">
      <c r="B761" s="4">
        <v>760</v>
      </c>
      <c r="C761" s="4" t="s">
        <v>27</v>
      </c>
      <c r="D761" s="4" t="s">
        <v>23</v>
      </c>
      <c r="E761" s="4" t="s">
        <v>35</v>
      </c>
      <c r="F761" s="4" t="s">
        <v>28</v>
      </c>
      <c r="G761" s="4" t="s">
        <v>19</v>
      </c>
      <c r="H761" s="4" t="s">
        <v>20</v>
      </c>
      <c r="I761" s="4">
        <v>14</v>
      </c>
      <c r="J761" s="5">
        <v>60.3</v>
      </c>
      <c r="K761" s="6">
        <v>1.54</v>
      </c>
      <c r="L761" s="4">
        <v>3</v>
      </c>
      <c r="M761" s="4">
        <v>104</v>
      </c>
      <c r="N761" s="4">
        <v>101</v>
      </c>
      <c r="O761" s="4" t="s">
        <v>21</v>
      </c>
      <c r="P761" s="7" t="s">
        <v>19</v>
      </c>
    </row>
    <row r="762" spans="2:16" x14ac:dyDescent="0.45">
      <c r="B762" s="4">
        <v>761</v>
      </c>
      <c r="C762" s="4" t="s">
        <v>43</v>
      </c>
      <c r="D762" s="4" t="s">
        <v>16</v>
      </c>
      <c r="E762" s="4" t="s">
        <v>35</v>
      </c>
      <c r="F762" s="4" t="s">
        <v>24</v>
      </c>
      <c r="G762" s="4" t="s">
        <v>30</v>
      </c>
      <c r="H762" s="4" t="s">
        <v>32</v>
      </c>
      <c r="I762" s="4">
        <v>34</v>
      </c>
      <c r="J762" s="5">
        <v>66</v>
      </c>
      <c r="K762" s="6">
        <v>1.82</v>
      </c>
      <c r="L762" s="4">
        <v>5</v>
      </c>
      <c r="M762" s="4">
        <v>104</v>
      </c>
      <c r="N762" s="4">
        <v>166</v>
      </c>
      <c r="O762" s="4" t="s">
        <v>21</v>
      </c>
      <c r="P762" s="7" t="s">
        <v>19</v>
      </c>
    </row>
    <row r="763" spans="2:16" x14ac:dyDescent="0.45">
      <c r="B763" s="4">
        <v>762</v>
      </c>
      <c r="C763" s="4" t="s">
        <v>31</v>
      </c>
      <c r="D763" s="4" t="s">
        <v>23</v>
      </c>
      <c r="E763" s="4" t="s">
        <v>17</v>
      </c>
      <c r="F763" s="4" t="s">
        <v>18</v>
      </c>
      <c r="G763" s="4" t="s">
        <v>30</v>
      </c>
      <c r="H763" s="4" t="s">
        <v>38</v>
      </c>
      <c r="I763" s="4">
        <v>43</v>
      </c>
      <c r="J763" s="5">
        <v>64</v>
      </c>
      <c r="K763" s="6">
        <v>1.83</v>
      </c>
      <c r="L763" s="4">
        <v>3</v>
      </c>
      <c r="M763" s="4">
        <v>114</v>
      </c>
      <c r="N763" s="4">
        <v>104</v>
      </c>
      <c r="O763" s="4" t="s">
        <v>26</v>
      </c>
      <c r="P763" s="7" t="s">
        <v>30</v>
      </c>
    </row>
    <row r="764" spans="2:16" x14ac:dyDescent="0.45">
      <c r="B764" s="4">
        <v>763</v>
      </c>
      <c r="C764" s="4" t="s">
        <v>43</v>
      </c>
      <c r="D764" s="4" t="s">
        <v>16</v>
      </c>
      <c r="E764" s="4" t="s">
        <v>17</v>
      </c>
      <c r="F764" s="4" t="s">
        <v>24</v>
      </c>
      <c r="G764" s="4" t="s">
        <v>19</v>
      </c>
      <c r="H764" s="4" t="s">
        <v>20</v>
      </c>
      <c r="I764" s="4">
        <v>40</v>
      </c>
      <c r="J764" s="5">
        <v>74.900000000000006</v>
      </c>
      <c r="K764" s="6">
        <v>1.75</v>
      </c>
      <c r="L764" s="4">
        <v>3</v>
      </c>
      <c r="M764" s="4">
        <v>109</v>
      </c>
      <c r="N764" s="4">
        <v>78</v>
      </c>
      <c r="O764" s="4" t="s">
        <v>21</v>
      </c>
      <c r="P764" s="7" t="s">
        <v>19</v>
      </c>
    </row>
    <row r="765" spans="2:16" x14ac:dyDescent="0.45">
      <c r="B765" s="4">
        <v>764</v>
      </c>
      <c r="C765" s="4" t="s">
        <v>41</v>
      </c>
      <c r="D765" s="4" t="s">
        <v>23</v>
      </c>
      <c r="E765" s="4" t="s">
        <v>37</v>
      </c>
      <c r="F765" s="4" t="s">
        <v>28</v>
      </c>
      <c r="G765" s="4" t="s">
        <v>19</v>
      </c>
      <c r="H765" s="4" t="s">
        <v>20</v>
      </c>
      <c r="I765" s="4">
        <v>22</v>
      </c>
      <c r="J765" s="5">
        <v>70.599999999999994</v>
      </c>
      <c r="K765" s="6">
        <v>1.82</v>
      </c>
      <c r="L765" s="4">
        <v>0</v>
      </c>
      <c r="M765" s="4">
        <v>117</v>
      </c>
      <c r="N765" s="4">
        <v>86</v>
      </c>
      <c r="O765" s="4" t="s">
        <v>26</v>
      </c>
      <c r="P765" s="7" t="s">
        <v>19</v>
      </c>
    </row>
    <row r="766" spans="2:16" x14ac:dyDescent="0.45">
      <c r="B766" s="4">
        <v>765</v>
      </c>
      <c r="C766" s="4" t="s">
        <v>33</v>
      </c>
      <c r="D766" s="4" t="s">
        <v>23</v>
      </c>
      <c r="E766" s="4" t="s">
        <v>17</v>
      </c>
      <c r="F766" s="4" t="s">
        <v>28</v>
      </c>
      <c r="G766" s="4" t="s">
        <v>30</v>
      </c>
      <c r="H766" s="4" t="s">
        <v>32</v>
      </c>
      <c r="I766" s="4">
        <v>58</v>
      </c>
      <c r="J766" s="5">
        <v>91.3</v>
      </c>
      <c r="K766" s="6">
        <v>1.87</v>
      </c>
      <c r="L766" s="4">
        <v>7</v>
      </c>
      <c r="M766" s="4">
        <v>130</v>
      </c>
      <c r="N766" s="4">
        <v>139</v>
      </c>
      <c r="O766" s="4" t="s">
        <v>21</v>
      </c>
      <c r="P766" s="7" t="s">
        <v>19</v>
      </c>
    </row>
    <row r="767" spans="2:16" x14ac:dyDescent="0.45">
      <c r="B767" s="4">
        <v>766</v>
      </c>
      <c r="C767" s="4" t="s">
        <v>27</v>
      </c>
      <c r="D767" s="4" t="s">
        <v>23</v>
      </c>
      <c r="E767" s="4" t="s">
        <v>35</v>
      </c>
      <c r="F767" s="4" t="s">
        <v>18</v>
      </c>
      <c r="G767" s="4" t="s">
        <v>19</v>
      </c>
      <c r="H767" s="4" t="s">
        <v>20</v>
      </c>
      <c r="I767" s="4">
        <v>14</v>
      </c>
      <c r="J767" s="5">
        <v>56.4</v>
      </c>
      <c r="K767" s="6">
        <v>1.5</v>
      </c>
      <c r="L767" s="4">
        <v>0</v>
      </c>
      <c r="M767" s="4">
        <v>98</v>
      </c>
      <c r="N767" s="4">
        <v>70</v>
      </c>
      <c r="O767" s="4" t="s">
        <v>21</v>
      </c>
      <c r="P767" s="7" t="s">
        <v>30</v>
      </c>
    </row>
    <row r="768" spans="2:16" x14ac:dyDescent="0.45">
      <c r="B768" s="4">
        <v>767</v>
      </c>
      <c r="C768" s="4" t="s">
        <v>15</v>
      </c>
      <c r="D768" s="4" t="s">
        <v>16</v>
      </c>
      <c r="E768" s="4" t="s">
        <v>35</v>
      </c>
      <c r="F768" s="4" t="s">
        <v>18</v>
      </c>
      <c r="G768" s="4" t="s">
        <v>19</v>
      </c>
      <c r="H768" s="4" t="s">
        <v>28</v>
      </c>
      <c r="I768" s="4">
        <v>39</v>
      </c>
      <c r="J768" s="5">
        <v>63</v>
      </c>
      <c r="K768" s="6">
        <v>1.66</v>
      </c>
      <c r="L768" s="4">
        <v>9</v>
      </c>
      <c r="M768" s="4">
        <v>104</v>
      </c>
      <c r="N768" s="4">
        <v>87</v>
      </c>
      <c r="O768" s="4" t="s">
        <v>26</v>
      </c>
      <c r="P768" s="7" t="s">
        <v>19</v>
      </c>
    </row>
    <row r="769" spans="2:16" x14ac:dyDescent="0.45">
      <c r="B769" s="4">
        <v>768</v>
      </c>
      <c r="C769" s="4" t="s">
        <v>22</v>
      </c>
      <c r="D769" s="4" t="s">
        <v>23</v>
      </c>
      <c r="E769" s="4" t="s">
        <v>44</v>
      </c>
      <c r="F769" s="4" t="s">
        <v>28</v>
      </c>
      <c r="G769" s="4" t="s">
        <v>19</v>
      </c>
      <c r="H769" s="4" t="s">
        <v>28</v>
      </c>
      <c r="I769" s="4">
        <v>15</v>
      </c>
      <c r="J769" s="5">
        <v>41.1</v>
      </c>
      <c r="K769" s="6">
        <v>1.64</v>
      </c>
      <c r="L769" s="4">
        <v>3</v>
      </c>
      <c r="M769" s="4">
        <v>107</v>
      </c>
      <c r="N769" s="4">
        <v>80</v>
      </c>
      <c r="O769" s="4" t="s">
        <v>26</v>
      </c>
      <c r="P769" s="7" t="s">
        <v>19</v>
      </c>
    </row>
    <row r="770" spans="2:16" x14ac:dyDescent="0.45">
      <c r="B770" s="4">
        <v>769</v>
      </c>
      <c r="C770" s="4" t="s">
        <v>27</v>
      </c>
      <c r="D770" s="4" t="s">
        <v>16</v>
      </c>
      <c r="E770" s="4" t="s">
        <v>17</v>
      </c>
      <c r="F770" s="4" t="s">
        <v>42</v>
      </c>
      <c r="G770" s="4" t="s">
        <v>19</v>
      </c>
      <c r="H770" s="4" t="s">
        <v>28</v>
      </c>
      <c r="I770" s="4">
        <v>62</v>
      </c>
      <c r="J770" s="5">
        <v>68.400000000000006</v>
      </c>
      <c r="K770" s="6">
        <v>1.53</v>
      </c>
      <c r="L770" s="4">
        <v>4</v>
      </c>
      <c r="M770" s="4">
        <v>121</v>
      </c>
      <c r="N770" s="4">
        <v>83</v>
      </c>
      <c r="O770" s="4" t="s">
        <v>21</v>
      </c>
      <c r="P770" s="7" t="s">
        <v>19</v>
      </c>
    </row>
    <row r="771" spans="2:16" x14ac:dyDescent="0.45">
      <c r="B771" s="4">
        <v>770</v>
      </c>
      <c r="C771" s="4" t="s">
        <v>33</v>
      </c>
      <c r="D771" s="4" t="s">
        <v>23</v>
      </c>
      <c r="E771" s="4" t="s">
        <v>35</v>
      </c>
      <c r="F771" s="4" t="s">
        <v>42</v>
      </c>
      <c r="G771" s="4" t="s">
        <v>19</v>
      </c>
      <c r="H771" s="4" t="s">
        <v>36</v>
      </c>
      <c r="I771" s="4">
        <v>22</v>
      </c>
      <c r="J771" s="5">
        <v>76.7</v>
      </c>
      <c r="K771" s="6">
        <v>1.5</v>
      </c>
      <c r="L771" s="4">
        <v>0</v>
      </c>
      <c r="M771" s="4">
        <v>145</v>
      </c>
      <c r="N771" s="4">
        <v>98</v>
      </c>
      <c r="O771" s="4" t="s">
        <v>26</v>
      </c>
      <c r="P771" s="7" t="s">
        <v>30</v>
      </c>
    </row>
    <row r="772" spans="2:16" x14ac:dyDescent="0.45">
      <c r="B772" s="4">
        <v>771</v>
      </c>
      <c r="C772" s="4" t="s">
        <v>27</v>
      </c>
      <c r="D772" s="4" t="s">
        <v>16</v>
      </c>
      <c r="E772" s="4" t="s">
        <v>44</v>
      </c>
      <c r="F772" s="4" t="s">
        <v>24</v>
      </c>
      <c r="G772" s="4" t="s">
        <v>30</v>
      </c>
      <c r="H772" s="4" t="s">
        <v>46</v>
      </c>
      <c r="I772" s="4">
        <v>23</v>
      </c>
      <c r="J772" s="5">
        <v>65.900000000000006</v>
      </c>
      <c r="K772" s="6">
        <v>1.58</v>
      </c>
      <c r="L772" s="4">
        <v>6</v>
      </c>
      <c r="M772" s="4">
        <v>108</v>
      </c>
      <c r="N772" s="4">
        <v>96</v>
      </c>
      <c r="O772" s="4" t="s">
        <v>26</v>
      </c>
      <c r="P772" s="7" t="s">
        <v>19</v>
      </c>
    </row>
    <row r="773" spans="2:16" x14ac:dyDescent="0.45">
      <c r="B773" s="4">
        <v>772</v>
      </c>
      <c r="C773" s="4" t="s">
        <v>41</v>
      </c>
      <c r="D773" s="4" t="s">
        <v>23</v>
      </c>
      <c r="E773" s="4" t="s">
        <v>35</v>
      </c>
      <c r="F773" s="4" t="s">
        <v>24</v>
      </c>
      <c r="G773" s="4" t="s">
        <v>19</v>
      </c>
      <c r="H773" s="4" t="s">
        <v>20</v>
      </c>
      <c r="I773" s="4">
        <v>9</v>
      </c>
      <c r="J773" s="5">
        <v>21.1</v>
      </c>
      <c r="K773" s="6">
        <v>1.25</v>
      </c>
      <c r="L773" s="4">
        <v>10</v>
      </c>
      <c r="M773" s="4">
        <v>115</v>
      </c>
      <c r="N773" s="4">
        <v>93</v>
      </c>
      <c r="O773" s="4" t="s">
        <v>26</v>
      </c>
      <c r="P773" s="7" t="s">
        <v>30</v>
      </c>
    </row>
    <row r="774" spans="2:16" x14ac:dyDescent="0.45">
      <c r="B774" s="4">
        <v>773</v>
      </c>
      <c r="C774" s="4" t="s">
        <v>29</v>
      </c>
      <c r="D774" s="4" t="s">
        <v>23</v>
      </c>
      <c r="E774" s="4" t="s">
        <v>35</v>
      </c>
      <c r="F774" s="4" t="s">
        <v>28</v>
      </c>
      <c r="G774" s="4" t="s">
        <v>19</v>
      </c>
      <c r="H774" s="4" t="s">
        <v>28</v>
      </c>
      <c r="I774" s="4">
        <v>19</v>
      </c>
      <c r="J774" s="5">
        <v>65.7</v>
      </c>
      <c r="K774" s="6">
        <v>1.82</v>
      </c>
      <c r="L774" s="4">
        <v>2</v>
      </c>
      <c r="M774" s="4">
        <v>113</v>
      </c>
      <c r="N774" s="4">
        <v>78</v>
      </c>
      <c r="O774" s="4" t="s">
        <v>26</v>
      </c>
      <c r="P774" s="7" t="s">
        <v>19</v>
      </c>
    </row>
    <row r="775" spans="2:16" x14ac:dyDescent="0.45">
      <c r="B775" s="4">
        <v>774</v>
      </c>
      <c r="C775" s="4" t="s">
        <v>27</v>
      </c>
      <c r="D775" s="4" t="s">
        <v>16</v>
      </c>
      <c r="E775" s="4" t="s">
        <v>35</v>
      </c>
      <c r="F775" s="4" t="s">
        <v>24</v>
      </c>
      <c r="G775" s="4" t="s">
        <v>19</v>
      </c>
      <c r="H775" s="4" t="s">
        <v>28</v>
      </c>
      <c r="I775" s="4">
        <v>37</v>
      </c>
      <c r="J775" s="5">
        <v>70.400000000000006</v>
      </c>
      <c r="K775" s="6">
        <v>1.7</v>
      </c>
      <c r="L775" s="4">
        <v>8</v>
      </c>
      <c r="M775" s="4">
        <v>106</v>
      </c>
      <c r="N775" s="4">
        <v>97</v>
      </c>
      <c r="O775" s="4" t="s">
        <v>21</v>
      </c>
      <c r="P775" s="7" t="s">
        <v>19</v>
      </c>
    </row>
    <row r="776" spans="2:16" x14ac:dyDescent="0.45">
      <c r="B776" s="4">
        <v>775</v>
      </c>
      <c r="C776" s="4" t="s">
        <v>45</v>
      </c>
      <c r="D776" s="4" t="s">
        <v>16</v>
      </c>
      <c r="E776" s="4" t="s">
        <v>17</v>
      </c>
      <c r="F776" s="4" t="s">
        <v>24</v>
      </c>
      <c r="G776" s="4" t="s">
        <v>19</v>
      </c>
      <c r="H776" s="4" t="s">
        <v>20</v>
      </c>
      <c r="I776" s="4">
        <v>28</v>
      </c>
      <c r="J776" s="5">
        <v>92.1</v>
      </c>
      <c r="K776" s="6">
        <v>1.73</v>
      </c>
      <c r="L776" s="4">
        <v>1</v>
      </c>
      <c r="M776" s="4">
        <v>107</v>
      </c>
      <c r="N776" s="4">
        <v>97</v>
      </c>
      <c r="O776" s="4" t="s">
        <v>26</v>
      </c>
      <c r="P776" s="7" t="s">
        <v>19</v>
      </c>
    </row>
    <row r="777" spans="2:16" x14ac:dyDescent="0.45">
      <c r="B777" s="4">
        <v>776</v>
      </c>
      <c r="C777" s="4" t="s">
        <v>33</v>
      </c>
      <c r="D777" s="4" t="s">
        <v>23</v>
      </c>
      <c r="E777" s="4" t="s">
        <v>17</v>
      </c>
      <c r="F777" s="4" t="s">
        <v>24</v>
      </c>
      <c r="G777" s="4" t="s">
        <v>30</v>
      </c>
      <c r="H777" s="4" t="s">
        <v>34</v>
      </c>
      <c r="I777" s="4">
        <v>16</v>
      </c>
      <c r="J777" s="5">
        <v>62.4</v>
      </c>
      <c r="K777" s="6">
        <v>1.5</v>
      </c>
      <c r="L777" s="4">
        <v>4</v>
      </c>
      <c r="M777" s="4">
        <v>110</v>
      </c>
      <c r="N777" s="4">
        <v>94</v>
      </c>
      <c r="O777" s="4" t="s">
        <v>26</v>
      </c>
      <c r="P777" s="7" t="s">
        <v>19</v>
      </c>
    </row>
    <row r="778" spans="2:16" x14ac:dyDescent="0.45">
      <c r="B778" s="4">
        <v>777</v>
      </c>
      <c r="C778" s="4" t="s">
        <v>31</v>
      </c>
      <c r="D778" s="4" t="s">
        <v>16</v>
      </c>
      <c r="E778" s="4" t="s">
        <v>37</v>
      </c>
      <c r="F778" s="4" t="s">
        <v>18</v>
      </c>
      <c r="G778" s="4" t="s">
        <v>30</v>
      </c>
      <c r="H778" s="4" t="s">
        <v>36</v>
      </c>
      <c r="I778" s="4">
        <v>61</v>
      </c>
      <c r="J778" s="5">
        <v>84.9</v>
      </c>
      <c r="K778" s="6">
        <v>1.6</v>
      </c>
      <c r="L778" s="4">
        <v>1</v>
      </c>
      <c r="M778" s="4">
        <v>137</v>
      </c>
      <c r="N778" s="4">
        <v>84</v>
      </c>
      <c r="O778" s="4" t="s">
        <v>21</v>
      </c>
      <c r="P778" s="7" t="s">
        <v>19</v>
      </c>
    </row>
    <row r="779" spans="2:16" x14ac:dyDescent="0.45">
      <c r="B779" s="4">
        <v>778</v>
      </c>
      <c r="C779" s="4" t="s">
        <v>43</v>
      </c>
      <c r="D779" s="4" t="s">
        <v>23</v>
      </c>
      <c r="E779" s="4" t="s">
        <v>44</v>
      </c>
      <c r="F779" s="4" t="s">
        <v>28</v>
      </c>
      <c r="G779" s="4" t="s">
        <v>19</v>
      </c>
      <c r="H779" s="4" t="s">
        <v>28</v>
      </c>
      <c r="I779" s="4">
        <v>11</v>
      </c>
      <c r="J779" s="5">
        <v>36</v>
      </c>
      <c r="K779" s="6">
        <v>1.43</v>
      </c>
      <c r="L779" s="4">
        <v>1</v>
      </c>
      <c r="M779" s="4">
        <v>99</v>
      </c>
      <c r="N779" s="4">
        <v>77</v>
      </c>
      <c r="O779" s="4" t="s">
        <v>21</v>
      </c>
      <c r="P779" s="7" t="s">
        <v>19</v>
      </c>
    </row>
    <row r="780" spans="2:16" x14ac:dyDescent="0.45">
      <c r="B780" s="4">
        <v>779</v>
      </c>
      <c r="C780" s="4" t="s">
        <v>15</v>
      </c>
      <c r="D780" s="4" t="s">
        <v>16</v>
      </c>
      <c r="E780" s="4" t="s">
        <v>35</v>
      </c>
      <c r="F780" s="4" t="s">
        <v>24</v>
      </c>
      <c r="G780" s="4" t="s">
        <v>19</v>
      </c>
      <c r="H780" s="4" t="s">
        <v>28</v>
      </c>
      <c r="I780" s="4">
        <v>21</v>
      </c>
      <c r="J780" s="5">
        <v>82.8</v>
      </c>
      <c r="K780" s="6">
        <v>1.55</v>
      </c>
      <c r="L780" s="4">
        <v>7</v>
      </c>
      <c r="M780" s="4">
        <v>114</v>
      </c>
      <c r="N780" s="4">
        <v>104</v>
      </c>
      <c r="O780" s="4" t="s">
        <v>26</v>
      </c>
      <c r="P780" s="7" t="s">
        <v>30</v>
      </c>
    </row>
    <row r="781" spans="2:16" x14ac:dyDescent="0.45">
      <c r="B781" s="4">
        <v>780</v>
      </c>
      <c r="C781" s="4" t="s">
        <v>41</v>
      </c>
      <c r="D781" s="4" t="s">
        <v>16</v>
      </c>
      <c r="E781" s="4" t="s">
        <v>17</v>
      </c>
      <c r="F781" s="4" t="s">
        <v>24</v>
      </c>
      <c r="G781" s="4" t="s">
        <v>19</v>
      </c>
      <c r="H781" s="4" t="s">
        <v>34</v>
      </c>
      <c r="I781" s="4">
        <v>7</v>
      </c>
      <c r="J781" s="5">
        <v>31.1</v>
      </c>
      <c r="K781" s="6">
        <v>1.35</v>
      </c>
      <c r="L781" s="4">
        <v>2</v>
      </c>
      <c r="M781" s="4">
        <v>95</v>
      </c>
      <c r="N781" s="4">
        <v>74</v>
      </c>
      <c r="O781" s="4" t="s">
        <v>26</v>
      </c>
      <c r="P781" s="7" t="s">
        <v>19</v>
      </c>
    </row>
    <row r="782" spans="2:16" x14ac:dyDescent="0.45">
      <c r="B782" s="4">
        <v>781</v>
      </c>
      <c r="C782" s="4" t="s">
        <v>27</v>
      </c>
      <c r="D782" s="4" t="s">
        <v>23</v>
      </c>
      <c r="E782" s="4" t="s">
        <v>35</v>
      </c>
      <c r="F782" s="4" t="s">
        <v>24</v>
      </c>
      <c r="G782" s="4" t="s">
        <v>19</v>
      </c>
      <c r="H782" s="4" t="s">
        <v>28</v>
      </c>
      <c r="I782" s="4">
        <v>40</v>
      </c>
      <c r="J782" s="5">
        <v>59</v>
      </c>
      <c r="K782" s="6">
        <v>1.5</v>
      </c>
      <c r="L782" s="4">
        <v>2</v>
      </c>
      <c r="M782" s="4">
        <v>116</v>
      </c>
      <c r="N782" s="4">
        <v>80</v>
      </c>
      <c r="O782" s="4" t="s">
        <v>21</v>
      </c>
      <c r="P782" s="7" t="s">
        <v>19</v>
      </c>
    </row>
    <row r="783" spans="2:16" x14ac:dyDescent="0.45">
      <c r="B783" s="4">
        <v>782</v>
      </c>
      <c r="C783" s="4" t="s">
        <v>31</v>
      </c>
      <c r="D783" s="4" t="s">
        <v>16</v>
      </c>
      <c r="E783" s="4" t="s">
        <v>17</v>
      </c>
      <c r="F783" s="4" t="s">
        <v>28</v>
      </c>
      <c r="G783" s="4" t="s">
        <v>19</v>
      </c>
      <c r="H783" s="4" t="s">
        <v>32</v>
      </c>
      <c r="I783" s="4">
        <v>48</v>
      </c>
      <c r="J783" s="5">
        <v>69.099999999999994</v>
      </c>
      <c r="K783" s="6">
        <v>1.6</v>
      </c>
      <c r="L783" s="4">
        <v>2</v>
      </c>
      <c r="M783" s="4">
        <v>116</v>
      </c>
      <c r="N783" s="4">
        <v>185</v>
      </c>
      <c r="O783" s="4" t="s">
        <v>21</v>
      </c>
      <c r="P783" s="7" t="s">
        <v>19</v>
      </c>
    </row>
    <row r="784" spans="2:16" x14ac:dyDescent="0.45">
      <c r="B784" s="4">
        <v>783</v>
      </c>
      <c r="C784" s="4" t="s">
        <v>31</v>
      </c>
      <c r="D784" s="4" t="s">
        <v>16</v>
      </c>
      <c r="E784" s="4" t="s">
        <v>37</v>
      </c>
      <c r="F784" s="4" t="s">
        <v>18</v>
      </c>
      <c r="G784" s="4" t="s">
        <v>19</v>
      </c>
      <c r="H784" s="4" t="s">
        <v>25</v>
      </c>
      <c r="I784" s="4">
        <v>55</v>
      </c>
      <c r="J784" s="5">
        <v>77.2</v>
      </c>
      <c r="K784" s="6">
        <v>1.76</v>
      </c>
      <c r="L784" s="4">
        <v>2</v>
      </c>
      <c r="M784" s="4">
        <v>117</v>
      </c>
      <c r="N784" s="4">
        <v>101</v>
      </c>
      <c r="O784" s="4" t="s">
        <v>21</v>
      </c>
      <c r="P784" s="7" t="s">
        <v>19</v>
      </c>
    </row>
    <row r="785" spans="2:16" x14ac:dyDescent="0.45">
      <c r="B785" s="4">
        <v>784</v>
      </c>
      <c r="C785" s="4" t="s">
        <v>27</v>
      </c>
      <c r="D785" s="4" t="s">
        <v>23</v>
      </c>
      <c r="E785" s="4" t="s">
        <v>35</v>
      </c>
      <c r="F785" s="4" t="s">
        <v>28</v>
      </c>
      <c r="G785" s="4" t="s">
        <v>19</v>
      </c>
      <c r="H785" s="4" t="s">
        <v>28</v>
      </c>
      <c r="I785" s="4">
        <v>28</v>
      </c>
      <c r="J785" s="5">
        <v>85.1</v>
      </c>
      <c r="K785" s="6">
        <v>1.85</v>
      </c>
      <c r="L785" s="4">
        <v>7</v>
      </c>
      <c r="M785" s="4">
        <v>109</v>
      </c>
      <c r="N785" s="4">
        <v>80</v>
      </c>
      <c r="O785" s="4" t="s">
        <v>21</v>
      </c>
      <c r="P785" s="7" t="s">
        <v>19</v>
      </c>
    </row>
    <row r="786" spans="2:16" x14ac:dyDescent="0.45">
      <c r="B786" s="4">
        <v>785</v>
      </c>
      <c r="C786" s="4" t="s">
        <v>43</v>
      </c>
      <c r="D786" s="4" t="s">
        <v>23</v>
      </c>
      <c r="E786" s="4" t="s">
        <v>35</v>
      </c>
      <c r="F786" s="4" t="s">
        <v>24</v>
      </c>
      <c r="G786" s="4" t="s">
        <v>19</v>
      </c>
      <c r="H786" s="4" t="s">
        <v>25</v>
      </c>
      <c r="I786" s="4">
        <v>29</v>
      </c>
      <c r="J786" s="5">
        <v>70.3</v>
      </c>
      <c r="K786" s="6">
        <v>1.65</v>
      </c>
      <c r="L786" s="4">
        <v>4</v>
      </c>
      <c r="M786" s="4">
        <v>111</v>
      </c>
      <c r="N786" s="4">
        <v>80</v>
      </c>
      <c r="O786" s="4" t="s">
        <v>26</v>
      </c>
      <c r="P786" s="7" t="s">
        <v>30</v>
      </c>
    </row>
    <row r="787" spans="2:16" x14ac:dyDescent="0.45">
      <c r="B787" s="4">
        <v>786</v>
      </c>
      <c r="C787" s="4" t="s">
        <v>43</v>
      </c>
      <c r="D787" s="4" t="s">
        <v>16</v>
      </c>
      <c r="E787" s="4" t="s">
        <v>35</v>
      </c>
      <c r="F787" s="4" t="s">
        <v>42</v>
      </c>
      <c r="G787" s="4" t="s">
        <v>19</v>
      </c>
      <c r="H787" s="4" t="s">
        <v>20</v>
      </c>
      <c r="I787" s="4">
        <v>38</v>
      </c>
      <c r="J787" s="5">
        <v>54.1</v>
      </c>
      <c r="K787" s="6">
        <v>1.58</v>
      </c>
      <c r="L787" s="4">
        <v>3</v>
      </c>
      <c r="M787" s="4">
        <v>126</v>
      </c>
      <c r="N787" s="4">
        <v>74</v>
      </c>
      <c r="O787" s="4" t="s">
        <v>26</v>
      </c>
      <c r="P787" s="7" t="s">
        <v>19</v>
      </c>
    </row>
    <row r="788" spans="2:16" x14ac:dyDescent="0.45">
      <c r="B788" s="4">
        <v>787</v>
      </c>
      <c r="C788" s="4" t="s">
        <v>22</v>
      </c>
      <c r="D788" s="4" t="s">
        <v>16</v>
      </c>
      <c r="E788" s="4" t="s">
        <v>17</v>
      </c>
      <c r="F788" s="4" t="s">
        <v>18</v>
      </c>
      <c r="G788" s="4" t="s">
        <v>19</v>
      </c>
      <c r="H788" s="4" t="s">
        <v>36</v>
      </c>
      <c r="I788" s="4">
        <v>23</v>
      </c>
      <c r="J788" s="5">
        <v>51.2</v>
      </c>
      <c r="K788" s="6">
        <v>1.6</v>
      </c>
      <c r="L788" s="4">
        <v>5</v>
      </c>
      <c r="M788" s="4">
        <v>129</v>
      </c>
      <c r="N788" s="4">
        <v>85</v>
      </c>
      <c r="O788" s="4" t="s">
        <v>21</v>
      </c>
      <c r="P788" s="7" t="s">
        <v>19</v>
      </c>
    </row>
    <row r="789" spans="2:16" x14ac:dyDescent="0.45">
      <c r="B789" s="4">
        <v>788</v>
      </c>
      <c r="C789" s="4" t="s">
        <v>33</v>
      </c>
      <c r="D789" s="4" t="s">
        <v>16</v>
      </c>
      <c r="E789" s="4" t="s">
        <v>17</v>
      </c>
      <c r="F789" s="4" t="s">
        <v>24</v>
      </c>
      <c r="G789" s="4" t="s">
        <v>19</v>
      </c>
      <c r="H789" s="4" t="s">
        <v>34</v>
      </c>
      <c r="I789" s="4">
        <v>1</v>
      </c>
      <c r="J789" s="5">
        <v>8.3000000000000007</v>
      </c>
      <c r="K789" s="6">
        <v>0.69</v>
      </c>
      <c r="L789" s="4">
        <v>9</v>
      </c>
      <c r="M789" s="4">
        <v>100</v>
      </c>
      <c r="N789" s="4">
        <v>85</v>
      </c>
      <c r="O789" s="4" t="s">
        <v>21</v>
      </c>
      <c r="P789" s="7" t="s">
        <v>19</v>
      </c>
    </row>
    <row r="790" spans="2:16" x14ac:dyDescent="0.45">
      <c r="B790" s="4">
        <v>789</v>
      </c>
      <c r="C790" s="4" t="s">
        <v>29</v>
      </c>
      <c r="D790" s="4" t="s">
        <v>23</v>
      </c>
      <c r="E790" s="4" t="s">
        <v>37</v>
      </c>
      <c r="F790" s="4" t="s">
        <v>18</v>
      </c>
      <c r="G790" s="4" t="s">
        <v>30</v>
      </c>
      <c r="H790" s="4" t="s">
        <v>28</v>
      </c>
      <c r="I790" s="4">
        <v>10</v>
      </c>
      <c r="J790" s="5">
        <v>26.9</v>
      </c>
      <c r="K790" s="6">
        <v>1.29</v>
      </c>
      <c r="L790" s="4">
        <v>5</v>
      </c>
      <c r="M790" s="4">
        <v>117</v>
      </c>
      <c r="N790" s="4">
        <v>71</v>
      </c>
      <c r="O790" s="4" t="s">
        <v>26</v>
      </c>
      <c r="P790" s="7" t="s">
        <v>19</v>
      </c>
    </row>
    <row r="791" spans="2:16" x14ac:dyDescent="0.45">
      <c r="B791" s="4">
        <v>790</v>
      </c>
      <c r="C791" s="4" t="s">
        <v>45</v>
      </c>
      <c r="D791" s="4" t="s">
        <v>16</v>
      </c>
      <c r="E791" s="4" t="s">
        <v>37</v>
      </c>
      <c r="F791" s="4" t="s">
        <v>24</v>
      </c>
      <c r="G791" s="4" t="s">
        <v>19</v>
      </c>
      <c r="H791" s="4" t="s">
        <v>25</v>
      </c>
      <c r="I791" s="4">
        <v>3</v>
      </c>
      <c r="J791" s="5">
        <v>6.3</v>
      </c>
      <c r="K791" s="6">
        <v>0.61</v>
      </c>
      <c r="L791" s="4">
        <v>3</v>
      </c>
      <c r="M791" s="4">
        <v>110</v>
      </c>
      <c r="N791" s="4">
        <v>84</v>
      </c>
      <c r="O791" s="4" t="s">
        <v>26</v>
      </c>
      <c r="P791" s="7" t="s">
        <v>19</v>
      </c>
    </row>
    <row r="792" spans="2:16" x14ac:dyDescent="0.45">
      <c r="B792" s="4">
        <v>791</v>
      </c>
      <c r="C792" s="4" t="s">
        <v>43</v>
      </c>
      <c r="D792" s="4" t="s">
        <v>23</v>
      </c>
      <c r="E792" s="4" t="s">
        <v>35</v>
      </c>
      <c r="F792" s="4" t="s">
        <v>24</v>
      </c>
      <c r="G792" s="4" t="s">
        <v>19</v>
      </c>
      <c r="H792" s="4" t="s">
        <v>28</v>
      </c>
      <c r="I792" s="4">
        <v>40</v>
      </c>
      <c r="J792" s="5">
        <v>54.5</v>
      </c>
      <c r="K792" s="6">
        <v>1.8</v>
      </c>
      <c r="L792" s="4">
        <v>2</v>
      </c>
      <c r="M792" s="4">
        <v>120</v>
      </c>
      <c r="N792" s="4">
        <v>73</v>
      </c>
      <c r="O792" s="4" t="s">
        <v>21</v>
      </c>
      <c r="P792" s="7" t="s">
        <v>19</v>
      </c>
    </row>
    <row r="793" spans="2:16" x14ac:dyDescent="0.45">
      <c r="B793" s="4">
        <v>792</v>
      </c>
      <c r="C793" s="4" t="s">
        <v>33</v>
      </c>
      <c r="D793" s="4" t="s">
        <v>16</v>
      </c>
      <c r="E793" s="4" t="s">
        <v>35</v>
      </c>
      <c r="F793" s="4" t="s">
        <v>18</v>
      </c>
      <c r="G793" s="4" t="s">
        <v>19</v>
      </c>
      <c r="H793" s="4" t="s">
        <v>20</v>
      </c>
      <c r="I793" s="4">
        <v>3</v>
      </c>
      <c r="J793" s="5">
        <v>17.2</v>
      </c>
      <c r="K793" s="6">
        <v>0.88</v>
      </c>
      <c r="L793" s="4">
        <v>3</v>
      </c>
      <c r="M793" s="4">
        <v>98</v>
      </c>
      <c r="N793" s="4">
        <v>88</v>
      </c>
      <c r="O793" s="4" t="s">
        <v>26</v>
      </c>
      <c r="P793" s="7" t="s">
        <v>19</v>
      </c>
    </row>
    <row r="794" spans="2:16" x14ac:dyDescent="0.45">
      <c r="B794" s="4">
        <v>793</v>
      </c>
      <c r="C794" s="4" t="s">
        <v>15</v>
      </c>
      <c r="D794" s="4" t="s">
        <v>23</v>
      </c>
      <c r="E794" s="4" t="s">
        <v>35</v>
      </c>
      <c r="F794" s="4" t="s">
        <v>24</v>
      </c>
      <c r="G794" s="4" t="s">
        <v>19</v>
      </c>
      <c r="H794" s="4" t="s">
        <v>34</v>
      </c>
      <c r="I794" s="4">
        <v>16</v>
      </c>
      <c r="J794" s="5">
        <v>41.5</v>
      </c>
      <c r="K794" s="6">
        <v>1.74</v>
      </c>
      <c r="L794" s="4">
        <v>1</v>
      </c>
      <c r="M794" s="4">
        <v>116</v>
      </c>
      <c r="N794" s="4">
        <v>85</v>
      </c>
      <c r="O794" s="4" t="s">
        <v>21</v>
      </c>
      <c r="P794" s="7" t="s">
        <v>19</v>
      </c>
    </row>
    <row r="795" spans="2:16" x14ac:dyDescent="0.45">
      <c r="B795" s="4">
        <v>794</v>
      </c>
      <c r="C795" s="4" t="s">
        <v>33</v>
      </c>
      <c r="D795" s="4" t="s">
        <v>16</v>
      </c>
      <c r="E795" s="4" t="s">
        <v>17</v>
      </c>
      <c r="F795" s="4" t="s">
        <v>24</v>
      </c>
      <c r="G795" s="4" t="s">
        <v>19</v>
      </c>
      <c r="H795" s="4" t="s">
        <v>28</v>
      </c>
      <c r="I795" s="4">
        <v>10</v>
      </c>
      <c r="J795" s="5">
        <v>27.2</v>
      </c>
      <c r="K795" s="6">
        <v>1.0900000000000001</v>
      </c>
      <c r="L795" s="4">
        <v>8</v>
      </c>
      <c r="M795" s="4">
        <v>97</v>
      </c>
      <c r="N795" s="4">
        <v>79</v>
      </c>
      <c r="O795" s="4" t="s">
        <v>21</v>
      </c>
      <c r="P795" s="7" t="s">
        <v>19</v>
      </c>
    </row>
    <row r="796" spans="2:16" x14ac:dyDescent="0.45">
      <c r="B796" s="4">
        <v>795</v>
      </c>
      <c r="C796" s="4" t="s">
        <v>27</v>
      </c>
      <c r="D796" s="4" t="s">
        <v>23</v>
      </c>
      <c r="E796" s="4" t="s">
        <v>35</v>
      </c>
      <c r="F796" s="4" t="s">
        <v>24</v>
      </c>
      <c r="G796" s="4" t="s">
        <v>19</v>
      </c>
      <c r="H796" s="4" t="s">
        <v>20</v>
      </c>
      <c r="I796" s="4">
        <v>20</v>
      </c>
      <c r="J796" s="5">
        <v>49.2</v>
      </c>
      <c r="K796" s="6">
        <v>1.49</v>
      </c>
      <c r="L796" s="4">
        <v>1</v>
      </c>
      <c r="M796" s="4">
        <v>121</v>
      </c>
      <c r="N796" s="4">
        <v>75</v>
      </c>
      <c r="O796" s="4" t="s">
        <v>26</v>
      </c>
      <c r="P796" s="7" t="s">
        <v>30</v>
      </c>
    </row>
    <row r="797" spans="2:16" x14ac:dyDescent="0.45">
      <c r="B797" s="4">
        <v>796</v>
      </c>
      <c r="C797" s="4" t="s">
        <v>40</v>
      </c>
      <c r="D797" s="4" t="s">
        <v>23</v>
      </c>
      <c r="E797" s="4" t="s">
        <v>17</v>
      </c>
      <c r="F797" s="4" t="s">
        <v>24</v>
      </c>
      <c r="G797" s="4" t="s">
        <v>19</v>
      </c>
      <c r="H797" s="4" t="s">
        <v>20</v>
      </c>
      <c r="I797" s="4">
        <v>19</v>
      </c>
      <c r="J797" s="5">
        <v>81.900000000000006</v>
      </c>
      <c r="K797" s="6">
        <v>1.54</v>
      </c>
      <c r="L797" s="4">
        <v>4</v>
      </c>
      <c r="M797" s="4">
        <v>109</v>
      </c>
      <c r="N797" s="4">
        <v>85</v>
      </c>
      <c r="O797" s="4" t="s">
        <v>21</v>
      </c>
      <c r="P797" s="7" t="s">
        <v>30</v>
      </c>
    </row>
    <row r="798" spans="2:16" x14ac:dyDescent="0.45">
      <c r="B798" s="4">
        <v>797</v>
      </c>
      <c r="C798" s="4" t="s">
        <v>29</v>
      </c>
      <c r="D798" s="4" t="s">
        <v>23</v>
      </c>
      <c r="E798" s="4" t="s">
        <v>44</v>
      </c>
      <c r="F798" s="4" t="s">
        <v>28</v>
      </c>
      <c r="G798" s="4" t="s">
        <v>19</v>
      </c>
      <c r="H798" s="4" t="s">
        <v>36</v>
      </c>
      <c r="I798" s="4">
        <v>4</v>
      </c>
      <c r="J798" s="5">
        <v>11.6</v>
      </c>
      <c r="K798" s="6">
        <v>0.75</v>
      </c>
      <c r="L798" s="4">
        <v>1</v>
      </c>
      <c r="M798" s="4">
        <v>119</v>
      </c>
      <c r="N798" s="4">
        <v>70</v>
      </c>
      <c r="O798" s="4" t="s">
        <v>26</v>
      </c>
      <c r="P798" s="7" t="s">
        <v>30</v>
      </c>
    </row>
    <row r="799" spans="2:16" x14ac:dyDescent="0.45">
      <c r="B799" s="4">
        <v>798</v>
      </c>
      <c r="C799" s="4" t="s">
        <v>39</v>
      </c>
      <c r="D799" s="4" t="s">
        <v>23</v>
      </c>
      <c r="E799" s="4" t="s">
        <v>17</v>
      </c>
      <c r="F799" s="4" t="s">
        <v>28</v>
      </c>
      <c r="G799" s="4" t="s">
        <v>19</v>
      </c>
      <c r="H799" s="4" t="s">
        <v>46</v>
      </c>
      <c r="I799" s="4">
        <v>56</v>
      </c>
      <c r="J799" s="5">
        <v>55.3</v>
      </c>
      <c r="K799" s="6">
        <v>1.62</v>
      </c>
      <c r="L799" s="4">
        <v>4</v>
      </c>
      <c r="M799" s="4">
        <v>117</v>
      </c>
      <c r="N799" s="4">
        <v>101</v>
      </c>
      <c r="O799" s="4" t="s">
        <v>26</v>
      </c>
      <c r="P799" s="7" t="s">
        <v>19</v>
      </c>
    </row>
    <row r="800" spans="2:16" x14ac:dyDescent="0.45">
      <c r="B800" s="4">
        <v>799</v>
      </c>
      <c r="C800" s="4" t="s">
        <v>43</v>
      </c>
      <c r="D800" s="4" t="s">
        <v>16</v>
      </c>
      <c r="E800" s="4" t="s">
        <v>35</v>
      </c>
      <c r="F800" s="4" t="s">
        <v>18</v>
      </c>
      <c r="G800" s="4" t="s">
        <v>30</v>
      </c>
      <c r="H800" s="4" t="s">
        <v>20</v>
      </c>
      <c r="I800" s="4">
        <v>11</v>
      </c>
      <c r="J800" s="5">
        <v>33.700000000000003</v>
      </c>
      <c r="K800" s="6">
        <v>1.21</v>
      </c>
      <c r="L800" s="4">
        <v>0</v>
      </c>
      <c r="M800" s="4">
        <v>98</v>
      </c>
      <c r="N800" s="4">
        <v>75</v>
      </c>
      <c r="O800" s="4" t="s">
        <v>21</v>
      </c>
      <c r="P800" s="7" t="s">
        <v>19</v>
      </c>
    </row>
    <row r="801" spans="2:16" x14ac:dyDescent="0.45">
      <c r="B801" s="4">
        <v>800</v>
      </c>
      <c r="C801" s="4" t="s">
        <v>43</v>
      </c>
      <c r="D801" s="4" t="s">
        <v>23</v>
      </c>
      <c r="E801" s="4" t="s">
        <v>35</v>
      </c>
      <c r="F801" s="4" t="s">
        <v>24</v>
      </c>
      <c r="G801" s="4" t="s">
        <v>19</v>
      </c>
      <c r="H801" s="4" t="s">
        <v>34</v>
      </c>
      <c r="I801" s="4">
        <v>37</v>
      </c>
      <c r="J801" s="5">
        <v>63.6</v>
      </c>
      <c r="K801" s="6">
        <v>1.72</v>
      </c>
      <c r="L801" s="4">
        <v>1</v>
      </c>
      <c r="M801" s="4">
        <v>116</v>
      </c>
      <c r="N801" s="4">
        <v>87</v>
      </c>
      <c r="O801" s="4" t="s">
        <v>26</v>
      </c>
      <c r="P801" s="7" t="s">
        <v>19</v>
      </c>
    </row>
    <row r="802" spans="2:16" x14ac:dyDescent="0.45">
      <c r="B802" s="4">
        <v>801</v>
      </c>
      <c r="C802" s="4" t="s">
        <v>41</v>
      </c>
      <c r="D802" s="4" t="s">
        <v>23</v>
      </c>
      <c r="E802" s="4" t="s">
        <v>35</v>
      </c>
      <c r="F802" s="4" t="s">
        <v>24</v>
      </c>
      <c r="G802" s="4" t="s">
        <v>19</v>
      </c>
      <c r="H802" s="4" t="s">
        <v>46</v>
      </c>
      <c r="I802" s="4">
        <v>21</v>
      </c>
      <c r="J802" s="5">
        <v>59.3</v>
      </c>
      <c r="K802" s="6">
        <v>1.53</v>
      </c>
      <c r="L802" s="4">
        <v>2</v>
      </c>
      <c r="M802" s="4">
        <v>104</v>
      </c>
      <c r="N802" s="4">
        <v>104</v>
      </c>
      <c r="O802" s="4" t="s">
        <v>26</v>
      </c>
      <c r="P802" s="7" t="s">
        <v>30</v>
      </c>
    </row>
    <row r="803" spans="2:16" x14ac:dyDescent="0.45">
      <c r="B803" s="4">
        <v>802</v>
      </c>
      <c r="C803" s="4" t="s">
        <v>27</v>
      </c>
      <c r="D803" s="4" t="s">
        <v>23</v>
      </c>
      <c r="E803" s="4" t="s">
        <v>35</v>
      </c>
      <c r="F803" s="4" t="s">
        <v>18</v>
      </c>
      <c r="G803" s="4" t="s">
        <v>19</v>
      </c>
      <c r="H803" s="4" t="s">
        <v>20</v>
      </c>
      <c r="I803" s="4">
        <v>4</v>
      </c>
      <c r="J803" s="5">
        <v>7.4</v>
      </c>
      <c r="K803" s="6">
        <v>1.04</v>
      </c>
      <c r="L803" s="4">
        <v>3</v>
      </c>
      <c r="M803" s="4">
        <v>105</v>
      </c>
      <c r="N803" s="4">
        <v>96</v>
      </c>
      <c r="O803" s="4" t="s">
        <v>26</v>
      </c>
      <c r="P803" s="7" t="s">
        <v>19</v>
      </c>
    </row>
    <row r="804" spans="2:16" x14ac:dyDescent="0.45">
      <c r="B804" s="4">
        <v>803</v>
      </c>
      <c r="C804" s="4" t="s">
        <v>22</v>
      </c>
      <c r="D804" s="4" t="s">
        <v>16</v>
      </c>
      <c r="E804" s="4" t="s">
        <v>44</v>
      </c>
      <c r="F804" s="4" t="s">
        <v>24</v>
      </c>
      <c r="G804" s="4" t="s">
        <v>19</v>
      </c>
      <c r="H804" s="4" t="s">
        <v>36</v>
      </c>
      <c r="I804" s="4">
        <v>52</v>
      </c>
      <c r="J804" s="5">
        <v>67.7</v>
      </c>
      <c r="K804" s="6">
        <v>1.87</v>
      </c>
      <c r="L804" s="4">
        <v>4</v>
      </c>
      <c r="M804" s="4">
        <v>125</v>
      </c>
      <c r="N804" s="4">
        <v>73</v>
      </c>
      <c r="O804" s="4" t="s">
        <v>21</v>
      </c>
      <c r="P804" s="7" t="s">
        <v>19</v>
      </c>
    </row>
    <row r="805" spans="2:16" x14ac:dyDescent="0.45">
      <c r="B805" s="4">
        <v>804</v>
      </c>
      <c r="C805" s="4" t="s">
        <v>27</v>
      </c>
      <c r="D805" s="4" t="s">
        <v>16</v>
      </c>
      <c r="E805" s="4" t="s">
        <v>44</v>
      </c>
      <c r="F805" s="4" t="s">
        <v>24</v>
      </c>
      <c r="G805" s="4" t="s">
        <v>19</v>
      </c>
      <c r="H805" s="4" t="s">
        <v>20</v>
      </c>
      <c r="I805" s="4">
        <v>7</v>
      </c>
      <c r="J805" s="5">
        <v>29.3</v>
      </c>
      <c r="K805" s="6">
        <v>1.32</v>
      </c>
      <c r="L805" s="4">
        <v>3</v>
      </c>
      <c r="M805" s="4">
        <v>96</v>
      </c>
      <c r="N805" s="4">
        <v>98</v>
      </c>
      <c r="O805" s="4" t="s">
        <v>21</v>
      </c>
      <c r="P805" s="7" t="s">
        <v>19</v>
      </c>
    </row>
    <row r="806" spans="2:16" x14ac:dyDescent="0.45">
      <c r="B806" s="4">
        <v>805</v>
      </c>
      <c r="C806" s="4" t="s">
        <v>40</v>
      </c>
      <c r="D806" s="4" t="s">
        <v>16</v>
      </c>
      <c r="E806" s="4" t="s">
        <v>37</v>
      </c>
      <c r="F806" s="4" t="s">
        <v>28</v>
      </c>
      <c r="G806" s="4" t="s">
        <v>19</v>
      </c>
      <c r="H806" s="4" t="s">
        <v>34</v>
      </c>
      <c r="I806" s="4">
        <v>25</v>
      </c>
      <c r="J806" s="5">
        <v>65.7</v>
      </c>
      <c r="K806" s="6">
        <v>1.77</v>
      </c>
      <c r="L806" s="4">
        <v>2</v>
      </c>
      <c r="M806" s="4">
        <v>119</v>
      </c>
      <c r="N806" s="4">
        <v>73</v>
      </c>
      <c r="O806" s="4" t="s">
        <v>21</v>
      </c>
      <c r="P806" s="7" t="s">
        <v>19</v>
      </c>
    </row>
    <row r="807" spans="2:16" x14ac:dyDescent="0.45">
      <c r="B807" s="4">
        <v>806</v>
      </c>
      <c r="C807" s="4" t="s">
        <v>27</v>
      </c>
      <c r="D807" s="4" t="s">
        <v>16</v>
      </c>
      <c r="E807" s="4" t="s">
        <v>17</v>
      </c>
      <c r="F807" s="4" t="s">
        <v>24</v>
      </c>
      <c r="G807" s="4" t="s">
        <v>19</v>
      </c>
      <c r="H807" s="4" t="s">
        <v>28</v>
      </c>
      <c r="I807" s="4">
        <v>28</v>
      </c>
      <c r="J807" s="5">
        <v>90.8</v>
      </c>
      <c r="K807" s="6">
        <v>1.75</v>
      </c>
      <c r="L807" s="4">
        <v>0</v>
      </c>
      <c r="M807" s="4">
        <v>102</v>
      </c>
      <c r="N807" s="4">
        <v>97</v>
      </c>
      <c r="O807" s="4" t="s">
        <v>26</v>
      </c>
      <c r="P807" s="7" t="s">
        <v>19</v>
      </c>
    </row>
    <row r="808" spans="2:16" x14ac:dyDescent="0.45">
      <c r="B808" s="4">
        <v>807</v>
      </c>
      <c r="C808" s="4" t="s">
        <v>22</v>
      </c>
      <c r="D808" s="4" t="s">
        <v>16</v>
      </c>
      <c r="E808" s="4" t="s">
        <v>35</v>
      </c>
      <c r="F808" s="4" t="s">
        <v>42</v>
      </c>
      <c r="G808" s="4" t="s">
        <v>19</v>
      </c>
      <c r="H808" s="4" t="s">
        <v>36</v>
      </c>
      <c r="I808" s="4">
        <v>19</v>
      </c>
      <c r="J808" s="5">
        <v>74.5</v>
      </c>
      <c r="K808" s="6">
        <v>1.7</v>
      </c>
      <c r="L808" s="4">
        <v>6</v>
      </c>
      <c r="M808" s="4">
        <v>129</v>
      </c>
      <c r="N808" s="4">
        <v>91</v>
      </c>
      <c r="O808" s="4" t="s">
        <v>26</v>
      </c>
      <c r="P808" s="7" t="s">
        <v>30</v>
      </c>
    </row>
    <row r="809" spans="2:16" x14ac:dyDescent="0.45">
      <c r="B809" s="4">
        <v>808</v>
      </c>
      <c r="C809" s="4" t="s">
        <v>39</v>
      </c>
      <c r="D809" s="4" t="s">
        <v>23</v>
      </c>
      <c r="E809" s="4" t="s">
        <v>37</v>
      </c>
      <c r="F809" s="4" t="s">
        <v>18</v>
      </c>
      <c r="G809" s="4" t="s">
        <v>30</v>
      </c>
      <c r="H809" s="4" t="s">
        <v>36</v>
      </c>
      <c r="I809" s="4">
        <v>50</v>
      </c>
      <c r="J809" s="5">
        <v>77.5</v>
      </c>
      <c r="K809" s="6">
        <v>1.57</v>
      </c>
      <c r="L809" s="4">
        <v>4</v>
      </c>
      <c r="M809" s="4">
        <v>145</v>
      </c>
      <c r="N809" s="4">
        <v>92</v>
      </c>
      <c r="O809" s="4" t="s">
        <v>26</v>
      </c>
      <c r="P809" s="7" t="s">
        <v>19</v>
      </c>
    </row>
    <row r="810" spans="2:16" x14ac:dyDescent="0.45">
      <c r="B810" s="4">
        <v>809</v>
      </c>
      <c r="C810" s="4" t="s">
        <v>15</v>
      </c>
      <c r="D810" s="4" t="s">
        <v>16</v>
      </c>
      <c r="E810" s="4" t="s">
        <v>37</v>
      </c>
      <c r="F810" s="4" t="s">
        <v>24</v>
      </c>
      <c r="G810" s="4" t="s">
        <v>19</v>
      </c>
      <c r="H810" s="4" t="s">
        <v>28</v>
      </c>
      <c r="I810" s="4">
        <v>15</v>
      </c>
      <c r="J810" s="5">
        <v>54.7</v>
      </c>
      <c r="K810" s="6">
        <v>1.6</v>
      </c>
      <c r="L810" s="4">
        <v>2</v>
      </c>
      <c r="M810" s="4">
        <v>105</v>
      </c>
      <c r="N810" s="4">
        <v>89</v>
      </c>
      <c r="O810" s="4" t="s">
        <v>26</v>
      </c>
      <c r="P810" s="7" t="s">
        <v>19</v>
      </c>
    </row>
    <row r="811" spans="2:16" x14ac:dyDescent="0.45">
      <c r="B811" s="4">
        <v>810</v>
      </c>
      <c r="C811" s="4" t="s">
        <v>27</v>
      </c>
      <c r="D811" s="4" t="s">
        <v>16</v>
      </c>
      <c r="E811" s="4" t="s">
        <v>35</v>
      </c>
      <c r="F811" s="4" t="s">
        <v>24</v>
      </c>
      <c r="G811" s="4" t="s">
        <v>19</v>
      </c>
      <c r="H811" s="4" t="s">
        <v>46</v>
      </c>
      <c r="I811" s="4">
        <v>5</v>
      </c>
      <c r="J811" s="5">
        <v>32</v>
      </c>
      <c r="K811" s="6">
        <v>1.18</v>
      </c>
      <c r="L811" s="4">
        <v>2</v>
      </c>
      <c r="M811" s="4">
        <v>95</v>
      </c>
      <c r="N811" s="4">
        <v>81</v>
      </c>
      <c r="O811" s="4" t="s">
        <v>21</v>
      </c>
      <c r="P811" s="7" t="s">
        <v>19</v>
      </c>
    </row>
    <row r="812" spans="2:16" x14ac:dyDescent="0.45">
      <c r="B812" s="4">
        <v>811</v>
      </c>
      <c r="C812" s="4" t="s">
        <v>41</v>
      </c>
      <c r="D812" s="4" t="s">
        <v>23</v>
      </c>
      <c r="E812" s="4" t="s">
        <v>35</v>
      </c>
      <c r="F812" s="4" t="s">
        <v>24</v>
      </c>
      <c r="G812" s="4" t="s">
        <v>19</v>
      </c>
      <c r="H812" s="4" t="s">
        <v>28</v>
      </c>
      <c r="I812" s="4">
        <v>1</v>
      </c>
      <c r="J812" s="5">
        <v>10.7</v>
      </c>
      <c r="K812" s="6">
        <v>0.83</v>
      </c>
      <c r="L812" s="4">
        <v>4</v>
      </c>
      <c r="M812" s="4">
        <v>97</v>
      </c>
      <c r="N812" s="4">
        <v>82</v>
      </c>
      <c r="O812" s="4" t="s">
        <v>26</v>
      </c>
      <c r="P812" s="7" t="s">
        <v>19</v>
      </c>
    </row>
    <row r="813" spans="2:16" x14ac:dyDescent="0.45">
      <c r="B813" s="4">
        <v>812</v>
      </c>
      <c r="C813" s="4" t="s">
        <v>15</v>
      </c>
      <c r="D813" s="4" t="s">
        <v>23</v>
      </c>
      <c r="E813" s="4" t="s">
        <v>17</v>
      </c>
      <c r="F813" s="4" t="s">
        <v>18</v>
      </c>
      <c r="G813" s="4" t="s">
        <v>19</v>
      </c>
      <c r="H813" s="4" t="s">
        <v>28</v>
      </c>
      <c r="I813" s="4">
        <v>7</v>
      </c>
      <c r="J813" s="5">
        <v>27.4</v>
      </c>
      <c r="K813" s="6">
        <v>1.1399999999999999</v>
      </c>
      <c r="L813" s="4">
        <v>2</v>
      </c>
      <c r="M813" s="4">
        <v>122</v>
      </c>
      <c r="N813" s="4">
        <v>78</v>
      </c>
      <c r="O813" s="4" t="s">
        <v>21</v>
      </c>
      <c r="P813" s="7" t="s">
        <v>30</v>
      </c>
    </row>
    <row r="814" spans="2:16" x14ac:dyDescent="0.45">
      <c r="B814" s="4">
        <v>813</v>
      </c>
      <c r="C814" s="4" t="s">
        <v>41</v>
      </c>
      <c r="D814" s="4" t="s">
        <v>16</v>
      </c>
      <c r="E814" s="4" t="s">
        <v>35</v>
      </c>
      <c r="F814" s="4" t="s">
        <v>42</v>
      </c>
      <c r="G814" s="4" t="s">
        <v>30</v>
      </c>
      <c r="H814" s="4" t="s">
        <v>38</v>
      </c>
      <c r="I814" s="4">
        <v>30</v>
      </c>
      <c r="J814" s="5">
        <v>89.9</v>
      </c>
      <c r="K814" s="6">
        <v>1.6</v>
      </c>
      <c r="L814" s="4">
        <v>2</v>
      </c>
      <c r="M814" s="4">
        <v>104</v>
      </c>
      <c r="N814" s="4">
        <v>100</v>
      </c>
      <c r="O814" s="4" t="s">
        <v>21</v>
      </c>
      <c r="P814" s="7" t="s">
        <v>19</v>
      </c>
    </row>
    <row r="815" spans="2:16" x14ac:dyDescent="0.45">
      <c r="B815" s="4">
        <v>814</v>
      </c>
      <c r="C815" s="4" t="s">
        <v>45</v>
      </c>
      <c r="D815" s="4" t="s">
        <v>23</v>
      </c>
      <c r="E815" s="4" t="s">
        <v>37</v>
      </c>
      <c r="F815" s="4" t="s">
        <v>24</v>
      </c>
      <c r="G815" s="4" t="s">
        <v>19</v>
      </c>
      <c r="H815" s="4" t="s">
        <v>20</v>
      </c>
      <c r="I815" s="4">
        <v>55</v>
      </c>
      <c r="J815" s="5">
        <v>93.7</v>
      </c>
      <c r="K815" s="6">
        <v>1.59</v>
      </c>
      <c r="L815" s="4">
        <v>1</v>
      </c>
      <c r="M815" s="4">
        <v>117</v>
      </c>
      <c r="N815" s="4">
        <v>84</v>
      </c>
      <c r="O815" s="4" t="s">
        <v>26</v>
      </c>
      <c r="P815" s="7" t="s">
        <v>30</v>
      </c>
    </row>
    <row r="816" spans="2:16" x14ac:dyDescent="0.45">
      <c r="B816" s="4">
        <v>815</v>
      </c>
      <c r="C816" s="4" t="s">
        <v>22</v>
      </c>
      <c r="D816" s="4" t="s">
        <v>16</v>
      </c>
      <c r="E816" s="4" t="s">
        <v>35</v>
      </c>
      <c r="F816" s="4" t="s">
        <v>18</v>
      </c>
      <c r="G816" s="4" t="s">
        <v>19</v>
      </c>
      <c r="H816" s="4" t="s">
        <v>34</v>
      </c>
      <c r="I816" s="4">
        <v>3</v>
      </c>
      <c r="J816" s="5">
        <v>13.3</v>
      </c>
      <c r="K816" s="6">
        <v>1.01</v>
      </c>
      <c r="L816" s="4">
        <v>3</v>
      </c>
      <c r="M816" s="4">
        <v>113</v>
      </c>
      <c r="N816" s="4">
        <v>83</v>
      </c>
      <c r="O816" s="4" t="s">
        <v>21</v>
      </c>
      <c r="P816" s="7" t="s">
        <v>30</v>
      </c>
    </row>
    <row r="817" spans="2:16" x14ac:dyDescent="0.45">
      <c r="B817" s="4">
        <v>816</v>
      </c>
      <c r="C817" s="4" t="s">
        <v>27</v>
      </c>
      <c r="D817" s="4" t="s">
        <v>16</v>
      </c>
      <c r="E817" s="4" t="s">
        <v>17</v>
      </c>
      <c r="F817" s="4" t="s">
        <v>28</v>
      </c>
      <c r="G817" s="4" t="s">
        <v>30</v>
      </c>
      <c r="H817" s="4" t="s">
        <v>28</v>
      </c>
      <c r="I817" s="4">
        <v>32</v>
      </c>
      <c r="J817" s="5">
        <v>50.9</v>
      </c>
      <c r="K817" s="6">
        <v>1.56</v>
      </c>
      <c r="L817" s="4">
        <v>3</v>
      </c>
      <c r="M817" s="4">
        <v>109</v>
      </c>
      <c r="N817" s="4">
        <v>79</v>
      </c>
      <c r="O817" s="4" t="s">
        <v>26</v>
      </c>
      <c r="P817" s="7" t="s">
        <v>30</v>
      </c>
    </row>
    <row r="818" spans="2:16" x14ac:dyDescent="0.45">
      <c r="B818" s="4">
        <v>817</v>
      </c>
      <c r="C818" s="4" t="s">
        <v>41</v>
      </c>
      <c r="D818" s="4" t="s">
        <v>16</v>
      </c>
      <c r="E818" s="4" t="s">
        <v>35</v>
      </c>
      <c r="F818" s="4" t="s">
        <v>28</v>
      </c>
      <c r="G818" s="4" t="s">
        <v>19</v>
      </c>
      <c r="H818" s="4" t="s">
        <v>20</v>
      </c>
      <c r="I818" s="4">
        <v>43</v>
      </c>
      <c r="J818" s="5">
        <v>63.6</v>
      </c>
      <c r="K818" s="6">
        <v>1.89</v>
      </c>
      <c r="L818" s="4">
        <v>9</v>
      </c>
      <c r="M818" s="4">
        <v>128</v>
      </c>
      <c r="N818" s="4">
        <v>81</v>
      </c>
      <c r="O818" s="4" t="s">
        <v>26</v>
      </c>
      <c r="P818" s="7" t="s">
        <v>30</v>
      </c>
    </row>
    <row r="819" spans="2:16" x14ac:dyDescent="0.45">
      <c r="B819" s="4">
        <v>818</v>
      </c>
      <c r="C819" s="4" t="s">
        <v>22</v>
      </c>
      <c r="D819" s="4" t="s">
        <v>16</v>
      </c>
      <c r="E819" s="4" t="s">
        <v>35</v>
      </c>
      <c r="F819" s="4" t="s">
        <v>24</v>
      </c>
      <c r="G819" s="4" t="s">
        <v>19</v>
      </c>
      <c r="H819" s="4" t="s">
        <v>20</v>
      </c>
      <c r="I819" s="4">
        <v>34</v>
      </c>
      <c r="J819" s="5">
        <v>64.099999999999994</v>
      </c>
      <c r="K819" s="6">
        <v>1.76</v>
      </c>
      <c r="L819" s="4">
        <v>2</v>
      </c>
      <c r="M819" s="4">
        <v>114</v>
      </c>
      <c r="N819" s="4">
        <v>73</v>
      </c>
      <c r="O819" s="4" t="s">
        <v>26</v>
      </c>
      <c r="P819" s="7" t="s">
        <v>19</v>
      </c>
    </row>
    <row r="820" spans="2:16" x14ac:dyDescent="0.45">
      <c r="B820" s="4">
        <v>819</v>
      </c>
      <c r="C820" s="4" t="s">
        <v>40</v>
      </c>
      <c r="D820" s="4" t="s">
        <v>23</v>
      </c>
      <c r="E820" s="4" t="s">
        <v>17</v>
      </c>
      <c r="F820" s="4" t="s">
        <v>18</v>
      </c>
      <c r="G820" s="4" t="s">
        <v>19</v>
      </c>
      <c r="H820" s="4" t="s">
        <v>46</v>
      </c>
      <c r="I820" s="4">
        <v>27</v>
      </c>
      <c r="J820" s="5">
        <v>59.3</v>
      </c>
      <c r="K820" s="6">
        <v>1.58</v>
      </c>
      <c r="L820" s="4">
        <v>6</v>
      </c>
      <c r="M820" s="4">
        <v>117</v>
      </c>
      <c r="N820" s="4">
        <v>78</v>
      </c>
      <c r="O820" s="4" t="s">
        <v>26</v>
      </c>
      <c r="P820" s="7" t="s">
        <v>30</v>
      </c>
    </row>
    <row r="821" spans="2:16" x14ac:dyDescent="0.45">
      <c r="B821" s="4">
        <v>820</v>
      </c>
      <c r="C821" s="4" t="s">
        <v>43</v>
      </c>
      <c r="D821" s="4" t="s">
        <v>23</v>
      </c>
      <c r="E821" s="4" t="s">
        <v>35</v>
      </c>
      <c r="F821" s="4" t="s">
        <v>28</v>
      </c>
      <c r="G821" s="4" t="s">
        <v>19</v>
      </c>
      <c r="H821" s="4" t="s">
        <v>32</v>
      </c>
      <c r="I821" s="4">
        <v>55</v>
      </c>
      <c r="J821" s="5">
        <v>76.099999999999994</v>
      </c>
      <c r="K821" s="6">
        <v>1.84</v>
      </c>
      <c r="L821" s="4">
        <v>7</v>
      </c>
      <c r="M821" s="4">
        <v>117</v>
      </c>
      <c r="N821" s="4">
        <v>162</v>
      </c>
      <c r="O821" s="4" t="s">
        <v>21</v>
      </c>
      <c r="P821" s="7" t="s">
        <v>19</v>
      </c>
    </row>
    <row r="822" spans="2:16" x14ac:dyDescent="0.45">
      <c r="B822" s="4">
        <v>821</v>
      </c>
      <c r="C822" s="4" t="s">
        <v>39</v>
      </c>
      <c r="D822" s="4" t="s">
        <v>23</v>
      </c>
      <c r="E822" s="4" t="s">
        <v>17</v>
      </c>
      <c r="F822" s="4" t="s">
        <v>24</v>
      </c>
      <c r="G822" s="4" t="s">
        <v>19</v>
      </c>
      <c r="H822" s="4" t="s">
        <v>46</v>
      </c>
      <c r="I822" s="4">
        <v>21</v>
      </c>
      <c r="J822" s="5">
        <v>85.3</v>
      </c>
      <c r="K822" s="6">
        <v>1.6</v>
      </c>
      <c r="L822" s="4">
        <v>2</v>
      </c>
      <c r="M822" s="4">
        <v>127</v>
      </c>
      <c r="N822" s="4">
        <v>94</v>
      </c>
      <c r="O822" s="4" t="s">
        <v>21</v>
      </c>
      <c r="P822" s="7" t="s">
        <v>30</v>
      </c>
    </row>
    <row r="823" spans="2:16" x14ac:dyDescent="0.45">
      <c r="B823" s="4">
        <v>822</v>
      </c>
      <c r="C823" s="4" t="s">
        <v>45</v>
      </c>
      <c r="D823" s="4" t="s">
        <v>23</v>
      </c>
      <c r="E823" s="4" t="s">
        <v>17</v>
      </c>
      <c r="F823" s="4" t="s">
        <v>18</v>
      </c>
      <c r="G823" s="4" t="s">
        <v>19</v>
      </c>
      <c r="H823" s="4" t="s">
        <v>25</v>
      </c>
      <c r="I823" s="4">
        <v>8</v>
      </c>
      <c r="J823" s="5">
        <v>24.4</v>
      </c>
      <c r="K823" s="6">
        <v>1.25</v>
      </c>
      <c r="L823" s="4">
        <v>1</v>
      </c>
      <c r="M823" s="4">
        <v>104</v>
      </c>
      <c r="N823" s="4">
        <v>78</v>
      </c>
      <c r="O823" s="4" t="s">
        <v>21</v>
      </c>
      <c r="P823" s="7" t="s">
        <v>19</v>
      </c>
    </row>
    <row r="824" spans="2:16" x14ac:dyDescent="0.45">
      <c r="B824" s="4">
        <v>823</v>
      </c>
      <c r="C824" s="4" t="s">
        <v>40</v>
      </c>
      <c r="D824" s="4" t="s">
        <v>23</v>
      </c>
      <c r="E824" s="4" t="s">
        <v>17</v>
      </c>
      <c r="F824" s="4" t="s">
        <v>24</v>
      </c>
      <c r="G824" s="4" t="s">
        <v>19</v>
      </c>
      <c r="H824" s="4" t="s">
        <v>34</v>
      </c>
      <c r="I824" s="4">
        <v>69</v>
      </c>
      <c r="J824" s="5">
        <v>61.3</v>
      </c>
      <c r="K824" s="6">
        <v>1.78</v>
      </c>
      <c r="L824" s="4">
        <v>1</v>
      </c>
      <c r="M824" s="4">
        <v>115</v>
      </c>
      <c r="N824" s="4">
        <v>77</v>
      </c>
      <c r="O824" s="4" t="s">
        <v>26</v>
      </c>
      <c r="P824" s="7" t="s">
        <v>19</v>
      </c>
    </row>
    <row r="825" spans="2:16" x14ac:dyDescent="0.45">
      <c r="B825" s="4">
        <v>824</v>
      </c>
      <c r="C825" s="4" t="s">
        <v>31</v>
      </c>
      <c r="D825" s="4" t="s">
        <v>16</v>
      </c>
      <c r="E825" s="4" t="s">
        <v>17</v>
      </c>
      <c r="F825" s="4" t="s">
        <v>24</v>
      </c>
      <c r="G825" s="4" t="s">
        <v>19</v>
      </c>
      <c r="H825" s="4" t="s">
        <v>32</v>
      </c>
      <c r="I825" s="4">
        <v>17</v>
      </c>
      <c r="J825" s="5">
        <v>53.6</v>
      </c>
      <c r="K825" s="6">
        <v>1.48</v>
      </c>
      <c r="L825" s="4">
        <v>0</v>
      </c>
      <c r="M825" s="4">
        <v>97</v>
      </c>
      <c r="N825" s="4">
        <v>152</v>
      </c>
      <c r="O825" s="4" t="s">
        <v>26</v>
      </c>
      <c r="P825" s="7" t="s">
        <v>19</v>
      </c>
    </row>
    <row r="826" spans="2:16" x14ac:dyDescent="0.45">
      <c r="B826" s="4">
        <v>825</v>
      </c>
      <c r="C826" s="4" t="s">
        <v>45</v>
      </c>
      <c r="D826" s="4" t="s">
        <v>16</v>
      </c>
      <c r="E826" s="4" t="s">
        <v>35</v>
      </c>
      <c r="F826" s="4" t="s">
        <v>18</v>
      </c>
      <c r="G826" s="4" t="s">
        <v>19</v>
      </c>
      <c r="H826" s="4" t="s">
        <v>28</v>
      </c>
      <c r="I826" s="4">
        <v>65</v>
      </c>
      <c r="J826" s="5">
        <v>77.8</v>
      </c>
      <c r="K826" s="6">
        <v>1.83</v>
      </c>
      <c r="L826" s="4">
        <v>1</v>
      </c>
      <c r="M826" s="4">
        <v>121</v>
      </c>
      <c r="N826" s="4">
        <v>84</v>
      </c>
      <c r="O826" s="4" t="s">
        <v>26</v>
      </c>
      <c r="P826" s="7" t="s">
        <v>19</v>
      </c>
    </row>
    <row r="827" spans="2:16" x14ac:dyDescent="0.45">
      <c r="B827" s="4">
        <v>826</v>
      </c>
      <c r="C827" s="4" t="s">
        <v>39</v>
      </c>
      <c r="D827" s="4" t="s">
        <v>23</v>
      </c>
      <c r="E827" s="4" t="s">
        <v>35</v>
      </c>
      <c r="F827" s="4" t="s">
        <v>18</v>
      </c>
      <c r="G827" s="4" t="s">
        <v>19</v>
      </c>
      <c r="H827" s="4" t="s">
        <v>36</v>
      </c>
      <c r="I827" s="4">
        <v>90</v>
      </c>
      <c r="J827" s="5">
        <v>89.1</v>
      </c>
      <c r="K827" s="6">
        <v>1.53</v>
      </c>
      <c r="L827" s="4">
        <v>10</v>
      </c>
      <c r="M827" s="4">
        <v>155</v>
      </c>
      <c r="N827" s="4">
        <v>74</v>
      </c>
      <c r="O827" s="4" t="s">
        <v>26</v>
      </c>
      <c r="P827" s="7" t="s">
        <v>19</v>
      </c>
    </row>
    <row r="828" spans="2:16" x14ac:dyDescent="0.45">
      <c r="B828" s="4">
        <v>827</v>
      </c>
      <c r="C828" s="4" t="s">
        <v>39</v>
      </c>
      <c r="D828" s="4" t="s">
        <v>23</v>
      </c>
      <c r="E828" s="4" t="s">
        <v>17</v>
      </c>
      <c r="F828" s="4" t="s">
        <v>18</v>
      </c>
      <c r="G828" s="4" t="s">
        <v>30</v>
      </c>
      <c r="H828" s="4" t="s">
        <v>38</v>
      </c>
      <c r="I828" s="4">
        <v>1</v>
      </c>
      <c r="J828" s="5">
        <v>7.4</v>
      </c>
      <c r="K828" s="6">
        <v>0.85</v>
      </c>
      <c r="L828" s="4">
        <v>5</v>
      </c>
      <c r="M828" s="4">
        <v>112</v>
      </c>
      <c r="N828" s="4">
        <v>98</v>
      </c>
      <c r="O828" s="4" t="s">
        <v>21</v>
      </c>
      <c r="P828" s="7" t="s">
        <v>19</v>
      </c>
    </row>
    <row r="829" spans="2:16" x14ac:dyDescent="0.45">
      <c r="B829" s="4">
        <v>828</v>
      </c>
      <c r="C829" s="4" t="s">
        <v>43</v>
      </c>
      <c r="D829" s="4" t="s">
        <v>23</v>
      </c>
      <c r="E829" s="4" t="s">
        <v>35</v>
      </c>
      <c r="F829" s="4" t="s">
        <v>18</v>
      </c>
      <c r="G829" s="4" t="s">
        <v>19</v>
      </c>
      <c r="H829" s="4" t="s">
        <v>36</v>
      </c>
      <c r="I829" s="4">
        <v>9</v>
      </c>
      <c r="J829" s="5">
        <v>21.9</v>
      </c>
      <c r="K829" s="6">
        <v>1.23</v>
      </c>
      <c r="L829" s="4">
        <v>2</v>
      </c>
      <c r="M829" s="4">
        <v>118</v>
      </c>
      <c r="N829" s="4">
        <v>103</v>
      </c>
      <c r="O829" s="4" t="s">
        <v>26</v>
      </c>
      <c r="P829" s="7" t="s">
        <v>19</v>
      </c>
    </row>
    <row r="830" spans="2:16" x14ac:dyDescent="0.45">
      <c r="B830" s="4">
        <v>829</v>
      </c>
      <c r="C830" s="4" t="s">
        <v>40</v>
      </c>
      <c r="D830" s="4" t="s">
        <v>23</v>
      </c>
      <c r="E830" s="4" t="s">
        <v>35</v>
      </c>
      <c r="F830" s="4" t="s">
        <v>24</v>
      </c>
      <c r="G830" s="4" t="s">
        <v>19</v>
      </c>
      <c r="H830" s="4" t="s">
        <v>28</v>
      </c>
      <c r="I830" s="4">
        <v>20</v>
      </c>
      <c r="J830" s="5">
        <v>79.8</v>
      </c>
      <c r="K830" s="6">
        <v>1.56</v>
      </c>
      <c r="L830" s="4">
        <v>3</v>
      </c>
      <c r="M830" s="4">
        <v>99</v>
      </c>
      <c r="N830" s="4">
        <v>99</v>
      </c>
      <c r="O830" s="4" t="s">
        <v>26</v>
      </c>
      <c r="P830" s="7" t="s">
        <v>19</v>
      </c>
    </row>
    <row r="831" spans="2:16" x14ac:dyDescent="0.45">
      <c r="B831" s="4">
        <v>830</v>
      </c>
      <c r="C831" s="4" t="s">
        <v>15</v>
      </c>
      <c r="D831" s="4" t="s">
        <v>16</v>
      </c>
      <c r="E831" s="4" t="s">
        <v>35</v>
      </c>
      <c r="F831" s="4" t="s">
        <v>28</v>
      </c>
      <c r="G831" s="4" t="s">
        <v>30</v>
      </c>
      <c r="H831" s="4" t="s">
        <v>32</v>
      </c>
      <c r="I831" s="4">
        <v>10</v>
      </c>
      <c r="J831" s="5">
        <v>35.299999999999997</v>
      </c>
      <c r="K831" s="6">
        <v>1.34</v>
      </c>
      <c r="L831" s="4">
        <v>6</v>
      </c>
      <c r="M831" s="4">
        <v>117</v>
      </c>
      <c r="N831" s="4">
        <v>156</v>
      </c>
      <c r="O831" s="4" t="s">
        <v>21</v>
      </c>
      <c r="P831" s="7" t="s">
        <v>19</v>
      </c>
    </row>
    <row r="832" spans="2:16" x14ac:dyDescent="0.45">
      <c r="B832" s="4">
        <v>831</v>
      </c>
      <c r="C832" s="4" t="s">
        <v>27</v>
      </c>
      <c r="D832" s="4" t="s">
        <v>16</v>
      </c>
      <c r="E832" s="4" t="s">
        <v>35</v>
      </c>
      <c r="F832" s="4" t="s">
        <v>28</v>
      </c>
      <c r="G832" s="4" t="s">
        <v>30</v>
      </c>
      <c r="H832" s="4" t="s">
        <v>34</v>
      </c>
      <c r="I832" s="4">
        <v>44</v>
      </c>
      <c r="J832" s="5">
        <v>81.5</v>
      </c>
      <c r="K832" s="6">
        <v>1.78</v>
      </c>
      <c r="L832" s="4">
        <v>2</v>
      </c>
      <c r="M832" s="4">
        <v>111</v>
      </c>
      <c r="N832" s="4">
        <v>103</v>
      </c>
      <c r="O832" s="4" t="s">
        <v>21</v>
      </c>
      <c r="P832" s="7" t="s">
        <v>19</v>
      </c>
    </row>
    <row r="833" spans="2:16" x14ac:dyDescent="0.45">
      <c r="B833" s="4">
        <v>832</v>
      </c>
      <c r="C833" s="4" t="s">
        <v>39</v>
      </c>
      <c r="D833" s="4" t="s">
        <v>23</v>
      </c>
      <c r="E833" s="4" t="s">
        <v>35</v>
      </c>
      <c r="F833" s="4" t="s">
        <v>28</v>
      </c>
      <c r="G833" s="4" t="s">
        <v>19</v>
      </c>
      <c r="H833" s="4" t="s">
        <v>38</v>
      </c>
      <c r="I833" s="4">
        <v>41</v>
      </c>
      <c r="J833" s="5">
        <v>65.900000000000006</v>
      </c>
      <c r="K833" s="6">
        <v>1.65</v>
      </c>
      <c r="L833" s="4">
        <v>2</v>
      </c>
      <c r="M833" s="4">
        <v>108</v>
      </c>
      <c r="N833" s="4">
        <v>81</v>
      </c>
      <c r="O833" s="4" t="s">
        <v>26</v>
      </c>
      <c r="P833" s="7" t="s">
        <v>19</v>
      </c>
    </row>
    <row r="834" spans="2:16" x14ac:dyDescent="0.45">
      <c r="B834" s="4">
        <v>833</v>
      </c>
      <c r="C834" s="4" t="s">
        <v>27</v>
      </c>
      <c r="D834" s="4" t="s">
        <v>16</v>
      </c>
      <c r="E834" s="4" t="s">
        <v>17</v>
      </c>
      <c r="F834" s="4" t="s">
        <v>28</v>
      </c>
      <c r="G834" s="4" t="s">
        <v>19</v>
      </c>
      <c r="H834" s="4" t="s">
        <v>25</v>
      </c>
      <c r="I834" s="4">
        <v>31</v>
      </c>
      <c r="J834" s="5">
        <v>92.4</v>
      </c>
      <c r="K834" s="6">
        <v>1.83</v>
      </c>
      <c r="L834" s="4">
        <v>2</v>
      </c>
      <c r="M834" s="4">
        <v>124</v>
      </c>
      <c r="N834" s="4">
        <v>84</v>
      </c>
      <c r="O834" s="4" t="s">
        <v>21</v>
      </c>
      <c r="P834" s="7" t="s">
        <v>19</v>
      </c>
    </row>
    <row r="835" spans="2:16" x14ac:dyDescent="0.45">
      <c r="B835" s="4">
        <v>834</v>
      </c>
      <c r="C835" s="4" t="s">
        <v>15</v>
      </c>
      <c r="D835" s="4" t="s">
        <v>16</v>
      </c>
      <c r="E835" s="4" t="s">
        <v>35</v>
      </c>
      <c r="F835" s="4" t="s">
        <v>28</v>
      </c>
      <c r="G835" s="4" t="s">
        <v>19</v>
      </c>
      <c r="H835" s="4" t="s">
        <v>34</v>
      </c>
      <c r="I835" s="4">
        <v>55</v>
      </c>
      <c r="J835" s="5">
        <v>83.2</v>
      </c>
      <c r="K835" s="6">
        <v>1.75</v>
      </c>
      <c r="L835" s="4">
        <v>1</v>
      </c>
      <c r="M835" s="4">
        <v>130</v>
      </c>
      <c r="N835" s="4">
        <v>99</v>
      </c>
      <c r="O835" s="4" t="s">
        <v>26</v>
      </c>
      <c r="P835" s="7" t="s">
        <v>19</v>
      </c>
    </row>
    <row r="836" spans="2:16" x14ac:dyDescent="0.45">
      <c r="B836" s="4">
        <v>835</v>
      </c>
      <c r="C836" s="4" t="s">
        <v>22</v>
      </c>
      <c r="D836" s="4" t="s">
        <v>23</v>
      </c>
      <c r="E836" s="4" t="s">
        <v>35</v>
      </c>
      <c r="F836" s="4" t="s">
        <v>24</v>
      </c>
      <c r="G836" s="4" t="s">
        <v>19</v>
      </c>
      <c r="H836" s="4" t="s">
        <v>20</v>
      </c>
      <c r="I836" s="4">
        <v>40</v>
      </c>
      <c r="J836" s="5">
        <v>48.3</v>
      </c>
      <c r="K836" s="6">
        <v>1.8</v>
      </c>
      <c r="L836" s="4">
        <v>10</v>
      </c>
      <c r="M836" s="4">
        <v>124</v>
      </c>
      <c r="N836" s="4">
        <v>91</v>
      </c>
      <c r="O836" s="4" t="s">
        <v>21</v>
      </c>
      <c r="P836" s="7" t="s">
        <v>19</v>
      </c>
    </row>
    <row r="837" spans="2:16" x14ac:dyDescent="0.45">
      <c r="B837" s="4">
        <v>836</v>
      </c>
      <c r="C837" s="4" t="s">
        <v>41</v>
      </c>
      <c r="D837" s="4" t="s">
        <v>23</v>
      </c>
      <c r="E837" s="4" t="s">
        <v>17</v>
      </c>
      <c r="F837" s="4" t="s">
        <v>18</v>
      </c>
      <c r="G837" s="4" t="s">
        <v>19</v>
      </c>
      <c r="H837" s="4" t="s">
        <v>36</v>
      </c>
      <c r="I837" s="4">
        <v>37</v>
      </c>
      <c r="J837" s="5">
        <v>66.5</v>
      </c>
      <c r="K837" s="6">
        <v>1.49</v>
      </c>
      <c r="L837" s="4">
        <v>5</v>
      </c>
      <c r="M837" s="4">
        <v>139</v>
      </c>
      <c r="N837" s="4">
        <v>81</v>
      </c>
      <c r="O837" s="4" t="s">
        <v>26</v>
      </c>
      <c r="P837" s="7" t="s">
        <v>19</v>
      </c>
    </row>
    <row r="838" spans="2:16" x14ac:dyDescent="0.45">
      <c r="B838" s="4">
        <v>837</v>
      </c>
      <c r="C838" s="4" t="s">
        <v>33</v>
      </c>
      <c r="D838" s="4" t="s">
        <v>23</v>
      </c>
      <c r="E838" s="4" t="s">
        <v>35</v>
      </c>
      <c r="F838" s="4" t="s">
        <v>24</v>
      </c>
      <c r="G838" s="4" t="s">
        <v>30</v>
      </c>
      <c r="H838" s="4" t="s">
        <v>46</v>
      </c>
      <c r="I838" s="4">
        <v>45</v>
      </c>
      <c r="J838" s="5">
        <v>59.4</v>
      </c>
      <c r="K838" s="6">
        <v>1.89</v>
      </c>
      <c r="L838" s="4">
        <v>7</v>
      </c>
      <c r="M838" s="4">
        <v>124</v>
      </c>
      <c r="N838" s="4">
        <v>94</v>
      </c>
      <c r="O838" s="4" t="s">
        <v>26</v>
      </c>
      <c r="P838" s="7" t="s">
        <v>19</v>
      </c>
    </row>
    <row r="839" spans="2:16" x14ac:dyDescent="0.45">
      <c r="B839" s="4">
        <v>838</v>
      </c>
      <c r="C839" s="4" t="s">
        <v>41</v>
      </c>
      <c r="D839" s="4" t="s">
        <v>16</v>
      </c>
      <c r="E839" s="4" t="s">
        <v>35</v>
      </c>
      <c r="F839" s="4" t="s">
        <v>24</v>
      </c>
      <c r="G839" s="4" t="s">
        <v>30</v>
      </c>
      <c r="H839" s="4" t="s">
        <v>28</v>
      </c>
      <c r="I839" s="4">
        <v>49</v>
      </c>
      <c r="J839" s="5">
        <v>90</v>
      </c>
      <c r="K839" s="6">
        <v>1.69</v>
      </c>
      <c r="L839" s="4">
        <v>0</v>
      </c>
      <c r="M839" s="4">
        <v>116</v>
      </c>
      <c r="N839" s="4">
        <v>97</v>
      </c>
      <c r="O839" s="4" t="s">
        <v>21</v>
      </c>
      <c r="P839" s="7" t="s">
        <v>19</v>
      </c>
    </row>
    <row r="840" spans="2:16" x14ac:dyDescent="0.45">
      <c r="B840" s="4">
        <v>839</v>
      </c>
      <c r="C840" s="4" t="s">
        <v>31</v>
      </c>
      <c r="D840" s="4" t="s">
        <v>23</v>
      </c>
      <c r="E840" s="4" t="s">
        <v>35</v>
      </c>
      <c r="F840" s="4" t="s">
        <v>18</v>
      </c>
      <c r="G840" s="4" t="s">
        <v>19</v>
      </c>
      <c r="H840" s="4" t="s">
        <v>28</v>
      </c>
      <c r="I840" s="4">
        <v>0</v>
      </c>
      <c r="J840" s="5">
        <v>9.6</v>
      </c>
      <c r="K840" s="6">
        <v>0.95</v>
      </c>
      <c r="L840" s="4">
        <v>5</v>
      </c>
      <c r="M840" s="4">
        <v>111</v>
      </c>
      <c r="N840" s="4">
        <v>98</v>
      </c>
      <c r="O840" s="4" t="s">
        <v>26</v>
      </c>
      <c r="P840" s="7" t="s">
        <v>19</v>
      </c>
    </row>
    <row r="841" spans="2:16" x14ac:dyDescent="0.45">
      <c r="B841" s="4">
        <v>840</v>
      </c>
      <c r="C841" s="4" t="s">
        <v>33</v>
      </c>
      <c r="D841" s="4" t="s">
        <v>23</v>
      </c>
      <c r="E841" s="4" t="s">
        <v>35</v>
      </c>
      <c r="F841" s="4" t="s">
        <v>28</v>
      </c>
      <c r="G841" s="4" t="s">
        <v>19</v>
      </c>
      <c r="H841" s="4" t="s">
        <v>36</v>
      </c>
      <c r="I841" s="4">
        <v>5</v>
      </c>
      <c r="J841" s="5">
        <v>32</v>
      </c>
      <c r="K841" s="6">
        <v>1.26</v>
      </c>
      <c r="L841" s="4">
        <v>2</v>
      </c>
      <c r="M841" s="4">
        <v>123</v>
      </c>
      <c r="N841" s="4">
        <v>80</v>
      </c>
      <c r="O841" s="4" t="s">
        <v>26</v>
      </c>
      <c r="P841" s="7" t="s">
        <v>19</v>
      </c>
    </row>
    <row r="842" spans="2:16" x14ac:dyDescent="0.45">
      <c r="B842" s="4">
        <v>841</v>
      </c>
      <c r="C842" s="4" t="s">
        <v>45</v>
      </c>
      <c r="D842" s="4" t="s">
        <v>16</v>
      </c>
      <c r="E842" s="4" t="s">
        <v>17</v>
      </c>
      <c r="F842" s="4" t="s">
        <v>24</v>
      </c>
      <c r="G842" s="4" t="s">
        <v>19</v>
      </c>
      <c r="H842" s="4" t="s">
        <v>20</v>
      </c>
      <c r="I842" s="4">
        <v>46</v>
      </c>
      <c r="J842" s="5">
        <v>85.3</v>
      </c>
      <c r="K842" s="6">
        <v>1.78</v>
      </c>
      <c r="L842" s="4">
        <v>2</v>
      </c>
      <c r="M842" s="4">
        <v>106</v>
      </c>
      <c r="N842" s="4">
        <v>86</v>
      </c>
      <c r="O842" s="4" t="s">
        <v>26</v>
      </c>
      <c r="P842" s="7" t="s">
        <v>19</v>
      </c>
    </row>
    <row r="843" spans="2:16" x14ac:dyDescent="0.45">
      <c r="B843" s="4">
        <v>842</v>
      </c>
      <c r="C843" s="4" t="s">
        <v>27</v>
      </c>
      <c r="D843" s="4" t="s">
        <v>23</v>
      </c>
      <c r="E843" s="4" t="s">
        <v>37</v>
      </c>
      <c r="F843" s="4" t="s">
        <v>24</v>
      </c>
      <c r="G843" s="4" t="s">
        <v>19</v>
      </c>
      <c r="H843" s="4" t="s">
        <v>36</v>
      </c>
      <c r="I843" s="4">
        <v>31</v>
      </c>
      <c r="J843" s="5">
        <v>81.3</v>
      </c>
      <c r="K843" s="6">
        <v>1.88</v>
      </c>
      <c r="L843" s="4">
        <v>8</v>
      </c>
      <c r="M843" s="4">
        <v>140</v>
      </c>
      <c r="N843" s="4">
        <v>89</v>
      </c>
      <c r="O843" s="4" t="s">
        <v>21</v>
      </c>
      <c r="P843" s="7" t="s">
        <v>30</v>
      </c>
    </row>
    <row r="844" spans="2:16" x14ac:dyDescent="0.45">
      <c r="B844" s="4">
        <v>843</v>
      </c>
      <c r="C844" s="4" t="s">
        <v>41</v>
      </c>
      <c r="D844" s="4" t="s">
        <v>16</v>
      </c>
      <c r="E844" s="4" t="s">
        <v>17</v>
      </c>
      <c r="F844" s="4" t="s">
        <v>28</v>
      </c>
      <c r="G844" s="4" t="s">
        <v>19</v>
      </c>
      <c r="H844" s="4" t="s">
        <v>20</v>
      </c>
      <c r="I844" s="4">
        <v>0</v>
      </c>
      <c r="J844" s="5">
        <v>9</v>
      </c>
      <c r="K844" s="6">
        <v>0.72</v>
      </c>
      <c r="L844" s="4">
        <v>0</v>
      </c>
      <c r="M844" s="4">
        <v>107</v>
      </c>
      <c r="N844" s="4">
        <v>83</v>
      </c>
      <c r="O844" s="4" t="s">
        <v>21</v>
      </c>
      <c r="P844" s="7" t="s">
        <v>19</v>
      </c>
    </row>
    <row r="845" spans="2:16" x14ac:dyDescent="0.45">
      <c r="B845" s="4">
        <v>844</v>
      </c>
      <c r="C845" s="4" t="s">
        <v>29</v>
      </c>
      <c r="D845" s="4" t="s">
        <v>16</v>
      </c>
      <c r="E845" s="4" t="s">
        <v>17</v>
      </c>
      <c r="F845" s="4" t="s">
        <v>24</v>
      </c>
      <c r="G845" s="4" t="s">
        <v>19</v>
      </c>
      <c r="H845" s="4" t="s">
        <v>36</v>
      </c>
      <c r="I845" s="4">
        <v>28</v>
      </c>
      <c r="J845" s="5">
        <v>85.1</v>
      </c>
      <c r="K845" s="6">
        <v>1.63</v>
      </c>
      <c r="L845" s="4">
        <v>3</v>
      </c>
      <c r="M845" s="4">
        <v>138</v>
      </c>
      <c r="N845" s="4">
        <v>91</v>
      </c>
      <c r="O845" s="4" t="s">
        <v>26</v>
      </c>
      <c r="P845" s="7" t="s">
        <v>19</v>
      </c>
    </row>
    <row r="846" spans="2:16" x14ac:dyDescent="0.45">
      <c r="B846" s="4">
        <v>845</v>
      </c>
      <c r="C846" s="4" t="s">
        <v>41</v>
      </c>
      <c r="D846" s="4" t="s">
        <v>16</v>
      </c>
      <c r="E846" s="4" t="s">
        <v>35</v>
      </c>
      <c r="F846" s="4" t="s">
        <v>24</v>
      </c>
      <c r="G846" s="4" t="s">
        <v>19</v>
      </c>
      <c r="H846" s="4" t="s">
        <v>28</v>
      </c>
      <c r="I846" s="4">
        <v>24</v>
      </c>
      <c r="J846" s="5">
        <v>54</v>
      </c>
      <c r="K846" s="6">
        <v>1.71</v>
      </c>
      <c r="L846" s="4">
        <v>0</v>
      </c>
      <c r="M846" s="4">
        <v>102</v>
      </c>
      <c r="N846" s="4">
        <v>73</v>
      </c>
      <c r="O846" s="4" t="s">
        <v>26</v>
      </c>
      <c r="P846" s="7" t="s">
        <v>19</v>
      </c>
    </row>
    <row r="847" spans="2:16" x14ac:dyDescent="0.45">
      <c r="B847" s="4">
        <v>846</v>
      </c>
      <c r="C847" s="4" t="s">
        <v>45</v>
      </c>
      <c r="D847" s="4" t="s">
        <v>16</v>
      </c>
      <c r="E847" s="4" t="s">
        <v>17</v>
      </c>
      <c r="F847" s="4" t="s">
        <v>18</v>
      </c>
      <c r="G847" s="4" t="s">
        <v>19</v>
      </c>
      <c r="H847" s="4" t="s">
        <v>25</v>
      </c>
      <c r="I847" s="4">
        <v>22</v>
      </c>
      <c r="J847" s="5">
        <v>55.8</v>
      </c>
      <c r="K847" s="6">
        <v>1.9</v>
      </c>
      <c r="L847" s="4">
        <v>9</v>
      </c>
      <c r="M847" s="4">
        <v>107</v>
      </c>
      <c r="N847" s="4">
        <v>79</v>
      </c>
      <c r="O847" s="4" t="s">
        <v>21</v>
      </c>
      <c r="P847" s="7" t="s">
        <v>19</v>
      </c>
    </row>
    <row r="848" spans="2:16" x14ac:dyDescent="0.45">
      <c r="B848" s="4">
        <v>847</v>
      </c>
      <c r="C848" s="4" t="s">
        <v>41</v>
      </c>
      <c r="D848" s="4" t="s">
        <v>16</v>
      </c>
      <c r="E848" s="4" t="s">
        <v>17</v>
      </c>
      <c r="F848" s="4" t="s">
        <v>24</v>
      </c>
      <c r="G848" s="4" t="s">
        <v>30</v>
      </c>
      <c r="H848" s="4" t="s">
        <v>28</v>
      </c>
      <c r="I848" s="4">
        <v>10</v>
      </c>
      <c r="J848" s="5">
        <v>24.3</v>
      </c>
      <c r="K848" s="6">
        <v>1.0900000000000001</v>
      </c>
      <c r="L848" s="4">
        <v>2</v>
      </c>
      <c r="M848" s="4">
        <v>100</v>
      </c>
      <c r="N848" s="4">
        <v>97</v>
      </c>
      <c r="O848" s="4" t="s">
        <v>26</v>
      </c>
      <c r="P848" s="7" t="s">
        <v>19</v>
      </c>
    </row>
    <row r="849" spans="2:16" x14ac:dyDescent="0.45">
      <c r="B849" s="4">
        <v>848</v>
      </c>
      <c r="C849" s="4" t="s">
        <v>15</v>
      </c>
      <c r="D849" s="4" t="s">
        <v>16</v>
      </c>
      <c r="E849" s="4" t="s">
        <v>35</v>
      </c>
      <c r="F849" s="4" t="s">
        <v>28</v>
      </c>
      <c r="G849" s="4" t="s">
        <v>19</v>
      </c>
      <c r="H849" s="4" t="s">
        <v>28</v>
      </c>
      <c r="I849" s="4">
        <v>55</v>
      </c>
      <c r="J849" s="5">
        <v>52.5</v>
      </c>
      <c r="K849" s="6">
        <v>1.79</v>
      </c>
      <c r="L849" s="4">
        <v>0</v>
      </c>
      <c r="M849" s="4">
        <v>119</v>
      </c>
      <c r="N849" s="4">
        <v>88</v>
      </c>
      <c r="O849" s="4" t="s">
        <v>26</v>
      </c>
      <c r="P849" s="7" t="s">
        <v>19</v>
      </c>
    </row>
    <row r="850" spans="2:16" x14ac:dyDescent="0.45">
      <c r="B850" s="4">
        <v>849</v>
      </c>
      <c r="C850" s="4" t="s">
        <v>45</v>
      </c>
      <c r="D850" s="4" t="s">
        <v>23</v>
      </c>
      <c r="E850" s="4" t="s">
        <v>35</v>
      </c>
      <c r="F850" s="4" t="s">
        <v>28</v>
      </c>
      <c r="G850" s="4" t="s">
        <v>19</v>
      </c>
      <c r="H850" s="4" t="s">
        <v>28</v>
      </c>
      <c r="I850" s="4">
        <v>7</v>
      </c>
      <c r="J850" s="5">
        <v>37.799999999999997</v>
      </c>
      <c r="K850" s="6">
        <v>1.37</v>
      </c>
      <c r="L850" s="4">
        <v>8</v>
      </c>
      <c r="M850" s="4">
        <v>105</v>
      </c>
      <c r="N850" s="4">
        <v>99</v>
      </c>
      <c r="O850" s="4" t="s">
        <v>26</v>
      </c>
      <c r="P850" s="7" t="s">
        <v>19</v>
      </c>
    </row>
    <row r="851" spans="2:16" x14ac:dyDescent="0.45">
      <c r="B851" s="4">
        <v>850</v>
      </c>
      <c r="C851" s="4" t="s">
        <v>22</v>
      </c>
      <c r="D851" s="4" t="s">
        <v>16</v>
      </c>
      <c r="E851" s="4" t="s">
        <v>17</v>
      </c>
      <c r="F851" s="4" t="s">
        <v>18</v>
      </c>
      <c r="G851" s="4" t="s">
        <v>19</v>
      </c>
      <c r="H851" s="4" t="s">
        <v>25</v>
      </c>
      <c r="I851" s="4">
        <v>18</v>
      </c>
      <c r="J851" s="5">
        <v>48.1</v>
      </c>
      <c r="K851" s="6">
        <v>1.54</v>
      </c>
      <c r="L851" s="4">
        <v>1</v>
      </c>
      <c r="M851" s="4">
        <v>98</v>
      </c>
      <c r="N851" s="4">
        <v>96</v>
      </c>
      <c r="O851" s="4" t="s">
        <v>26</v>
      </c>
      <c r="P851" s="7" t="s">
        <v>19</v>
      </c>
    </row>
    <row r="852" spans="2:16" x14ac:dyDescent="0.45">
      <c r="B852" s="4">
        <v>851</v>
      </c>
      <c r="C852" s="4" t="s">
        <v>15</v>
      </c>
      <c r="D852" s="4" t="s">
        <v>16</v>
      </c>
      <c r="E852" s="4" t="s">
        <v>35</v>
      </c>
      <c r="F852" s="4" t="s">
        <v>18</v>
      </c>
      <c r="G852" s="4" t="s">
        <v>30</v>
      </c>
      <c r="H852" s="4" t="s">
        <v>20</v>
      </c>
      <c r="I852" s="4">
        <v>15</v>
      </c>
      <c r="J852" s="5">
        <v>61.1</v>
      </c>
      <c r="K852" s="6">
        <v>1.7</v>
      </c>
      <c r="L852" s="4">
        <v>0</v>
      </c>
      <c r="M852" s="4">
        <v>98</v>
      </c>
      <c r="N852" s="4">
        <v>96</v>
      </c>
      <c r="O852" s="4" t="s">
        <v>26</v>
      </c>
      <c r="P852" s="7" t="s">
        <v>19</v>
      </c>
    </row>
    <row r="853" spans="2:16" x14ac:dyDescent="0.45">
      <c r="B853" s="4">
        <v>852</v>
      </c>
      <c r="C853" s="4" t="s">
        <v>41</v>
      </c>
      <c r="D853" s="4" t="s">
        <v>16</v>
      </c>
      <c r="E853" s="4" t="s">
        <v>35</v>
      </c>
      <c r="F853" s="4" t="s">
        <v>24</v>
      </c>
      <c r="G853" s="4" t="s">
        <v>19</v>
      </c>
      <c r="H853" s="4" t="s">
        <v>46</v>
      </c>
      <c r="I853" s="4">
        <v>72</v>
      </c>
      <c r="J853" s="5">
        <v>61.7</v>
      </c>
      <c r="K853" s="6">
        <v>1.5</v>
      </c>
      <c r="L853" s="4">
        <v>2</v>
      </c>
      <c r="M853" s="4">
        <v>121</v>
      </c>
      <c r="N853" s="4">
        <v>80</v>
      </c>
      <c r="O853" s="4" t="s">
        <v>26</v>
      </c>
      <c r="P853" s="7" t="s">
        <v>19</v>
      </c>
    </row>
    <row r="854" spans="2:16" x14ac:dyDescent="0.45">
      <c r="B854" s="4">
        <v>853</v>
      </c>
      <c r="C854" s="4" t="s">
        <v>27</v>
      </c>
      <c r="D854" s="4" t="s">
        <v>16</v>
      </c>
      <c r="E854" s="4" t="s">
        <v>17</v>
      </c>
      <c r="F854" s="4" t="s">
        <v>28</v>
      </c>
      <c r="G854" s="4" t="s">
        <v>19</v>
      </c>
      <c r="H854" s="4" t="s">
        <v>34</v>
      </c>
      <c r="I854" s="4">
        <v>13</v>
      </c>
      <c r="J854" s="5">
        <v>44.6</v>
      </c>
      <c r="K854" s="6">
        <v>1.67</v>
      </c>
      <c r="L854" s="4">
        <v>1</v>
      </c>
      <c r="M854" s="4">
        <v>109</v>
      </c>
      <c r="N854" s="4">
        <v>101</v>
      </c>
      <c r="O854" s="4" t="s">
        <v>21</v>
      </c>
      <c r="P854" s="7" t="s">
        <v>19</v>
      </c>
    </row>
    <row r="855" spans="2:16" x14ac:dyDescent="0.45">
      <c r="B855" s="4">
        <v>854</v>
      </c>
      <c r="C855" s="4" t="s">
        <v>41</v>
      </c>
      <c r="D855" s="4" t="s">
        <v>23</v>
      </c>
      <c r="E855" s="4" t="s">
        <v>35</v>
      </c>
      <c r="F855" s="4" t="s">
        <v>18</v>
      </c>
      <c r="G855" s="4" t="s">
        <v>19</v>
      </c>
      <c r="H855" s="4" t="s">
        <v>28</v>
      </c>
      <c r="I855" s="4">
        <v>7</v>
      </c>
      <c r="J855" s="5">
        <v>18.8</v>
      </c>
      <c r="K855" s="6">
        <v>1.19</v>
      </c>
      <c r="L855" s="4">
        <v>6</v>
      </c>
      <c r="M855" s="4">
        <v>121</v>
      </c>
      <c r="N855" s="4">
        <v>101</v>
      </c>
      <c r="O855" s="4" t="s">
        <v>21</v>
      </c>
      <c r="P855" s="7" t="s">
        <v>30</v>
      </c>
    </row>
    <row r="856" spans="2:16" x14ac:dyDescent="0.45">
      <c r="B856" s="4">
        <v>855</v>
      </c>
      <c r="C856" s="4" t="s">
        <v>33</v>
      </c>
      <c r="D856" s="4" t="s">
        <v>23</v>
      </c>
      <c r="E856" s="4" t="s">
        <v>17</v>
      </c>
      <c r="F856" s="4" t="s">
        <v>28</v>
      </c>
      <c r="G856" s="4" t="s">
        <v>30</v>
      </c>
      <c r="H856" s="4" t="s">
        <v>28</v>
      </c>
      <c r="I856" s="4">
        <v>7</v>
      </c>
      <c r="J856" s="5">
        <v>19.3</v>
      </c>
      <c r="K856" s="6">
        <v>1.1599999999999999</v>
      </c>
      <c r="L856" s="4">
        <v>4</v>
      </c>
      <c r="M856" s="4">
        <v>108</v>
      </c>
      <c r="N856" s="4">
        <v>72</v>
      </c>
      <c r="O856" s="4" t="s">
        <v>21</v>
      </c>
      <c r="P856" s="7" t="s">
        <v>19</v>
      </c>
    </row>
    <row r="857" spans="2:16" x14ac:dyDescent="0.45">
      <c r="B857" s="4">
        <v>856</v>
      </c>
      <c r="C857" s="4" t="s">
        <v>33</v>
      </c>
      <c r="D857" s="4" t="s">
        <v>16</v>
      </c>
      <c r="E857" s="4" t="s">
        <v>17</v>
      </c>
      <c r="F857" s="4" t="s">
        <v>24</v>
      </c>
      <c r="G857" s="4" t="s">
        <v>19</v>
      </c>
      <c r="H857" s="4" t="s">
        <v>28</v>
      </c>
      <c r="I857" s="4">
        <v>57</v>
      </c>
      <c r="J857" s="5">
        <v>91.3</v>
      </c>
      <c r="K857" s="6">
        <v>1.61</v>
      </c>
      <c r="L857" s="4">
        <v>2</v>
      </c>
      <c r="M857" s="4">
        <v>111</v>
      </c>
      <c r="N857" s="4">
        <v>104</v>
      </c>
      <c r="O857" s="4" t="s">
        <v>21</v>
      </c>
      <c r="P857" s="7" t="s">
        <v>19</v>
      </c>
    </row>
    <row r="858" spans="2:16" x14ac:dyDescent="0.45">
      <c r="B858" s="4">
        <v>857</v>
      </c>
      <c r="C858" s="4" t="s">
        <v>33</v>
      </c>
      <c r="D858" s="4" t="s">
        <v>16</v>
      </c>
      <c r="E858" s="4" t="s">
        <v>35</v>
      </c>
      <c r="F858" s="4" t="s">
        <v>24</v>
      </c>
      <c r="G858" s="4" t="s">
        <v>19</v>
      </c>
      <c r="H858" s="4" t="s">
        <v>34</v>
      </c>
      <c r="I858" s="4">
        <v>22</v>
      </c>
      <c r="J858" s="5">
        <v>59.3</v>
      </c>
      <c r="K858" s="6">
        <v>1.57</v>
      </c>
      <c r="L858" s="4">
        <v>2</v>
      </c>
      <c r="M858" s="4">
        <v>102</v>
      </c>
      <c r="N858" s="4">
        <v>71</v>
      </c>
      <c r="O858" s="4" t="s">
        <v>26</v>
      </c>
      <c r="P858" s="7" t="s">
        <v>19</v>
      </c>
    </row>
    <row r="859" spans="2:16" x14ac:dyDescent="0.45">
      <c r="B859" s="4">
        <v>858</v>
      </c>
      <c r="C859" s="4" t="s">
        <v>27</v>
      </c>
      <c r="D859" s="4" t="s">
        <v>16</v>
      </c>
      <c r="E859" s="4" t="s">
        <v>17</v>
      </c>
      <c r="F859" s="4" t="s">
        <v>18</v>
      </c>
      <c r="G859" s="4" t="s">
        <v>30</v>
      </c>
      <c r="H859" s="4" t="s">
        <v>36</v>
      </c>
      <c r="I859" s="4">
        <v>19</v>
      </c>
      <c r="J859" s="5">
        <v>50.8</v>
      </c>
      <c r="K859" s="6">
        <v>1.71</v>
      </c>
      <c r="L859" s="4">
        <v>4</v>
      </c>
      <c r="M859" s="4">
        <v>124</v>
      </c>
      <c r="N859" s="4">
        <v>70</v>
      </c>
      <c r="O859" s="4" t="s">
        <v>26</v>
      </c>
      <c r="P859" s="7" t="s">
        <v>19</v>
      </c>
    </row>
    <row r="860" spans="2:16" x14ac:dyDescent="0.45">
      <c r="B860" s="4">
        <v>859</v>
      </c>
      <c r="C860" s="4" t="s">
        <v>22</v>
      </c>
      <c r="D860" s="4" t="s">
        <v>16</v>
      </c>
      <c r="E860" s="4" t="s">
        <v>17</v>
      </c>
      <c r="F860" s="4" t="s">
        <v>24</v>
      </c>
      <c r="G860" s="4" t="s">
        <v>19</v>
      </c>
      <c r="H860" s="4" t="s">
        <v>20</v>
      </c>
      <c r="I860" s="4">
        <v>44</v>
      </c>
      <c r="J860" s="5">
        <v>81.7</v>
      </c>
      <c r="K860" s="6">
        <v>1.58</v>
      </c>
      <c r="L860" s="4">
        <v>2</v>
      </c>
      <c r="M860" s="4">
        <v>127</v>
      </c>
      <c r="N860" s="4">
        <v>94</v>
      </c>
      <c r="O860" s="4" t="s">
        <v>26</v>
      </c>
      <c r="P860" s="7" t="s">
        <v>30</v>
      </c>
    </row>
    <row r="861" spans="2:16" x14ac:dyDescent="0.45">
      <c r="B861" s="4">
        <v>860</v>
      </c>
      <c r="C861" s="4" t="s">
        <v>45</v>
      </c>
      <c r="D861" s="4" t="s">
        <v>16</v>
      </c>
      <c r="E861" s="4" t="s">
        <v>17</v>
      </c>
      <c r="F861" s="4" t="s">
        <v>28</v>
      </c>
      <c r="G861" s="4" t="s">
        <v>19</v>
      </c>
      <c r="H861" s="4" t="s">
        <v>28</v>
      </c>
      <c r="I861" s="4">
        <v>6</v>
      </c>
      <c r="J861" s="5">
        <v>22.5</v>
      </c>
      <c r="K861" s="6">
        <v>1.23</v>
      </c>
      <c r="L861" s="4">
        <v>0</v>
      </c>
      <c r="M861" s="4">
        <v>96</v>
      </c>
      <c r="N861" s="4">
        <v>73</v>
      </c>
      <c r="O861" s="4" t="s">
        <v>21</v>
      </c>
      <c r="P861" s="7" t="s">
        <v>19</v>
      </c>
    </row>
    <row r="862" spans="2:16" x14ac:dyDescent="0.45">
      <c r="B862" s="4">
        <v>861</v>
      </c>
      <c r="C862" s="4" t="s">
        <v>39</v>
      </c>
      <c r="D862" s="4" t="s">
        <v>16</v>
      </c>
      <c r="E862" s="4" t="s">
        <v>17</v>
      </c>
      <c r="F862" s="4" t="s">
        <v>28</v>
      </c>
      <c r="G862" s="4" t="s">
        <v>19</v>
      </c>
      <c r="H862" s="4" t="s">
        <v>32</v>
      </c>
      <c r="I862" s="4">
        <v>35</v>
      </c>
      <c r="J862" s="5">
        <v>60.1</v>
      </c>
      <c r="K862" s="6">
        <v>1.63</v>
      </c>
      <c r="L862" s="4">
        <v>5</v>
      </c>
      <c r="M862" s="4">
        <v>118</v>
      </c>
      <c r="N862" s="4">
        <v>124</v>
      </c>
      <c r="O862" s="4" t="s">
        <v>26</v>
      </c>
      <c r="P862" s="7" t="s">
        <v>19</v>
      </c>
    </row>
    <row r="863" spans="2:16" x14ac:dyDescent="0.45">
      <c r="B863" s="4">
        <v>862</v>
      </c>
      <c r="C863" s="4" t="s">
        <v>41</v>
      </c>
      <c r="D863" s="4" t="s">
        <v>16</v>
      </c>
      <c r="E863" s="4" t="s">
        <v>35</v>
      </c>
      <c r="F863" s="4" t="s">
        <v>28</v>
      </c>
      <c r="G863" s="4" t="s">
        <v>19</v>
      </c>
      <c r="H863" s="4" t="s">
        <v>38</v>
      </c>
      <c r="I863" s="4">
        <v>18</v>
      </c>
      <c r="J863" s="5">
        <v>94.8</v>
      </c>
      <c r="K863" s="6">
        <v>1.87</v>
      </c>
      <c r="L863" s="4">
        <v>3</v>
      </c>
      <c r="M863" s="4">
        <v>104</v>
      </c>
      <c r="N863" s="4">
        <v>80</v>
      </c>
      <c r="O863" s="4" t="s">
        <v>26</v>
      </c>
      <c r="P863" s="7" t="s">
        <v>19</v>
      </c>
    </row>
    <row r="864" spans="2:16" x14ac:dyDescent="0.45">
      <c r="B864" s="4">
        <v>863</v>
      </c>
      <c r="C864" s="4" t="s">
        <v>43</v>
      </c>
      <c r="D864" s="4" t="s">
        <v>16</v>
      </c>
      <c r="E864" s="4" t="s">
        <v>17</v>
      </c>
      <c r="F864" s="4" t="s">
        <v>18</v>
      </c>
      <c r="G864" s="4" t="s">
        <v>19</v>
      </c>
      <c r="H864" s="4" t="s">
        <v>32</v>
      </c>
      <c r="I864" s="4">
        <v>8</v>
      </c>
      <c r="J864" s="5">
        <v>31.6</v>
      </c>
      <c r="K864" s="6">
        <v>1.36</v>
      </c>
      <c r="L864" s="4">
        <v>5</v>
      </c>
      <c r="M864" s="4">
        <v>105</v>
      </c>
      <c r="N864" s="4">
        <v>144</v>
      </c>
      <c r="O864" s="4" t="s">
        <v>26</v>
      </c>
      <c r="P864" s="7" t="s">
        <v>19</v>
      </c>
    </row>
    <row r="865" spans="2:16" x14ac:dyDescent="0.45">
      <c r="B865" s="4">
        <v>864</v>
      </c>
      <c r="C865" s="4" t="s">
        <v>31</v>
      </c>
      <c r="D865" s="4" t="s">
        <v>23</v>
      </c>
      <c r="E865" s="4" t="s">
        <v>17</v>
      </c>
      <c r="F865" s="4" t="s">
        <v>24</v>
      </c>
      <c r="G865" s="4" t="s">
        <v>19</v>
      </c>
      <c r="H865" s="4" t="s">
        <v>34</v>
      </c>
      <c r="I865" s="4">
        <v>58</v>
      </c>
      <c r="J865" s="5">
        <v>55.7</v>
      </c>
      <c r="K865" s="6">
        <v>1.54</v>
      </c>
      <c r="L865" s="4">
        <v>8</v>
      </c>
      <c r="M865" s="4">
        <v>130</v>
      </c>
      <c r="N865" s="4">
        <v>87</v>
      </c>
      <c r="O865" s="4" t="s">
        <v>21</v>
      </c>
      <c r="P865" s="7" t="s">
        <v>19</v>
      </c>
    </row>
    <row r="866" spans="2:16" x14ac:dyDescent="0.45">
      <c r="B866" s="4">
        <v>865</v>
      </c>
      <c r="C866" s="4" t="s">
        <v>39</v>
      </c>
      <c r="D866" s="4" t="s">
        <v>23</v>
      </c>
      <c r="E866" s="4" t="s">
        <v>44</v>
      </c>
      <c r="F866" s="4" t="s">
        <v>24</v>
      </c>
      <c r="G866" s="4" t="s">
        <v>19</v>
      </c>
      <c r="H866" s="4" t="s">
        <v>20</v>
      </c>
      <c r="I866" s="4">
        <v>17</v>
      </c>
      <c r="J866" s="5">
        <v>45.5</v>
      </c>
      <c r="K866" s="6">
        <v>1.7</v>
      </c>
      <c r="L866" s="4">
        <v>4</v>
      </c>
      <c r="M866" s="4">
        <v>99</v>
      </c>
      <c r="N866" s="4">
        <v>96</v>
      </c>
      <c r="O866" s="4" t="s">
        <v>26</v>
      </c>
      <c r="P866" s="7" t="s">
        <v>19</v>
      </c>
    </row>
    <row r="867" spans="2:16" x14ac:dyDescent="0.45">
      <c r="B867" s="4">
        <v>866</v>
      </c>
      <c r="C867" s="4" t="s">
        <v>27</v>
      </c>
      <c r="D867" s="4" t="s">
        <v>16</v>
      </c>
      <c r="E867" s="4" t="s">
        <v>17</v>
      </c>
      <c r="F867" s="4" t="s">
        <v>24</v>
      </c>
      <c r="G867" s="4" t="s">
        <v>19</v>
      </c>
      <c r="H867" s="4" t="s">
        <v>28</v>
      </c>
      <c r="I867" s="4">
        <v>4</v>
      </c>
      <c r="J867" s="5">
        <v>6.7</v>
      </c>
      <c r="K867" s="6">
        <v>0.99</v>
      </c>
      <c r="L867" s="4">
        <v>6</v>
      </c>
      <c r="M867" s="4">
        <v>104</v>
      </c>
      <c r="N867" s="4">
        <v>78</v>
      </c>
      <c r="O867" s="4" t="s">
        <v>21</v>
      </c>
      <c r="P867" s="7" t="s">
        <v>19</v>
      </c>
    </row>
    <row r="868" spans="2:16" x14ac:dyDescent="0.45">
      <c r="B868" s="4">
        <v>867</v>
      </c>
      <c r="C868" s="4" t="s">
        <v>39</v>
      </c>
      <c r="D868" s="4" t="s">
        <v>16</v>
      </c>
      <c r="E868" s="4" t="s">
        <v>17</v>
      </c>
      <c r="F868" s="4" t="s">
        <v>24</v>
      </c>
      <c r="G868" s="4" t="s">
        <v>30</v>
      </c>
      <c r="H868" s="4" t="s">
        <v>38</v>
      </c>
      <c r="I868" s="4">
        <v>26</v>
      </c>
      <c r="J868" s="5">
        <v>82.7</v>
      </c>
      <c r="K868" s="6">
        <v>1.69</v>
      </c>
      <c r="L868" s="4">
        <v>1</v>
      </c>
      <c r="M868" s="4">
        <v>107</v>
      </c>
      <c r="N868" s="4">
        <v>76</v>
      </c>
      <c r="O868" s="4" t="s">
        <v>26</v>
      </c>
      <c r="P868" s="7" t="s">
        <v>19</v>
      </c>
    </row>
    <row r="869" spans="2:16" x14ac:dyDescent="0.45">
      <c r="B869" s="4">
        <v>868</v>
      </c>
      <c r="C869" s="4" t="s">
        <v>29</v>
      </c>
      <c r="D869" s="4" t="s">
        <v>16</v>
      </c>
      <c r="E869" s="4" t="s">
        <v>17</v>
      </c>
      <c r="F869" s="4" t="s">
        <v>24</v>
      </c>
      <c r="G869" s="4" t="s">
        <v>19</v>
      </c>
      <c r="H869" s="4" t="s">
        <v>20</v>
      </c>
      <c r="I869" s="4">
        <v>4</v>
      </c>
      <c r="J869" s="5">
        <v>17.100000000000001</v>
      </c>
      <c r="K869" s="6">
        <v>0.74</v>
      </c>
      <c r="L869" s="4">
        <v>4</v>
      </c>
      <c r="M869" s="4">
        <v>111</v>
      </c>
      <c r="N869" s="4">
        <v>86</v>
      </c>
      <c r="O869" s="4" t="s">
        <v>26</v>
      </c>
      <c r="P869" s="7" t="s">
        <v>19</v>
      </c>
    </row>
    <row r="870" spans="2:16" x14ac:dyDescent="0.45">
      <c r="B870" s="4">
        <v>869</v>
      </c>
      <c r="C870" s="4" t="s">
        <v>29</v>
      </c>
      <c r="D870" s="4" t="s">
        <v>16</v>
      </c>
      <c r="E870" s="4" t="s">
        <v>37</v>
      </c>
      <c r="F870" s="4" t="s">
        <v>24</v>
      </c>
      <c r="G870" s="4" t="s">
        <v>19</v>
      </c>
      <c r="H870" s="4" t="s">
        <v>28</v>
      </c>
      <c r="I870" s="4">
        <v>38</v>
      </c>
      <c r="J870" s="5">
        <v>52.5</v>
      </c>
      <c r="K870" s="6">
        <v>1.79</v>
      </c>
      <c r="L870" s="4">
        <v>2</v>
      </c>
      <c r="M870" s="4">
        <v>130</v>
      </c>
      <c r="N870" s="4">
        <v>97</v>
      </c>
      <c r="O870" s="4" t="s">
        <v>26</v>
      </c>
      <c r="P870" s="7" t="s">
        <v>30</v>
      </c>
    </row>
    <row r="871" spans="2:16" x14ac:dyDescent="0.45">
      <c r="B871" s="4">
        <v>870</v>
      </c>
      <c r="C871" s="4" t="s">
        <v>39</v>
      </c>
      <c r="D871" s="4" t="s">
        <v>23</v>
      </c>
      <c r="E871" s="4" t="s">
        <v>17</v>
      </c>
      <c r="F871" s="4" t="s">
        <v>24</v>
      </c>
      <c r="G871" s="4" t="s">
        <v>30</v>
      </c>
      <c r="H871" s="4" t="s">
        <v>28</v>
      </c>
      <c r="I871" s="4">
        <v>12</v>
      </c>
      <c r="J871" s="5">
        <v>53.9</v>
      </c>
      <c r="K871" s="6">
        <v>1.47</v>
      </c>
      <c r="L871" s="4">
        <v>4</v>
      </c>
      <c r="M871" s="4">
        <v>98</v>
      </c>
      <c r="N871" s="4">
        <v>96</v>
      </c>
      <c r="O871" s="4" t="s">
        <v>21</v>
      </c>
      <c r="P871" s="7" t="s">
        <v>19</v>
      </c>
    </row>
    <row r="872" spans="2:16" x14ac:dyDescent="0.45">
      <c r="B872" s="4">
        <v>871</v>
      </c>
      <c r="C872" s="4" t="s">
        <v>22</v>
      </c>
      <c r="D872" s="4" t="s">
        <v>16</v>
      </c>
      <c r="E872" s="4" t="s">
        <v>35</v>
      </c>
      <c r="F872" s="4" t="s">
        <v>18</v>
      </c>
      <c r="G872" s="4" t="s">
        <v>19</v>
      </c>
      <c r="H872" s="4" t="s">
        <v>36</v>
      </c>
      <c r="I872" s="4">
        <v>9</v>
      </c>
      <c r="J872" s="5">
        <v>25.6</v>
      </c>
      <c r="K872" s="6">
        <v>1.1200000000000001</v>
      </c>
      <c r="L872" s="4">
        <v>1</v>
      </c>
      <c r="M872" s="4">
        <v>111</v>
      </c>
      <c r="N872" s="4">
        <v>95</v>
      </c>
      <c r="O872" s="4" t="s">
        <v>26</v>
      </c>
      <c r="P872" s="7" t="s">
        <v>19</v>
      </c>
    </row>
    <row r="873" spans="2:16" x14ac:dyDescent="0.45">
      <c r="B873" s="4">
        <v>872</v>
      </c>
      <c r="C873" s="4" t="s">
        <v>29</v>
      </c>
      <c r="D873" s="4" t="s">
        <v>23</v>
      </c>
      <c r="E873" s="4" t="s">
        <v>37</v>
      </c>
      <c r="F873" s="4" t="s">
        <v>18</v>
      </c>
      <c r="G873" s="4" t="s">
        <v>19</v>
      </c>
      <c r="H873" s="4" t="s">
        <v>28</v>
      </c>
      <c r="I873" s="4">
        <v>4</v>
      </c>
      <c r="J873" s="5">
        <v>6.1</v>
      </c>
      <c r="K873" s="6">
        <v>0.95</v>
      </c>
      <c r="L873" s="4">
        <v>1</v>
      </c>
      <c r="M873" s="4">
        <v>120</v>
      </c>
      <c r="N873" s="4">
        <v>97</v>
      </c>
      <c r="O873" s="4" t="s">
        <v>26</v>
      </c>
      <c r="P873" s="7" t="s">
        <v>30</v>
      </c>
    </row>
    <row r="874" spans="2:16" x14ac:dyDescent="0.45">
      <c r="B874" s="4">
        <v>873</v>
      </c>
      <c r="C874" s="4" t="s">
        <v>33</v>
      </c>
      <c r="D874" s="4" t="s">
        <v>23</v>
      </c>
      <c r="E874" s="4" t="s">
        <v>35</v>
      </c>
      <c r="F874" s="4" t="s">
        <v>42</v>
      </c>
      <c r="G874" s="4" t="s">
        <v>19</v>
      </c>
      <c r="H874" s="4" t="s">
        <v>34</v>
      </c>
      <c r="I874" s="4">
        <v>38</v>
      </c>
      <c r="J874" s="5">
        <v>74.400000000000006</v>
      </c>
      <c r="K874" s="6">
        <v>1.54</v>
      </c>
      <c r="L874" s="4">
        <v>9</v>
      </c>
      <c r="M874" s="4">
        <v>113</v>
      </c>
      <c r="N874" s="4">
        <v>100</v>
      </c>
      <c r="O874" s="4" t="s">
        <v>21</v>
      </c>
      <c r="P874" s="7" t="s">
        <v>19</v>
      </c>
    </row>
    <row r="875" spans="2:16" x14ac:dyDescent="0.45">
      <c r="B875" s="4">
        <v>874</v>
      </c>
      <c r="C875" s="4" t="s">
        <v>22</v>
      </c>
      <c r="D875" s="4" t="s">
        <v>23</v>
      </c>
      <c r="E875" s="4" t="s">
        <v>37</v>
      </c>
      <c r="F875" s="4" t="s">
        <v>28</v>
      </c>
      <c r="G875" s="4" t="s">
        <v>19</v>
      </c>
      <c r="H875" s="4" t="s">
        <v>28</v>
      </c>
      <c r="I875" s="4">
        <v>28</v>
      </c>
      <c r="J875" s="5">
        <v>58.8</v>
      </c>
      <c r="K875" s="6">
        <v>1.84</v>
      </c>
      <c r="L875" s="4">
        <v>0</v>
      </c>
      <c r="M875" s="4">
        <v>113</v>
      </c>
      <c r="N875" s="4">
        <v>86</v>
      </c>
      <c r="O875" s="4" t="s">
        <v>26</v>
      </c>
      <c r="P875" s="7" t="s">
        <v>19</v>
      </c>
    </row>
    <row r="876" spans="2:16" x14ac:dyDescent="0.45">
      <c r="B876" s="4">
        <v>875</v>
      </c>
      <c r="C876" s="4" t="s">
        <v>33</v>
      </c>
      <c r="D876" s="4" t="s">
        <v>23</v>
      </c>
      <c r="E876" s="4" t="s">
        <v>35</v>
      </c>
      <c r="F876" s="4" t="s">
        <v>24</v>
      </c>
      <c r="G876" s="4" t="s">
        <v>19</v>
      </c>
      <c r="H876" s="4" t="s">
        <v>36</v>
      </c>
      <c r="I876" s="4">
        <v>61</v>
      </c>
      <c r="J876" s="5">
        <v>58.9</v>
      </c>
      <c r="K876" s="6">
        <v>1.55</v>
      </c>
      <c r="L876" s="4">
        <v>2</v>
      </c>
      <c r="M876" s="4">
        <v>148</v>
      </c>
      <c r="N876" s="4">
        <v>90</v>
      </c>
      <c r="O876" s="4" t="s">
        <v>26</v>
      </c>
      <c r="P876" s="7" t="s">
        <v>19</v>
      </c>
    </row>
    <row r="877" spans="2:16" x14ac:dyDescent="0.45">
      <c r="B877" s="4">
        <v>876</v>
      </c>
      <c r="C877" s="4" t="s">
        <v>22</v>
      </c>
      <c r="D877" s="4" t="s">
        <v>23</v>
      </c>
      <c r="E877" s="4" t="s">
        <v>35</v>
      </c>
      <c r="F877" s="4" t="s">
        <v>42</v>
      </c>
      <c r="G877" s="4" t="s">
        <v>19</v>
      </c>
      <c r="H877" s="4" t="s">
        <v>28</v>
      </c>
      <c r="I877" s="4">
        <v>57</v>
      </c>
      <c r="J877" s="5">
        <v>46.9</v>
      </c>
      <c r="K877" s="6">
        <v>1.49</v>
      </c>
      <c r="L877" s="4">
        <v>3</v>
      </c>
      <c r="M877" s="4">
        <v>124</v>
      </c>
      <c r="N877" s="4">
        <v>82</v>
      </c>
      <c r="O877" s="4" t="s">
        <v>26</v>
      </c>
      <c r="P877" s="7" t="s">
        <v>30</v>
      </c>
    </row>
    <row r="878" spans="2:16" x14ac:dyDescent="0.45">
      <c r="B878" s="4">
        <v>877</v>
      </c>
      <c r="C878" s="4" t="s">
        <v>39</v>
      </c>
      <c r="D878" s="4" t="s">
        <v>23</v>
      </c>
      <c r="E878" s="4" t="s">
        <v>35</v>
      </c>
      <c r="F878" s="4" t="s">
        <v>24</v>
      </c>
      <c r="G878" s="4" t="s">
        <v>19</v>
      </c>
      <c r="H878" s="4" t="s">
        <v>38</v>
      </c>
      <c r="I878" s="4">
        <v>29</v>
      </c>
      <c r="J878" s="5">
        <v>78.3</v>
      </c>
      <c r="K878" s="6">
        <v>1.6</v>
      </c>
      <c r="L878" s="4">
        <v>3</v>
      </c>
      <c r="M878" s="4">
        <v>100</v>
      </c>
      <c r="N878" s="4">
        <v>102</v>
      </c>
      <c r="O878" s="4" t="s">
        <v>26</v>
      </c>
      <c r="P878" s="7" t="s">
        <v>19</v>
      </c>
    </row>
    <row r="879" spans="2:16" x14ac:dyDescent="0.45">
      <c r="B879" s="4">
        <v>878</v>
      </c>
      <c r="C879" s="4" t="s">
        <v>45</v>
      </c>
      <c r="D879" s="4" t="s">
        <v>23</v>
      </c>
      <c r="E879" s="4" t="s">
        <v>17</v>
      </c>
      <c r="F879" s="4" t="s">
        <v>28</v>
      </c>
      <c r="G879" s="4" t="s">
        <v>19</v>
      </c>
      <c r="H879" s="4" t="s">
        <v>36</v>
      </c>
      <c r="I879" s="4">
        <v>17</v>
      </c>
      <c r="J879" s="5">
        <v>53.6</v>
      </c>
      <c r="K879" s="6">
        <v>1.74</v>
      </c>
      <c r="L879" s="4">
        <v>2</v>
      </c>
      <c r="M879" s="4">
        <v>119</v>
      </c>
      <c r="N879" s="4">
        <v>71</v>
      </c>
      <c r="O879" s="4" t="s">
        <v>21</v>
      </c>
      <c r="P879" s="7" t="s">
        <v>19</v>
      </c>
    </row>
    <row r="880" spans="2:16" x14ac:dyDescent="0.45">
      <c r="B880" s="4">
        <v>879</v>
      </c>
      <c r="C880" s="4" t="s">
        <v>15</v>
      </c>
      <c r="D880" s="4" t="s">
        <v>23</v>
      </c>
      <c r="E880" s="4" t="s">
        <v>37</v>
      </c>
      <c r="F880" s="4" t="s">
        <v>18</v>
      </c>
      <c r="G880" s="4" t="s">
        <v>30</v>
      </c>
      <c r="H880" s="4" t="s">
        <v>28</v>
      </c>
      <c r="I880" s="4">
        <v>0</v>
      </c>
      <c r="J880" s="5">
        <v>12.7</v>
      </c>
      <c r="K880" s="6">
        <v>0.61</v>
      </c>
      <c r="L880" s="4">
        <v>0</v>
      </c>
      <c r="M880" s="4">
        <v>113</v>
      </c>
      <c r="N880" s="4">
        <v>78</v>
      </c>
      <c r="O880" s="4" t="s">
        <v>26</v>
      </c>
      <c r="P880" s="7" t="s">
        <v>19</v>
      </c>
    </row>
    <row r="881" spans="2:16" x14ac:dyDescent="0.45">
      <c r="B881" s="4">
        <v>880</v>
      </c>
      <c r="C881" s="4" t="s">
        <v>27</v>
      </c>
      <c r="D881" s="4" t="s">
        <v>16</v>
      </c>
      <c r="E881" s="4" t="s">
        <v>35</v>
      </c>
      <c r="F881" s="4" t="s">
        <v>28</v>
      </c>
      <c r="G881" s="4" t="s">
        <v>19</v>
      </c>
      <c r="H881" s="4" t="s">
        <v>36</v>
      </c>
      <c r="I881" s="4">
        <v>1</v>
      </c>
      <c r="J881" s="5">
        <v>16.100000000000001</v>
      </c>
      <c r="K881" s="6">
        <v>0.8</v>
      </c>
      <c r="L881" s="4">
        <v>5</v>
      </c>
      <c r="M881" s="4">
        <v>113</v>
      </c>
      <c r="N881" s="4">
        <v>78</v>
      </c>
      <c r="O881" s="4" t="s">
        <v>26</v>
      </c>
      <c r="P881" s="7" t="s">
        <v>19</v>
      </c>
    </row>
    <row r="882" spans="2:16" x14ac:dyDescent="0.45">
      <c r="B882" s="4">
        <v>881</v>
      </c>
      <c r="C882" s="4" t="s">
        <v>41</v>
      </c>
      <c r="D882" s="4" t="s">
        <v>23</v>
      </c>
      <c r="E882" s="4" t="s">
        <v>17</v>
      </c>
      <c r="F882" s="4" t="s">
        <v>24</v>
      </c>
      <c r="G882" s="4" t="s">
        <v>19</v>
      </c>
      <c r="H882" s="4" t="s">
        <v>36</v>
      </c>
      <c r="I882" s="4">
        <v>30</v>
      </c>
      <c r="J882" s="5">
        <v>48.2</v>
      </c>
      <c r="K882" s="6">
        <v>1.79</v>
      </c>
      <c r="L882" s="4">
        <v>7</v>
      </c>
      <c r="M882" s="4">
        <v>143</v>
      </c>
      <c r="N882" s="4">
        <v>96</v>
      </c>
      <c r="O882" s="4" t="s">
        <v>21</v>
      </c>
      <c r="P882" s="7" t="s">
        <v>30</v>
      </c>
    </row>
    <row r="883" spans="2:16" x14ac:dyDescent="0.45">
      <c r="B883" s="4">
        <v>882</v>
      </c>
      <c r="C883" s="4" t="s">
        <v>31</v>
      </c>
      <c r="D883" s="4" t="s">
        <v>16</v>
      </c>
      <c r="E883" s="4" t="s">
        <v>44</v>
      </c>
      <c r="F883" s="4" t="s">
        <v>28</v>
      </c>
      <c r="G883" s="4" t="s">
        <v>19</v>
      </c>
      <c r="H883" s="4" t="s">
        <v>25</v>
      </c>
      <c r="I883" s="4">
        <v>6</v>
      </c>
      <c r="J883" s="5">
        <v>37.9</v>
      </c>
      <c r="K883" s="6">
        <v>1.1299999999999999</v>
      </c>
      <c r="L883" s="4">
        <v>2</v>
      </c>
      <c r="M883" s="4">
        <v>115</v>
      </c>
      <c r="N883" s="4">
        <v>90</v>
      </c>
      <c r="O883" s="4" t="s">
        <v>21</v>
      </c>
      <c r="P883" s="7" t="s">
        <v>19</v>
      </c>
    </row>
    <row r="884" spans="2:16" x14ac:dyDescent="0.45">
      <c r="B884" s="4">
        <v>883</v>
      </c>
      <c r="C884" s="4" t="s">
        <v>22</v>
      </c>
      <c r="D884" s="4" t="s">
        <v>23</v>
      </c>
      <c r="E884" s="4" t="s">
        <v>37</v>
      </c>
      <c r="F884" s="4" t="s">
        <v>24</v>
      </c>
      <c r="G884" s="4" t="s">
        <v>19</v>
      </c>
      <c r="H884" s="4" t="s">
        <v>20</v>
      </c>
      <c r="I884" s="4">
        <v>16</v>
      </c>
      <c r="J884" s="5">
        <v>64.900000000000006</v>
      </c>
      <c r="K884" s="6">
        <v>1.75</v>
      </c>
      <c r="L884" s="4">
        <v>1</v>
      </c>
      <c r="M884" s="4">
        <v>116</v>
      </c>
      <c r="N884" s="4">
        <v>98</v>
      </c>
      <c r="O884" s="4" t="s">
        <v>21</v>
      </c>
      <c r="P884" s="7" t="s">
        <v>30</v>
      </c>
    </row>
    <row r="885" spans="2:16" x14ac:dyDescent="0.45">
      <c r="B885" s="4">
        <v>884</v>
      </c>
      <c r="C885" s="4" t="s">
        <v>43</v>
      </c>
      <c r="D885" s="4" t="s">
        <v>16</v>
      </c>
      <c r="E885" s="4" t="s">
        <v>35</v>
      </c>
      <c r="F885" s="4" t="s">
        <v>18</v>
      </c>
      <c r="G885" s="4" t="s">
        <v>19</v>
      </c>
      <c r="H885" s="4" t="s">
        <v>20</v>
      </c>
      <c r="I885" s="4">
        <v>1</v>
      </c>
      <c r="J885" s="5">
        <v>9.3000000000000007</v>
      </c>
      <c r="K885" s="6">
        <v>0.68</v>
      </c>
      <c r="L885" s="4">
        <v>0</v>
      </c>
      <c r="M885" s="4">
        <v>97</v>
      </c>
      <c r="N885" s="4">
        <v>88</v>
      </c>
      <c r="O885" s="4" t="s">
        <v>26</v>
      </c>
      <c r="P885" s="7" t="s">
        <v>19</v>
      </c>
    </row>
    <row r="886" spans="2:16" x14ac:dyDescent="0.45">
      <c r="B886" s="4">
        <v>885</v>
      </c>
      <c r="C886" s="4" t="s">
        <v>22</v>
      </c>
      <c r="D886" s="4" t="s">
        <v>16</v>
      </c>
      <c r="E886" s="4" t="s">
        <v>17</v>
      </c>
      <c r="F886" s="4" t="s">
        <v>24</v>
      </c>
      <c r="G886" s="4" t="s">
        <v>30</v>
      </c>
      <c r="H886" s="4" t="s">
        <v>36</v>
      </c>
      <c r="I886" s="4">
        <v>31</v>
      </c>
      <c r="J886" s="5">
        <v>76.2</v>
      </c>
      <c r="K886" s="6">
        <v>1.74</v>
      </c>
      <c r="L886" s="4">
        <v>3</v>
      </c>
      <c r="M886" s="4">
        <v>141</v>
      </c>
      <c r="N886" s="4">
        <v>77</v>
      </c>
      <c r="O886" s="4" t="s">
        <v>21</v>
      </c>
      <c r="P886" s="7" t="s">
        <v>19</v>
      </c>
    </row>
    <row r="887" spans="2:16" x14ac:dyDescent="0.45">
      <c r="B887" s="4">
        <v>886</v>
      </c>
      <c r="C887" s="4" t="s">
        <v>39</v>
      </c>
      <c r="D887" s="4" t="s">
        <v>16</v>
      </c>
      <c r="E887" s="4" t="s">
        <v>17</v>
      </c>
      <c r="F887" s="4" t="s">
        <v>42</v>
      </c>
      <c r="G887" s="4" t="s">
        <v>19</v>
      </c>
      <c r="H887" s="4" t="s">
        <v>20</v>
      </c>
      <c r="I887" s="4">
        <v>37</v>
      </c>
      <c r="J887" s="5">
        <v>89.3</v>
      </c>
      <c r="K887" s="6">
        <v>1.68</v>
      </c>
      <c r="L887" s="4">
        <v>1</v>
      </c>
      <c r="M887" s="4">
        <v>125</v>
      </c>
      <c r="N887" s="4">
        <v>94</v>
      </c>
      <c r="O887" s="4" t="s">
        <v>26</v>
      </c>
      <c r="P887" s="7" t="s">
        <v>19</v>
      </c>
    </row>
    <row r="888" spans="2:16" x14ac:dyDescent="0.45">
      <c r="B888" s="4">
        <v>887</v>
      </c>
      <c r="C888" s="4" t="s">
        <v>27</v>
      </c>
      <c r="D888" s="4" t="s">
        <v>16</v>
      </c>
      <c r="E888" s="4" t="s">
        <v>17</v>
      </c>
      <c r="F888" s="4" t="s">
        <v>24</v>
      </c>
      <c r="G888" s="4" t="s">
        <v>19</v>
      </c>
      <c r="H888" s="4" t="s">
        <v>34</v>
      </c>
      <c r="I888" s="4">
        <v>0</v>
      </c>
      <c r="J888" s="5">
        <v>6.7</v>
      </c>
      <c r="K888" s="6">
        <v>0.67</v>
      </c>
      <c r="L888" s="4">
        <v>3</v>
      </c>
      <c r="M888" s="4">
        <v>105</v>
      </c>
      <c r="N888" s="4">
        <v>87</v>
      </c>
      <c r="O888" s="4" t="s">
        <v>21</v>
      </c>
      <c r="P888" s="7" t="s">
        <v>19</v>
      </c>
    </row>
    <row r="889" spans="2:16" x14ac:dyDescent="0.45">
      <c r="B889" s="4">
        <v>888</v>
      </c>
      <c r="C889" s="4" t="s">
        <v>22</v>
      </c>
      <c r="D889" s="4" t="s">
        <v>16</v>
      </c>
      <c r="E889" s="4" t="s">
        <v>17</v>
      </c>
      <c r="F889" s="4" t="s">
        <v>24</v>
      </c>
      <c r="G889" s="4" t="s">
        <v>19</v>
      </c>
      <c r="H889" s="4" t="s">
        <v>20</v>
      </c>
      <c r="I889" s="4">
        <v>71</v>
      </c>
      <c r="J889" s="5">
        <v>48.7</v>
      </c>
      <c r="K889" s="6">
        <v>1.83</v>
      </c>
      <c r="L889" s="4">
        <v>0</v>
      </c>
      <c r="M889" s="4">
        <v>129</v>
      </c>
      <c r="N889" s="4">
        <v>90</v>
      </c>
      <c r="O889" s="4" t="s">
        <v>21</v>
      </c>
      <c r="P889" s="7" t="s">
        <v>19</v>
      </c>
    </row>
    <row r="890" spans="2:16" x14ac:dyDescent="0.45">
      <c r="B890" s="4">
        <v>889</v>
      </c>
      <c r="C890" s="4" t="s">
        <v>22</v>
      </c>
      <c r="D890" s="4" t="s">
        <v>23</v>
      </c>
      <c r="E890" s="4" t="s">
        <v>35</v>
      </c>
      <c r="F890" s="4" t="s">
        <v>24</v>
      </c>
      <c r="G890" s="4" t="s">
        <v>19</v>
      </c>
      <c r="H890" s="4" t="s">
        <v>20</v>
      </c>
      <c r="I890" s="4">
        <v>26</v>
      </c>
      <c r="J890" s="5">
        <v>58.2</v>
      </c>
      <c r="K890" s="6">
        <v>1.79</v>
      </c>
      <c r="L890" s="4">
        <v>3</v>
      </c>
      <c r="M890" s="4">
        <v>122</v>
      </c>
      <c r="N890" s="4">
        <v>99</v>
      </c>
      <c r="O890" s="4" t="s">
        <v>26</v>
      </c>
      <c r="P890" s="7" t="s">
        <v>19</v>
      </c>
    </row>
    <row r="891" spans="2:16" x14ac:dyDescent="0.45">
      <c r="B891" s="4">
        <v>890</v>
      </c>
      <c r="C891" s="4" t="s">
        <v>43</v>
      </c>
      <c r="D891" s="4" t="s">
        <v>16</v>
      </c>
      <c r="E891" s="4" t="s">
        <v>35</v>
      </c>
      <c r="F891" s="4" t="s">
        <v>24</v>
      </c>
      <c r="G891" s="4" t="s">
        <v>30</v>
      </c>
      <c r="H891" s="4" t="s">
        <v>28</v>
      </c>
      <c r="I891" s="4">
        <v>14</v>
      </c>
      <c r="J891" s="5">
        <v>57.8</v>
      </c>
      <c r="K891" s="6">
        <v>1.52</v>
      </c>
      <c r="L891" s="4">
        <v>4</v>
      </c>
      <c r="M891" s="4">
        <v>113</v>
      </c>
      <c r="N891" s="4">
        <v>102</v>
      </c>
      <c r="O891" s="4" t="s">
        <v>21</v>
      </c>
      <c r="P891" s="7" t="s">
        <v>19</v>
      </c>
    </row>
    <row r="892" spans="2:16" x14ac:dyDescent="0.45">
      <c r="B892" s="4">
        <v>891</v>
      </c>
      <c r="C892" s="4" t="s">
        <v>29</v>
      </c>
      <c r="D892" s="4" t="s">
        <v>16</v>
      </c>
      <c r="E892" s="4" t="s">
        <v>37</v>
      </c>
      <c r="F892" s="4" t="s">
        <v>18</v>
      </c>
      <c r="G892" s="4" t="s">
        <v>30</v>
      </c>
      <c r="H892" s="4" t="s">
        <v>20</v>
      </c>
      <c r="I892" s="4">
        <v>51</v>
      </c>
      <c r="J892" s="5">
        <v>66.099999999999994</v>
      </c>
      <c r="K892" s="6">
        <v>1.7</v>
      </c>
      <c r="L892" s="4">
        <v>2</v>
      </c>
      <c r="M892" s="4">
        <v>114</v>
      </c>
      <c r="N892" s="4">
        <v>82</v>
      </c>
      <c r="O892" s="4" t="s">
        <v>26</v>
      </c>
      <c r="P892" s="7" t="s">
        <v>19</v>
      </c>
    </row>
    <row r="893" spans="2:16" x14ac:dyDescent="0.45">
      <c r="B893" s="4">
        <v>892</v>
      </c>
      <c r="C893" s="4" t="s">
        <v>29</v>
      </c>
      <c r="D893" s="4" t="s">
        <v>23</v>
      </c>
      <c r="E893" s="4" t="s">
        <v>35</v>
      </c>
      <c r="F893" s="4" t="s">
        <v>42</v>
      </c>
      <c r="G893" s="4" t="s">
        <v>19</v>
      </c>
      <c r="H893" s="4" t="s">
        <v>36</v>
      </c>
      <c r="I893" s="4">
        <v>17</v>
      </c>
      <c r="J893" s="5">
        <v>46.3</v>
      </c>
      <c r="K893" s="6">
        <v>1.66</v>
      </c>
      <c r="L893" s="4">
        <v>1</v>
      </c>
      <c r="M893" s="4">
        <v>139</v>
      </c>
      <c r="N893" s="4">
        <v>87</v>
      </c>
      <c r="O893" s="4" t="s">
        <v>26</v>
      </c>
      <c r="P893" s="7" t="s">
        <v>30</v>
      </c>
    </row>
    <row r="894" spans="2:16" x14ac:dyDescent="0.45">
      <c r="B894" s="4">
        <v>893</v>
      </c>
      <c r="C894" s="4" t="s">
        <v>41</v>
      </c>
      <c r="D894" s="4" t="s">
        <v>16</v>
      </c>
      <c r="E894" s="4" t="s">
        <v>17</v>
      </c>
      <c r="F894" s="4" t="s">
        <v>24</v>
      </c>
      <c r="G894" s="4" t="s">
        <v>30</v>
      </c>
      <c r="H894" s="4" t="s">
        <v>34</v>
      </c>
      <c r="I894" s="4">
        <v>2</v>
      </c>
      <c r="J894" s="5">
        <v>7.3</v>
      </c>
      <c r="K894" s="6">
        <v>0.66</v>
      </c>
      <c r="L894" s="4">
        <v>1</v>
      </c>
      <c r="M894" s="4">
        <v>95</v>
      </c>
      <c r="N894" s="4">
        <v>101</v>
      </c>
      <c r="O894" s="4" t="s">
        <v>26</v>
      </c>
      <c r="P894" s="7" t="s">
        <v>30</v>
      </c>
    </row>
    <row r="895" spans="2:16" x14ac:dyDescent="0.45">
      <c r="B895" s="4">
        <v>894</v>
      </c>
      <c r="C895" s="4" t="s">
        <v>40</v>
      </c>
      <c r="D895" s="4" t="s">
        <v>23</v>
      </c>
      <c r="E895" s="4" t="s">
        <v>17</v>
      </c>
      <c r="F895" s="4" t="s">
        <v>18</v>
      </c>
      <c r="G895" s="4" t="s">
        <v>19</v>
      </c>
      <c r="H895" s="4" t="s">
        <v>32</v>
      </c>
      <c r="I895" s="4">
        <v>74</v>
      </c>
      <c r="J895" s="5">
        <v>60</v>
      </c>
      <c r="K895" s="6">
        <v>1.74</v>
      </c>
      <c r="L895" s="4">
        <v>1</v>
      </c>
      <c r="M895" s="4">
        <v>135</v>
      </c>
      <c r="N895" s="4">
        <v>159</v>
      </c>
      <c r="O895" s="4" t="s">
        <v>26</v>
      </c>
      <c r="P895" s="7" t="s">
        <v>19</v>
      </c>
    </row>
    <row r="896" spans="2:16" x14ac:dyDescent="0.45">
      <c r="B896" s="4">
        <v>895</v>
      </c>
      <c r="C896" s="4" t="s">
        <v>40</v>
      </c>
      <c r="D896" s="4" t="s">
        <v>23</v>
      </c>
      <c r="E896" s="4" t="s">
        <v>35</v>
      </c>
      <c r="F896" s="4" t="s">
        <v>18</v>
      </c>
      <c r="G896" s="4" t="s">
        <v>30</v>
      </c>
      <c r="H896" s="4" t="s">
        <v>20</v>
      </c>
      <c r="I896" s="4">
        <v>17</v>
      </c>
      <c r="J896" s="5">
        <v>52.1</v>
      </c>
      <c r="K896" s="6">
        <v>1.66</v>
      </c>
      <c r="L896" s="4">
        <v>3</v>
      </c>
      <c r="M896" s="4">
        <v>105</v>
      </c>
      <c r="N896" s="4">
        <v>82</v>
      </c>
      <c r="O896" s="4" t="s">
        <v>26</v>
      </c>
      <c r="P896" s="7" t="s">
        <v>19</v>
      </c>
    </row>
    <row r="897" spans="2:16" x14ac:dyDescent="0.45">
      <c r="B897" s="4">
        <v>896</v>
      </c>
      <c r="C897" s="4" t="s">
        <v>41</v>
      </c>
      <c r="D897" s="4" t="s">
        <v>23</v>
      </c>
      <c r="E897" s="4" t="s">
        <v>35</v>
      </c>
      <c r="F897" s="4" t="s">
        <v>24</v>
      </c>
      <c r="G897" s="4" t="s">
        <v>19</v>
      </c>
      <c r="H897" s="4" t="s">
        <v>28</v>
      </c>
      <c r="I897" s="4">
        <v>66</v>
      </c>
      <c r="J897" s="5">
        <v>54.7</v>
      </c>
      <c r="K897" s="6">
        <v>1.89</v>
      </c>
      <c r="L897" s="4">
        <v>1</v>
      </c>
      <c r="M897" s="4">
        <v>115</v>
      </c>
      <c r="N897" s="4">
        <v>91</v>
      </c>
      <c r="O897" s="4" t="s">
        <v>21</v>
      </c>
      <c r="P897" s="7" t="s">
        <v>19</v>
      </c>
    </row>
    <row r="898" spans="2:16" x14ac:dyDescent="0.45">
      <c r="B898" s="4">
        <v>897</v>
      </c>
      <c r="C898" s="4" t="s">
        <v>29</v>
      </c>
      <c r="D898" s="4" t="s">
        <v>16</v>
      </c>
      <c r="E898" s="4" t="s">
        <v>35</v>
      </c>
      <c r="F898" s="4" t="s">
        <v>28</v>
      </c>
      <c r="G898" s="4" t="s">
        <v>19</v>
      </c>
      <c r="H898" s="4" t="s">
        <v>38</v>
      </c>
      <c r="I898" s="4">
        <v>7</v>
      </c>
      <c r="J898" s="5">
        <v>19.2</v>
      </c>
      <c r="K898" s="6">
        <v>1.2</v>
      </c>
      <c r="L898" s="4">
        <v>3</v>
      </c>
      <c r="M898" s="4">
        <v>106</v>
      </c>
      <c r="N898" s="4">
        <v>103</v>
      </c>
      <c r="O898" s="4" t="s">
        <v>26</v>
      </c>
      <c r="P898" s="7" t="s">
        <v>19</v>
      </c>
    </row>
    <row r="899" spans="2:16" x14ac:dyDescent="0.45">
      <c r="B899" s="4">
        <v>898</v>
      </c>
      <c r="C899" s="4" t="s">
        <v>43</v>
      </c>
      <c r="D899" s="4" t="s">
        <v>23</v>
      </c>
      <c r="E899" s="4" t="s">
        <v>35</v>
      </c>
      <c r="F899" s="4" t="s">
        <v>24</v>
      </c>
      <c r="G899" s="4" t="s">
        <v>19</v>
      </c>
      <c r="H899" s="4" t="s">
        <v>36</v>
      </c>
      <c r="I899" s="4">
        <v>5</v>
      </c>
      <c r="J899" s="5">
        <v>23.6</v>
      </c>
      <c r="K899" s="6">
        <v>1.1299999999999999</v>
      </c>
      <c r="L899" s="4">
        <v>9</v>
      </c>
      <c r="M899" s="4">
        <v>127</v>
      </c>
      <c r="N899" s="4">
        <v>103</v>
      </c>
      <c r="O899" s="4" t="s">
        <v>26</v>
      </c>
      <c r="P899" s="7" t="s">
        <v>19</v>
      </c>
    </row>
    <row r="900" spans="2:16" x14ac:dyDescent="0.45">
      <c r="B900" s="4">
        <v>899</v>
      </c>
      <c r="C900" s="4" t="s">
        <v>43</v>
      </c>
      <c r="D900" s="4" t="s">
        <v>23</v>
      </c>
      <c r="E900" s="4" t="s">
        <v>17</v>
      </c>
      <c r="F900" s="4" t="s">
        <v>18</v>
      </c>
      <c r="G900" s="4" t="s">
        <v>19</v>
      </c>
      <c r="H900" s="4" t="s">
        <v>20</v>
      </c>
      <c r="I900" s="4">
        <v>0</v>
      </c>
      <c r="J900" s="5">
        <v>13.8</v>
      </c>
      <c r="K900" s="6">
        <v>0.76</v>
      </c>
      <c r="L900" s="4">
        <v>1</v>
      </c>
      <c r="M900" s="4">
        <v>111</v>
      </c>
      <c r="N900" s="4">
        <v>77</v>
      </c>
      <c r="O900" s="4" t="s">
        <v>26</v>
      </c>
      <c r="P900" s="7" t="s">
        <v>19</v>
      </c>
    </row>
    <row r="901" spans="2:16" x14ac:dyDescent="0.45">
      <c r="B901" s="4">
        <v>900</v>
      </c>
      <c r="C901" s="4" t="s">
        <v>29</v>
      </c>
      <c r="D901" s="4" t="s">
        <v>23</v>
      </c>
      <c r="E901" s="4" t="s">
        <v>17</v>
      </c>
      <c r="F901" s="4" t="s">
        <v>42</v>
      </c>
      <c r="G901" s="4" t="s">
        <v>19</v>
      </c>
      <c r="H901" s="4" t="s">
        <v>28</v>
      </c>
      <c r="I901" s="4">
        <v>55</v>
      </c>
      <c r="J901" s="5">
        <v>91.5</v>
      </c>
      <c r="K901" s="6">
        <v>1.72</v>
      </c>
      <c r="L901" s="4">
        <v>10</v>
      </c>
      <c r="M901" s="4">
        <v>111</v>
      </c>
      <c r="N901" s="4">
        <v>84</v>
      </c>
      <c r="O901" s="4" t="s">
        <v>26</v>
      </c>
      <c r="P901" s="7" t="s">
        <v>19</v>
      </c>
    </row>
    <row r="902" spans="2:16" x14ac:dyDescent="0.45">
      <c r="B902" s="4">
        <v>901</v>
      </c>
      <c r="C902" s="4" t="s">
        <v>45</v>
      </c>
      <c r="D902" s="4" t="s">
        <v>23</v>
      </c>
      <c r="E902" s="4" t="s">
        <v>17</v>
      </c>
      <c r="F902" s="4" t="s">
        <v>24</v>
      </c>
      <c r="G902" s="4" t="s">
        <v>19</v>
      </c>
      <c r="H902" s="4" t="s">
        <v>36</v>
      </c>
      <c r="I902" s="4">
        <v>53</v>
      </c>
      <c r="J902" s="5">
        <v>93.5</v>
      </c>
      <c r="K902" s="6">
        <v>1.57</v>
      </c>
      <c r="L902" s="4">
        <v>1</v>
      </c>
      <c r="M902" s="4">
        <v>131</v>
      </c>
      <c r="N902" s="4">
        <v>91</v>
      </c>
      <c r="O902" s="4" t="s">
        <v>21</v>
      </c>
      <c r="P902" s="7" t="s">
        <v>19</v>
      </c>
    </row>
    <row r="903" spans="2:16" x14ac:dyDescent="0.45">
      <c r="B903" s="4">
        <v>902</v>
      </c>
      <c r="C903" s="4" t="s">
        <v>27</v>
      </c>
      <c r="D903" s="4" t="s">
        <v>16</v>
      </c>
      <c r="E903" s="4" t="s">
        <v>17</v>
      </c>
      <c r="F903" s="4" t="s">
        <v>24</v>
      </c>
      <c r="G903" s="4" t="s">
        <v>19</v>
      </c>
      <c r="H903" s="4" t="s">
        <v>28</v>
      </c>
      <c r="I903" s="4">
        <v>26</v>
      </c>
      <c r="J903" s="5">
        <v>61.6</v>
      </c>
      <c r="K903" s="6">
        <v>1.66</v>
      </c>
      <c r="L903" s="4">
        <v>1</v>
      </c>
      <c r="M903" s="4">
        <v>104</v>
      </c>
      <c r="N903" s="4">
        <v>73</v>
      </c>
      <c r="O903" s="4" t="s">
        <v>26</v>
      </c>
      <c r="P903" s="7" t="s">
        <v>19</v>
      </c>
    </row>
    <row r="904" spans="2:16" x14ac:dyDescent="0.45">
      <c r="B904" s="4">
        <v>903</v>
      </c>
      <c r="C904" s="4" t="s">
        <v>29</v>
      </c>
      <c r="D904" s="4" t="s">
        <v>23</v>
      </c>
      <c r="E904" s="4" t="s">
        <v>35</v>
      </c>
      <c r="F904" s="4" t="s">
        <v>42</v>
      </c>
      <c r="G904" s="4" t="s">
        <v>30</v>
      </c>
      <c r="H904" s="4" t="s">
        <v>38</v>
      </c>
      <c r="I904" s="4">
        <v>38</v>
      </c>
      <c r="J904" s="5">
        <v>81.8</v>
      </c>
      <c r="K904" s="6">
        <v>1.66</v>
      </c>
      <c r="L904" s="4">
        <v>2</v>
      </c>
      <c r="M904" s="4">
        <v>122</v>
      </c>
      <c r="N904" s="4">
        <v>91</v>
      </c>
      <c r="O904" s="4" t="s">
        <v>26</v>
      </c>
      <c r="P904" s="7" t="s">
        <v>19</v>
      </c>
    </row>
    <row r="905" spans="2:16" x14ac:dyDescent="0.45">
      <c r="B905" s="4">
        <v>904</v>
      </c>
      <c r="C905" s="4" t="s">
        <v>29</v>
      </c>
      <c r="D905" s="4" t="s">
        <v>16</v>
      </c>
      <c r="E905" s="4" t="s">
        <v>35</v>
      </c>
      <c r="F905" s="4" t="s">
        <v>24</v>
      </c>
      <c r="G905" s="4" t="s">
        <v>19</v>
      </c>
      <c r="H905" s="4" t="s">
        <v>28</v>
      </c>
      <c r="I905" s="4">
        <v>16</v>
      </c>
      <c r="J905" s="5">
        <v>53.4</v>
      </c>
      <c r="K905" s="6">
        <v>1.54</v>
      </c>
      <c r="L905" s="4">
        <v>1</v>
      </c>
      <c r="M905" s="4">
        <v>115</v>
      </c>
      <c r="N905" s="4">
        <v>70</v>
      </c>
      <c r="O905" s="4" t="s">
        <v>26</v>
      </c>
      <c r="P905" s="7" t="s">
        <v>19</v>
      </c>
    </row>
    <row r="906" spans="2:16" x14ac:dyDescent="0.45">
      <c r="B906" s="4">
        <v>905</v>
      </c>
      <c r="C906" s="4" t="s">
        <v>27</v>
      </c>
      <c r="D906" s="4" t="s">
        <v>16</v>
      </c>
      <c r="E906" s="4" t="s">
        <v>17</v>
      </c>
      <c r="F906" s="4" t="s">
        <v>28</v>
      </c>
      <c r="G906" s="4" t="s">
        <v>30</v>
      </c>
      <c r="H906" s="4" t="s">
        <v>28</v>
      </c>
      <c r="I906" s="4">
        <v>2</v>
      </c>
      <c r="J906" s="5">
        <v>6</v>
      </c>
      <c r="K906" s="6">
        <v>0.71</v>
      </c>
      <c r="L906" s="4">
        <v>2</v>
      </c>
      <c r="M906" s="4">
        <v>94</v>
      </c>
      <c r="N906" s="4">
        <v>100</v>
      </c>
      <c r="O906" s="4" t="s">
        <v>21</v>
      </c>
      <c r="P906" s="7" t="s">
        <v>19</v>
      </c>
    </row>
    <row r="907" spans="2:16" x14ac:dyDescent="0.45">
      <c r="B907" s="4">
        <v>906</v>
      </c>
      <c r="C907" s="4" t="s">
        <v>22</v>
      </c>
      <c r="D907" s="4" t="s">
        <v>16</v>
      </c>
      <c r="E907" s="4" t="s">
        <v>35</v>
      </c>
      <c r="F907" s="4" t="s">
        <v>18</v>
      </c>
      <c r="G907" s="4" t="s">
        <v>19</v>
      </c>
      <c r="H907" s="4" t="s">
        <v>20</v>
      </c>
      <c r="I907" s="4">
        <v>2</v>
      </c>
      <c r="J907" s="5">
        <v>14.1</v>
      </c>
      <c r="K907" s="6">
        <v>0.9</v>
      </c>
      <c r="L907" s="4">
        <v>4</v>
      </c>
      <c r="M907" s="4">
        <v>113</v>
      </c>
      <c r="N907" s="4">
        <v>83</v>
      </c>
      <c r="O907" s="4" t="s">
        <v>26</v>
      </c>
      <c r="P907" s="7" t="s">
        <v>30</v>
      </c>
    </row>
    <row r="908" spans="2:16" x14ac:dyDescent="0.45">
      <c r="B908" s="4">
        <v>907</v>
      </c>
      <c r="C908" s="4" t="s">
        <v>27</v>
      </c>
      <c r="D908" s="4" t="s">
        <v>23</v>
      </c>
      <c r="E908" s="4" t="s">
        <v>35</v>
      </c>
      <c r="F908" s="4" t="s">
        <v>24</v>
      </c>
      <c r="G908" s="4" t="s">
        <v>19</v>
      </c>
      <c r="H908" s="4" t="s">
        <v>25</v>
      </c>
      <c r="I908" s="4">
        <v>2</v>
      </c>
      <c r="J908" s="5">
        <v>17.7</v>
      </c>
      <c r="K908" s="6">
        <v>1.01</v>
      </c>
      <c r="L908" s="4">
        <v>5</v>
      </c>
      <c r="M908" s="4">
        <v>99</v>
      </c>
      <c r="N908" s="4">
        <v>76</v>
      </c>
      <c r="O908" s="4" t="s">
        <v>26</v>
      </c>
      <c r="P908" s="7" t="s">
        <v>19</v>
      </c>
    </row>
    <row r="909" spans="2:16" x14ac:dyDescent="0.45">
      <c r="B909" s="4">
        <v>908</v>
      </c>
      <c r="C909" s="4" t="s">
        <v>15</v>
      </c>
      <c r="D909" s="4" t="s">
        <v>16</v>
      </c>
      <c r="E909" s="4" t="s">
        <v>44</v>
      </c>
      <c r="F909" s="4" t="s">
        <v>24</v>
      </c>
      <c r="G909" s="4" t="s">
        <v>19</v>
      </c>
      <c r="H909" s="4" t="s">
        <v>20</v>
      </c>
      <c r="I909" s="4">
        <v>9</v>
      </c>
      <c r="J909" s="5">
        <v>18.399999999999999</v>
      </c>
      <c r="K909" s="6">
        <v>1.27</v>
      </c>
      <c r="L909" s="4">
        <v>6</v>
      </c>
      <c r="M909" s="4">
        <v>103</v>
      </c>
      <c r="N909" s="4">
        <v>88</v>
      </c>
      <c r="O909" s="4" t="s">
        <v>26</v>
      </c>
      <c r="P909" s="7" t="s">
        <v>19</v>
      </c>
    </row>
    <row r="910" spans="2:16" x14ac:dyDescent="0.45">
      <c r="B910" s="4">
        <v>909</v>
      </c>
      <c r="C910" s="4" t="s">
        <v>43</v>
      </c>
      <c r="D910" s="4" t="s">
        <v>16</v>
      </c>
      <c r="E910" s="4" t="s">
        <v>17</v>
      </c>
      <c r="F910" s="4" t="s">
        <v>18</v>
      </c>
      <c r="G910" s="4" t="s">
        <v>19</v>
      </c>
      <c r="H910" s="4" t="s">
        <v>28</v>
      </c>
      <c r="I910" s="4">
        <v>74</v>
      </c>
      <c r="J910" s="5">
        <v>70</v>
      </c>
      <c r="K910" s="6">
        <v>1.62</v>
      </c>
      <c r="L910" s="4">
        <v>4</v>
      </c>
      <c r="M910" s="4">
        <v>124</v>
      </c>
      <c r="N910" s="4">
        <v>96</v>
      </c>
      <c r="O910" s="4" t="s">
        <v>26</v>
      </c>
      <c r="P910" s="7" t="s">
        <v>19</v>
      </c>
    </row>
    <row r="911" spans="2:16" x14ac:dyDescent="0.45">
      <c r="B911" s="4">
        <v>910</v>
      </c>
      <c r="C911" s="4" t="s">
        <v>29</v>
      </c>
      <c r="D911" s="4" t="s">
        <v>16</v>
      </c>
      <c r="E911" s="4" t="s">
        <v>17</v>
      </c>
      <c r="F911" s="4" t="s">
        <v>24</v>
      </c>
      <c r="G911" s="4" t="s">
        <v>19</v>
      </c>
      <c r="H911" s="4" t="s">
        <v>36</v>
      </c>
      <c r="I911" s="4">
        <v>14</v>
      </c>
      <c r="J911" s="5">
        <v>61</v>
      </c>
      <c r="K911" s="6">
        <v>1.53</v>
      </c>
      <c r="L911" s="4">
        <v>1</v>
      </c>
      <c r="M911" s="4">
        <v>130</v>
      </c>
      <c r="N911" s="4">
        <v>81</v>
      </c>
      <c r="O911" s="4" t="s">
        <v>26</v>
      </c>
      <c r="P911" s="7" t="s">
        <v>19</v>
      </c>
    </row>
    <row r="912" spans="2:16" x14ac:dyDescent="0.45">
      <c r="B912" s="4">
        <v>911</v>
      </c>
      <c r="C912" s="4" t="s">
        <v>27</v>
      </c>
      <c r="D912" s="4" t="s">
        <v>16</v>
      </c>
      <c r="E912" s="4" t="s">
        <v>17</v>
      </c>
      <c r="F912" s="4" t="s">
        <v>18</v>
      </c>
      <c r="G912" s="4" t="s">
        <v>19</v>
      </c>
      <c r="H912" s="4" t="s">
        <v>36</v>
      </c>
      <c r="I912" s="4">
        <v>63</v>
      </c>
      <c r="J912" s="5">
        <v>91</v>
      </c>
      <c r="K912" s="6">
        <v>1.5</v>
      </c>
      <c r="L912" s="4">
        <v>1</v>
      </c>
      <c r="M912" s="4">
        <v>145</v>
      </c>
      <c r="N912" s="4">
        <v>100</v>
      </c>
      <c r="O912" s="4" t="s">
        <v>21</v>
      </c>
      <c r="P912" s="7" t="s">
        <v>19</v>
      </c>
    </row>
    <row r="913" spans="2:16" x14ac:dyDescent="0.45">
      <c r="B913" s="4">
        <v>912</v>
      </c>
      <c r="C913" s="4" t="s">
        <v>29</v>
      </c>
      <c r="D913" s="4" t="s">
        <v>16</v>
      </c>
      <c r="E913" s="4" t="s">
        <v>37</v>
      </c>
      <c r="F913" s="4" t="s">
        <v>24</v>
      </c>
      <c r="G913" s="4" t="s">
        <v>19</v>
      </c>
      <c r="H913" s="4" t="s">
        <v>46</v>
      </c>
      <c r="I913" s="4">
        <v>52</v>
      </c>
      <c r="J913" s="5">
        <v>73.8</v>
      </c>
      <c r="K913" s="6">
        <v>1.86</v>
      </c>
      <c r="L913" s="4">
        <v>5</v>
      </c>
      <c r="M913" s="4">
        <v>121</v>
      </c>
      <c r="N913" s="4">
        <v>74</v>
      </c>
      <c r="O913" s="4" t="s">
        <v>26</v>
      </c>
      <c r="P913" s="7" t="s">
        <v>30</v>
      </c>
    </row>
    <row r="914" spans="2:16" x14ac:dyDescent="0.45">
      <c r="B914" s="4">
        <v>913</v>
      </c>
      <c r="C914" s="4" t="s">
        <v>43</v>
      </c>
      <c r="D914" s="4" t="s">
        <v>16</v>
      </c>
      <c r="E914" s="4" t="s">
        <v>17</v>
      </c>
      <c r="F914" s="4" t="s">
        <v>24</v>
      </c>
      <c r="G914" s="4" t="s">
        <v>19</v>
      </c>
      <c r="H914" s="4" t="s">
        <v>20</v>
      </c>
      <c r="I914" s="4">
        <v>35</v>
      </c>
      <c r="J914" s="5">
        <v>86.4</v>
      </c>
      <c r="K914" s="6">
        <v>1.59</v>
      </c>
      <c r="L914" s="4">
        <v>3</v>
      </c>
      <c r="M914" s="4">
        <v>119</v>
      </c>
      <c r="N914" s="4">
        <v>86</v>
      </c>
      <c r="O914" s="4" t="s">
        <v>26</v>
      </c>
      <c r="P914" s="7" t="s">
        <v>19</v>
      </c>
    </row>
    <row r="915" spans="2:16" x14ac:dyDescent="0.45">
      <c r="B915" s="4">
        <v>914</v>
      </c>
      <c r="C915" s="4" t="s">
        <v>22</v>
      </c>
      <c r="D915" s="4" t="s">
        <v>23</v>
      </c>
      <c r="E915" s="4" t="s">
        <v>35</v>
      </c>
      <c r="F915" s="4" t="s">
        <v>18</v>
      </c>
      <c r="G915" s="4" t="s">
        <v>19</v>
      </c>
      <c r="H915" s="4" t="s">
        <v>20</v>
      </c>
      <c r="I915" s="4">
        <v>42</v>
      </c>
      <c r="J915" s="5">
        <v>87.5</v>
      </c>
      <c r="K915" s="6">
        <v>1.66</v>
      </c>
      <c r="L915" s="4">
        <v>4</v>
      </c>
      <c r="M915" s="4">
        <v>111</v>
      </c>
      <c r="N915" s="4">
        <v>70</v>
      </c>
      <c r="O915" s="4" t="s">
        <v>26</v>
      </c>
      <c r="P915" s="7" t="s">
        <v>19</v>
      </c>
    </row>
    <row r="916" spans="2:16" x14ac:dyDescent="0.45">
      <c r="B916" s="4">
        <v>915</v>
      </c>
      <c r="C916" s="4" t="s">
        <v>15</v>
      </c>
      <c r="D916" s="4" t="s">
        <v>23</v>
      </c>
      <c r="E916" s="4" t="s">
        <v>35</v>
      </c>
      <c r="F916" s="4" t="s">
        <v>24</v>
      </c>
      <c r="G916" s="4" t="s">
        <v>30</v>
      </c>
      <c r="H916" s="4" t="s">
        <v>38</v>
      </c>
      <c r="I916" s="4">
        <v>37</v>
      </c>
      <c r="J916" s="5">
        <v>68.7</v>
      </c>
      <c r="K916" s="6">
        <v>1.55</v>
      </c>
      <c r="L916" s="4">
        <v>3</v>
      </c>
      <c r="M916" s="4">
        <v>109</v>
      </c>
      <c r="N916" s="4">
        <v>103</v>
      </c>
      <c r="O916" s="4" t="s">
        <v>21</v>
      </c>
      <c r="P916" s="7" t="s">
        <v>19</v>
      </c>
    </row>
    <row r="917" spans="2:16" x14ac:dyDescent="0.45">
      <c r="B917" s="4">
        <v>916</v>
      </c>
      <c r="C917" s="4" t="s">
        <v>22</v>
      </c>
      <c r="D917" s="4" t="s">
        <v>23</v>
      </c>
      <c r="E917" s="4" t="s">
        <v>44</v>
      </c>
      <c r="F917" s="4" t="s">
        <v>18</v>
      </c>
      <c r="G917" s="4" t="s">
        <v>19</v>
      </c>
      <c r="H917" s="4" t="s">
        <v>36</v>
      </c>
      <c r="I917" s="4">
        <v>16</v>
      </c>
      <c r="J917" s="5">
        <v>42.6</v>
      </c>
      <c r="K917" s="6">
        <v>1.63</v>
      </c>
      <c r="L917" s="4">
        <v>2</v>
      </c>
      <c r="M917" s="4">
        <v>124</v>
      </c>
      <c r="N917" s="4">
        <v>71</v>
      </c>
      <c r="O917" s="4" t="s">
        <v>26</v>
      </c>
      <c r="P917" s="7" t="s">
        <v>19</v>
      </c>
    </row>
    <row r="918" spans="2:16" x14ac:dyDescent="0.45">
      <c r="B918" s="4">
        <v>917</v>
      </c>
      <c r="C918" s="4" t="s">
        <v>31</v>
      </c>
      <c r="D918" s="4" t="s">
        <v>23</v>
      </c>
      <c r="E918" s="4" t="s">
        <v>35</v>
      </c>
      <c r="F918" s="4" t="s">
        <v>24</v>
      </c>
      <c r="G918" s="4" t="s">
        <v>30</v>
      </c>
      <c r="H918" s="4" t="s">
        <v>28</v>
      </c>
      <c r="I918" s="4">
        <v>43</v>
      </c>
      <c r="J918" s="5">
        <v>78.8</v>
      </c>
      <c r="K918" s="6">
        <v>1.71</v>
      </c>
      <c r="L918" s="4">
        <v>3</v>
      </c>
      <c r="M918" s="4">
        <v>113</v>
      </c>
      <c r="N918" s="4">
        <v>101</v>
      </c>
      <c r="O918" s="4" t="s">
        <v>21</v>
      </c>
      <c r="P918" s="7" t="s">
        <v>30</v>
      </c>
    </row>
    <row r="919" spans="2:16" x14ac:dyDescent="0.45">
      <c r="B919" s="4">
        <v>918</v>
      </c>
      <c r="C919" s="4" t="s">
        <v>27</v>
      </c>
      <c r="D919" s="4" t="s">
        <v>23</v>
      </c>
      <c r="E919" s="4" t="s">
        <v>35</v>
      </c>
      <c r="F919" s="4" t="s">
        <v>42</v>
      </c>
      <c r="G919" s="4" t="s">
        <v>30</v>
      </c>
      <c r="H919" s="4" t="s">
        <v>34</v>
      </c>
      <c r="I919" s="4">
        <v>19</v>
      </c>
      <c r="J919" s="5">
        <v>90.5</v>
      </c>
      <c r="K919" s="6">
        <v>1.59</v>
      </c>
      <c r="L919" s="4">
        <v>0</v>
      </c>
      <c r="M919" s="4">
        <v>98</v>
      </c>
      <c r="N919" s="4">
        <v>92</v>
      </c>
      <c r="O919" s="4" t="s">
        <v>21</v>
      </c>
      <c r="P919" s="7" t="s">
        <v>19</v>
      </c>
    </row>
    <row r="920" spans="2:16" x14ac:dyDescent="0.45">
      <c r="B920" s="4">
        <v>919</v>
      </c>
      <c r="C920" s="4" t="s">
        <v>33</v>
      </c>
      <c r="D920" s="4" t="s">
        <v>23</v>
      </c>
      <c r="E920" s="4" t="s">
        <v>17</v>
      </c>
      <c r="F920" s="4" t="s">
        <v>18</v>
      </c>
      <c r="G920" s="4" t="s">
        <v>19</v>
      </c>
      <c r="H920" s="4" t="s">
        <v>36</v>
      </c>
      <c r="I920" s="4">
        <v>44</v>
      </c>
      <c r="J920" s="5">
        <v>67.7</v>
      </c>
      <c r="K920" s="6">
        <v>1.49</v>
      </c>
      <c r="L920" s="4">
        <v>1</v>
      </c>
      <c r="M920" s="4">
        <v>147</v>
      </c>
      <c r="N920" s="4">
        <v>93</v>
      </c>
      <c r="O920" s="4" t="s">
        <v>26</v>
      </c>
      <c r="P920" s="7" t="s">
        <v>30</v>
      </c>
    </row>
    <row r="921" spans="2:16" x14ac:dyDescent="0.45">
      <c r="B921" s="4">
        <v>920</v>
      </c>
      <c r="C921" s="4" t="s">
        <v>29</v>
      </c>
      <c r="D921" s="4" t="s">
        <v>16</v>
      </c>
      <c r="E921" s="4" t="s">
        <v>17</v>
      </c>
      <c r="F921" s="4" t="s">
        <v>24</v>
      </c>
      <c r="G921" s="4" t="s">
        <v>19</v>
      </c>
      <c r="H921" s="4" t="s">
        <v>28</v>
      </c>
      <c r="I921" s="4">
        <v>56</v>
      </c>
      <c r="J921" s="5">
        <v>80.900000000000006</v>
      </c>
      <c r="K921" s="6">
        <v>1.73</v>
      </c>
      <c r="L921" s="4">
        <v>0</v>
      </c>
      <c r="M921" s="4">
        <v>116</v>
      </c>
      <c r="N921" s="4">
        <v>75</v>
      </c>
      <c r="O921" s="4" t="s">
        <v>26</v>
      </c>
      <c r="P921" s="7" t="s">
        <v>30</v>
      </c>
    </row>
    <row r="922" spans="2:16" x14ac:dyDescent="0.45">
      <c r="B922" s="4">
        <v>921</v>
      </c>
      <c r="C922" s="4" t="s">
        <v>27</v>
      </c>
      <c r="D922" s="4" t="s">
        <v>23</v>
      </c>
      <c r="E922" s="4" t="s">
        <v>17</v>
      </c>
      <c r="F922" s="4" t="s">
        <v>42</v>
      </c>
      <c r="G922" s="4" t="s">
        <v>19</v>
      </c>
      <c r="H922" s="4" t="s">
        <v>20</v>
      </c>
      <c r="I922" s="4">
        <v>34</v>
      </c>
      <c r="J922" s="5">
        <v>45.9</v>
      </c>
      <c r="K922" s="6">
        <v>1.66</v>
      </c>
      <c r="L922" s="4">
        <v>5</v>
      </c>
      <c r="M922" s="4">
        <v>107</v>
      </c>
      <c r="N922" s="4">
        <v>98</v>
      </c>
      <c r="O922" s="4" t="s">
        <v>26</v>
      </c>
      <c r="P922" s="7" t="s">
        <v>30</v>
      </c>
    </row>
    <row r="923" spans="2:16" x14ac:dyDescent="0.45">
      <c r="B923" s="4">
        <v>922</v>
      </c>
      <c r="C923" s="4" t="s">
        <v>41</v>
      </c>
      <c r="D923" s="4" t="s">
        <v>23</v>
      </c>
      <c r="E923" s="4" t="s">
        <v>17</v>
      </c>
      <c r="F923" s="4" t="s">
        <v>24</v>
      </c>
      <c r="G923" s="4" t="s">
        <v>19</v>
      </c>
      <c r="H923" s="4" t="s">
        <v>28</v>
      </c>
      <c r="I923" s="4">
        <v>6</v>
      </c>
      <c r="J923" s="5">
        <v>30.2</v>
      </c>
      <c r="K923" s="6">
        <v>1.36</v>
      </c>
      <c r="L923" s="4">
        <v>2</v>
      </c>
      <c r="M923" s="4">
        <v>110</v>
      </c>
      <c r="N923" s="4">
        <v>82</v>
      </c>
      <c r="O923" s="4" t="s">
        <v>21</v>
      </c>
      <c r="P923" s="7" t="s">
        <v>30</v>
      </c>
    </row>
    <row r="924" spans="2:16" x14ac:dyDescent="0.45">
      <c r="B924" s="4">
        <v>923</v>
      </c>
      <c r="C924" s="4" t="s">
        <v>27</v>
      </c>
      <c r="D924" s="4" t="s">
        <v>16</v>
      </c>
      <c r="E924" s="4" t="s">
        <v>35</v>
      </c>
      <c r="F924" s="4" t="s">
        <v>24</v>
      </c>
      <c r="G924" s="4" t="s">
        <v>19</v>
      </c>
      <c r="H924" s="4" t="s">
        <v>20</v>
      </c>
      <c r="I924" s="4">
        <v>14</v>
      </c>
      <c r="J924" s="5">
        <v>47.9</v>
      </c>
      <c r="K924" s="6">
        <v>1.56</v>
      </c>
      <c r="L924" s="4">
        <v>2</v>
      </c>
      <c r="M924" s="4">
        <v>116</v>
      </c>
      <c r="N924" s="4">
        <v>77</v>
      </c>
      <c r="O924" s="4" t="s">
        <v>26</v>
      </c>
      <c r="P924" s="7" t="s">
        <v>19</v>
      </c>
    </row>
    <row r="925" spans="2:16" x14ac:dyDescent="0.45">
      <c r="B925" s="4">
        <v>924</v>
      </c>
      <c r="C925" s="4" t="s">
        <v>45</v>
      </c>
      <c r="D925" s="4" t="s">
        <v>23</v>
      </c>
      <c r="E925" s="4" t="s">
        <v>17</v>
      </c>
      <c r="F925" s="4" t="s">
        <v>24</v>
      </c>
      <c r="G925" s="4" t="s">
        <v>19</v>
      </c>
      <c r="H925" s="4" t="s">
        <v>38</v>
      </c>
      <c r="I925" s="4">
        <v>16</v>
      </c>
      <c r="J925" s="5">
        <v>56.5</v>
      </c>
      <c r="K925" s="6">
        <v>1.73</v>
      </c>
      <c r="L925" s="4">
        <v>0</v>
      </c>
      <c r="M925" s="4">
        <v>95</v>
      </c>
      <c r="N925" s="4">
        <v>71</v>
      </c>
      <c r="O925" s="4" t="s">
        <v>21</v>
      </c>
      <c r="P925" s="7" t="s">
        <v>19</v>
      </c>
    </row>
    <row r="926" spans="2:16" x14ac:dyDescent="0.45">
      <c r="B926" s="4">
        <v>925</v>
      </c>
      <c r="C926" s="4" t="s">
        <v>22</v>
      </c>
      <c r="D926" s="4" t="s">
        <v>23</v>
      </c>
      <c r="E926" s="4" t="s">
        <v>17</v>
      </c>
      <c r="F926" s="4" t="s">
        <v>18</v>
      </c>
      <c r="G926" s="4" t="s">
        <v>19</v>
      </c>
      <c r="H926" s="4" t="s">
        <v>25</v>
      </c>
      <c r="I926" s="4">
        <v>26</v>
      </c>
      <c r="J926" s="5">
        <v>76.900000000000006</v>
      </c>
      <c r="K926" s="6">
        <v>1.6</v>
      </c>
      <c r="L926" s="4">
        <v>0</v>
      </c>
      <c r="M926" s="4">
        <v>120</v>
      </c>
      <c r="N926" s="4">
        <v>82</v>
      </c>
      <c r="O926" s="4" t="s">
        <v>26</v>
      </c>
      <c r="P926" s="7" t="s">
        <v>19</v>
      </c>
    </row>
    <row r="927" spans="2:16" x14ac:dyDescent="0.45">
      <c r="B927" s="4">
        <v>926</v>
      </c>
      <c r="C927" s="4" t="s">
        <v>31</v>
      </c>
      <c r="D927" s="4" t="s">
        <v>16</v>
      </c>
      <c r="E927" s="4" t="s">
        <v>17</v>
      </c>
      <c r="F927" s="4" t="s">
        <v>28</v>
      </c>
      <c r="G927" s="4" t="s">
        <v>19</v>
      </c>
      <c r="H927" s="4" t="s">
        <v>20</v>
      </c>
      <c r="I927" s="4">
        <v>17</v>
      </c>
      <c r="J927" s="5">
        <v>58.2</v>
      </c>
      <c r="K927" s="6">
        <v>1.64</v>
      </c>
      <c r="L927" s="4">
        <v>5</v>
      </c>
      <c r="M927" s="4">
        <v>110</v>
      </c>
      <c r="N927" s="4">
        <v>85</v>
      </c>
      <c r="O927" s="4" t="s">
        <v>26</v>
      </c>
      <c r="P927" s="7" t="s">
        <v>19</v>
      </c>
    </row>
    <row r="928" spans="2:16" x14ac:dyDescent="0.45">
      <c r="B928" s="4">
        <v>927</v>
      </c>
      <c r="C928" s="4" t="s">
        <v>45</v>
      </c>
      <c r="D928" s="4" t="s">
        <v>16</v>
      </c>
      <c r="E928" s="4" t="s">
        <v>17</v>
      </c>
      <c r="F928" s="4" t="s">
        <v>24</v>
      </c>
      <c r="G928" s="4" t="s">
        <v>19</v>
      </c>
      <c r="H928" s="4" t="s">
        <v>20</v>
      </c>
      <c r="I928" s="4">
        <v>15</v>
      </c>
      <c r="J928" s="5">
        <v>56.8</v>
      </c>
      <c r="K928" s="6">
        <v>1.64</v>
      </c>
      <c r="L928" s="4">
        <v>6</v>
      </c>
      <c r="M928" s="4">
        <v>95</v>
      </c>
      <c r="N928" s="4">
        <v>80</v>
      </c>
      <c r="O928" s="4" t="s">
        <v>26</v>
      </c>
      <c r="P928" s="7" t="s">
        <v>19</v>
      </c>
    </row>
    <row r="929" spans="2:16" x14ac:dyDescent="0.45">
      <c r="B929" s="4">
        <v>928</v>
      </c>
      <c r="C929" s="4" t="s">
        <v>40</v>
      </c>
      <c r="D929" s="4" t="s">
        <v>23</v>
      </c>
      <c r="E929" s="4" t="s">
        <v>44</v>
      </c>
      <c r="F929" s="4" t="s">
        <v>18</v>
      </c>
      <c r="G929" s="4" t="s">
        <v>30</v>
      </c>
      <c r="H929" s="4" t="s">
        <v>20</v>
      </c>
      <c r="I929" s="4">
        <v>13</v>
      </c>
      <c r="J929" s="5">
        <v>48.3</v>
      </c>
      <c r="K929" s="6">
        <v>1.62</v>
      </c>
      <c r="L929" s="4">
        <v>3</v>
      </c>
      <c r="M929" s="4">
        <v>112</v>
      </c>
      <c r="N929" s="4">
        <v>102</v>
      </c>
      <c r="O929" s="4" t="s">
        <v>21</v>
      </c>
      <c r="P929" s="7" t="s">
        <v>30</v>
      </c>
    </row>
    <row r="930" spans="2:16" x14ac:dyDescent="0.45">
      <c r="B930" s="4">
        <v>929</v>
      </c>
      <c r="C930" s="4" t="s">
        <v>27</v>
      </c>
      <c r="D930" s="4" t="s">
        <v>23</v>
      </c>
      <c r="E930" s="4" t="s">
        <v>17</v>
      </c>
      <c r="F930" s="4" t="s">
        <v>24</v>
      </c>
      <c r="G930" s="4" t="s">
        <v>30</v>
      </c>
      <c r="H930" s="4" t="s">
        <v>25</v>
      </c>
      <c r="I930" s="4">
        <v>2</v>
      </c>
      <c r="J930" s="5">
        <v>15.5</v>
      </c>
      <c r="K930" s="6">
        <v>1.02</v>
      </c>
      <c r="L930" s="4">
        <v>9</v>
      </c>
      <c r="M930" s="4">
        <v>106</v>
      </c>
      <c r="N930" s="4">
        <v>90</v>
      </c>
      <c r="O930" s="4" t="s">
        <v>21</v>
      </c>
      <c r="P930" s="7" t="s">
        <v>30</v>
      </c>
    </row>
    <row r="931" spans="2:16" x14ac:dyDescent="0.45">
      <c r="B931" s="4">
        <v>930</v>
      </c>
      <c r="C931" s="4" t="s">
        <v>27</v>
      </c>
      <c r="D931" s="4" t="s">
        <v>16</v>
      </c>
      <c r="E931" s="4" t="s">
        <v>17</v>
      </c>
      <c r="F931" s="4" t="s">
        <v>24</v>
      </c>
      <c r="G931" s="4" t="s">
        <v>19</v>
      </c>
      <c r="H931" s="4" t="s">
        <v>25</v>
      </c>
      <c r="I931" s="4">
        <v>51</v>
      </c>
      <c r="J931" s="5">
        <v>74.7</v>
      </c>
      <c r="K931" s="6">
        <v>1.84</v>
      </c>
      <c r="L931" s="4">
        <v>10</v>
      </c>
      <c r="M931" s="4">
        <v>120</v>
      </c>
      <c r="N931" s="4">
        <v>72</v>
      </c>
      <c r="O931" s="4" t="s">
        <v>26</v>
      </c>
      <c r="P931" s="7" t="s">
        <v>19</v>
      </c>
    </row>
    <row r="932" spans="2:16" x14ac:dyDescent="0.45">
      <c r="B932" s="4">
        <v>931</v>
      </c>
      <c r="C932" s="4" t="s">
        <v>45</v>
      </c>
      <c r="D932" s="4" t="s">
        <v>16</v>
      </c>
      <c r="E932" s="4" t="s">
        <v>35</v>
      </c>
      <c r="F932" s="4" t="s">
        <v>24</v>
      </c>
      <c r="G932" s="4" t="s">
        <v>19</v>
      </c>
      <c r="H932" s="4" t="s">
        <v>46</v>
      </c>
      <c r="I932" s="4">
        <v>52</v>
      </c>
      <c r="J932" s="5">
        <v>49.3</v>
      </c>
      <c r="K932" s="6">
        <v>1.69</v>
      </c>
      <c r="L932" s="4">
        <v>8</v>
      </c>
      <c r="M932" s="4">
        <v>119</v>
      </c>
      <c r="N932" s="4">
        <v>82</v>
      </c>
      <c r="O932" s="4" t="s">
        <v>26</v>
      </c>
      <c r="P932" s="7" t="s">
        <v>19</v>
      </c>
    </row>
    <row r="933" spans="2:16" x14ac:dyDescent="0.45">
      <c r="B933" s="4">
        <v>932</v>
      </c>
      <c r="C933" s="4" t="s">
        <v>43</v>
      </c>
      <c r="D933" s="4" t="s">
        <v>16</v>
      </c>
      <c r="E933" s="4" t="s">
        <v>17</v>
      </c>
      <c r="F933" s="4" t="s">
        <v>18</v>
      </c>
      <c r="G933" s="4" t="s">
        <v>30</v>
      </c>
      <c r="H933" s="4" t="s">
        <v>36</v>
      </c>
      <c r="I933" s="4">
        <v>22</v>
      </c>
      <c r="J933" s="5">
        <v>59.4</v>
      </c>
      <c r="K933" s="6">
        <v>1.69</v>
      </c>
      <c r="L933" s="4">
        <v>1</v>
      </c>
      <c r="M933" s="4">
        <v>140</v>
      </c>
      <c r="N933" s="4">
        <v>77</v>
      </c>
      <c r="O933" s="4" t="s">
        <v>26</v>
      </c>
      <c r="P933" s="7" t="s">
        <v>30</v>
      </c>
    </row>
    <row r="934" spans="2:16" x14ac:dyDescent="0.45">
      <c r="B934" s="4">
        <v>933</v>
      </c>
      <c r="C934" s="4" t="s">
        <v>15</v>
      </c>
      <c r="D934" s="4" t="s">
        <v>16</v>
      </c>
      <c r="E934" s="4" t="s">
        <v>35</v>
      </c>
      <c r="F934" s="4" t="s">
        <v>24</v>
      </c>
      <c r="G934" s="4" t="s">
        <v>19</v>
      </c>
      <c r="H934" s="4" t="s">
        <v>20</v>
      </c>
      <c r="I934" s="4">
        <v>47</v>
      </c>
      <c r="J934" s="5">
        <v>75.400000000000006</v>
      </c>
      <c r="K934" s="6">
        <v>1.88</v>
      </c>
      <c r="L934" s="4">
        <v>2</v>
      </c>
      <c r="M934" s="4">
        <v>127</v>
      </c>
      <c r="N934" s="4">
        <v>85</v>
      </c>
      <c r="O934" s="4" t="s">
        <v>26</v>
      </c>
      <c r="P934" s="7" t="s">
        <v>19</v>
      </c>
    </row>
    <row r="935" spans="2:16" x14ac:dyDescent="0.45">
      <c r="B935" s="4">
        <v>934</v>
      </c>
      <c r="C935" s="4" t="s">
        <v>45</v>
      </c>
      <c r="D935" s="4" t="s">
        <v>23</v>
      </c>
      <c r="E935" s="4" t="s">
        <v>17</v>
      </c>
      <c r="F935" s="4" t="s">
        <v>42</v>
      </c>
      <c r="G935" s="4" t="s">
        <v>19</v>
      </c>
      <c r="H935" s="4" t="s">
        <v>28</v>
      </c>
      <c r="I935" s="4">
        <v>5</v>
      </c>
      <c r="J935" s="5">
        <v>27.9</v>
      </c>
      <c r="K935" s="6">
        <v>1.1399999999999999</v>
      </c>
      <c r="L935" s="4">
        <v>0</v>
      </c>
      <c r="M935" s="4">
        <v>111</v>
      </c>
      <c r="N935" s="4">
        <v>84</v>
      </c>
      <c r="O935" s="4" t="s">
        <v>26</v>
      </c>
      <c r="P935" s="7" t="s">
        <v>19</v>
      </c>
    </row>
    <row r="936" spans="2:16" x14ac:dyDescent="0.45">
      <c r="B936" s="4">
        <v>935</v>
      </c>
      <c r="C936" s="4" t="s">
        <v>27</v>
      </c>
      <c r="D936" s="4" t="s">
        <v>23</v>
      </c>
      <c r="E936" s="4" t="s">
        <v>17</v>
      </c>
      <c r="F936" s="4" t="s">
        <v>18</v>
      </c>
      <c r="G936" s="4" t="s">
        <v>19</v>
      </c>
      <c r="H936" s="4" t="s">
        <v>34</v>
      </c>
      <c r="I936" s="4">
        <v>0</v>
      </c>
      <c r="J936" s="5">
        <v>17.600000000000001</v>
      </c>
      <c r="K936" s="6">
        <v>0.97</v>
      </c>
      <c r="L936" s="4">
        <v>6</v>
      </c>
      <c r="M936" s="4">
        <v>103</v>
      </c>
      <c r="N936" s="4">
        <v>75</v>
      </c>
      <c r="O936" s="4" t="s">
        <v>21</v>
      </c>
      <c r="P936" s="7" t="s">
        <v>19</v>
      </c>
    </row>
    <row r="937" spans="2:16" x14ac:dyDescent="0.45">
      <c r="B937" s="4">
        <v>936</v>
      </c>
      <c r="C937" s="4" t="s">
        <v>29</v>
      </c>
      <c r="D937" s="4" t="s">
        <v>16</v>
      </c>
      <c r="E937" s="4" t="s">
        <v>17</v>
      </c>
      <c r="F937" s="4" t="s">
        <v>28</v>
      </c>
      <c r="G937" s="4" t="s">
        <v>19</v>
      </c>
      <c r="H937" s="4" t="s">
        <v>34</v>
      </c>
      <c r="I937" s="4">
        <v>40</v>
      </c>
      <c r="J937" s="5">
        <v>69.7</v>
      </c>
      <c r="K937" s="6">
        <v>1.9</v>
      </c>
      <c r="L937" s="4">
        <v>9</v>
      </c>
      <c r="M937" s="4">
        <v>114</v>
      </c>
      <c r="N937" s="4">
        <v>98</v>
      </c>
      <c r="O937" s="4" t="s">
        <v>26</v>
      </c>
      <c r="P937" s="7" t="s">
        <v>19</v>
      </c>
    </row>
    <row r="938" spans="2:16" x14ac:dyDescent="0.45">
      <c r="B938" s="4">
        <v>937</v>
      </c>
      <c r="C938" s="4" t="s">
        <v>39</v>
      </c>
      <c r="D938" s="4" t="s">
        <v>23</v>
      </c>
      <c r="E938" s="4" t="s">
        <v>17</v>
      </c>
      <c r="F938" s="4" t="s">
        <v>24</v>
      </c>
      <c r="G938" s="4" t="s">
        <v>19</v>
      </c>
      <c r="H938" s="4" t="s">
        <v>25</v>
      </c>
      <c r="I938" s="4">
        <v>14</v>
      </c>
      <c r="J938" s="5">
        <v>64</v>
      </c>
      <c r="K938" s="6">
        <v>1.49</v>
      </c>
      <c r="L938" s="4">
        <v>8</v>
      </c>
      <c r="M938" s="4">
        <v>118</v>
      </c>
      <c r="N938" s="4">
        <v>104</v>
      </c>
      <c r="O938" s="4" t="s">
        <v>26</v>
      </c>
      <c r="P938" s="7" t="s">
        <v>30</v>
      </c>
    </row>
    <row r="939" spans="2:16" x14ac:dyDescent="0.45">
      <c r="B939" s="4">
        <v>938</v>
      </c>
      <c r="C939" s="4" t="s">
        <v>43</v>
      </c>
      <c r="D939" s="4" t="s">
        <v>23</v>
      </c>
      <c r="E939" s="4" t="s">
        <v>37</v>
      </c>
      <c r="F939" s="4" t="s">
        <v>24</v>
      </c>
      <c r="G939" s="4" t="s">
        <v>19</v>
      </c>
      <c r="H939" s="4" t="s">
        <v>28</v>
      </c>
      <c r="I939" s="4">
        <v>13</v>
      </c>
      <c r="J939" s="5">
        <v>52.9</v>
      </c>
      <c r="K939" s="6">
        <v>1.48</v>
      </c>
      <c r="L939" s="4">
        <v>2</v>
      </c>
      <c r="M939" s="4">
        <v>117</v>
      </c>
      <c r="N939" s="4">
        <v>102</v>
      </c>
      <c r="O939" s="4" t="s">
        <v>26</v>
      </c>
      <c r="P939" s="7" t="s">
        <v>19</v>
      </c>
    </row>
    <row r="940" spans="2:16" x14ac:dyDescent="0.45">
      <c r="B940" s="4">
        <v>939</v>
      </c>
      <c r="C940" s="4" t="s">
        <v>41</v>
      </c>
      <c r="D940" s="4" t="s">
        <v>23</v>
      </c>
      <c r="E940" s="4" t="s">
        <v>35</v>
      </c>
      <c r="F940" s="4" t="s">
        <v>18</v>
      </c>
      <c r="G940" s="4" t="s">
        <v>30</v>
      </c>
      <c r="H940" s="4" t="s">
        <v>34</v>
      </c>
      <c r="I940" s="4">
        <v>25</v>
      </c>
      <c r="J940" s="5">
        <v>94.8</v>
      </c>
      <c r="K940" s="6">
        <v>1.62</v>
      </c>
      <c r="L940" s="4">
        <v>1</v>
      </c>
      <c r="M940" s="4">
        <v>119</v>
      </c>
      <c r="N940" s="4">
        <v>79</v>
      </c>
      <c r="O940" s="4" t="s">
        <v>26</v>
      </c>
      <c r="P940" s="7" t="s">
        <v>30</v>
      </c>
    </row>
    <row r="941" spans="2:16" x14ac:dyDescent="0.45">
      <c r="B941" s="4">
        <v>940</v>
      </c>
      <c r="C941" s="4" t="s">
        <v>22</v>
      </c>
      <c r="D941" s="4" t="s">
        <v>23</v>
      </c>
      <c r="E941" s="4" t="s">
        <v>17</v>
      </c>
      <c r="F941" s="4" t="s">
        <v>28</v>
      </c>
      <c r="G941" s="4" t="s">
        <v>19</v>
      </c>
      <c r="H941" s="4" t="s">
        <v>20</v>
      </c>
      <c r="I941" s="4">
        <v>59</v>
      </c>
      <c r="J941" s="5">
        <v>87.1</v>
      </c>
      <c r="K941" s="6">
        <v>1.6</v>
      </c>
      <c r="L941" s="4">
        <v>2</v>
      </c>
      <c r="M941" s="4">
        <v>121</v>
      </c>
      <c r="N941" s="4">
        <v>95</v>
      </c>
      <c r="O941" s="4" t="s">
        <v>21</v>
      </c>
      <c r="P941" s="7" t="s">
        <v>19</v>
      </c>
    </row>
    <row r="942" spans="2:16" x14ac:dyDescent="0.45">
      <c r="B942" s="4">
        <v>941</v>
      </c>
      <c r="C942" s="4" t="s">
        <v>22</v>
      </c>
      <c r="D942" s="4" t="s">
        <v>23</v>
      </c>
      <c r="E942" s="4" t="s">
        <v>17</v>
      </c>
      <c r="F942" s="4" t="s">
        <v>18</v>
      </c>
      <c r="G942" s="4" t="s">
        <v>19</v>
      </c>
      <c r="H942" s="4" t="s">
        <v>32</v>
      </c>
      <c r="I942" s="4">
        <v>6</v>
      </c>
      <c r="J942" s="5">
        <v>29.9</v>
      </c>
      <c r="K942" s="6">
        <v>1.0900000000000001</v>
      </c>
      <c r="L942" s="4">
        <v>1</v>
      </c>
      <c r="M942" s="4">
        <v>94</v>
      </c>
      <c r="N942" s="4">
        <v>173</v>
      </c>
      <c r="O942" s="4" t="s">
        <v>26</v>
      </c>
      <c r="P942" s="7" t="s">
        <v>19</v>
      </c>
    </row>
    <row r="943" spans="2:16" x14ac:dyDescent="0.45">
      <c r="B943" s="4">
        <v>942</v>
      </c>
      <c r="C943" s="4" t="s">
        <v>27</v>
      </c>
      <c r="D943" s="4" t="s">
        <v>23</v>
      </c>
      <c r="E943" s="4" t="s">
        <v>44</v>
      </c>
      <c r="F943" s="4" t="s">
        <v>18</v>
      </c>
      <c r="G943" s="4" t="s">
        <v>19</v>
      </c>
      <c r="H943" s="4" t="s">
        <v>20</v>
      </c>
      <c r="I943" s="4">
        <v>8</v>
      </c>
      <c r="J943" s="5">
        <v>18.100000000000001</v>
      </c>
      <c r="K943" s="6">
        <v>1.1200000000000001</v>
      </c>
      <c r="L943" s="4">
        <v>0</v>
      </c>
      <c r="M943" s="4">
        <v>93</v>
      </c>
      <c r="N943" s="4">
        <v>77</v>
      </c>
      <c r="O943" s="4" t="s">
        <v>21</v>
      </c>
      <c r="P943" s="7" t="s">
        <v>19</v>
      </c>
    </row>
    <row r="944" spans="2:16" x14ac:dyDescent="0.45">
      <c r="B944" s="4">
        <v>943</v>
      </c>
      <c r="C944" s="4" t="s">
        <v>41</v>
      </c>
      <c r="D944" s="4" t="s">
        <v>23</v>
      </c>
      <c r="E944" s="4" t="s">
        <v>17</v>
      </c>
      <c r="F944" s="4" t="s">
        <v>24</v>
      </c>
      <c r="G944" s="4" t="s">
        <v>19</v>
      </c>
      <c r="H944" s="4" t="s">
        <v>20</v>
      </c>
      <c r="I944" s="4">
        <v>27</v>
      </c>
      <c r="J944" s="5">
        <v>64.900000000000006</v>
      </c>
      <c r="K944" s="6">
        <v>1.52</v>
      </c>
      <c r="L944" s="4">
        <v>2</v>
      </c>
      <c r="M944" s="4">
        <v>118</v>
      </c>
      <c r="N944" s="4">
        <v>76</v>
      </c>
      <c r="O944" s="4" t="s">
        <v>26</v>
      </c>
      <c r="P944" s="7" t="s">
        <v>30</v>
      </c>
    </row>
    <row r="945" spans="2:16" x14ac:dyDescent="0.45">
      <c r="B945" s="4">
        <v>944</v>
      </c>
      <c r="C945" s="4" t="s">
        <v>27</v>
      </c>
      <c r="D945" s="4" t="s">
        <v>23</v>
      </c>
      <c r="E945" s="4" t="s">
        <v>17</v>
      </c>
      <c r="F945" s="4" t="s">
        <v>24</v>
      </c>
      <c r="G945" s="4" t="s">
        <v>19</v>
      </c>
      <c r="H945" s="4" t="s">
        <v>20</v>
      </c>
      <c r="I945" s="4">
        <v>18</v>
      </c>
      <c r="J945" s="5">
        <v>67.099999999999994</v>
      </c>
      <c r="K945" s="6">
        <v>1.57</v>
      </c>
      <c r="L945" s="4">
        <v>0</v>
      </c>
      <c r="M945" s="4">
        <v>110</v>
      </c>
      <c r="N945" s="4">
        <v>87</v>
      </c>
      <c r="O945" s="4" t="s">
        <v>26</v>
      </c>
      <c r="P945" s="7" t="s">
        <v>19</v>
      </c>
    </row>
    <row r="946" spans="2:16" x14ac:dyDescent="0.45">
      <c r="B946" s="4">
        <v>945</v>
      </c>
      <c r="C946" s="4" t="s">
        <v>29</v>
      </c>
      <c r="D946" s="4" t="s">
        <v>23</v>
      </c>
      <c r="E946" s="4" t="s">
        <v>17</v>
      </c>
      <c r="F946" s="4" t="s">
        <v>18</v>
      </c>
      <c r="G946" s="4" t="s">
        <v>30</v>
      </c>
      <c r="H946" s="4" t="s">
        <v>25</v>
      </c>
      <c r="I946" s="4">
        <v>13</v>
      </c>
      <c r="J946" s="5">
        <v>56.3</v>
      </c>
      <c r="K946" s="6">
        <v>1.45</v>
      </c>
      <c r="L946" s="4">
        <v>2</v>
      </c>
      <c r="M946" s="4">
        <v>109</v>
      </c>
      <c r="N946" s="4">
        <v>95</v>
      </c>
      <c r="O946" s="4" t="s">
        <v>21</v>
      </c>
      <c r="P946" s="7" t="s">
        <v>30</v>
      </c>
    </row>
    <row r="947" spans="2:16" x14ac:dyDescent="0.45">
      <c r="B947" s="4">
        <v>946</v>
      </c>
      <c r="C947" s="4" t="s">
        <v>15</v>
      </c>
      <c r="D947" s="4" t="s">
        <v>23</v>
      </c>
      <c r="E947" s="4" t="s">
        <v>17</v>
      </c>
      <c r="F947" s="4" t="s">
        <v>24</v>
      </c>
      <c r="G947" s="4" t="s">
        <v>30</v>
      </c>
      <c r="H947" s="4" t="s">
        <v>46</v>
      </c>
      <c r="I947" s="4">
        <v>42</v>
      </c>
      <c r="J947" s="5">
        <v>87.9</v>
      </c>
      <c r="K947" s="6">
        <v>1.52</v>
      </c>
      <c r="L947" s="4">
        <v>4</v>
      </c>
      <c r="M947" s="4">
        <v>112</v>
      </c>
      <c r="N947" s="4">
        <v>77</v>
      </c>
      <c r="O947" s="4" t="s">
        <v>21</v>
      </c>
      <c r="P947" s="7" t="s">
        <v>19</v>
      </c>
    </row>
    <row r="948" spans="2:16" x14ac:dyDescent="0.45">
      <c r="B948" s="4">
        <v>947</v>
      </c>
      <c r="C948" s="4" t="s">
        <v>27</v>
      </c>
      <c r="D948" s="4" t="s">
        <v>16</v>
      </c>
      <c r="E948" s="4" t="s">
        <v>35</v>
      </c>
      <c r="F948" s="4" t="s">
        <v>24</v>
      </c>
      <c r="G948" s="4" t="s">
        <v>19</v>
      </c>
      <c r="H948" s="4" t="s">
        <v>25</v>
      </c>
      <c r="I948" s="4">
        <v>6</v>
      </c>
      <c r="J948" s="5">
        <v>30.4</v>
      </c>
      <c r="K948" s="6">
        <v>1.26</v>
      </c>
      <c r="L948" s="4">
        <v>1</v>
      </c>
      <c r="M948" s="4">
        <v>94</v>
      </c>
      <c r="N948" s="4">
        <v>81</v>
      </c>
      <c r="O948" s="4" t="s">
        <v>21</v>
      </c>
      <c r="P948" s="7" t="s">
        <v>19</v>
      </c>
    </row>
    <row r="949" spans="2:16" x14ac:dyDescent="0.45">
      <c r="B949" s="4">
        <v>948</v>
      </c>
      <c r="C949" s="4" t="s">
        <v>27</v>
      </c>
      <c r="D949" s="4" t="s">
        <v>16</v>
      </c>
      <c r="E949" s="4" t="s">
        <v>35</v>
      </c>
      <c r="F949" s="4" t="s">
        <v>24</v>
      </c>
      <c r="G949" s="4" t="s">
        <v>19</v>
      </c>
      <c r="H949" s="4" t="s">
        <v>32</v>
      </c>
      <c r="I949" s="4">
        <v>3</v>
      </c>
      <c r="J949" s="5">
        <v>8.1</v>
      </c>
      <c r="K949" s="6">
        <v>0.6</v>
      </c>
      <c r="L949" s="4">
        <v>2</v>
      </c>
      <c r="M949" s="4">
        <v>103</v>
      </c>
      <c r="N949" s="4">
        <v>176</v>
      </c>
      <c r="O949" s="4" t="s">
        <v>26</v>
      </c>
      <c r="P949" s="7" t="s">
        <v>19</v>
      </c>
    </row>
    <row r="950" spans="2:16" x14ac:dyDescent="0.45">
      <c r="B950" s="4">
        <v>949</v>
      </c>
      <c r="C950" s="4" t="s">
        <v>22</v>
      </c>
      <c r="D950" s="4" t="s">
        <v>16</v>
      </c>
      <c r="E950" s="4" t="s">
        <v>35</v>
      </c>
      <c r="F950" s="4" t="s">
        <v>18</v>
      </c>
      <c r="G950" s="4" t="s">
        <v>30</v>
      </c>
      <c r="H950" s="4" t="s">
        <v>46</v>
      </c>
      <c r="I950" s="4">
        <v>2</v>
      </c>
      <c r="J950" s="5">
        <v>6.1</v>
      </c>
      <c r="K950" s="6">
        <v>0.92</v>
      </c>
      <c r="L950" s="4">
        <v>4</v>
      </c>
      <c r="M950" s="4">
        <v>105</v>
      </c>
      <c r="N950" s="4">
        <v>85</v>
      </c>
      <c r="O950" s="4" t="s">
        <v>26</v>
      </c>
      <c r="P950" s="7" t="s">
        <v>19</v>
      </c>
    </row>
    <row r="951" spans="2:16" x14ac:dyDescent="0.45">
      <c r="B951" s="4">
        <v>950</v>
      </c>
      <c r="C951" s="4" t="s">
        <v>29</v>
      </c>
      <c r="D951" s="4" t="s">
        <v>23</v>
      </c>
      <c r="E951" s="4" t="s">
        <v>17</v>
      </c>
      <c r="F951" s="4" t="s">
        <v>28</v>
      </c>
      <c r="G951" s="4" t="s">
        <v>30</v>
      </c>
      <c r="H951" s="4" t="s">
        <v>20</v>
      </c>
      <c r="I951" s="4">
        <v>9</v>
      </c>
      <c r="J951" s="5">
        <v>24.8</v>
      </c>
      <c r="K951" s="6">
        <v>1.29</v>
      </c>
      <c r="L951" s="4">
        <v>7</v>
      </c>
      <c r="M951" s="4">
        <v>104</v>
      </c>
      <c r="N951" s="4">
        <v>93</v>
      </c>
      <c r="O951" s="4" t="s">
        <v>21</v>
      </c>
      <c r="P951" s="7" t="s">
        <v>19</v>
      </c>
    </row>
    <row r="952" spans="2:16" x14ac:dyDescent="0.45">
      <c r="B952" s="4">
        <v>951</v>
      </c>
      <c r="C952" s="4" t="s">
        <v>45</v>
      </c>
      <c r="D952" s="4" t="s">
        <v>23</v>
      </c>
      <c r="E952" s="4" t="s">
        <v>35</v>
      </c>
      <c r="F952" s="4" t="s">
        <v>24</v>
      </c>
      <c r="G952" s="4" t="s">
        <v>19</v>
      </c>
      <c r="H952" s="4" t="s">
        <v>25</v>
      </c>
      <c r="I952" s="4">
        <v>60</v>
      </c>
      <c r="J952" s="5">
        <v>93.4</v>
      </c>
      <c r="K952" s="6">
        <v>1.61</v>
      </c>
      <c r="L952" s="4">
        <v>4</v>
      </c>
      <c r="M952" s="4">
        <v>119</v>
      </c>
      <c r="N952" s="4">
        <v>72</v>
      </c>
      <c r="O952" s="4" t="s">
        <v>21</v>
      </c>
      <c r="P952" s="7" t="s">
        <v>30</v>
      </c>
    </row>
    <row r="953" spans="2:16" x14ac:dyDescent="0.45">
      <c r="B953" s="4">
        <v>952</v>
      </c>
      <c r="C953" s="4" t="s">
        <v>33</v>
      </c>
      <c r="D953" s="4" t="s">
        <v>16</v>
      </c>
      <c r="E953" s="4" t="s">
        <v>17</v>
      </c>
      <c r="F953" s="4" t="s">
        <v>24</v>
      </c>
      <c r="G953" s="4" t="s">
        <v>19</v>
      </c>
      <c r="H953" s="4" t="s">
        <v>38</v>
      </c>
      <c r="I953" s="4">
        <v>1</v>
      </c>
      <c r="J953" s="5">
        <v>8.6</v>
      </c>
      <c r="K953" s="6">
        <v>0.68</v>
      </c>
      <c r="L953" s="4">
        <v>2</v>
      </c>
      <c r="M953" s="4">
        <v>121</v>
      </c>
      <c r="N953" s="4">
        <v>101</v>
      </c>
      <c r="O953" s="4" t="s">
        <v>26</v>
      </c>
      <c r="P953" s="7" t="s">
        <v>30</v>
      </c>
    </row>
    <row r="954" spans="2:16" x14ac:dyDescent="0.45">
      <c r="B954" s="4">
        <v>953</v>
      </c>
      <c r="C954" s="4" t="s">
        <v>27</v>
      </c>
      <c r="D954" s="4" t="s">
        <v>16</v>
      </c>
      <c r="E954" s="4" t="s">
        <v>17</v>
      </c>
      <c r="F954" s="4" t="s">
        <v>24</v>
      </c>
      <c r="G954" s="4" t="s">
        <v>19</v>
      </c>
      <c r="H954" s="4" t="s">
        <v>32</v>
      </c>
      <c r="I954" s="4">
        <v>0</v>
      </c>
      <c r="J954" s="5">
        <v>9.9</v>
      </c>
      <c r="K954" s="6">
        <v>0.68</v>
      </c>
      <c r="L954" s="4">
        <v>5</v>
      </c>
      <c r="M954" s="4">
        <v>99</v>
      </c>
      <c r="N954" s="4">
        <v>164</v>
      </c>
      <c r="O954" s="4" t="s">
        <v>26</v>
      </c>
      <c r="P954" s="7" t="s">
        <v>19</v>
      </c>
    </row>
    <row r="955" spans="2:16" x14ac:dyDescent="0.45">
      <c r="B955" s="4">
        <v>954</v>
      </c>
      <c r="C955" s="4" t="s">
        <v>27</v>
      </c>
      <c r="D955" s="4" t="s">
        <v>23</v>
      </c>
      <c r="E955" s="4" t="s">
        <v>35</v>
      </c>
      <c r="F955" s="4" t="s">
        <v>24</v>
      </c>
      <c r="G955" s="4" t="s">
        <v>19</v>
      </c>
      <c r="H955" s="4" t="s">
        <v>20</v>
      </c>
      <c r="I955" s="4">
        <v>83</v>
      </c>
      <c r="J955" s="5">
        <v>81.8</v>
      </c>
      <c r="K955" s="6">
        <v>1.9</v>
      </c>
      <c r="L955" s="4">
        <v>2</v>
      </c>
      <c r="M955" s="4">
        <v>128</v>
      </c>
      <c r="N955" s="4">
        <v>72</v>
      </c>
      <c r="O955" s="4" t="s">
        <v>26</v>
      </c>
      <c r="P955" s="7" t="s">
        <v>30</v>
      </c>
    </row>
    <row r="956" spans="2:16" x14ac:dyDescent="0.45">
      <c r="B956" s="4">
        <v>955</v>
      </c>
      <c r="C956" s="4" t="s">
        <v>29</v>
      </c>
      <c r="D956" s="4" t="s">
        <v>16</v>
      </c>
      <c r="E956" s="4" t="s">
        <v>17</v>
      </c>
      <c r="F956" s="4" t="s">
        <v>28</v>
      </c>
      <c r="G956" s="4" t="s">
        <v>19</v>
      </c>
      <c r="H956" s="4" t="s">
        <v>32</v>
      </c>
      <c r="I956" s="4">
        <v>58</v>
      </c>
      <c r="J956" s="5">
        <v>78.7</v>
      </c>
      <c r="K956" s="6">
        <v>1.82</v>
      </c>
      <c r="L956" s="4">
        <v>5</v>
      </c>
      <c r="M956" s="4">
        <v>124</v>
      </c>
      <c r="N956" s="4">
        <v>154</v>
      </c>
      <c r="O956" s="4" t="s">
        <v>21</v>
      </c>
      <c r="P956" s="7" t="s">
        <v>19</v>
      </c>
    </row>
    <row r="957" spans="2:16" x14ac:dyDescent="0.45">
      <c r="B957" s="4">
        <v>956</v>
      </c>
      <c r="C957" s="4" t="s">
        <v>39</v>
      </c>
      <c r="D957" s="4" t="s">
        <v>23</v>
      </c>
      <c r="E957" s="4" t="s">
        <v>35</v>
      </c>
      <c r="F957" s="4" t="s">
        <v>42</v>
      </c>
      <c r="G957" s="4" t="s">
        <v>30</v>
      </c>
      <c r="H957" s="4" t="s">
        <v>46</v>
      </c>
      <c r="I957" s="4">
        <v>13</v>
      </c>
      <c r="J957" s="5">
        <v>41.7</v>
      </c>
      <c r="K957" s="6">
        <v>1.69</v>
      </c>
      <c r="L957" s="4">
        <v>6</v>
      </c>
      <c r="M957" s="4">
        <v>119</v>
      </c>
      <c r="N957" s="4">
        <v>70</v>
      </c>
      <c r="O957" s="4" t="s">
        <v>21</v>
      </c>
      <c r="P957" s="7" t="s">
        <v>19</v>
      </c>
    </row>
    <row r="958" spans="2:16" x14ac:dyDescent="0.45">
      <c r="B958" s="4">
        <v>957</v>
      </c>
      <c r="C958" s="4" t="s">
        <v>29</v>
      </c>
      <c r="D958" s="4" t="s">
        <v>23</v>
      </c>
      <c r="E958" s="4" t="s">
        <v>35</v>
      </c>
      <c r="F958" s="4" t="s">
        <v>24</v>
      </c>
      <c r="G958" s="4" t="s">
        <v>19</v>
      </c>
      <c r="H958" s="4" t="s">
        <v>25</v>
      </c>
      <c r="I958" s="4">
        <v>10</v>
      </c>
      <c r="J958" s="5">
        <v>21.4</v>
      </c>
      <c r="K958" s="6">
        <v>1.07</v>
      </c>
      <c r="L958" s="4">
        <v>3</v>
      </c>
      <c r="M958" s="4">
        <v>117</v>
      </c>
      <c r="N958" s="4">
        <v>84</v>
      </c>
      <c r="O958" s="4" t="s">
        <v>26</v>
      </c>
      <c r="P958" s="7" t="s">
        <v>19</v>
      </c>
    </row>
    <row r="959" spans="2:16" x14ac:dyDescent="0.45">
      <c r="B959" s="4">
        <v>958</v>
      </c>
      <c r="C959" s="4" t="s">
        <v>27</v>
      </c>
      <c r="D959" s="4" t="s">
        <v>16</v>
      </c>
      <c r="E959" s="4" t="s">
        <v>17</v>
      </c>
      <c r="F959" s="4" t="s">
        <v>18</v>
      </c>
      <c r="G959" s="4" t="s">
        <v>19</v>
      </c>
      <c r="H959" s="4" t="s">
        <v>20</v>
      </c>
      <c r="I959" s="4">
        <v>23</v>
      </c>
      <c r="J959" s="5">
        <v>53.5</v>
      </c>
      <c r="K959" s="6">
        <v>1.5</v>
      </c>
      <c r="L959" s="4">
        <v>5</v>
      </c>
      <c r="M959" s="4">
        <v>112</v>
      </c>
      <c r="N959" s="4">
        <v>78</v>
      </c>
      <c r="O959" s="4" t="s">
        <v>26</v>
      </c>
      <c r="P959" s="7" t="s">
        <v>19</v>
      </c>
    </row>
    <row r="960" spans="2:16" x14ac:dyDescent="0.45">
      <c r="B960" s="4">
        <v>959</v>
      </c>
      <c r="C960" s="4" t="s">
        <v>39</v>
      </c>
      <c r="D960" s="4" t="s">
        <v>16</v>
      </c>
      <c r="E960" s="4" t="s">
        <v>17</v>
      </c>
      <c r="F960" s="4" t="s">
        <v>24</v>
      </c>
      <c r="G960" s="4" t="s">
        <v>19</v>
      </c>
      <c r="H960" s="4" t="s">
        <v>28</v>
      </c>
      <c r="I960" s="4">
        <v>13</v>
      </c>
      <c r="J960" s="5">
        <v>59.2</v>
      </c>
      <c r="K960" s="6">
        <v>1.75</v>
      </c>
      <c r="L960" s="4">
        <v>9</v>
      </c>
      <c r="M960" s="4">
        <v>119</v>
      </c>
      <c r="N960" s="4">
        <v>89</v>
      </c>
      <c r="O960" s="4" t="s">
        <v>26</v>
      </c>
      <c r="P960" s="7" t="s">
        <v>19</v>
      </c>
    </row>
    <row r="961" spans="2:16" x14ac:dyDescent="0.45">
      <c r="B961" s="4">
        <v>960</v>
      </c>
      <c r="C961" s="4" t="s">
        <v>41</v>
      </c>
      <c r="D961" s="4" t="s">
        <v>23</v>
      </c>
      <c r="E961" s="4" t="s">
        <v>35</v>
      </c>
      <c r="F961" s="4" t="s">
        <v>28</v>
      </c>
      <c r="G961" s="4" t="s">
        <v>19</v>
      </c>
      <c r="H961" s="4" t="s">
        <v>34</v>
      </c>
      <c r="I961" s="4">
        <v>14</v>
      </c>
      <c r="J961" s="5">
        <v>45.8</v>
      </c>
      <c r="K961" s="6">
        <v>1.55</v>
      </c>
      <c r="L961" s="4">
        <v>1</v>
      </c>
      <c r="M961" s="4">
        <v>125</v>
      </c>
      <c r="N961" s="4">
        <v>90</v>
      </c>
      <c r="O961" s="4" t="s">
        <v>26</v>
      </c>
      <c r="P961" s="7" t="s">
        <v>30</v>
      </c>
    </row>
    <row r="962" spans="2:16" x14ac:dyDescent="0.45">
      <c r="B962" s="4">
        <v>961</v>
      </c>
      <c r="C962" s="4" t="s">
        <v>27</v>
      </c>
      <c r="D962" s="4" t="s">
        <v>16</v>
      </c>
      <c r="E962" s="4" t="s">
        <v>35</v>
      </c>
      <c r="F962" s="4" t="s">
        <v>18</v>
      </c>
      <c r="G962" s="4" t="s">
        <v>19</v>
      </c>
      <c r="H962" s="4" t="s">
        <v>28</v>
      </c>
      <c r="I962" s="4">
        <v>47</v>
      </c>
      <c r="J962" s="5">
        <v>76</v>
      </c>
      <c r="K962" s="6">
        <v>1.56</v>
      </c>
      <c r="L962" s="4">
        <v>3</v>
      </c>
      <c r="M962" s="4">
        <v>109</v>
      </c>
      <c r="N962" s="4">
        <v>96</v>
      </c>
      <c r="O962" s="4" t="s">
        <v>21</v>
      </c>
      <c r="P962" s="7" t="s">
        <v>19</v>
      </c>
    </row>
    <row r="963" spans="2:16" x14ac:dyDescent="0.45">
      <c r="B963" s="4">
        <v>962</v>
      </c>
      <c r="C963" s="4" t="s">
        <v>27</v>
      </c>
      <c r="D963" s="4" t="s">
        <v>16</v>
      </c>
      <c r="E963" s="4" t="s">
        <v>35</v>
      </c>
      <c r="F963" s="4" t="s">
        <v>24</v>
      </c>
      <c r="G963" s="4" t="s">
        <v>19</v>
      </c>
      <c r="H963" s="4" t="s">
        <v>20</v>
      </c>
      <c r="I963" s="4">
        <v>27</v>
      </c>
      <c r="J963" s="5">
        <v>90.6</v>
      </c>
      <c r="K963" s="6">
        <v>1.87</v>
      </c>
      <c r="L963" s="4">
        <v>2</v>
      </c>
      <c r="M963" s="4">
        <v>122</v>
      </c>
      <c r="N963" s="4">
        <v>91</v>
      </c>
      <c r="O963" s="4" t="s">
        <v>21</v>
      </c>
      <c r="P963" s="7" t="s">
        <v>19</v>
      </c>
    </row>
    <row r="964" spans="2:16" x14ac:dyDescent="0.45">
      <c r="B964" s="4">
        <v>963</v>
      </c>
      <c r="C964" s="4" t="s">
        <v>22</v>
      </c>
      <c r="D964" s="4" t="s">
        <v>16</v>
      </c>
      <c r="E964" s="4" t="s">
        <v>44</v>
      </c>
      <c r="F964" s="4" t="s">
        <v>24</v>
      </c>
      <c r="G964" s="4" t="s">
        <v>19</v>
      </c>
      <c r="H964" s="4" t="s">
        <v>28</v>
      </c>
      <c r="I964" s="4">
        <v>90</v>
      </c>
      <c r="J964" s="5">
        <v>77.2</v>
      </c>
      <c r="K964" s="6">
        <v>1.65</v>
      </c>
      <c r="L964" s="4">
        <v>2</v>
      </c>
      <c r="M964" s="4">
        <v>129</v>
      </c>
      <c r="N964" s="4">
        <v>96</v>
      </c>
      <c r="O964" s="4" t="s">
        <v>26</v>
      </c>
      <c r="P964" s="7" t="s">
        <v>19</v>
      </c>
    </row>
    <row r="965" spans="2:16" x14ac:dyDescent="0.45">
      <c r="B965" s="4">
        <v>964</v>
      </c>
      <c r="C965" s="4" t="s">
        <v>43</v>
      </c>
      <c r="D965" s="4" t="s">
        <v>16</v>
      </c>
      <c r="E965" s="4" t="s">
        <v>17</v>
      </c>
      <c r="F965" s="4" t="s">
        <v>28</v>
      </c>
      <c r="G965" s="4" t="s">
        <v>19</v>
      </c>
      <c r="H965" s="4" t="s">
        <v>20</v>
      </c>
      <c r="I965" s="4">
        <v>20</v>
      </c>
      <c r="J965" s="5">
        <v>64.400000000000006</v>
      </c>
      <c r="K965" s="6">
        <v>1.9</v>
      </c>
      <c r="L965" s="4">
        <v>2</v>
      </c>
      <c r="M965" s="4">
        <v>119</v>
      </c>
      <c r="N965" s="4">
        <v>81</v>
      </c>
      <c r="O965" s="4" t="s">
        <v>21</v>
      </c>
      <c r="P965" s="7" t="s">
        <v>19</v>
      </c>
    </row>
    <row r="966" spans="2:16" x14ac:dyDescent="0.45">
      <c r="B966" s="4">
        <v>965</v>
      </c>
      <c r="C966" s="4" t="s">
        <v>22</v>
      </c>
      <c r="D966" s="4" t="s">
        <v>16</v>
      </c>
      <c r="E966" s="4" t="s">
        <v>17</v>
      </c>
      <c r="F966" s="4" t="s">
        <v>18</v>
      </c>
      <c r="G966" s="4" t="s">
        <v>19</v>
      </c>
      <c r="H966" s="4" t="s">
        <v>28</v>
      </c>
      <c r="I966" s="4">
        <v>57</v>
      </c>
      <c r="J966" s="5">
        <v>53.9</v>
      </c>
      <c r="K966" s="6">
        <v>1.6</v>
      </c>
      <c r="L966" s="4">
        <v>1</v>
      </c>
      <c r="M966" s="4">
        <v>120</v>
      </c>
      <c r="N966" s="4">
        <v>97</v>
      </c>
      <c r="O966" s="4" t="s">
        <v>26</v>
      </c>
      <c r="P966" s="7" t="s">
        <v>19</v>
      </c>
    </row>
    <row r="967" spans="2:16" x14ac:dyDescent="0.45">
      <c r="B967" s="4">
        <v>966</v>
      </c>
      <c r="C967" s="4" t="s">
        <v>41</v>
      </c>
      <c r="D967" s="4" t="s">
        <v>16</v>
      </c>
      <c r="E967" s="4" t="s">
        <v>35</v>
      </c>
      <c r="F967" s="4" t="s">
        <v>18</v>
      </c>
      <c r="G967" s="4" t="s">
        <v>19</v>
      </c>
      <c r="H967" s="4" t="s">
        <v>36</v>
      </c>
      <c r="I967" s="4">
        <v>26</v>
      </c>
      <c r="J967" s="5">
        <v>74.3</v>
      </c>
      <c r="K967" s="6">
        <v>1.69</v>
      </c>
      <c r="L967" s="4">
        <v>2</v>
      </c>
      <c r="M967" s="4">
        <v>135</v>
      </c>
      <c r="N967" s="4">
        <v>83</v>
      </c>
      <c r="O967" s="4" t="s">
        <v>26</v>
      </c>
      <c r="P967" s="7" t="s">
        <v>19</v>
      </c>
    </row>
    <row r="968" spans="2:16" x14ac:dyDescent="0.45">
      <c r="B968" s="4">
        <v>967</v>
      </c>
      <c r="C968" s="4" t="s">
        <v>45</v>
      </c>
      <c r="D968" s="4" t="s">
        <v>16</v>
      </c>
      <c r="E968" s="4" t="s">
        <v>17</v>
      </c>
      <c r="F968" s="4" t="s">
        <v>24</v>
      </c>
      <c r="G968" s="4" t="s">
        <v>19</v>
      </c>
      <c r="H968" s="4" t="s">
        <v>20</v>
      </c>
      <c r="I968" s="4">
        <v>33</v>
      </c>
      <c r="J968" s="5">
        <v>54.6</v>
      </c>
      <c r="K968" s="6">
        <v>1.49</v>
      </c>
      <c r="L968" s="4">
        <v>6</v>
      </c>
      <c r="M968" s="4">
        <v>113</v>
      </c>
      <c r="N968" s="4">
        <v>71</v>
      </c>
      <c r="O968" s="4" t="s">
        <v>26</v>
      </c>
      <c r="P968" s="7" t="s">
        <v>19</v>
      </c>
    </row>
    <row r="969" spans="2:16" x14ac:dyDescent="0.45">
      <c r="B969" s="4">
        <v>968</v>
      </c>
      <c r="C969" s="4" t="s">
        <v>22</v>
      </c>
      <c r="D969" s="4" t="s">
        <v>23</v>
      </c>
      <c r="E969" s="4" t="s">
        <v>17</v>
      </c>
      <c r="F969" s="4" t="s">
        <v>18</v>
      </c>
      <c r="G969" s="4" t="s">
        <v>19</v>
      </c>
      <c r="H969" s="4" t="s">
        <v>34</v>
      </c>
      <c r="I969" s="4">
        <v>12</v>
      </c>
      <c r="J969" s="5">
        <v>56.7</v>
      </c>
      <c r="K969" s="6">
        <v>1.69</v>
      </c>
      <c r="L969" s="4">
        <v>2</v>
      </c>
      <c r="M969" s="4">
        <v>112</v>
      </c>
      <c r="N969" s="4">
        <v>79</v>
      </c>
      <c r="O969" s="4" t="s">
        <v>26</v>
      </c>
      <c r="P969" s="7" t="s">
        <v>19</v>
      </c>
    </row>
    <row r="970" spans="2:16" x14ac:dyDescent="0.45">
      <c r="B970" s="4">
        <v>969</v>
      </c>
      <c r="C970" s="4" t="s">
        <v>29</v>
      </c>
      <c r="D970" s="4" t="s">
        <v>23</v>
      </c>
      <c r="E970" s="4" t="s">
        <v>35</v>
      </c>
      <c r="F970" s="4" t="s">
        <v>28</v>
      </c>
      <c r="G970" s="4" t="s">
        <v>19</v>
      </c>
      <c r="H970" s="4" t="s">
        <v>28</v>
      </c>
      <c r="I970" s="4">
        <v>25</v>
      </c>
      <c r="J970" s="5">
        <v>77.099999999999994</v>
      </c>
      <c r="K970" s="6">
        <v>1.62</v>
      </c>
      <c r="L970" s="4">
        <v>5</v>
      </c>
      <c r="M970" s="4">
        <v>122</v>
      </c>
      <c r="N970" s="4">
        <v>77</v>
      </c>
      <c r="O970" s="4" t="s">
        <v>21</v>
      </c>
      <c r="P970" s="7" t="s">
        <v>19</v>
      </c>
    </row>
    <row r="971" spans="2:16" x14ac:dyDescent="0.45">
      <c r="B971" s="4">
        <v>970</v>
      </c>
      <c r="C971" s="4" t="s">
        <v>27</v>
      </c>
      <c r="D971" s="4" t="s">
        <v>23</v>
      </c>
      <c r="E971" s="4" t="s">
        <v>17</v>
      </c>
      <c r="F971" s="4" t="s">
        <v>24</v>
      </c>
      <c r="G971" s="4" t="s">
        <v>19</v>
      </c>
      <c r="H971" s="4" t="s">
        <v>20</v>
      </c>
      <c r="I971" s="4">
        <v>29</v>
      </c>
      <c r="J971" s="5">
        <v>91.7</v>
      </c>
      <c r="K971" s="6">
        <v>1.88</v>
      </c>
      <c r="L971" s="4">
        <v>1</v>
      </c>
      <c r="M971" s="4">
        <v>116</v>
      </c>
      <c r="N971" s="4">
        <v>75</v>
      </c>
      <c r="O971" s="4" t="s">
        <v>26</v>
      </c>
      <c r="P971" s="7" t="s">
        <v>19</v>
      </c>
    </row>
    <row r="972" spans="2:16" x14ac:dyDescent="0.45">
      <c r="B972" s="4">
        <v>971</v>
      </c>
      <c r="C972" s="4" t="s">
        <v>41</v>
      </c>
      <c r="D972" s="4" t="s">
        <v>23</v>
      </c>
      <c r="E972" s="4" t="s">
        <v>37</v>
      </c>
      <c r="F972" s="4" t="s">
        <v>18</v>
      </c>
      <c r="G972" s="4" t="s">
        <v>19</v>
      </c>
      <c r="H972" s="4" t="s">
        <v>20</v>
      </c>
      <c r="I972" s="4">
        <v>15</v>
      </c>
      <c r="J972" s="5">
        <v>48.1</v>
      </c>
      <c r="K972" s="6">
        <v>1.52</v>
      </c>
      <c r="L972" s="4">
        <v>1</v>
      </c>
      <c r="M972" s="4">
        <v>113</v>
      </c>
      <c r="N972" s="4">
        <v>105</v>
      </c>
      <c r="O972" s="4" t="s">
        <v>21</v>
      </c>
      <c r="P972" s="7" t="s">
        <v>19</v>
      </c>
    </row>
    <row r="973" spans="2:16" x14ac:dyDescent="0.45">
      <c r="B973" s="4">
        <v>972</v>
      </c>
      <c r="C973" s="4" t="s">
        <v>27</v>
      </c>
      <c r="D973" s="4" t="s">
        <v>23</v>
      </c>
      <c r="E973" s="4" t="s">
        <v>17</v>
      </c>
      <c r="F973" s="4" t="s">
        <v>24</v>
      </c>
      <c r="G973" s="4" t="s">
        <v>19</v>
      </c>
      <c r="H973" s="4" t="s">
        <v>20</v>
      </c>
      <c r="I973" s="4">
        <v>90</v>
      </c>
      <c r="J973" s="5">
        <v>66</v>
      </c>
      <c r="K973" s="6">
        <v>1.52</v>
      </c>
      <c r="L973" s="4">
        <v>1</v>
      </c>
      <c r="M973" s="4">
        <v>121</v>
      </c>
      <c r="N973" s="4">
        <v>91</v>
      </c>
      <c r="O973" s="4" t="s">
        <v>21</v>
      </c>
      <c r="P973" s="7" t="s">
        <v>30</v>
      </c>
    </row>
    <row r="974" spans="2:16" x14ac:dyDescent="0.45">
      <c r="B974" s="4">
        <v>973</v>
      </c>
      <c r="C974" s="4" t="s">
        <v>33</v>
      </c>
      <c r="D974" s="4" t="s">
        <v>16</v>
      </c>
      <c r="E974" s="4" t="s">
        <v>17</v>
      </c>
      <c r="F974" s="4" t="s">
        <v>18</v>
      </c>
      <c r="G974" s="4" t="s">
        <v>30</v>
      </c>
      <c r="H974" s="4" t="s">
        <v>28</v>
      </c>
      <c r="I974" s="4">
        <v>41</v>
      </c>
      <c r="J974" s="5">
        <v>87.2</v>
      </c>
      <c r="K974" s="6">
        <v>1.89</v>
      </c>
      <c r="L974" s="4">
        <v>1</v>
      </c>
      <c r="M974" s="4">
        <v>105</v>
      </c>
      <c r="N974" s="4">
        <v>77</v>
      </c>
      <c r="O974" s="4" t="s">
        <v>21</v>
      </c>
      <c r="P974" s="7" t="s">
        <v>19</v>
      </c>
    </row>
    <row r="975" spans="2:16" x14ac:dyDescent="0.45">
      <c r="B975" s="4">
        <v>974</v>
      </c>
      <c r="C975" s="4" t="s">
        <v>31</v>
      </c>
      <c r="D975" s="4" t="s">
        <v>16</v>
      </c>
      <c r="E975" s="4" t="s">
        <v>17</v>
      </c>
      <c r="F975" s="4" t="s">
        <v>18</v>
      </c>
      <c r="G975" s="4" t="s">
        <v>30</v>
      </c>
      <c r="H975" s="4" t="s">
        <v>36</v>
      </c>
      <c r="I975" s="4">
        <v>53</v>
      </c>
      <c r="J975" s="5">
        <v>77.7</v>
      </c>
      <c r="K975" s="6">
        <v>1.78</v>
      </c>
      <c r="L975" s="4">
        <v>2</v>
      </c>
      <c r="M975" s="4">
        <v>143</v>
      </c>
      <c r="N975" s="4">
        <v>86</v>
      </c>
      <c r="O975" s="4" t="s">
        <v>21</v>
      </c>
      <c r="P975" s="7" t="s">
        <v>19</v>
      </c>
    </row>
    <row r="976" spans="2:16" x14ac:dyDescent="0.45">
      <c r="B976" s="4">
        <v>975</v>
      </c>
      <c r="C976" s="4" t="s">
        <v>33</v>
      </c>
      <c r="D976" s="4" t="s">
        <v>23</v>
      </c>
      <c r="E976" s="4" t="s">
        <v>37</v>
      </c>
      <c r="F976" s="4" t="s">
        <v>18</v>
      </c>
      <c r="G976" s="4" t="s">
        <v>30</v>
      </c>
      <c r="H976" s="4" t="s">
        <v>28</v>
      </c>
      <c r="I976" s="4">
        <v>64</v>
      </c>
      <c r="J976" s="5">
        <v>61.6</v>
      </c>
      <c r="K976" s="6">
        <v>1.84</v>
      </c>
      <c r="L976" s="4">
        <v>2</v>
      </c>
      <c r="M976" s="4">
        <v>138</v>
      </c>
      <c r="N976" s="4">
        <v>94</v>
      </c>
      <c r="O976" s="4" t="s">
        <v>21</v>
      </c>
      <c r="P976" s="7" t="s">
        <v>30</v>
      </c>
    </row>
    <row r="977" spans="2:16" x14ac:dyDescent="0.45">
      <c r="B977" s="4">
        <v>976</v>
      </c>
      <c r="C977" s="4" t="s">
        <v>39</v>
      </c>
      <c r="D977" s="4" t="s">
        <v>23</v>
      </c>
      <c r="E977" s="4" t="s">
        <v>35</v>
      </c>
      <c r="F977" s="4" t="s">
        <v>18</v>
      </c>
      <c r="G977" s="4" t="s">
        <v>19</v>
      </c>
      <c r="H977" s="4" t="s">
        <v>20</v>
      </c>
      <c r="I977" s="4">
        <v>1</v>
      </c>
      <c r="J977" s="5">
        <v>18</v>
      </c>
      <c r="K977" s="6">
        <v>0.71</v>
      </c>
      <c r="L977" s="4">
        <v>2</v>
      </c>
      <c r="M977" s="4">
        <v>108</v>
      </c>
      <c r="N977" s="4">
        <v>93</v>
      </c>
      <c r="O977" s="4" t="s">
        <v>21</v>
      </c>
      <c r="P977" s="7" t="s">
        <v>19</v>
      </c>
    </row>
    <row r="978" spans="2:16" x14ac:dyDescent="0.45">
      <c r="B978" s="4">
        <v>977</v>
      </c>
      <c r="C978" s="4" t="s">
        <v>33</v>
      </c>
      <c r="D978" s="4" t="s">
        <v>16</v>
      </c>
      <c r="E978" s="4" t="s">
        <v>17</v>
      </c>
      <c r="F978" s="4" t="s">
        <v>24</v>
      </c>
      <c r="G978" s="4" t="s">
        <v>19</v>
      </c>
      <c r="H978" s="4" t="s">
        <v>34</v>
      </c>
      <c r="I978" s="4">
        <v>55</v>
      </c>
      <c r="J978" s="5">
        <v>52.6</v>
      </c>
      <c r="K978" s="6">
        <v>1.66</v>
      </c>
      <c r="L978" s="4">
        <v>9</v>
      </c>
      <c r="M978" s="4">
        <v>131</v>
      </c>
      <c r="N978" s="4">
        <v>96</v>
      </c>
      <c r="O978" s="4" t="s">
        <v>21</v>
      </c>
      <c r="P978" s="7" t="s">
        <v>19</v>
      </c>
    </row>
    <row r="979" spans="2:16" x14ac:dyDescent="0.45">
      <c r="B979" s="4">
        <v>978</v>
      </c>
      <c r="C979" s="4" t="s">
        <v>22</v>
      </c>
      <c r="D979" s="4" t="s">
        <v>16</v>
      </c>
      <c r="E979" s="4" t="s">
        <v>35</v>
      </c>
      <c r="F979" s="4" t="s">
        <v>42</v>
      </c>
      <c r="G979" s="4" t="s">
        <v>19</v>
      </c>
      <c r="H979" s="4" t="s">
        <v>38</v>
      </c>
      <c r="I979" s="4">
        <v>34</v>
      </c>
      <c r="J979" s="5">
        <v>53.4</v>
      </c>
      <c r="K979" s="6">
        <v>1.54</v>
      </c>
      <c r="L979" s="4">
        <v>4</v>
      </c>
      <c r="M979" s="4">
        <v>110</v>
      </c>
      <c r="N979" s="4">
        <v>80</v>
      </c>
      <c r="O979" s="4" t="s">
        <v>26</v>
      </c>
      <c r="P979" s="7" t="s">
        <v>19</v>
      </c>
    </row>
    <row r="980" spans="2:16" x14ac:dyDescent="0.45">
      <c r="B980" s="4">
        <v>979</v>
      </c>
      <c r="C980" s="4" t="s">
        <v>29</v>
      </c>
      <c r="D980" s="4" t="s">
        <v>23</v>
      </c>
      <c r="E980" s="4" t="s">
        <v>35</v>
      </c>
      <c r="F980" s="4" t="s">
        <v>18</v>
      </c>
      <c r="G980" s="4" t="s">
        <v>19</v>
      </c>
      <c r="H980" s="4" t="s">
        <v>38</v>
      </c>
      <c r="I980" s="4">
        <v>7</v>
      </c>
      <c r="J980" s="5">
        <v>35.799999999999997</v>
      </c>
      <c r="K980" s="6">
        <v>1.41</v>
      </c>
      <c r="L980" s="4">
        <v>0</v>
      </c>
      <c r="M980" s="4">
        <v>111</v>
      </c>
      <c r="N980" s="4">
        <v>87</v>
      </c>
      <c r="O980" s="4" t="s">
        <v>21</v>
      </c>
      <c r="P980" s="7" t="s">
        <v>19</v>
      </c>
    </row>
    <row r="981" spans="2:16" x14ac:dyDescent="0.45">
      <c r="B981" s="4">
        <v>980</v>
      </c>
      <c r="C981" s="4" t="s">
        <v>15</v>
      </c>
      <c r="D981" s="4" t="s">
        <v>23</v>
      </c>
      <c r="E981" s="4" t="s">
        <v>17</v>
      </c>
      <c r="F981" s="4" t="s">
        <v>18</v>
      </c>
      <c r="G981" s="4" t="s">
        <v>19</v>
      </c>
      <c r="H981" s="4" t="s">
        <v>28</v>
      </c>
      <c r="I981" s="4">
        <v>14</v>
      </c>
      <c r="J981" s="5">
        <v>59.4</v>
      </c>
      <c r="K981" s="6">
        <v>1.7</v>
      </c>
      <c r="L981" s="4">
        <v>5</v>
      </c>
      <c r="M981" s="4">
        <v>98</v>
      </c>
      <c r="N981" s="4">
        <v>93</v>
      </c>
      <c r="O981" s="4" t="s">
        <v>26</v>
      </c>
      <c r="P981" s="7" t="s">
        <v>19</v>
      </c>
    </row>
    <row r="982" spans="2:16" x14ac:dyDescent="0.45">
      <c r="B982" s="4">
        <v>981</v>
      </c>
      <c r="C982" s="4" t="s">
        <v>29</v>
      </c>
      <c r="D982" s="4" t="s">
        <v>23</v>
      </c>
      <c r="E982" s="4" t="s">
        <v>44</v>
      </c>
      <c r="F982" s="4" t="s">
        <v>18</v>
      </c>
      <c r="G982" s="4" t="s">
        <v>19</v>
      </c>
      <c r="H982" s="4" t="s">
        <v>20</v>
      </c>
      <c r="I982" s="4">
        <v>16</v>
      </c>
      <c r="J982" s="5">
        <v>41.9</v>
      </c>
      <c r="K982" s="6">
        <v>1.58</v>
      </c>
      <c r="L982" s="4">
        <v>2</v>
      </c>
      <c r="M982" s="4">
        <v>107</v>
      </c>
      <c r="N982" s="4">
        <v>85</v>
      </c>
      <c r="O982" s="4" t="s">
        <v>26</v>
      </c>
      <c r="P982" s="7" t="s">
        <v>19</v>
      </c>
    </row>
    <row r="983" spans="2:16" x14ac:dyDescent="0.45">
      <c r="B983" s="4">
        <v>982</v>
      </c>
      <c r="C983" s="4" t="s">
        <v>45</v>
      </c>
      <c r="D983" s="4" t="s">
        <v>16</v>
      </c>
      <c r="E983" s="4" t="s">
        <v>35</v>
      </c>
      <c r="F983" s="4" t="s">
        <v>18</v>
      </c>
      <c r="G983" s="4" t="s">
        <v>19</v>
      </c>
      <c r="H983" s="4" t="s">
        <v>20</v>
      </c>
      <c r="I983" s="4">
        <v>26</v>
      </c>
      <c r="J983" s="5">
        <v>69.8</v>
      </c>
      <c r="K983" s="6">
        <v>1.7</v>
      </c>
      <c r="L983" s="4">
        <v>2</v>
      </c>
      <c r="M983" s="4">
        <v>111</v>
      </c>
      <c r="N983" s="4">
        <v>74</v>
      </c>
      <c r="O983" s="4" t="s">
        <v>26</v>
      </c>
      <c r="P983" s="7" t="s">
        <v>19</v>
      </c>
    </row>
    <row r="984" spans="2:16" x14ac:dyDescent="0.45">
      <c r="B984" s="4">
        <v>983</v>
      </c>
      <c r="C984" s="4" t="s">
        <v>40</v>
      </c>
      <c r="D984" s="4" t="s">
        <v>23</v>
      </c>
      <c r="E984" s="4" t="s">
        <v>35</v>
      </c>
      <c r="F984" s="4" t="s">
        <v>18</v>
      </c>
      <c r="G984" s="4" t="s">
        <v>19</v>
      </c>
      <c r="H984" s="4" t="s">
        <v>28</v>
      </c>
      <c r="I984" s="4">
        <v>12</v>
      </c>
      <c r="J984" s="5">
        <v>52.8</v>
      </c>
      <c r="K984" s="6">
        <v>1.49</v>
      </c>
      <c r="L984" s="4">
        <v>1</v>
      </c>
      <c r="M984" s="4">
        <v>107</v>
      </c>
      <c r="N984" s="4">
        <v>76</v>
      </c>
      <c r="O984" s="4" t="s">
        <v>26</v>
      </c>
      <c r="P984" s="7" t="s">
        <v>19</v>
      </c>
    </row>
    <row r="985" spans="2:16" x14ac:dyDescent="0.45">
      <c r="B985" s="4">
        <v>984</v>
      </c>
      <c r="C985" s="4" t="s">
        <v>27</v>
      </c>
      <c r="D985" s="4" t="s">
        <v>16</v>
      </c>
      <c r="E985" s="4" t="s">
        <v>17</v>
      </c>
      <c r="F985" s="4" t="s">
        <v>18</v>
      </c>
      <c r="G985" s="4" t="s">
        <v>19</v>
      </c>
      <c r="H985" s="4" t="s">
        <v>25</v>
      </c>
      <c r="I985" s="4">
        <v>6</v>
      </c>
      <c r="J985" s="5">
        <v>30.3</v>
      </c>
      <c r="K985" s="6">
        <v>1.06</v>
      </c>
      <c r="L985" s="4">
        <v>9</v>
      </c>
      <c r="M985" s="4">
        <v>110</v>
      </c>
      <c r="N985" s="4">
        <v>89</v>
      </c>
      <c r="O985" s="4" t="s">
        <v>26</v>
      </c>
      <c r="P985" s="7" t="s">
        <v>19</v>
      </c>
    </row>
    <row r="986" spans="2:16" x14ac:dyDescent="0.45">
      <c r="B986" s="4">
        <v>985</v>
      </c>
      <c r="C986" s="4" t="s">
        <v>27</v>
      </c>
      <c r="D986" s="4" t="s">
        <v>23</v>
      </c>
      <c r="E986" s="4" t="s">
        <v>17</v>
      </c>
      <c r="F986" s="4" t="s">
        <v>24</v>
      </c>
      <c r="G986" s="4" t="s">
        <v>19</v>
      </c>
      <c r="H986" s="4" t="s">
        <v>32</v>
      </c>
      <c r="I986" s="4">
        <v>5</v>
      </c>
      <c r="J986" s="5">
        <v>29.1</v>
      </c>
      <c r="K986" s="6">
        <v>1.35</v>
      </c>
      <c r="L986" s="4">
        <v>2</v>
      </c>
      <c r="M986" s="4">
        <v>94</v>
      </c>
      <c r="N986" s="4">
        <v>142</v>
      </c>
      <c r="O986" s="4" t="s">
        <v>21</v>
      </c>
      <c r="P986" s="7" t="s">
        <v>19</v>
      </c>
    </row>
    <row r="987" spans="2:16" x14ac:dyDescent="0.45">
      <c r="B987" s="4">
        <v>986</v>
      </c>
      <c r="C987" s="4" t="s">
        <v>27</v>
      </c>
      <c r="D987" s="4" t="s">
        <v>16</v>
      </c>
      <c r="E987" s="4" t="s">
        <v>17</v>
      </c>
      <c r="F987" s="4" t="s">
        <v>18</v>
      </c>
      <c r="G987" s="4" t="s">
        <v>19</v>
      </c>
      <c r="H987" s="4" t="s">
        <v>28</v>
      </c>
      <c r="I987" s="4">
        <v>10</v>
      </c>
      <c r="J987" s="5">
        <v>35</v>
      </c>
      <c r="K987" s="6">
        <v>1.3</v>
      </c>
      <c r="L987" s="4">
        <v>5</v>
      </c>
      <c r="M987" s="4">
        <v>109</v>
      </c>
      <c r="N987" s="4">
        <v>84</v>
      </c>
      <c r="O987" s="4" t="s">
        <v>26</v>
      </c>
      <c r="P987" s="7" t="s">
        <v>19</v>
      </c>
    </row>
    <row r="988" spans="2:16" x14ac:dyDescent="0.45">
      <c r="B988" s="4">
        <v>987</v>
      </c>
      <c r="C988" s="4" t="s">
        <v>31</v>
      </c>
      <c r="D988" s="4" t="s">
        <v>16</v>
      </c>
      <c r="E988" s="4" t="s">
        <v>17</v>
      </c>
      <c r="F988" s="4" t="s">
        <v>24</v>
      </c>
      <c r="G988" s="4" t="s">
        <v>19</v>
      </c>
      <c r="H988" s="4" t="s">
        <v>28</v>
      </c>
      <c r="I988" s="4">
        <v>24</v>
      </c>
      <c r="J988" s="5">
        <v>66</v>
      </c>
      <c r="K988" s="6">
        <v>1.61</v>
      </c>
      <c r="L988" s="4">
        <v>5</v>
      </c>
      <c r="M988" s="4">
        <v>107</v>
      </c>
      <c r="N988" s="4">
        <v>76</v>
      </c>
      <c r="O988" s="4" t="s">
        <v>26</v>
      </c>
      <c r="P988" s="7" t="s">
        <v>19</v>
      </c>
    </row>
    <row r="989" spans="2:16" x14ac:dyDescent="0.45">
      <c r="B989" s="4">
        <v>988</v>
      </c>
      <c r="C989" s="4" t="s">
        <v>29</v>
      </c>
      <c r="D989" s="4" t="s">
        <v>16</v>
      </c>
      <c r="E989" s="4" t="s">
        <v>17</v>
      </c>
      <c r="F989" s="4" t="s">
        <v>24</v>
      </c>
      <c r="G989" s="4" t="s">
        <v>19</v>
      </c>
      <c r="H989" s="4" t="s">
        <v>36</v>
      </c>
      <c r="I989" s="4">
        <v>7</v>
      </c>
      <c r="J989" s="5">
        <v>28.2</v>
      </c>
      <c r="K989" s="6">
        <v>1.1399999999999999</v>
      </c>
      <c r="L989" s="4">
        <v>2</v>
      </c>
      <c r="M989" s="4">
        <v>131</v>
      </c>
      <c r="N989" s="4">
        <v>92</v>
      </c>
      <c r="O989" s="4" t="s">
        <v>26</v>
      </c>
      <c r="P989" s="7" t="s">
        <v>19</v>
      </c>
    </row>
    <row r="990" spans="2:16" x14ac:dyDescent="0.45">
      <c r="B990" s="4">
        <v>989</v>
      </c>
      <c r="C990" s="4" t="s">
        <v>45</v>
      </c>
      <c r="D990" s="4" t="s">
        <v>23</v>
      </c>
      <c r="E990" s="4" t="s">
        <v>35</v>
      </c>
      <c r="F990" s="4" t="s">
        <v>24</v>
      </c>
      <c r="G990" s="4" t="s">
        <v>19</v>
      </c>
      <c r="H990" s="4" t="s">
        <v>34</v>
      </c>
      <c r="I990" s="4">
        <v>54</v>
      </c>
      <c r="J990" s="5">
        <v>77.3</v>
      </c>
      <c r="K990" s="6">
        <v>1.51</v>
      </c>
      <c r="L990" s="4">
        <v>9</v>
      </c>
      <c r="M990" s="4">
        <v>116</v>
      </c>
      <c r="N990" s="4">
        <v>104</v>
      </c>
      <c r="O990" s="4" t="s">
        <v>26</v>
      </c>
      <c r="P990" s="7" t="s">
        <v>19</v>
      </c>
    </row>
    <row r="991" spans="2:16" x14ac:dyDescent="0.45">
      <c r="B991" s="4">
        <v>990</v>
      </c>
      <c r="C991" s="4" t="s">
        <v>15</v>
      </c>
      <c r="D991" s="4" t="s">
        <v>16</v>
      </c>
      <c r="E991" s="4" t="s">
        <v>17</v>
      </c>
      <c r="F991" s="4" t="s">
        <v>24</v>
      </c>
      <c r="G991" s="4" t="s">
        <v>19</v>
      </c>
      <c r="H991" s="4" t="s">
        <v>32</v>
      </c>
      <c r="I991" s="4">
        <v>43</v>
      </c>
      <c r="J991" s="5">
        <v>60.1</v>
      </c>
      <c r="K991" s="6">
        <v>1.85</v>
      </c>
      <c r="L991" s="4">
        <v>2</v>
      </c>
      <c r="M991" s="4">
        <v>109</v>
      </c>
      <c r="N991" s="4">
        <v>156</v>
      </c>
      <c r="O991" s="4" t="s">
        <v>26</v>
      </c>
      <c r="P991" s="7" t="s">
        <v>19</v>
      </c>
    </row>
    <row r="992" spans="2:16" x14ac:dyDescent="0.45">
      <c r="B992" s="4">
        <v>991</v>
      </c>
      <c r="C992" s="4" t="s">
        <v>43</v>
      </c>
      <c r="D992" s="4" t="s">
        <v>23</v>
      </c>
      <c r="E992" s="4" t="s">
        <v>17</v>
      </c>
      <c r="F992" s="4" t="s">
        <v>18</v>
      </c>
      <c r="G992" s="4" t="s">
        <v>19</v>
      </c>
      <c r="H992" s="4" t="s">
        <v>28</v>
      </c>
      <c r="I992" s="4">
        <v>15</v>
      </c>
      <c r="J992" s="5">
        <v>60.8</v>
      </c>
      <c r="K992" s="6">
        <v>1.63</v>
      </c>
      <c r="L992" s="4">
        <v>8</v>
      </c>
      <c r="M992" s="4">
        <v>117</v>
      </c>
      <c r="N992" s="4">
        <v>95</v>
      </c>
      <c r="O992" s="4" t="s">
        <v>26</v>
      </c>
      <c r="P992" s="7" t="s">
        <v>19</v>
      </c>
    </row>
    <row r="993" spans="2:16" x14ac:dyDescent="0.45">
      <c r="B993" s="4">
        <v>992</v>
      </c>
      <c r="C993" s="4" t="s">
        <v>43</v>
      </c>
      <c r="D993" s="4" t="s">
        <v>16</v>
      </c>
      <c r="E993" s="4" t="s">
        <v>44</v>
      </c>
      <c r="F993" s="4" t="s">
        <v>24</v>
      </c>
      <c r="G993" s="4" t="s">
        <v>19</v>
      </c>
      <c r="H993" s="4" t="s">
        <v>20</v>
      </c>
      <c r="I993" s="4">
        <v>13</v>
      </c>
      <c r="J993" s="5">
        <v>56.5</v>
      </c>
      <c r="K993" s="6">
        <v>1.69</v>
      </c>
      <c r="L993" s="4">
        <v>2</v>
      </c>
      <c r="M993" s="4">
        <v>97</v>
      </c>
      <c r="N993" s="4">
        <v>96</v>
      </c>
      <c r="O993" s="4" t="s">
        <v>26</v>
      </c>
      <c r="P993" s="7" t="s">
        <v>19</v>
      </c>
    </row>
    <row r="994" spans="2:16" x14ac:dyDescent="0.45">
      <c r="B994" s="4">
        <v>993</v>
      </c>
      <c r="C994" s="4" t="s">
        <v>27</v>
      </c>
      <c r="D994" s="4" t="s">
        <v>16</v>
      </c>
      <c r="E994" s="4" t="s">
        <v>44</v>
      </c>
      <c r="F994" s="4" t="s">
        <v>24</v>
      </c>
      <c r="G994" s="4" t="s">
        <v>19</v>
      </c>
      <c r="H994" s="4" t="s">
        <v>20</v>
      </c>
      <c r="I994" s="4">
        <v>1</v>
      </c>
      <c r="J994" s="5">
        <v>13.1</v>
      </c>
      <c r="K994" s="6">
        <v>0.74</v>
      </c>
      <c r="L994" s="4">
        <v>1</v>
      </c>
      <c r="M994" s="4">
        <v>114</v>
      </c>
      <c r="N994" s="4">
        <v>97</v>
      </c>
      <c r="O994" s="4" t="s">
        <v>21</v>
      </c>
      <c r="P994" s="7" t="s">
        <v>19</v>
      </c>
    </row>
    <row r="995" spans="2:16" x14ac:dyDescent="0.45">
      <c r="B995" s="4">
        <v>994</v>
      </c>
      <c r="C995" s="4" t="s">
        <v>31</v>
      </c>
      <c r="D995" s="4" t="s">
        <v>23</v>
      </c>
      <c r="E995" s="4" t="s">
        <v>35</v>
      </c>
      <c r="F995" s="4" t="s">
        <v>24</v>
      </c>
      <c r="G995" s="4" t="s">
        <v>19</v>
      </c>
      <c r="H995" s="4" t="s">
        <v>34</v>
      </c>
      <c r="I995" s="4">
        <v>10</v>
      </c>
      <c r="J995" s="5">
        <v>32.299999999999997</v>
      </c>
      <c r="K995" s="6">
        <v>1.4</v>
      </c>
      <c r="L995" s="4">
        <v>0</v>
      </c>
      <c r="M995" s="4">
        <v>121</v>
      </c>
      <c r="N995" s="4">
        <v>98</v>
      </c>
      <c r="O995" s="4" t="s">
        <v>21</v>
      </c>
      <c r="P995" s="7" t="s">
        <v>30</v>
      </c>
    </row>
    <row r="996" spans="2:16" x14ac:dyDescent="0.45">
      <c r="B996" s="4">
        <v>995</v>
      </c>
      <c r="C996" s="4" t="s">
        <v>41</v>
      </c>
      <c r="D996" s="4" t="s">
        <v>16</v>
      </c>
      <c r="E996" s="4" t="s">
        <v>35</v>
      </c>
      <c r="F996" s="4" t="s">
        <v>24</v>
      </c>
      <c r="G996" s="4" t="s">
        <v>19</v>
      </c>
      <c r="H996" s="4" t="s">
        <v>32</v>
      </c>
      <c r="I996" s="4">
        <v>77</v>
      </c>
      <c r="J996" s="5">
        <v>68.900000000000006</v>
      </c>
      <c r="K996" s="6">
        <v>1.48</v>
      </c>
      <c r="L996" s="4">
        <v>1</v>
      </c>
      <c r="M996" s="4">
        <v>135</v>
      </c>
      <c r="N996" s="4">
        <v>143</v>
      </c>
      <c r="O996" s="4" t="s">
        <v>26</v>
      </c>
      <c r="P996" s="7" t="s">
        <v>19</v>
      </c>
    </row>
    <row r="997" spans="2:16" x14ac:dyDescent="0.45">
      <c r="B997" s="4">
        <v>996</v>
      </c>
      <c r="C997" s="4" t="s">
        <v>39</v>
      </c>
      <c r="D997" s="4" t="s">
        <v>23</v>
      </c>
      <c r="E997" s="4" t="s">
        <v>17</v>
      </c>
      <c r="F997" s="4" t="s">
        <v>18</v>
      </c>
      <c r="G997" s="4" t="s">
        <v>19</v>
      </c>
      <c r="H997" s="4" t="s">
        <v>20</v>
      </c>
      <c r="I997" s="4">
        <v>20</v>
      </c>
      <c r="J997" s="5">
        <v>84.9</v>
      </c>
      <c r="K997" s="6">
        <v>1.6</v>
      </c>
      <c r="L997" s="4">
        <v>0</v>
      </c>
      <c r="M997" s="4">
        <v>123</v>
      </c>
      <c r="N997" s="4">
        <v>77</v>
      </c>
      <c r="O997" s="4" t="s">
        <v>26</v>
      </c>
      <c r="P997" s="7" t="s">
        <v>30</v>
      </c>
    </row>
    <row r="998" spans="2:16" x14ac:dyDescent="0.45">
      <c r="B998" s="4">
        <v>997</v>
      </c>
      <c r="C998" s="4" t="s">
        <v>43</v>
      </c>
      <c r="D998" s="4" t="s">
        <v>23</v>
      </c>
      <c r="E998" s="4" t="s">
        <v>44</v>
      </c>
      <c r="F998" s="4" t="s">
        <v>24</v>
      </c>
      <c r="G998" s="4" t="s">
        <v>30</v>
      </c>
      <c r="H998" s="4" t="s">
        <v>25</v>
      </c>
      <c r="I998" s="4">
        <v>17</v>
      </c>
      <c r="J998" s="5">
        <v>41.1</v>
      </c>
      <c r="K998" s="6">
        <v>1.62</v>
      </c>
      <c r="L998" s="4">
        <v>0</v>
      </c>
      <c r="M998" s="4">
        <v>100</v>
      </c>
      <c r="N998" s="4">
        <v>75</v>
      </c>
      <c r="O998" s="4" t="s">
        <v>21</v>
      </c>
      <c r="P998" s="7" t="s">
        <v>19</v>
      </c>
    </row>
    <row r="999" spans="2:16" x14ac:dyDescent="0.45">
      <c r="B999" s="4">
        <v>998</v>
      </c>
      <c r="C999" s="4" t="s">
        <v>45</v>
      </c>
      <c r="D999" s="4" t="s">
        <v>23</v>
      </c>
      <c r="E999" s="4" t="s">
        <v>17</v>
      </c>
      <c r="F999" s="4" t="s">
        <v>24</v>
      </c>
      <c r="G999" s="4" t="s">
        <v>19</v>
      </c>
      <c r="H999" s="4" t="s">
        <v>38</v>
      </c>
      <c r="I999" s="4">
        <v>38</v>
      </c>
      <c r="J999" s="5">
        <v>47.5</v>
      </c>
      <c r="K999" s="6">
        <v>1.5</v>
      </c>
      <c r="L999" s="4">
        <v>9</v>
      </c>
      <c r="M999" s="4">
        <v>125</v>
      </c>
      <c r="N999" s="4">
        <v>85</v>
      </c>
      <c r="O999" s="4" t="s">
        <v>21</v>
      </c>
      <c r="P999" s="7" t="s">
        <v>19</v>
      </c>
    </row>
    <row r="1000" spans="2:16" x14ac:dyDescent="0.45">
      <c r="B1000" s="4">
        <v>999</v>
      </c>
      <c r="C1000" s="4" t="s">
        <v>27</v>
      </c>
      <c r="D1000" s="4" t="s">
        <v>16</v>
      </c>
      <c r="E1000" s="4" t="s">
        <v>35</v>
      </c>
      <c r="F1000" s="4" t="s">
        <v>24</v>
      </c>
      <c r="G1000" s="4" t="s">
        <v>19</v>
      </c>
      <c r="H1000" s="4" t="s">
        <v>20</v>
      </c>
      <c r="I1000" s="4">
        <v>4</v>
      </c>
      <c r="J1000" s="5">
        <v>13.6</v>
      </c>
      <c r="K1000" s="6">
        <v>1.04</v>
      </c>
      <c r="L1000" s="4">
        <v>5</v>
      </c>
      <c r="M1000" s="4">
        <v>92</v>
      </c>
      <c r="N1000" s="4">
        <v>90</v>
      </c>
      <c r="O1000" s="4" t="s">
        <v>26</v>
      </c>
      <c r="P1000" s="7" t="s">
        <v>19</v>
      </c>
    </row>
    <row r="1001" spans="2:16" x14ac:dyDescent="0.45">
      <c r="B1001" s="4">
        <v>1000</v>
      </c>
      <c r="C1001" s="4" t="s">
        <v>43</v>
      </c>
      <c r="D1001" s="4" t="s">
        <v>16</v>
      </c>
      <c r="E1001" s="4" t="s">
        <v>17</v>
      </c>
      <c r="F1001" s="4" t="s">
        <v>28</v>
      </c>
      <c r="G1001" s="4" t="s">
        <v>19</v>
      </c>
      <c r="H1001" s="4" t="s">
        <v>28</v>
      </c>
      <c r="I1001" s="4">
        <v>34</v>
      </c>
      <c r="J1001" s="5">
        <v>90.7</v>
      </c>
      <c r="K1001" s="6">
        <v>1.86</v>
      </c>
      <c r="L1001" s="4">
        <v>3</v>
      </c>
      <c r="M1001" s="4">
        <v>113</v>
      </c>
      <c r="N1001" s="4">
        <v>89</v>
      </c>
      <c r="O1001" s="4" t="s">
        <v>21</v>
      </c>
      <c r="P1001" s="7" t="s">
        <v>19</v>
      </c>
    </row>
    <row r="1002" spans="2:16" x14ac:dyDescent="0.45">
      <c r="B1002" s="4">
        <v>1001</v>
      </c>
      <c r="C1002" s="4" t="s">
        <v>27</v>
      </c>
      <c r="D1002" s="4" t="s">
        <v>16</v>
      </c>
      <c r="E1002" s="4" t="s">
        <v>35</v>
      </c>
      <c r="F1002" s="4" t="s">
        <v>28</v>
      </c>
      <c r="G1002" s="4" t="s">
        <v>19</v>
      </c>
      <c r="H1002" s="4" t="s">
        <v>28</v>
      </c>
      <c r="I1002" s="4">
        <v>31</v>
      </c>
      <c r="J1002" s="5">
        <v>92.2</v>
      </c>
      <c r="K1002" s="6">
        <v>1.88</v>
      </c>
      <c r="L1002" s="4">
        <v>4</v>
      </c>
      <c r="M1002" s="4">
        <v>113</v>
      </c>
      <c r="N1002" s="4">
        <v>104</v>
      </c>
      <c r="O1002" s="4" t="s">
        <v>26</v>
      </c>
      <c r="P1002" s="7" t="s">
        <v>19</v>
      </c>
    </row>
    <row r="1003" spans="2:16" x14ac:dyDescent="0.45">
      <c r="B1003" s="4">
        <v>1002</v>
      </c>
      <c r="C1003" s="4" t="s">
        <v>15</v>
      </c>
      <c r="D1003" s="4" t="s">
        <v>23</v>
      </c>
      <c r="E1003" s="4" t="s">
        <v>17</v>
      </c>
      <c r="F1003" s="4" t="s">
        <v>28</v>
      </c>
      <c r="G1003" s="4" t="s">
        <v>19</v>
      </c>
      <c r="H1003" s="4" t="s">
        <v>25</v>
      </c>
      <c r="I1003" s="4">
        <v>12</v>
      </c>
      <c r="J1003" s="5">
        <v>53.3</v>
      </c>
      <c r="K1003" s="6">
        <v>1.46</v>
      </c>
      <c r="L1003" s="4">
        <v>2</v>
      </c>
      <c r="M1003" s="4">
        <v>104</v>
      </c>
      <c r="N1003" s="4">
        <v>89</v>
      </c>
      <c r="O1003" s="4" t="s">
        <v>26</v>
      </c>
      <c r="P1003" s="7" t="s">
        <v>19</v>
      </c>
    </row>
    <row r="1004" spans="2:16" x14ac:dyDescent="0.45">
      <c r="B1004" s="4">
        <v>1003</v>
      </c>
      <c r="C1004" s="4" t="s">
        <v>29</v>
      </c>
      <c r="D1004" s="4" t="s">
        <v>16</v>
      </c>
      <c r="E1004" s="4" t="s">
        <v>44</v>
      </c>
      <c r="F1004" s="4" t="s">
        <v>24</v>
      </c>
      <c r="G1004" s="4" t="s">
        <v>19</v>
      </c>
      <c r="H1004" s="4" t="s">
        <v>28</v>
      </c>
      <c r="I1004" s="4">
        <v>14</v>
      </c>
      <c r="J1004" s="5">
        <v>58.6</v>
      </c>
      <c r="K1004" s="6">
        <v>1.72</v>
      </c>
      <c r="L1004" s="4">
        <v>4</v>
      </c>
      <c r="M1004" s="4">
        <v>109</v>
      </c>
      <c r="N1004" s="4">
        <v>94</v>
      </c>
      <c r="O1004" s="4" t="s">
        <v>26</v>
      </c>
      <c r="P1004" s="7" t="s">
        <v>19</v>
      </c>
    </row>
    <row r="1005" spans="2:16" x14ac:dyDescent="0.45">
      <c r="B1005" s="4">
        <v>1004</v>
      </c>
      <c r="C1005" s="4" t="s">
        <v>27</v>
      </c>
      <c r="D1005" s="4" t="s">
        <v>16</v>
      </c>
      <c r="E1005" s="4" t="s">
        <v>37</v>
      </c>
      <c r="F1005" s="4" t="s">
        <v>24</v>
      </c>
      <c r="G1005" s="4" t="s">
        <v>30</v>
      </c>
      <c r="H1005" s="4" t="s">
        <v>20</v>
      </c>
      <c r="I1005" s="4">
        <v>0</v>
      </c>
      <c r="J1005" s="5">
        <v>9.5</v>
      </c>
      <c r="K1005" s="6">
        <v>1.01</v>
      </c>
      <c r="L1005" s="4">
        <v>6</v>
      </c>
      <c r="M1005" s="4">
        <v>111</v>
      </c>
      <c r="N1005" s="4">
        <v>88</v>
      </c>
      <c r="O1005" s="4" t="s">
        <v>26</v>
      </c>
      <c r="P1005" s="7" t="s">
        <v>19</v>
      </c>
    </row>
    <row r="1006" spans="2:16" x14ac:dyDescent="0.45">
      <c r="B1006" s="4">
        <v>1005</v>
      </c>
      <c r="C1006" s="4" t="s">
        <v>15</v>
      </c>
      <c r="D1006" s="4" t="s">
        <v>16</v>
      </c>
      <c r="E1006" s="4" t="s">
        <v>35</v>
      </c>
      <c r="F1006" s="4" t="s">
        <v>42</v>
      </c>
      <c r="G1006" s="4" t="s">
        <v>19</v>
      </c>
      <c r="H1006" s="4" t="s">
        <v>36</v>
      </c>
      <c r="I1006" s="4">
        <v>12</v>
      </c>
      <c r="J1006" s="5">
        <v>45.8</v>
      </c>
      <c r="K1006" s="6">
        <v>1.71</v>
      </c>
      <c r="L1006" s="4">
        <v>1</v>
      </c>
      <c r="M1006" s="4">
        <v>118</v>
      </c>
      <c r="N1006" s="4">
        <v>83</v>
      </c>
      <c r="O1006" s="4" t="s">
        <v>21</v>
      </c>
      <c r="P1006" s="7" t="s">
        <v>19</v>
      </c>
    </row>
    <row r="1007" spans="2:16" x14ac:dyDescent="0.45">
      <c r="B1007" s="4">
        <v>1006</v>
      </c>
      <c r="C1007" s="4" t="s">
        <v>22</v>
      </c>
      <c r="D1007" s="4" t="s">
        <v>23</v>
      </c>
      <c r="E1007" s="4" t="s">
        <v>17</v>
      </c>
      <c r="F1007" s="4" t="s">
        <v>18</v>
      </c>
      <c r="G1007" s="4" t="s">
        <v>30</v>
      </c>
      <c r="H1007" s="4" t="s">
        <v>36</v>
      </c>
      <c r="I1007" s="4">
        <v>20</v>
      </c>
      <c r="J1007" s="5">
        <v>77.099999999999994</v>
      </c>
      <c r="K1007" s="6">
        <v>1.78</v>
      </c>
      <c r="L1007" s="4">
        <v>3</v>
      </c>
      <c r="M1007" s="4">
        <v>141</v>
      </c>
      <c r="N1007" s="4">
        <v>78</v>
      </c>
      <c r="O1007" s="4" t="s">
        <v>21</v>
      </c>
      <c r="P1007" s="7" t="s">
        <v>30</v>
      </c>
    </row>
    <row r="1008" spans="2:16" x14ac:dyDescent="0.45">
      <c r="B1008" s="4">
        <v>1007</v>
      </c>
      <c r="C1008" s="4" t="s">
        <v>22</v>
      </c>
      <c r="D1008" s="4" t="s">
        <v>16</v>
      </c>
      <c r="E1008" s="4" t="s">
        <v>17</v>
      </c>
      <c r="F1008" s="4" t="s">
        <v>24</v>
      </c>
      <c r="G1008" s="4" t="s">
        <v>19</v>
      </c>
      <c r="H1008" s="4" t="s">
        <v>20</v>
      </c>
      <c r="I1008" s="4">
        <v>33</v>
      </c>
      <c r="J1008" s="5">
        <v>85.2</v>
      </c>
      <c r="K1008" s="6">
        <v>1.77</v>
      </c>
      <c r="L1008" s="4">
        <v>2</v>
      </c>
      <c r="M1008" s="4">
        <v>110</v>
      </c>
      <c r="N1008" s="4">
        <v>98</v>
      </c>
      <c r="O1008" s="4" t="s">
        <v>26</v>
      </c>
      <c r="P1008" s="7" t="s">
        <v>19</v>
      </c>
    </row>
    <row r="1009" spans="2:16" x14ac:dyDescent="0.45">
      <c r="B1009" s="4">
        <v>1008</v>
      </c>
      <c r="C1009" s="4" t="s">
        <v>40</v>
      </c>
      <c r="D1009" s="4" t="s">
        <v>16</v>
      </c>
      <c r="E1009" s="4" t="s">
        <v>35</v>
      </c>
      <c r="F1009" s="4" t="s">
        <v>42</v>
      </c>
      <c r="G1009" s="4" t="s">
        <v>19</v>
      </c>
      <c r="H1009" s="4" t="s">
        <v>28</v>
      </c>
      <c r="I1009" s="4">
        <v>46</v>
      </c>
      <c r="J1009" s="5">
        <v>86.9</v>
      </c>
      <c r="K1009" s="6">
        <v>1.76</v>
      </c>
      <c r="L1009" s="4">
        <v>2</v>
      </c>
      <c r="M1009" s="4">
        <v>108</v>
      </c>
      <c r="N1009" s="4">
        <v>88</v>
      </c>
      <c r="O1009" s="4" t="s">
        <v>21</v>
      </c>
      <c r="P1009" s="7" t="s">
        <v>19</v>
      </c>
    </row>
    <row r="1010" spans="2:16" x14ac:dyDescent="0.45">
      <c r="B1010" s="4">
        <v>1009</v>
      </c>
      <c r="C1010" s="4" t="s">
        <v>39</v>
      </c>
      <c r="D1010" s="4" t="s">
        <v>23</v>
      </c>
      <c r="E1010" s="4" t="s">
        <v>17</v>
      </c>
      <c r="F1010" s="4" t="s">
        <v>24</v>
      </c>
      <c r="G1010" s="4" t="s">
        <v>30</v>
      </c>
      <c r="H1010" s="4" t="s">
        <v>28</v>
      </c>
      <c r="I1010" s="4">
        <v>27</v>
      </c>
      <c r="J1010" s="5">
        <v>93.2</v>
      </c>
      <c r="K1010" s="6">
        <v>1.64</v>
      </c>
      <c r="L1010" s="4">
        <v>2</v>
      </c>
      <c r="M1010" s="4">
        <v>117</v>
      </c>
      <c r="N1010" s="4">
        <v>99</v>
      </c>
      <c r="O1010" s="4" t="s">
        <v>21</v>
      </c>
      <c r="P1010" s="7" t="s">
        <v>19</v>
      </c>
    </row>
    <row r="1011" spans="2:16" x14ac:dyDescent="0.45">
      <c r="B1011" s="4">
        <v>1010</v>
      </c>
      <c r="C1011" s="4" t="s">
        <v>29</v>
      </c>
      <c r="D1011" s="4" t="s">
        <v>16</v>
      </c>
      <c r="E1011" s="4" t="s">
        <v>17</v>
      </c>
      <c r="F1011" s="4" t="s">
        <v>18</v>
      </c>
      <c r="G1011" s="4" t="s">
        <v>19</v>
      </c>
      <c r="H1011" s="4" t="s">
        <v>28</v>
      </c>
      <c r="I1011" s="4">
        <v>9</v>
      </c>
      <c r="J1011" s="5">
        <v>18.8</v>
      </c>
      <c r="K1011" s="6">
        <v>1.36</v>
      </c>
      <c r="L1011" s="4">
        <v>6</v>
      </c>
      <c r="M1011" s="4">
        <v>101</v>
      </c>
      <c r="N1011" s="4">
        <v>89</v>
      </c>
      <c r="O1011" s="4" t="s">
        <v>26</v>
      </c>
      <c r="P1011" s="7" t="s">
        <v>19</v>
      </c>
    </row>
    <row r="1012" spans="2:16" x14ac:dyDescent="0.45">
      <c r="B1012" s="4">
        <v>1011</v>
      </c>
      <c r="C1012" s="4" t="s">
        <v>33</v>
      </c>
      <c r="D1012" s="4" t="s">
        <v>16</v>
      </c>
      <c r="E1012" s="4" t="s">
        <v>17</v>
      </c>
      <c r="F1012" s="4" t="s">
        <v>24</v>
      </c>
      <c r="G1012" s="4" t="s">
        <v>19</v>
      </c>
      <c r="H1012" s="4" t="s">
        <v>46</v>
      </c>
      <c r="I1012" s="4">
        <v>15</v>
      </c>
      <c r="J1012" s="5">
        <v>55.9</v>
      </c>
      <c r="K1012" s="6">
        <v>1.66</v>
      </c>
      <c r="L1012" s="4">
        <v>0</v>
      </c>
      <c r="M1012" s="4">
        <v>96</v>
      </c>
      <c r="N1012" s="4">
        <v>88</v>
      </c>
      <c r="O1012" s="4" t="s">
        <v>26</v>
      </c>
      <c r="P1012" s="7" t="s">
        <v>19</v>
      </c>
    </row>
    <row r="1013" spans="2:16" x14ac:dyDescent="0.45">
      <c r="B1013" s="4">
        <v>1012</v>
      </c>
      <c r="C1013" s="4" t="s">
        <v>31</v>
      </c>
      <c r="D1013" s="4" t="s">
        <v>16</v>
      </c>
      <c r="E1013" s="4" t="s">
        <v>17</v>
      </c>
      <c r="F1013" s="4" t="s">
        <v>18</v>
      </c>
      <c r="G1013" s="4" t="s">
        <v>19</v>
      </c>
      <c r="H1013" s="4" t="s">
        <v>46</v>
      </c>
      <c r="I1013" s="4">
        <v>12</v>
      </c>
      <c r="J1013" s="5">
        <v>64.900000000000006</v>
      </c>
      <c r="K1013" s="6">
        <v>1.49</v>
      </c>
      <c r="L1013" s="4">
        <v>3</v>
      </c>
      <c r="M1013" s="4">
        <v>97</v>
      </c>
      <c r="N1013" s="4">
        <v>77</v>
      </c>
      <c r="O1013" s="4" t="s">
        <v>26</v>
      </c>
      <c r="P1013" s="7" t="s">
        <v>19</v>
      </c>
    </row>
    <row r="1014" spans="2:16" x14ac:dyDescent="0.45">
      <c r="B1014" s="4">
        <v>1013</v>
      </c>
      <c r="C1014" s="4" t="s">
        <v>41</v>
      </c>
      <c r="D1014" s="4" t="s">
        <v>16</v>
      </c>
      <c r="E1014" s="4" t="s">
        <v>35</v>
      </c>
      <c r="F1014" s="4" t="s">
        <v>18</v>
      </c>
      <c r="G1014" s="4" t="s">
        <v>30</v>
      </c>
      <c r="H1014" s="4" t="s">
        <v>46</v>
      </c>
      <c r="I1014" s="4">
        <v>61</v>
      </c>
      <c r="J1014" s="5">
        <v>59.7</v>
      </c>
      <c r="K1014" s="6">
        <v>1.88</v>
      </c>
      <c r="L1014" s="4">
        <v>5</v>
      </c>
      <c r="M1014" s="4">
        <v>117</v>
      </c>
      <c r="N1014" s="4">
        <v>97</v>
      </c>
      <c r="O1014" s="4" t="s">
        <v>21</v>
      </c>
      <c r="P1014" s="7" t="s">
        <v>19</v>
      </c>
    </row>
    <row r="1015" spans="2:16" x14ac:dyDescent="0.45">
      <c r="B1015" s="4">
        <v>1014</v>
      </c>
      <c r="C1015" s="4" t="s">
        <v>31</v>
      </c>
      <c r="D1015" s="4" t="s">
        <v>23</v>
      </c>
      <c r="E1015" s="4" t="s">
        <v>35</v>
      </c>
      <c r="F1015" s="4" t="s">
        <v>24</v>
      </c>
      <c r="G1015" s="4" t="s">
        <v>19</v>
      </c>
      <c r="H1015" s="4" t="s">
        <v>46</v>
      </c>
      <c r="I1015" s="4">
        <v>20</v>
      </c>
      <c r="J1015" s="5">
        <v>67.599999999999994</v>
      </c>
      <c r="K1015" s="6">
        <v>1.49</v>
      </c>
      <c r="L1015" s="4">
        <v>1</v>
      </c>
      <c r="M1015" s="4">
        <v>105</v>
      </c>
      <c r="N1015" s="4">
        <v>95</v>
      </c>
      <c r="O1015" s="4" t="s">
        <v>26</v>
      </c>
      <c r="P1015" s="7" t="s">
        <v>30</v>
      </c>
    </row>
    <row r="1016" spans="2:16" x14ac:dyDescent="0.45">
      <c r="B1016" s="4">
        <v>1015</v>
      </c>
      <c r="C1016" s="4" t="s">
        <v>31</v>
      </c>
      <c r="D1016" s="4" t="s">
        <v>23</v>
      </c>
      <c r="E1016" s="4" t="s">
        <v>17</v>
      </c>
      <c r="F1016" s="4" t="s">
        <v>18</v>
      </c>
      <c r="G1016" s="4" t="s">
        <v>19</v>
      </c>
      <c r="H1016" s="4" t="s">
        <v>32</v>
      </c>
      <c r="I1016" s="4">
        <v>20</v>
      </c>
      <c r="J1016" s="5">
        <v>54.3</v>
      </c>
      <c r="K1016" s="6">
        <v>1.56</v>
      </c>
      <c r="L1016" s="4">
        <v>5</v>
      </c>
      <c r="M1016" s="4">
        <v>108</v>
      </c>
      <c r="N1016" s="4">
        <v>157</v>
      </c>
      <c r="O1016" s="4" t="s">
        <v>26</v>
      </c>
      <c r="P1016" s="7" t="s">
        <v>19</v>
      </c>
    </row>
    <row r="1017" spans="2:16" x14ac:dyDescent="0.45">
      <c r="B1017" s="4">
        <v>1016</v>
      </c>
      <c r="C1017" s="4" t="s">
        <v>15</v>
      </c>
      <c r="D1017" s="4" t="s">
        <v>23</v>
      </c>
      <c r="E1017" s="4" t="s">
        <v>17</v>
      </c>
      <c r="F1017" s="4" t="s">
        <v>18</v>
      </c>
      <c r="G1017" s="4" t="s">
        <v>19</v>
      </c>
      <c r="H1017" s="4" t="s">
        <v>20</v>
      </c>
      <c r="I1017" s="4">
        <v>15</v>
      </c>
      <c r="J1017" s="5">
        <v>64.7</v>
      </c>
      <c r="K1017" s="6">
        <v>1.69</v>
      </c>
      <c r="L1017" s="4">
        <v>5</v>
      </c>
      <c r="M1017" s="4">
        <v>96</v>
      </c>
      <c r="N1017" s="4">
        <v>86</v>
      </c>
      <c r="O1017" s="4" t="s">
        <v>26</v>
      </c>
      <c r="P1017" s="7" t="s">
        <v>19</v>
      </c>
    </row>
    <row r="1018" spans="2:16" x14ac:dyDescent="0.45">
      <c r="B1018" s="4">
        <v>1017</v>
      </c>
      <c r="C1018" s="4" t="s">
        <v>45</v>
      </c>
      <c r="D1018" s="4" t="s">
        <v>16</v>
      </c>
      <c r="E1018" s="4" t="s">
        <v>44</v>
      </c>
      <c r="F1018" s="4" t="s">
        <v>24</v>
      </c>
      <c r="G1018" s="4" t="s">
        <v>19</v>
      </c>
      <c r="H1018" s="4" t="s">
        <v>28</v>
      </c>
      <c r="I1018" s="4">
        <v>49</v>
      </c>
      <c r="J1018" s="5">
        <v>45.4</v>
      </c>
      <c r="K1018" s="6">
        <v>1.63</v>
      </c>
      <c r="L1018" s="4">
        <v>8</v>
      </c>
      <c r="M1018" s="4">
        <v>108</v>
      </c>
      <c r="N1018" s="4">
        <v>97</v>
      </c>
      <c r="O1018" s="4" t="s">
        <v>21</v>
      </c>
      <c r="P1018" s="7" t="s">
        <v>19</v>
      </c>
    </row>
    <row r="1019" spans="2:16" x14ac:dyDescent="0.45">
      <c r="B1019" s="4">
        <v>1018</v>
      </c>
      <c r="C1019" s="4" t="s">
        <v>15</v>
      </c>
      <c r="D1019" s="4" t="s">
        <v>16</v>
      </c>
      <c r="E1019" s="4" t="s">
        <v>35</v>
      </c>
      <c r="F1019" s="4" t="s">
        <v>24</v>
      </c>
      <c r="G1019" s="4" t="s">
        <v>19</v>
      </c>
      <c r="H1019" s="4" t="s">
        <v>25</v>
      </c>
      <c r="I1019" s="4">
        <v>76</v>
      </c>
      <c r="J1019" s="5">
        <v>92.9</v>
      </c>
      <c r="K1019" s="6">
        <v>1.82</v>
      </c>
      <c r="L1019" s="4">
        <v>2</v>
      </c>
      <c r="M1019" s="4">
        <v>122</v>
      </c>
      <c r="N1019" s="4">
        <v>89</v>
      </c>
      <c r="O1019" s="4" t="s">
        <v>26</v>
      </c>
      <c r="P1019" s="7" t="s">
        <v>19</v>
      </c>
    </row>
    <row r="1020" spans="2:16" x14ac:dyDescent="0.45">
      <c r="B1020" s="4">
        <v>1019</v>
      </c>
      <c r="C1020" s="4" t="s">
        <v>43</v>
      </c>
      <c r="D1020" s="4" t="s">
        <v>16</v>
      </c>
      <c r="E1020" s="4" t="s">
        <v>35</v>
      </c>
      <c r="F1020" s="4" t="s">
        <v>24</v>
      </c>
      <c r="G1020" s="4" t="s">
        <v>19</v>
      </c>
      <c r="H1020" s="4" t="s">
        <v>25</v>
      </c>
      <c r="I1020" s="4">
        <v>14</v>
      </c>
      <c r="J1020" s="5">
        <v>60.8</v>
      </c>
      <c r="K1020" s="6">
        <v>1.61</v>
      </c>
      <c r="L1020" s="4">
        <v>0</v>
      </c>
      <c r="M1020" s="4">
        <v>116</v>
      </c>
      <c r="N1020" s="4">
        <v>87</v>
      </c>
      <c r="O1020" s="4" t="s">
        <v>26</v>
      </c>
      <c r="P1020" s="7" t="s">
        <v>19</v>
      </c>
    </row>
    <row r="1021" spans="2:16" x14ac:dyDescent="0.45">
      <c r="B1021" s="4">
        <v>1020</v>
      </c>
      <c r="C1021" s="4" t="s">
        <v>22</v>
      </c>
      <c r="D1021" s="4" t="s">
        <v>23</v>
      </c>
      <c r="E1021" s="4" t="s">
        <v>35</v>
      </c>
      <c r="F1021" s="4" t="s">
        <v>18</v>
      </c>
      <c r="G1021" s="4" t="s">
        <v>19</v>
      </c>
      <c r="H1021" s="4" t="s">
        <v>34</v>
      </c>
      <c r="I1021" s="4">
        <v>63</v>
      </c>
      <c r="J1021" s="5">
        <v>73.5</v>
      </c>
      <c r="K1021" s="6">
        <v>1.6</v>
      </c>
      <c r="L1021" s="4">
        <v>2</v>
      </c>
      <c r="M1021" s="4">
        <v>136</v>
      </c>
      <c r="N1021" s="4">
        <v>101</v>
      </c>
      <c r="O1021" s="4" t="s">
        <v>21</v>
      </c>
      <c r="P1021" s="7" t="s">
        <v>30</v>
      </c>
    </row>
    <row r="1022" spans="2:16" x14ac:dyDescent="0.45">
      <c r="B1022" s="4">
        <v>1021</v>
      </c>
      <c r="C1022" s="4" t="s">
        <v>22</v>
      </c>
      <c r="D1022" s="4" t="s">
        <v>16</v>
      </c>
      <c r="E1022" s="4" t="s">
        <v>17</v>
      </c>
      <c r="F1022" s="4" t="s">
        <v>24</v>
      </c>
      <c r="G1022" s="4" t="s">
        <v>19</v>
      </c>
      <c r="H1022" s="4" t="s">
        <v>36</v>
      </c>
      <c r="I1022" s="4">
        <v>43</v>
      </c>
      <c r="J1022" s="5">
        <v>89.8</v>
      </c>
      <c r="K1022" s="6">
        <v>1.73</v>
      </c>
      <c r="L1022" s="4">
        <v>2</v>
      </c>
      <c r="M1022" s="4">
        <v>135</v>
      </c>
      <c r="N1022" s="4">
        <v>74</v>
      </c>
      <c r="O1022" s="4" t="s">
        <v>21</v>
      </c>
      <c r="P1022" s="7" t="s">
        <v>19</v>
      </c>
    </row>
    <row r="1023" spans="2:16" x14ac:dyDescent="0.45">
      <c r="B1023" s="4">
        <v>1022</v>
      </c>
      <c r="C1023" s="4" t="s">
        <v>22</v>
      </c>
      <c r="D1023" s="4" t="s">
        <v>16</v>
      </c>
      <c r="E1023" s="4" t="s">
        <v>17</v>
      </c>
      <c r="F1023" s="4" t="s">
        <v>24</v>
      </c>
      <c r="G1023" s="4" t="s">
        <v>19</v>
      </c>
      <c r="H1023" s="4" t="s">
        <v>20</v>
      </c>
      <c r="I1023" s="4">
        <v>28</v>
      </c>
      <c r="J1023" s="5">
        <v>89.3</v>
      </c>
      <c r="K1023" s="6">
        <v>1.86</v>
      </c>
      <c r="L1023" s="4">
        <v>4</v>
      </c>
      <c r="M1023" s="4">
        <v>119</v>
      </c>
      <c r="N1023" s="4">
        <v>76</v>
      </c>
      <c r="O1023" s="4" t="s">
        <v>26</v>
      </c>
      <c r="P1023" s="7" t="s">
        <v>19</v>
      </c>
    </row>
    <row r="1024" spans="2:16" x14ac:dyDescent="0.45">
      <c r="B1024" s="4">
        <v>1023</v>
      </c>
      <c r="C1024" s="4" t="s">
        <v>41</v>
      </c>
      <c r="D1024" s="4" t="s">
        <v>16</v>
      </c>
      <c r="E1024" s="4" t="s">
        <v>17</v>
      </c>
      <c r="F1024" s="4" t="s">
        <v>24</v>
      </c>
      <c r="G1024" s="4" t="s">
        <v>19</v>
      </c>
      <c r="H1024" s="4" t="s">
        <v>28</v>
      </c>
      <c r="I1024" s="4">
        <v>26</v>
      </c>
      <c r="J1024" s="5">
        <v>84.2</v>
      </c>
      <c r="K1024" s="6">
        <v>1.83</v>
      </c>
      <c r="L1024" s="4">
        <v>1</v>
      </c>
      <c r="M1024" s="4">
        <v>104</v>
      </c>
      <c r="N1024" s="4">
        <v>98</v>
      </c>
      <c r="O1024" s="4" t="s">
        <v>26</v>
      </c>
      <c r="P1024" s="7" t="s">
        <v>19</v>
      </c>
    </row>
    <row r="1025" spans="2:16" x14ac:dyDescent="0.45">
      <c r="B1025" s="4">
        <v>1024</v>
      </c>
      <c r="C1025" s="4" t="s">
        <v>29</v>
      </c>
      <c r="D1025" s="4" t="s">
        <v>23</v>
      </c>
      <c r="E1025" s="4" t="s">
        <v>35</v>
      </c>
      <c r="F1025" s="4" t="s">
        <v>18</v>
      </c>
      <c r="G1025" s="4" t="s">
        <v>19</v>
      </c>
      <c r="H1025" s="4" t="s">
        <v>20</v>
      </c>
      <c r="I1025" s="4">
        <v>20</v>
      </c>
      <c r="J1025" s="5">
        <v>50.2</v>
      </c>
      <c r="K1025" s="6">
        <v>1.61</v>
      </c>
      <c r="L1025" s="4">
        <v>1</v>
      </c>
      <c r="M1025" s="4">
        <v>101</v>
      </c>
      <c r="N1025" s="4">
        <v>80</v>
      </c>
      <c r="O1025" s="4" t="s">
        <v>21</v>
      </c>
      <c r="P1025" s="7" t="s">
        <v>19</v>
      </c>
    </row>
    <row r="1026" spans="2:16" x14ac:dyDescent="0.45">
      <c r="B1026" s="4">
        <v>1025</v>
      </c>
      <c r="C1026" s="4" t="s">
        <v>15</v>
      </c>
      <c r="D1026" s="4" t="s">
        <v>16</v>
      </c>
      <c r="E1026" s="4" t="s">
        <v>35</v>
      </c>
      <c r="F1026" s="4" t="s">
        <v>24</v>
      </c>
      <c r="G1026" s="4" t="s">
        <v>19</v>
      </c>
      <c r="H1026" s="4" t="s">
        <v>32</v>
      </c>
      <c r="I1026" s="4">
        <v>11</v>
      </c>
      <c r="J1026" s="5">
        <v>22.8</v>
      </c>
      <c r="K1026" s="6">
        <v>1.4</v>
      </c>
      <c r="L1026" s="4">
        <v>1</v>
      </c>
      <c r="M1026" s="4">
        <v>100</v>
      </c>
      <c r="N1026" s="4">
        <v>162</v>
      </c>
      <c r="O1026" s="4" t="s">
        <v>21</v>
      </c>
      <c r="P1026" s="7" t="s">
        <v>19</v>
      </c>
    </row>
    <row r="1027" spans="2:16" x14ac:dyDescent="0.45">
      <c r="B1027" s="4">
        <v>1026</v>
      </c>
      <c r="C1027" s="4" t="s">
        <v>39</v>
      </c>
      <c r="D1027" s="4" t="s">
        <v>16</v>
      </c>
      <c r="E1027" s="4" t="s">
        <v>17</v>
      </c>
      <c r="F1027" s="4" t="s">
        <v>28</v>
      </c>
      <c r="G1027" s="4" t="s">
        <v>19</v>
      </c>
      <c r="H1027" s="4" t="s">
        <v>25</v>
      </c>
      <c r="I1027" s="4">
        <v>4</v>
      </c>
      <c r="J1027" s="5">
        <v>15.4</v>
      </c>
      <c r="K1027" s="6">
        <v>0.75</v>
      </c>
      <c r="L1027" s="4">
        <v>2</v>
      </c>
      <c r="M1027" s="4">
        <v>112</v>
      </c>
      <c r="N1027" s="4">
        <v>96</v>
      </c>
      <c r="O1027" s="4" t="s">
        <v>26</v>
      </c>
      <c r="P1027" s="7" t="s">
        <v>19</v>
      </c>
    </row>
    <row r="1028" spans="2:16" x14ac:dyDescent="0.45">
      <c r="B1028" s="4">
        <v>1027</v>
      </c>
      <c r="C1028" s="4" t="s">
        <v>27</v>
      </c>
      <c r="D1028" s="4" t="s">
        <v>23</v>
      </c>
      <c r="E1028" s="4" t="s">
        <v>17</v>
      </c>
      <c r="F1028" s="4" t="s">
        <v>28</v>
      </c>
      <c r="G1028" s="4" t="s">
        <v>30</v>
      </c>
      <c r="H1028" s="4" t="s">
        <v>28</v>
      </c>
      <c r="I1028" s="4">
        <v>32</v>
      </c>
      <c r="J1028" s="5">
        <v>63.7</v>
      </c>
      <c r="K1028" s="6">
        <v>1.62</v>
      </c>
      <c r="L1028" s="4">
        <v>7</v>
      </c>
      <c r="M1028" s="4">
        <v>101</v>
      </c>
      <c r="N1028" s="4">
        <v>86</v>
      </c>
      <c r="O1028" s="4" t="s">
        <v>26</v>
      </c>
      <c r="P1028" s="7" t="s">
        <v>19</v>
      </c>
    </row>
    <row r="1029" spans="2:16" x14ac:dyDescent="0.45">
      <c r="B1029" s="4">
        <v>1028</v>
      </c>
      <c r="C1029" s="4" t="s">
        <v>39</v>
      </c>
      <c r="D1029" s="4" t="s">
        <v>23</v>
      </c>
      <c r="E1029" s="4" t="s">
        <v>17</v>
      </c>
      <c r="F1029" s="4" t="s">
        <v>18</v>
      </c>
      <c r="G1029" s="4" t="s">
        <v>30</v>
      </c>
      <c r="H1029" s="4" t="s">
        <v>25</v>
      </c>
      <c r="I1029" s="4">
        <v>65</v>
      </c>
      <c r="J1029" s="5">
        <v>65</v>
      </c>
      <c r="K1029" s="6">
        <v>1.57</v>
      </c>
      <c r="L1029" s="4">
        <v>8</v>
      </c>
      <c r="M1029" s="4">
        <v>140</v>
      </c>
      <c r="N1029" s="4">
        <v>88</v>
      </c>
      <c r="O1029" s="4" t="s">
        <v>21</v>
      </c>
      <c r="P1029" s="7" t="s">
        <v>30</v>
      </c>
    </row>
    <row r="1030" spans="2:16" x14ac:dyDescent="0.45">
      <c r="B1030" s="4">
        <v>1029</v>
      </c>
      <c r="C1030" s="4" t="s">
        <v>41</v>
      </c>
      <c r="D1030" s="4" t="s">
        <v>23</v>
      </c>
      <c r="E1030" s="4" t="s">
        <v>17</v>
      </c>
      <c r="F1030" s="4" t="s">
        <v>18</v>
      </c>
      <c r="G1030" s="4" t="s">
        <v>30</v>
      </c>
      <c r="H1030" s="4" t="s">
        <v>25</v>
      </c>
      <c r="I1030" s="4">
        <v>9</v>
      </c>
      <c r="J1030" s="5">
        <v>25.9</v>
      </c>
      <c r="K1030" s="6">
        <v>1.28</v>
      </c>
      <c r="L1030" s="4">
        <v>5</v>
      </c>
      <c r="M1030" s="4">
        <v>101</v>
      </c>
      <c r="N1030" s="4">
        <v>76</v>
      </c>
      <c r="O1030" s="4" t="s">
        <v>26</v>
      </c>
      <c r="P1030" s="7" t="s">
        <v>19</v>
      </c>
    </row>
    <row r="1031" spans="2:16" x14ac:dyDescent="0.45">
      <c r="B1031" s="4">
        <v>1030</v>
      </c>
      <c r="C1031" s="4" t="s">
        <v>39</v>
      </c>
      <c r="D1031" s="4" t="s">
        <v>23</v>
      </c>
      <c r="E1031" s="4" t="s">
        <v>17</v>
      </c>
      <c r="F1031" s="4" t="s">
        <v>18</v>
      </c>
      <c r="G1031" s="4" t="s">
        <v>19</v>
      </c>
      <c r="H1031" s="4" t="s">
        <v>36</v>
      </c>
      <c r="I1031" s="4">
        <v>7</v>
      </c>
      <c r="J1031" s="5">
        <v>36.299999999999997</v>
      </c>
      <c r="K1031" s="6">
        <v>1.42</v>
      </c>
      <c r="L1031" s="4">
        <v>3</v>
      </c>
      <c r="M1031" s="4">
        <v>127</v>
      </c>
      <c r="N1031" s="4">
        <v>76</v>
      </c>
      <c r="O1031" s="4" t="s">
        <v>21</v>
      </c>
      <c r="P1031" s="7" t="s">
        <v>30</v>
      </c>
    </row>
    <row r="1032" spans="2:16" x14ac:dyDescent="0.45">
      <c r="B1032" s="4">
        <v>1031</v>
      </c>
      <c r="C1032" s="4" t="s">
        <v>45</v>
      </c>
      <c r="D1032" s="4" t="s">
        <v>16</v>
      </c>
      <c r="E1032" s="4" t="s">
        <v>35</v>
      </c>
      <c r="F1032" s="4" t="s">
        <v>18</v>
      </c>
      <c r="G1032" s="4" t="s">
        <v>19</v>
      </c>
      <c r="H1032" s="4" t="s">
        <v>36</v>
      </c>
      <c r="I1032" s="4">
        <v>1</v>
      </c>
      <c r="J1032" s="5">
        <v>18</v>
      </c>
      <c r="K1032" s="6">
        <v>0.68</v>
      </c>
      <c r="L1032" s="4">
        <v>1</v>
      </c>
      <c r="M1032" s="4">
        <v>137</v>
      </c>
      <c r="N1032" s="4">
        <v>103</v>
      </c>
      <c r="O1032" s="4" t="s">
        <v>26</v>
      </c>
      <c r="P1032" s="7" t="s">
        <v>19</v>
      </c>
    </row>
    <row r="1033" spans="2:16" x14ac:dyDescent="0.45">
      <c r="B1033" s="4">
        <v>1032</v>
      </c>
      <c r="C1033" s="4" t="s">
        <v>41</v>
      </c>
      <c r="D1033" s="4" t="s">
        <v>16</v>
      </c>
      <c r="E1033" s="4" t="s">
        <v>17</v>
      </c>
      <c r="F1033" s="4" t="s">
        <v>24</v>
      </c>
      <c r="G1033" s="4" t="s">
        <v>19</v>
      </c>
      <c r="H1033" s="4" t="s">
        <v>25</v>
      </c>
      <c r="I1033" s="4">
        <v>30</v>
      </c>
      <c r="J1033" s="5">
        <v>73.7</v>
      </c>
      <c r="K1033" s="6">
        <v>1.74</v>
      </c>
      <c r="L1033" s="4">
        <v>2</v>
      </c>
      <c r="M1033" s="4">
        <v>121</v>
      </c>
      <c r="N1033" s="4">
        <v>96</v>
      </c>
      <c r="O1033" s="4" t="s">
        <v>21</v>
      </c>
      <c r="P1033" s="7" t="s">
        <v>19</v>
      </c>
    </row>
    <row r="1034" spans="2:16" x14ac:dyDescent="0.45">
      <c r="B1034" s="4">
        <v>1033</v>
      </c>
      <c r="C1034" s="4" t="s">
        <v>33</v>
      </c>
      <c r="D1034" s="4" t="s">
        <v>16</v>
      </c>
      <c r="E1034" s="4" t="s">
        <v>35</v>
      </c>
      <c r="F1034" s="4" t="s">
        <v>18</v>
      </c>
      <c r="G1034" s="4" t="s">
        <v>30</v>
      </c>
      <c r="H1034" s="4" t="s">
        <v>25</v>
      </c>
      <c r="I1034" s="4">
        <v>2</v>
      </c>
      <c r="J1034" s="5">
        <v>16</v>
      </c>
      <c r="K1034" s="6">
        <v>0.82</v>
      </c>
      <c r="L1034" s="4">
        <v>1</v>
      </c>
      <c r="M1034" s="4">
        <v>95</v>
      </c>
      <c r="N1034" s="4">
        <v>76</v>
      </c>
      <c r="O1034" s="4" t="s">
        <v>26</v>
      </c>
      <c r="P1034" s="7" t="s">
        <v>19</v>
      </c>
    </row>
    <row r="1035" spans="2:16" x14ac:dyDescent="0.45">
      <c r="B1035" s="4">
        <v>1034</v>
      </c>
      <c r="C1035" s="4" t="s">
        <v>31</v>
      </c>
      <c r="D1035" s="4" t="s">
        <v>23</v>
      </c>
      <c r="E1035" s="4" t="s">
        <v>37</v>
      </c>
      <c r="F1035" s="4" t="s">
        <v>24</v>
      </c>
      <c r="G1035" s="4" t="s">
        <v>19</v>
      </c>
      <c r="H1035" s="4" t="s">
        <v>38</v>
      </c>
      <c r="I1035" s="4">
        <v>86</v>
      </c>
      <c r="J1035" s="5">
        <v>50.8</v>
      </c>
      <c r="K1035" s="6">
        <v>1.58</v>
      </c>
      <c r="L1035" s="4">
        <v>4</v>
      </c>
      <c r="M1035" s="4">
        <v>124</v>
      </c>
      <c r="N1035" s="4">
        <v>95</v>
      </c>
      <c r="O1035" s="4" t="s">
        <v>26</v>
      </c>
      <c r="P1035" s="7" t="s">
        <v>19</v>
      </c>
    </row>
    <row r="1036" spans="2:16" x14ac:dyDescent="0.45">
      <c r="B1036" s="4">
        <v>1035</v>
      </c>
      <c r="C1036" s="4" t="s">
        <v>39</v>
      </c>
      <c r="D1036" s="4" t="s">
        <v>16</v>
      </c>
      <c r="E1036" s="4" t="s">
        <v>17</v>
      </c>
      <c r="F1036" s="4" t="s">
        <v>24</v>
      </c>
      <c r="G1036" s="4" t="s">
        <v>19</v>
      </c>
      <c r="H1036" s="4" t="s">
        <v>36</v>
      </c>
      <c r="I1036" s="4">
        <v>56</v>
      </c>
      <c r="J1036" s="5">
        <v>68.099999999999994</v>
      </c>
      <c r="K1036" s="6">
        <v>1.57</v>
      </c>
      <c r="L1036" s="4">
        <v>2</v>
      </c>
      <c r="M1036" s="4">
        <v>156</v>
      </c>
      <c r="N1036" s="4">
        <v>98</v>
      </c>
      <c r="O1036" s="4" t="s">
        <v>26</v>
      </c>
      <c r="P1036" s="7" t="s">
        <v>30</v>
      </c>
    </row>
    <row r="1037" spans="2:16" x14ac:dyDescent="0.45">
      <c r="B1037" s="4">
        <v>1036</v>
      </c>
      <c r="C1037" s="4" t="s">
        <v>22</v>
      </c>
      <c r="D1037" s="4" t="s">
        <v>16</v>
      </c>
      <c r="E1037" s="4" t="s">
        <v>17</v>
      </c>
      <c r="F1037" s="4" t="s">
        <v>42</v>
      </c>
      <c r="G1037" s="4" t="s">
        <v>30</v>
      </c>
      <c r="H1037" s="4" t="s">
        <v>28</v>
      </c>
      <c r="I1037" s="4">
        <v>23</v>
      </c>
      <c r="J1037" s="5">
        <v>70.2</v>
      </c>
      <c r="K1037" s="6">
        <v>1.61</v>
      </c>
      <c r="L1037" s="4">
        <v>2</v>
      </c>
      <c r="M1037" s="4">
        <v>103</v>
      </c>
      <c r="N1037" s="4">
        <v>73</v>
      </c>
      <c r="O1037" s="4" t="s">
        <v>26</v>
      </c>
      <c r="P1037" s="7" t="s">
        <v>19</v>
      </c>
    </row>
    <row r="1038" spans="2:16" x14ac:dyDescent="0.45">
      <c r="B1038" s="4">
        <v>1037</v>
      </c>
      <c r="C1038" s="4" t="s">
        <v>15</v>
      </c>
      <c r="D1038" s="4" t="s">
        <v>23</v>
      </c>
      <c r="E1038" s="4" t="s">
        <v>35</v>
      </c>
      <c r="F1038" s="4" t="s">
        <v>24</v>
      </c>
      <c r="G1038" s="4" t="s">
        <v>19</v>
      </c>
      <c r="H1038" s="4" t="s">
        <v>34</v>
      </c>
      <c r="I1038" s="4">
        <v>39</v>
      </c>
      <c r="J1038" s="5">
        <v>53.2</v>
      </c>
      <c r="K1038" s="6">
        <v>1.71</v>
      </c>
      <c r="L1038" s="4">
        <v>0</v>
      </c>
      <c r="M1038" s="4">
        <v>111</v>
      </c>
      <c r="N1038" s="4">
        <v>97</v>
      </c>
      <c r="O1038" s="4" t="s">
        <v>26</v>
      </c>
      <c r="P1038" s="7" t="s">
        <v>19</v>
      </c>
    </row>
    <row r="1039" spans="2:16" x14ac:dyDescent="0.45">
      <c r="B1039" s="4">
        <v>1038</v>
      </c>
      <c r="C1039" s="4" t="s">
        <v>39</v>
      </c>
      <c r="D1039" s="4" t="s">
        <v>16</v>
      </c>
      <c r="E1039" s="4" t="s">
        <v>17</v>
      </c>
      <c r="F1039" s="4" t="s">
        <v>24</v>
      </c>
      <c r="G1039" s="4" t="s">
        <v>30</v>
      </c>
      <c r="H1039" s="4" t="s">
        <v>36</v>
      </c>
      <c r="I1039" s="4">
        <v>59</v>
      </c>
      <c r="J1039" s="5">
        <v>54.6</v>
      </c>
      <c r="K1039" s="6">
        <v>1.85</v>
      </c>
      <c r="L1039" s="4">
        <v>7</v>
      </c>
      <c r="M1039" s="4">
        <v>135</v>
      </c>
      <c r="N1039" s="4">
        <v>89</v>
      </c>
      <c r="O1039" s="4" t="s">
        <v>21</v>
      </c>
      <c r="P1039" s="7" t="s">
        <v>19</v>
      </c>
    </row>
    <row r="1040" spans="2:16" x14ac:dyDescent="0.45">
      <c r="B1040" s="4">
        <v>1039</v>
      </c>
      <c r="C1040" s="4" t="s">
        <v>33</v>
      </c>
      <c r="D1040" s="4" t="s">
        <v>16</v>
      </c>
      <c r="E1040" s="4" t="s">
        <v>35</v>
      </c>
      <c r="F1040" s="4" t="s">
        <v>18</v>
      </c>
      <c r="G1040" s="4" t="s">
        <v>19</v>
      </c>
      <c r="H1040" s="4" t="s">
        <v>36</v>
      </c>
      <c r="I1040" s="4">
        <v>28</v>
      </c>
      <c r="J1040" s="5">
        <v>93.1</v>
      </c>
      <c r="K1040" s="6">
        <v>1.64</v>
      </c>
      <c r="L1040" s="4">
        <v>2</v>
      </c>
      <c r="M1040" s="4">
        <v>126</v>
      </c>
      <c r="N1040" s="4">
        <v>85</v>
      </c>
      <c r="O1040" s="4" t="s">
        <v>21</v>
      </c>
      <c r="P1040" s="7" t="s">
        <v>19</v>
      </c>
    </row>
    <row r="1041" spans="2:16" x14ac:dyDescent="0.45">
      <c r="B1041" s="4">
        <v>1040</v>
      </c>
      <c r="C1041" s="4" t="s">
        <v>27</v>
      </c>
      <c r="D1041" s="4" t="s">
        <v>23</v>
      </c>
      <c r="E1041" s="4" t="s">
        <v>17</v>
      </c>
      <c r="F1041" s="4" t="s">
        <v>18</v>
      </c>
      <c r="G1041" s="4" t="s">
        <v>19</v>
      </c>
      <c r="H1041" s="4" t="s">
        <v>46</v>
      </c>
      <c r="I1041" s="4">
        <v>14</v>
      </c>
      <c r="J1041" s="5">
        <v>42.3</v>
      </c>
      <c r="K1041" s="6">
        <v>1.6</v>
      </c>
      <c r="L1041" s="4">
        <v>4</v>
      </c>
      <c r="M1041" s="4">
        <v>99</v>
      </c>
      <c r="N1041" s="4">
        <v>89</v>
      </c>
      <c r="O1041" s="4" t="s">
        <v>26</v>
      </c>
      <c r="P1041" s="7" t="s">
        <v>19</v>
      </c>
    </row>
    <row r="1042" spans="2:16" x14ac:dyDescent="0.45">
      <c r="B1042" s="4">
        <v>1041</v>
      </c>
      <c r="C1042" s="4" t="s">
        <v>27</v>
      </c>
      <c r="D1042" s="4" t="s">
        <v>16</v>
      </c>
      <c r="E1042" s="4" t="s">
        <v>17</v>
      </c>
      <c r="F1042" s="4" t="s">
        <v>18</v>
      </c>
      <c r="G1042" s="4" t="s">
        <v>19</v>
      </c>
      <c r="H1042" s="4" t="s">
        <v>36</v>
      </c>
      <c r="I1042" s="4">
        <v>39</v>
      </c>
      <c r="J1042" s="5">
        <v>92.2</v>
      </c>
      <c r="K1042" s="6">
        <v>1.64</v>
      </c>
      <c r="L1042" s="4">
        <v>2</v>
      </c>
      <c r="M1042" s="4">
        <v>144</v>
      </c>
      <c r="N1042" s="4">
        <v>76</v>
      </c>
      <c r="O1042" s="4" t="s">
        <v>21</v>
      </c>
      <c r="P1042" s="7" t="s">
        <v>19</v>
      </c>
    </row>
    <row r="1043" spans="2:16" x14ac:dyDescent="0.45">
      <c r="B1043" s="4">
        <v>1042</v>
      </c>
      <c r="C1043" s="4" t="s">
        <v>31</v>
      </c>
      <c r="D1043" s="4" t="s">
        <v>23</v>
      </c>
      <c r="E1043" s="4" t="s">
        <v>17</v>
      </c>
      <c r="F1043" s="4" t="s">
        <v>24</v>
      </c>
      <c r="G1043" s="4" t="s">
        <v>19</v>
      </c>
      <c r="H1043" s="4" t="s">
        <v>36</v>
      </c>
      <c r="I1043" s="4">
        <v>6</v>
      </c>
      <c r="J1043" s="5">
        <v>33.700000000000003</v>
      </c>
      <c r="K1043" s="6">
        <v>1.1100000000000001</v>
      </c>
      <c r="L1043" s="4">
        <v>2</v>
      </c>
      <c r="M1043" s="4">
        <v>115</v>
      </c>
      <c r="N1043" s="4">
        <v>90</v>
      </c>
      <c r="O1043" s="4" t="s">
        <v>21</v>
      </c>
      <c r="P1043" s="7" t="s">
        <v>19</v>
      </c>
    </row>
    <row r="1044" spans="2:16" x14ac:dyDescent="0.45">
      <c r="B1044" s="4">
        <v>1043</v>
      </c>
      <c r="C1044" s="4" t="s">
        <v>27</v>
      </c>
      <c r="D1044" s="4" t="s">
        <v>23</v>
      </c>
      <c r="E1044" s="4" t="s">
        <v>17</v>
      </c>
      <c r="F1044" s="4" t="s">
        <v>24</v>
      </c>
      <c r="G1044" s="4" t="s">
        <v>19</v>
      </c>
      <c r="H1044" s="4" t="s">
        <v>20</v>
      </c>
      <c r="I1044" s="4">
        <v>17</v>
      </c>
      <c r="J1044" s="5">
        <v>60.9</v>
      </c>
      <c r="K1044" s="6">
        <v>1.62</v>
      </c>
      <c r="L1044" s="4">
        <v>2</v>
      </c>
      <c r="M1044" s="4">
        <v>99</v>
      </c>
      <c r="N1044" s="4">
        <v>83</v>
      </c>
      <c r="O1044" s="4" t="s">
        <v>26</v>
      </c>
      <c r="P1044" s="7" t="s">
        <v>19</v>
      </c>
    </row>
    <row r="1045" spans="2:16" x14ac:dyDescent="0.45">
      <c r="B1045" s="4">
        <v>1044</v>
      </c>
      <c r="C1045" s="4" t="s">
        <v>40</v>
      </c>
      <c r="D1045" s="4" t="s">
        <v>16</v>
      </c>
      <c r="E1045" s="4" t="s">
        <v>44</v>
      </c>
      <c r="F1045" s="4" t="s">
        <v>42</v>
      </c>
      <c r="G1045" s="4" t="s">
        <v>19</v>
      </c>
      <c r="H1045" s="4" t="s">
        <v>38</v>
      </c>
      <c r="I1045" s="4">
        <v>33</v>
      </c>
      <c r="J1045" s="5">
        <v>62.5</v>
      </c>
      <c r="K1045" s="6">
        <v>1.89</v>
      </c>
      <c r="L1045" s="4">
        <v>8</v>
      </c>
      <c r="M1045" s="4">
        <v>113</v>
      </c>
      <c r="N1045" s="4">
        <v>72</v>
      </c>
      <c r="O1045" s="4" t="s">
        <v>26</v>
      </c>
      <c r="P1045" s="7" t="s">
        <v>19</v>
      </c>
    </row>
    <row r="1046" spans="2:16" x14ac:dyDescent="0.45">
      <c r="B1046" s="4">
        <v>1045</v>
      </c>
      <c r="C1046" s="4" t="s">
        <v>33</v>
      </c>
      <c r="D1046" s="4" t="s">
        <v>23</v>
      </c>
      <c r="E1046" s="4" t="s">
        <v>17</v>
      </c>
      <c r="F1046" s="4" t="s">
        <v>24</v>
      </c>
      <c r="G1046" s="4" t="s">
        <v>19</v>
      </c>
      <c r="H1046" s="4" t="s">
        <v>46</v>
      </c>
      <c r="I1046" s="4">
        <v>9</v>
      </c>
      <c r="J1046" s="5">
        <v>34.9</v>
      </c>
      <c r="K1046" s="6">
        <v>1.17</v>
      </c>
      <c r="L1046" s="4">
        <v>0</v>
      </c>
      <c r="M1046" s="4">
        <v>113</v>
      </c>
      <c r="N1046" s="4">
        <v>70</v>
      </c>
      <c r="O1046" s="4" t="s">
        <v>21</v>
      </c>
      <c r="P1046" s="7" t="s">
        <v>19</v>
      </c>
    </row>
    <row r="1047" spans="2:16" x14ac:dyDescent="0.45">
      <c r="B1047" s="4">
        <v>1046</v>
      </c>
      <c r="C1047" s="4" t="s">
        <v>31</v>
      </c>
      <c r="D1047" s="4" t="s">
        <v>16</v>
      </c>
      <c r="E1047" s="4" t="s">
        <v>35</v>
      </c>
      <c r="F1047" s="4" t="s">
        <v>24</v>
      </c>
      <c r="G1047" s="4" t="s">
        <v>19</v>
      </c>
      <c r="H1047" s="4" t="s">
        <v>25</v>
      </c>
      <c r="I1047" s="4">
        <v>32</v>
      </c>
      <c r="J1047" s="5">
        <v>51.3</v>
      </c>
      <c r="K1047" s="6">
        <v>1.7</v>
      </c>
      <c r="L1047" s="4">
        <v>1</v>
      </c>
      <c r="M1047" s="4">
        <v>112</v>
      </c>
      <c r="N1047" s="4">
        <v>101</v>
      </c>
      <c r="O1047" s="4" t="s">
        <v>26</v>
      </c>
      <c r="P1047" s="7" t="s">
        <v>30</v>
      </c>
    </row>
    <row r="1048" spans="2:16" x14ac:dyDescent="0.45">
      <c r="B1048" s="4">
        <v>1047</v>
      </c>
      <c r="C1048" s="4" t="s">
        <v>41</v>
      </c>
      <c r="D1048" s="4" t="s">
        <v>16</v>
      </c>
      <c r="E1048" s="4" t="s">
        <v>35</v>
      </c>
      <c r="F1048" s="4" t="s">
        <v>24</v>
      </c>
      <c r="G1048" s="4" t="s">
        <v>19</v>
      </c>
      <c r="H1048" s="4" t="s">
        <v>28</v>
      </c>
      <c r="I1048" s="4">
        <v>21</v>
      </c>
      <c r="J1048" s="5">
        <v>74.3</v>
      </c>
      <c r="K1048" s="6">
        <v>1.53</v>
      </c>
      <c r="L1048" s="4">
        <v>2</v>
      </c>
      <c r="M1048" s="4">
        <v>99</v>
      </c>
      <c r="N1048" s="4">
        <v>103</v>
      </c>
      <c r="O1048" s="4" t="s">
        <v>26</v>
      </c>
      <c r="P1048" s="7" t="s">
        <v>19</v>
      </c>
    </row>
    <row r="1049" spans="2:16" x14ac:dyDescent="0.45">
      <c r="B1049" s="4">
        <v>1048</v>
      </c>
      <c r="C1049" s="4" t="s">
        <v>40</v>
      </c>
      <c r="D1049" s="4" t="s">
        <v>16</v>
      </c>
      <c r="E1049" s="4" t="s">
        <v>17</v>
      </c>
      <c r="F1049" s="4" t="s">
        <v>24</v>
      </c>
      <c r="G1049" s="4" t="s">
        <v>19</v>
      </c>
      <c r="H1049" s="4" t="s">
        <v>28</v>
      </c>
      <c r="I1049" s="4">
        <v>35</v>
      </c>
      <c r="J1049" s="5">
        <v>57</v>
      </c>
      <c r="K1049" s="6">
        <v>1.85</v>
      </c>
      <c r="L1049" s="4">
        <v>2</v>
      </c>
      <c r="M1049" s="4">
        <v>117</v>
      </c>
      <c r="N1049" s="4">
        <v>92</v>
      </c>
      <c r="O1049" s="4" t="s">
        <v>21</v>
      </c>
      <c r="P1049" s="7" t="s">
        <v>30</v>
      </c>
    </row>
    <row r="1050" spans="2:16" x14ac:dyDescent="0.45">
      <c r="B1050" s="4">
        <v>1049</v>
      </c>
      <c r="C1050" s="4" t="s">
        <v>33</v>
      </c>
      <c r="D1050" s="4" t="s">
        <v>16</v>
      </c>
      <c r="E1050" s="4" t="s">
        <v>17</v>
      </c>
      <c r="F1050" s="4" t="s">
        <v>24</v>
      </c>
      <c r="G1050" s="4" t="s">
        <v>30</v>
      </c>
      <c r="H1050" s="4" t="s">
        <v>20</v>
      </c>
      <c r="I1050" s="4">
        <v>32</v>
      </c>
      <c r="J1050" s="5">
        <v>49.3</v>
      </c>
      <c r="K1050" s="6">
        <v>1.65</v>
      </c>
      <c r="L1050" s="4">
        <v>2</v>
      </c>
      <c r="M1050" s="4">
        <v>125</v>
      </c>
      <c r="N1050" s="4">
        <v>79</v>
      </c>
      <c r="O1050" s="4" t="s">
        <v>21</v>
      </c>
      <c r="P1050" s="7" t="s">
        <v>30</v>
      </c>
    </row>
    <row r="1051" spans="2:16" x14ac:dyDescent="0.45">
      <c r="B1051" s="4">
        <v>1050</v>
      </c>
      <c r="C1051" s="4" t="s">
        <v>22</v>
      </c>
      <c r="D1051" s="4" t="s">
        <v>23</v>
      </c>
      <c r="E1051" s="4" t="s">
        <v>37</v>
      </c>
      <c r="F1051" s="4" t="s">
        <v>28</v>
      </c>
      <c r="G1051" s="4" t="s">
        <v>19</v>
      </c>
      <c r="H1051" s="4" t="s">
        <v>25</v>
      </c>
      <c r="I1051" s="4">
        <v>1</v>
      </c>
      <c r="J1051" s="5">
        <v>8.4</v>
      </c>
      <c r="K1051" s="6">
        <v>1.01</v>
      </c>
      <c r="L1051" s="4">
        <v>1</v>
      </c>
      <c r="M1051" s="4">
        <v>92</v>
      </c>
      <c r="N1051" s="4">
        <v>90</v>
      </c>
      <c r="O1051" s="4" t="s">
        <v>21</v>
      </c>
      <c r="P1051" s="7" t="s">
        <v>19</v>
      </c>
    </row>
    <row r="1052" spans="2:16" x14ac:dyDescent="0.45">
      <c r="B1052" s="4">
        <v>1051</v>
      </c>
      <c r="C1052" s="4" t="s">
        <v>15</v>
      </c>
      <c r="D1052" s="4" t="s">
        <v>16</v>
      </c>
      <c r="E1052" s="4" t="s">
        <v>37</v>
      </c>
      <c r="F1052" s="4" t="s">
        <v>28</v>
      </c>
      <c r="G1052" s="4" t="s">
        <v>19</v>
      </c>
      <c r="H1052" s="4" t="s">
        <v>20</v>
      </c>
      <c r="I1052" s="4">
        <v>19</v>
      </c>
      <c r="J1052" s="5">
        <v>51.6</v>
      </c>
      <c r="K1052" s="6">
        <v>1.75</v>
      </c>
      <c r="L1052" s="4">
        <v>2</v>
      </c>
      <c r="M1052" s="4">
        <v>100</v>
      </c>
      <c r="N1052" s="4">
        <v>102</v>
      </c>
      <c r="O1052" s="4" t="s">
        <v>21</v>
      </c>
      <c r="P1052" s="7" t="s">
        <v>19</v>
      </c>
    </row>
    <row r="1053" spans="2:16" x14ac:dyDescent="0.45">
      <c r="B1053" s="4">
        <v>1052</v>
      </c>
      <c r="C1053" s="4" t="s">
        <v>43</v>
      </c>
      <c r="D1053" s="4" t="s">
        <v>16</v>
      </c>
      <c r="E1053" s="4" t="s">
        <v>35</v>
      </c>
      <c r="F1053" s="4" t="s">
        <v>18</v>
      </c>
      <c r="G1053" s="4" t="s">
        <v>30</v>
      </c>
      <c r="H1053" s="4" t="s">
        <v>38</v>
      </c>
      <c r="I1053" s="4">
        <v>5</v>
      </c>
      <c r="J1053" s="5">
        <v>28.8</v>
      </c>
      <c r="K1053" s="6">
        <v>1.26</v>
      </c>
      <c r="L1053" s="4">
        <v>2</v>
      </c>
      <c r="M1053" s="4">
        <v>113</v>
      </c>
      <c r="N1053" s="4">
        <v>104</v>
      </c>
      <c r="O1053" s="4" t="s">
        <v>21</v>
      </c>
      <c r="P1053" s="7" t="s">
        <v>19</v>
      </c>
    </row>
    <row r="1054" spans="2:16" x14ac:dyDescent="0.45">
      <c r="B1054" s="4">
        <v>1053</v>
      </c>
      <c r="C1054" s="4" t="s">
        <v>29</v>
      </c>
      <c r="D1054" s="4" t="s">
        <v>23</v>
      </c>
      <c r="E1054" s="4" t="s">
        <v>17</v>
      </c>
      <c r="F1054" s="4" t="s">
        <v>24</v>
      </c>
      <c r="G1054" s="4" t="s">
        <v>19</v>
      </c>
      <c r="H1054" s="4" t="s">
        <v>20</v>
      </c>
      <c r="I1054" s="4">
        <v>8</v>
      </c>
      <c r="J1054" s="5">
        <v>23.4</v>
      </c>
      <c r="K1054" s="6">
        <v>1.0900000000000001</v>
      </c>
      <c r="L1054" s="4">
        <v>3</v>
      </c>
      <c r="M1054" s="4">
        <v>116</v>
      </c>
      <c r="N1054" s="4">
        <v>75</v>
      </c>
      <c r="O1054" s="4" t="s">
        <v>26</v>
      </c>
      <c r="P1054" s="7" t="s">
        <v>19</v>
      </c>
    </row>
    <row r="1055" spans="2:16" x14ac:dyDescent="0.45">
      <c r="B1055" s="4">
        <v>1054</v>
      </c>
      <c r="C1055" s="4" t="s">
        <v>41</v>
      </c>
      <c r="D1055" s="4" t="s">
        <v>23</v>
      </c>
      <c r="E1055" s="4" t="s">
        <v>17</v>
      </c>
      <c r="F1055" s="4" t="s">
        <v>28</v>
      </c>
      <c r="G1055" s="4" t="s">
        <v>19</v>
      </c>
      <c r="H1055" s="4" t="s">
        <v>20</v>
      </c>
      <c r="I1055" s="4">
        <v>84</v>
      </c>
      <c r="J1055" s="5">
        <v>47</v>
      </c>
      <c r="K1055" s="6">
        <v>1.51</v>
      </c>
      <c r="L1055" s="4">
        <v>6</v>
      </c>
      <c r="M1055" s="4">
        <v>139</v>
      </c>
      <c r="N1055" s="4">
        <v>81</v>
      </c>
      <c r="O1055" s="4" t="s">
        <v>21</v>
      </c>
      <c r="P1055" s="7" t="s">
        <v>19</v>
      </c>
    </row>
    <row r="1056" spans="2:16" x14ac:dyDescent="0.45">
      <c r="B1056" s="4">
        <v>1055</v>
      </c>
      <c r="C1056" s="4" t="s">
        <v>27</v>
      </c>
      <c r="D1056" s="4" t="s">
        <v>16</v>
      </c>
      <c r="E1056" s="4" t="s">
        <v>35</v>
      </c>
      <c r="F1056" s="4" t="s">
        <v>28</v>
      </c>
      <c r="G1056" s="4" t="s">
        <v>30</v>
      </c>
      <c r="H1056" s="4" t="s">
        <v>32</v>
      </c>
      <c r="I1056" s="4">
        <v>62</v>
      </c>
      <c r="J1056" s="5">
        <v>76.900000000000006</v>
      </c>
      <c r="K1056" s="6">
        <v>1.83</v>
      </c>
      <c r="L1056" s="4">
        <v>3</v>
      </c>
      <c r="M1056" s="4">
        <v>111</v>
      </c>
      <c r="N1056" s="4">
        <v>177</v>
      </c>
      <c r="O1056" s="4" t="s">
        <v>26</v>
      </c>
      <c r="P1056" s="7" t="s">
        <v>19</v>
      </c>
    </row>
    <row r="1057" spans="2:16" x14ac:dyDescent="0.45">
      <c r="B1057" s="4">
        <v>1056</v>
      </c>
      <c r="C1057" s="4" t="s">
        <v>15</v>
      </c>
      <c r="D1057" s="4" t="s">
        <v>16</v>
      </c>
      <c r="E1057" s="4" t="s">
        <v>17</v>
      </c>
      <c r="F1057" s="4" t="s">
        <v>18</v>
      </c>
      <c r="G1057" s="4" t="s">
        <v>19</v>
      </c>
      <c r="H1057" s="4" t="s">
        <v>28</v>
      </c>
      <c r="I1057" s="4">
        <v>31</v>
      </c>
      <c r="J1057" s="5">
        <v>75.2</v>
      </c>
      <c r="K1057" s="6">
        <v>1.73</v>
      </c>
      <c r="L1057" s="4">
        <v>8</v>
      </c>
      <c r="M1057" s="4">
        <v>121</v>
      </c>
      <c r="N1057" s="4">
        <v>74</v>
      </c>
      <c r="O1057" s="4" t="s">
        <v>26</v>
      </c>
      <c r="P1057" s="7" t="s">
        <v>30</v>
      </c>
    </row>
    <row r="1058" spans="2:16" x14ac:dyDescent="0.45">
      <c r="B1058" s="4">
        <v>1057</v>
      </c>
      <c r="C1058" s="4" t="s">
        <v>22</v>
      </c>
      <c r="D1058" s="4" t="s">
        <v>16</v>
      </c>
      <c r="E1058" s="4" t="s">
        <v>44</v>
      </c>
      <c r="F1058" s="4" t="s">
        <v>18</v>
      </c>
      <c r="G1058" s="4" t="s">
        <v>19</v>
      </c>
      <c r="H1058" s="4" t="s">
        <v>28</v>
      </c>
      <c r="I1058" s="4">
        <v>15</v>
      </c>
      <c r="J1058" s="5">
        <v>40.6</v>
      </c>
      <c r="K1058" s="6">
        <v>1.71</v>
      </c>
      <c r="L1058" s="4">
        <v>0</v>
      </c>
      <c r="M1058" s="4">
        <v>116</v>
      </c>
      <c r="N1058" s="4">
        <v>90</v>
      </c>
      <c r="O1058" s="4" t="s">
        <v>26</v>
      </c>
      <c r="P1058" s="7" t="s">
        <v>19</v>
      </c>
    </row>
    <row r="1059" spans="2:16" x14ac:dyDescent="0.45">
      <c r="B1059" s="4">
        <v>1058</v>
      </c>
      <c r="C1059" s="4" t="s">
        <v>27</v>
      </c>
      <c r="D1059" s="4" t="s">
        <v>16</v>
      </c>
      <c r="E1059" s="4" t="s">
        <v>17</v>
      </c>
      <c r="F1059" s="4" t="s">
        <v>42</v>
      </c>
      <c r="G1059" s="4" t="s">
        <v>30</v>
      </c>
      <c r="H1059" s="4" t="s">
        <v>32</v>
      </c>
      <c r="I1059" s="4">
        <v>23</v>
      </c>
      <c r="J1059" s="5">
        <v>77.599999999999994</v>
      </c>
      <c r="K1059" s="6">
        <v>1.57</v>
      </c>
      <c r="L1059" s="4">
        <v>3</v>
      </c>
      <c r="M1059" s="4">
        <v>109</v>
      </c>
      <c r="N1059" s="4">
        <v>174</v>
      </c>
      <c r="O1059" s="4" t="s">
        <v>21</v>
      </c>
      <c r="P1059" s="7" t="s">
        <v>19</v>
      </c>
    </row>
    <row r="1060" spans="2:16" x14ac:dyDescent="0.45">
      <c r="B1060" s="4">
        <v>1059</v>
      </c>
      <c r="C1060" s="4" t="s">
        <v>15</v>
      </c>
      <c r="D1060" s="4" t="s">
        <v>16</v>
      </c>
      <c r="E1060" s="4" t="s">
        <v>17</v>
      </c>
      <c r="F1060" s="4" t="s">
        <v>24</v>
      </c>
      <c r="G1060" s="4" t="s">
        <v>19</v>
      </c>
      <c r="H1060" s="4" t="s">
        <v>28</v>
      </c>
      <c r="I1060" s="4">
        <v>65</v>
      </c>
      <c r="J1060" s="5">
        <v>73.2</v>
      </c>
      <c r="K1060" s="6">
        <v>1.58</v>
      </c>
      <c r="L1060" s="4">
        <v>4</v>
      </c>
      <c r="M1060" s="4">
        <v>125</v>
      </c>
      <c r="N1060" s="4">
        <v>95</v>
      </c>
      <c r="O1060" s="4" t="s">
        <v>26</v>
      </c>
      <c r="P1060" s="7" t="s">
        <v>19</v>
      </c>
    </row>
    <row r="1061" spans="2:16" x14ac:dyDescent="0.45">
      <c r="B1061" s="4">
        <v>1060</v>
      </c>
      <c r="C1061" s="4" t="s">
        <v>43</v>
      </c>
      <c r="D1061" s="4" t="s">
        <v>16</v>
      </c>
      <c r="E1061" s="4" t="s">
        <v>35</v>
      </c>
      <c r="F1061" s="4" t="s">
        <v>18</v>
      </c>
      <c r="G1061" s="4" t="s">
        <v>30</v>
      </c>
      <c r="H1061" s="4" t="s">
        <v>25</v>
      </c>
      <c r="I1061" s="4">
        <v>16</v>
      </c>
      <c r="J1061" s="5">
        <v>53.8</v>
      </c>
      <c r="K1061" s="6">
        <v>1.59</v>
      </c>
      <c r="L1061" s="4">
        <v>3</v>
      </c>
      <c r="M1061" s="4">
        <v>117</v>
      </c>
      <c r="N1061" s="4">
        <v>103</v>
      </c>
      <c r="O1061" s="4" t="s">
        <v>21</v>
      </c>
      <c r="P1061" s="7" t="s">
        <v>19</v>
      </c>
    </row>
    <row r="1062" spans="2:16" x14ac:dyDescent="0.45">
      <c r="B1062" s="4">
        <v>1061</v>
      </c>
      <c r="C1062" s="4" t="s">
        <v>31</v>
      </c>
      <c r="D1062" s="4" t="s">
        <v>23</v>
      </c>
      <c r="E1062" s="4" t="s">
        <v>17</v>
      </c>
      <c r="F1062" s="4" t="s">
        <v>24</v>
      </c>
      <c r="G1062" s="4" t="s">
        <v>19</v>
      </c>
      <c r="H1062" s="4" t="s">
        <v>20</v>
      </c>
      <c r="I1062" s="4">
        <v>23</v>
      </c>
      <c r="J1062" s="5">
        <v>46</v>
      </c>
      <c r="K1062" s="6">
        <v>1.69</v>
      </c>
      <c r="L1062" s="4">
        <v>3</v>
      </c>
      <c r="M1062" s="4">
        <v>102</v>
      </c>
      <c r="N1062" s="4">
        <v>102</v>
      </c>
      <c r="O1062" s="4" t="s">
        <v>21</v>
      </c>
      <c r="P1062" s="7" t="s">
        <v>19</v>
      </c>
    </row>
    <row r="1063" spans="2:16" x14ac:dyDescent="0.45">
      <c r="B1063" s="4">
        <v>1062</v>
      </c>
      <c r="C1063" s="4" t="s">
        <v>27</v>
      </c>
      <c r="D1063" s="4" t="s">
        <v>23</v>
      </c>
      <c r="E1063" s="4" t="s">
        <v>17</v>
      </c>
      <c r="F1063" s="4" t="s">
        <v>24</v>
      </c>
      <c r="G1063" s="4" t="s">
        <v>19</v>
      </c>
      <c r="H1063" s="4" t="s">
        <v>25</v>
      </c>
      <c r="I1063" s="4">
        <v>30</v>
      </c>
      <c r="J1063" s="5">
        <v>69.7</v>
      </c>
      <c r="K1063" s="6">
        <v>1.7</v>
      </c>
      <c r="L1063" s="4">
        <v>6</v>
      </c>
      <c r="M1063" s="4">
        <v>110</v>
      </c>
      <c r="N1063" s="4">
        <v>83</v>
      </c>
      <c r="O1063" s="4" t="s">
        <v>26</v>
      </c>
      <c r="P1063" s="7" t="s">
        <v>30</v>
      </c>
    </row>
    <row r="1064" spans="2:16" x14ac:dyDescent="0.45">
      <c r="B1064" s="4">
        <v>1063</v>
      </c>
      <c r="C1064" s="4" t="s">
        <v>43</v>
      </c>
      <c r="D1064" s="4" t="s">
        <v>23</v>
      </c>
      <c r="E1064" s="4" t="s">
        <v>35</v>
      </c>
      <c r="F1064" s="4" t="s">
        <v>18</v>
      </c>
      <c r="G1064" s="4" t="s">
        <v>19</v>
      </c>
      <c r="H1064" s="4" t="s">
        <v>20</v>
      </c>
      <c r="I1064" s="4">
        <v>26</v>
      </c>
      <c r="J1064" s="5">
        <v>83.5</v>
      </c>
      <c r="K1064" s="6">
        <v>1.87</v>
      </c>
      <c r="L1064" s="4">
        <v>5</v>
      </c>
      <c r="M1064" s="4">
        <v>120</v>
      </c>
      <c r="N1064" s="4">
        <v>71</v>
      </c>
      <c r="O1064" s="4" t="s">
        <v>21</v>
      </c>
      <c r="P1064" s="7" t="s">
        <v>19</v>
      </c>
    </row>
    <row r="1065" spans="2:16" x14ac:dyDescent="0.45">
      <c r="B1065" s="4">
        <v>1064</v>
      </c>
      <c r="C1065" s="4" t="s">
        <v>22</v>
      </c>
      <c r="D1065" s="4" t="s">
        <v>23</v>
      </c>
      <c r="E1065" s="4" t="s">
        <v>17</v>
      </c>
      <c r="F1065" s="4" t="s">
        <v>28</v>
      </c>
      <c r="G1065" s="4" t="s">
        <v>19</v>
      </c>
      <c r="H1065" s="4" t="s">
        <v>34</v>
      </c>
      <c r="I1065" s="4">
        <v>20</v>
      </c>
      <c r="J1065" s="5">
        <v>86</v>
      </c>
      <c r="K1065" s="6">
        <v>1.79</v>
      </c>
      <c r="L1065" s="4">
        <v>5</v>
      </c>
      <c r="M1065" s="4">
        <v>103</v>
      </c>
      <c r="N1065" s="4">
        <v>71</v>
      </c>
      <c r="O1065" s="4" t="s">
        <v>26</v>
      </c>
      <c r="P1065" s="7" t="s">
        <v>19</v>
      </c>
    </row>
    <row r="1066" spans="2:16" x14ac:dyDescent="0.45">
      <c r="B1066" s="4">
        <v>1065</v>
      </c>
      <c r="C1066" s="4" t="s">
        <v>22</v>
      </c>
      <c r="D1066" s="4" t="s">
        <v>16</v>
      </c>
      <c r="E1066" s="4" t="s">
        <v>35</v>
      </c>
      <c r="F1066" s="4" t="s">
        <v>24</v>
      </c>
      <c r="G1066" s="4" t="s">
        <v>19</v>
      </c>
      <c r="H1066" s="4" t="s">
        <v>20</v>
      </c>
      <c r="I1066" s="4">
        <v>6</v>
      </c>
      <c r="J1066" s="5">
        <v>28.5</v>
      </c>
      <c r="K1066" s="6">
        <v>1.19</v>
      </c>
      <c r="L1066" s="4">
        <v>1</v>
      </c>
      <c r="M1066" s="4">
        <v>113</v>
      </c>
      <c r="N1066" s="4">
        <v>81</v>
      </c>
      <c r="O1066" s="4" t="s">
        <v>26</v>
      </c>
      <c r="P1066" s="7" t="s">
        <v>19</v>
      </c>
    </row>
    <row r="1067" spans="2:16" x14ac:dyDescent="0.45">
      <c r="B1067" s="4">
        <v>1066</v>
      </c>
      <c r="C1067" s="4" t="s">
        <v>15</v>
      </c>
      <c r="D1067" s="4" t="s">
        <v>23</v>
      </c>
      <c r="E1067" s="4" t="s">
        <v>35</v>
      </c>
      <c r="F1067" s="4" t="s">
        <v>18</v>
      </c>
      <c r="G1067" s="4" t="s">
        <v>30</v>
      </c>
      <c r="H1067" s="4" t="s">
        <v>46</v>
      </c>
      <c r="I1067" s="4">
        <v>21</v>
      </c>
      <c r="J1067" s="5">
        <v>93.5</v>
      </c>
      <c r="K1067" s="6">
        <v>1.72</v>
      </c>
      <c r="L1067" s="4">
        <v>2</v>
      </c>
      <c r="M1067" s="4">
        <v>111</v>
      </c>
      <c r="N1067" s="4">
        <v>86</v>
      </c>
      <c r="O1067" s="4" t="s">
        <v>26</v>
      </c>
      <c r="P1067" s="7" t="s">
        <v>30</v>
      </c>
    </row>
    <row r="1068" spans="2:16" x14ac:dyDescent="0.45">
      <c r="B1068" s="4">
        <v>1067</v>
      </c>
      <c r="C1068" s="4" t="s">
        <v>45</v>
      </c>
      <c r="D1068" s="4" t="s">
        <v>16</v>
      </c>
      <c r="E1068" s="4" t="s">
        <v>17</v>
      </c>
      <c r="F1068" s="4" t="s">
        <v>18</v>
      </c>
      <c r="G1068" s="4" t="s">
        <v>30</v>
      </c>
      <c r="H1068" s="4" t="s">
        <v>38</v>
      </c>
      <c r="I1068" s="4">
        <v>45</v>
      </c>
      <c r="J1068" s="5">
        <v>90</v>
      </c>
      <c r="K1068" s="6">
        <v>1.6</v>
      </c>
      <c r="L1068" s="4">
        <v>1</v>
      </c>
      <c r="M1068" s="4">
        <v>126</v>
      </c>
      <c r="N1068" s="4">
        <v>90</v>
      </c>
      <c r="O1068" s="4" t="s">
        <v>26</v>
      </c>
      <c r="P1068" s="7" t="s">
        <v>19</v>
      </c>
    </row>
    <row r="1069" spans="2:16" x14ac:dyDescent="0.45">
      <c r="B1069" s="4">
        <v>1068</v>
      </c>
      <c r="C1069" s="4" t="s">
        <v>33</v>
      </c>
      <c r="D1069" s="4" t="s">
        <v>16</v>
      </c>
      <c r="E1069" s="4" t="s">
        <v>17</v>
      </c>
      <c r="F1069" s="4" t="s">
        <v>18</v>
      </c>
      <c r="G1069" s="4" t="s">
        <v>19</v>
      </c>
      <c r="H1069" s="4" t="s">
        <v>28</v>
      </c>
      <c r="I1069" s="4">
        <v>15</v>
      </c>
      <c r="J1069" s="5">
        <v>60.8</v>
      </c>
      <c r="K1069" s="6">
        <v>1.47</v>
      </c>
      <c r="L1069" s="4">
        <v>6</v>
      </c>
      <c r="M1069" s="4">
        <v>99</v>
      </c>
      <c r="N1069" s="4">
        <v>91</v>
      </c>
      <c r="O1069" s="4" t="s">
        <v>21</v>
      </c>
      <c r="P1069" s="7" t="s">
        <v>19</v>
      </c>
    </row>
    <row r="1070" spans="2:16" x14ac:dyDescent="0.45">
      <c r="B1070" s="4">
        <v>1069</v>
      </c>
      <c r="C1070" s="4" t="s">
        <v>27</v>
      </c>
      <c r="D1070" s="4" t="s">
        <v>23</v>
      </c>
      <c r="E1070" s="4" t="s">
        <v>17</v>
      </c>
      <c r="F1070" s="4" t="s">
        <v>24</v>
      </c>
      <c r="G1070" s="4" t="s">
        <v>19</v>
      </c>
      <c r="H1070" s="4" t="s">
        <v>36</v>
      </c>
      <c r="I1070" s="4">
        <v>17</v>
      </c>
      <c r="J1070" s="5">
        <v>40.299999999999997</v>
      </c>
      <c r="K1070" s="6">
        <v>1.68</v>
      </c>
      <c r="L1070" s="4">
        <v>4</v>
      </c>
      <c r="M1070" s="4">
        <v>131</v>
      </c>
      <c r="N1070" s="4">
        <v>96</v>
      </c>
      <c r="O1070" s="4" t="s">
        <v>26</v>
      </c>
      <c r="P1070" s="7" t="s">
        <v>19</v>
      </c>
    </row>
    <row r="1071" spans="2:16" x14ac:dyDescent="0.45">
      <c r="B1071" s="4">
        <v>1070</v>
      </c>
      <c r="C1071" s="4" t="s">
        <v>27</v>
      </c>
      <c r="D1071" s="4" t="s">
        <v>16</v>
      </c>
      <c r="E1071" s="4" t="s">
        <v>35</v>
      </c>
      <c r="F1071" s="4" t="s">
        <v>18</v>
      </c>
      <c r="G1071" s="4" t="s">
        <v>30</v>
      </c>
      <c r="H1071" s="4" t="s">
        <v>25</v>
      </c>
      <c r="I1071" s="4">
        <v>61</v>
      </c>
      <c r="J1071" s="5">
        <v>65.599999999999994</v>
      </c>
      <c r="K1071" s="6">
        <v>1.56</v>
      </c>
      <c r="L1071" s="4">
        <v>5</v>
      </c>
      <c r="M1071" s="4">
        <v>126</v>
      </c>
      <c r="N1071" s="4">
        <v>88</v>
      </c>
      <c r="O1071" s="4" t="s">
        <v>21</v>
      </c>
      <c r="P1071" s="7" t="s">
        <v>30</v>
      </c>
    </row>
    <row r="1072" spans="2:16" x14ac:dyDescent="0.45">
      <c r="B1072" s="4">
        <v>1071</v>
      </c>
      <c r="C1072" s="4" t="s">
        <v>40</v>
      </c>
      <c r="D1072" s="4" t="s">
        <v>16</v>
      </c>
      <c r="E1072" s="4" t="s">
        <v>35</v>
      </c>
      <c r="F1072" s="4" t="s">
        <v>24</v>
      </c>
      <c r="G1072" s="4" t="s">
        <v>19</v>
      </c>
      <c r="H1072" s="4" t="s">
        <v>25</v>
      </c>
      <c r="I1072" s="4">
        <v>32</v>
      </c>
      <c r="J1072" s="5">
        <v>55.6</v>
      </c>
      <c r="K1072" s="6">
        <v>1.61</v>
      </c>
      <c r="L1072" s="4">
        <v>2</v>
      </c>
      <c r="M1072" s="4">
        <v>101</v>
      </c>
      <c r="N1072" s="4">
        <v>93</v>
      </c>
      <c r="O1072" s="4" t="s">
        <v>21</v>
      </c>
      <c r="P1072" s="7" t="s">
        <v>19</v>
      </c>
    </row>
    <row r="1073" spans="2:16" x14ac:dyDescent="0.45">
      <c r="B1073" s="4">
        <v>1072</v>
      </c>
      <c r="C1073" s="4" t="s">
        <v>22</v>
      </c>
      <c r="D1073" s="4" t="s">
        <v>23</v>
      </c>
      <c r="E1073" s="4" t="s">
        <v>17</v>
      </c>
      <c r="F1073" s="4" t="s">
        <v>24</v>
      </c>
      <c r="G1073" s="4" t="s">
        <v>19</v>
      </c>
      <c r="H1073" s="4" t="s">
        <v>32</v>
      </c>
      <c r="I1073" s="4">
        <v>31</v>
      </c>
      <c r="J1073" s="5">
        <v>78.599999999999994</v>
      </c>
      <c r="K1073" s="6">
        <v>1.71</v>
      </c>
      <c r="L1073" s="4">
        <v>2</v>
      </c>
      <c r="M1073" s="4">
        <v>101</v>
      </c>
      <c r="N1073" s="4">
        <v>172</v>
      </c>
      <c r="O1073" s="4" t="s">
        <v>26</v>
      </c>
      <c r="P1073" s="7" t="s">
        <v>19</v>
      </c>
    </row>
    <row r="1074" spans="2:16" x14ac:dyDescent="0.45">
      <c r="B1074" s="4">
        <v>1073</v>
      </c>
      <c r="C1074" s="4" t="s">
        <v>15</v>
      </c>
      <c r="D1074" s="4" t="s">
        <v>16</v>
      </c>
      <c r="E1074" s="4" t="s">
        <v>17</v>
      </c>
      <c r="F1074" s="4" t="s">
        <v>28</v>
      </c>
      <c r="G1074" s="4" t="s">
        <v>19</v>
      </c>
      <c r="H1074" s="4" t="s">
        <v>34</v>
      </c>
      <c r="I1074" s="4">
        <v>16</v>
      </c>
      <c r="J1074" s="5">
        <v>45</v>
      </c>
      <c r="K1074" s="6">
        <v>1.7</v>
      </c>
      <c r="L1074" s="4">
        <v>2</v>
      </c>
      <c r="M1074" s="4">
        <v>115</v>
      </c>
      <c r="N1074" s="4">
        <v>73</v>
      </c>
      <c r="O1074" s="4" t="s">
        <v>26</v>
      </c>
      <c r="P1074" s="7" t="s">
        <v>19</v>
      </c>
    </row>
    <row r="1075" spans="2:16" x14ac:dyDescent="0.45">
      <c r="B1075" s="4">
        <v>1074</v>
      </c>
      <c r="C1075" s="4" t="s">
        <v>22</v>
      </c>
      <c r="D1075" s="4" t="s">
        <v>23</v>
      </c>
      <c r="E1075" s="4" t="s">
        <v>17</v>
      </c>
      <c r="F1075" s="4" t="s">
        <v>24</v>
      </c>
      <c r="G1075" s="4" t="s">
        <v>19</v>
      </c>
      <c r="H1075" s="4" t="s">
        <v>20</v>
      </c>
      <c r="I1075" s="4">
        <v>22</v>
      </c>
      <c r="J1075" s="5">
        <v>70.7</v>
      </c>
      <c r="K1075" s="6">
        <v>1.79</v>
      </c>
      <c r="L1075" s="4">
        <v>3</v>
      </c>
      <c r="M1075" s="4">
        <v>100</v>
      </c>
      <c r="N1075" s="4">
        <v>89</v>
      </c>
      <c r="O1075" s="4" t="s">
        <v>26</v>
      </c>
      <c r="P1075" s="7" t="s">
        <v>19</v>
      </c>
    </row>
    <row r="1076" spans="2:16" x14ac:dyDescent="0.45">
      <c r="B1076" s="4">
        <v>1075</v>
      </c>
      <c r="C1076" s="4" t="s">
        <v>31</v>
      </c>
      <c r="D1076" s="4" t="s">
        <v>16</v>
      </c>
      <c r="E1076" s="4" t="s">
        <v>17</v>
      </c>
      <c r="F1076" s="4" t="s">
        <v>18</v>
      </c>
      <c r="G1076" s="4" t="s">
        <v>30</v>
      </c>
      <c r="H1076" s="4" t="s">
        <v>20</v>
      </c>
      <c r="I1076" s="4">
        <v>23</v>
      </c>
      <c r="J1076" s="5">
        <v>72.8</v>
      </c>
      <c r="K1076" s="6">
        <v>1.79</v>
      </c>
      <c r="L1076" s="4">
        <v>4</v>
      </c>
      <c r="M1076" s="4">
        <v>116</v>
      </c>
      <c r="N1076" s="4">
        <v>93</v>
      </c>
      <c r="O1076" s="4" t="s">
        <v>21</v>
      </c>
      <c r="P1076" s="7" t="s">
        <v>19</v>
      </c>
    </row>
    <row r="1077" spans="2:16" x14ac:dyDescent="0.45">
      <c r="B1077" s="4">
        <v>1076</v>
      </c>
      <c r="C1077" s="4" t="s">
        <v>45</v>
      </c>
      <c r="D1077" s="4" t="s">
        <v>23</v>
      </c>
      <c r="E1077" s="4" t="s">
        <v>35</v>
      </c>
      <c r="F1077" s="4" t="s">
        <v>18</v>
      </c>
      <c r="G1077" s="4" t="s">
        <v>19</v>
      </c>
      <c r="H1077" s="4" t="s">
        <v>36</v>
      </c>
      <c r="I1077" s="4">
        <v>38</v>
      </c>
      <c r="J1077" s="5">
        <v>73.3</v>
      </c>
      <c r="K1077" s="6">
        <v>1.87</v>
      </c>
      <c r="L1077" s="4">
        <v>5</v>
      </c>
      <c r="M1077" s="4">
        <v>145</v>
      </c>
      <c r="N1077" s="4">
        <v>78</v>
      </c>
      <c r="O1077" s="4" t="s">
        <v>21</v>
      </c>
      <c r="P1077" s="7" t="s">
        <v>19</v>
      </c>
    </row>
    <row r="1078" spans="2:16" x14ac:dyDescent="0.45">
      <c r="B1078" s="4">
        <v>1077</v>
      </c>
      <c r="C1078" s="4" t="s">
        <v>27</v>
      </c>
      <c r="D1078" s="4" t="s">
        <v>23</v>
      </c>
      <c r="E1078" s="4" t="s">
        <v>35</v>
      </c>
      <c r="F1078" s="4" t="s">
        <v>28</v>
      </c>
      <c r="G1078" s="4" t="s">
        <v>19</v>
      </c>
      <c r="H1078" s="4" t="s">
        <v>34</v>
      </c>
      <c r="I1078" s="4">
        <v>14</v>
      </c>
      <c r="J1078" s="5">
        <v>59</v>
      </c>
      <c r="K1078" s="6">
        <v>1.67</v>
      </c>
      <c r="L1078" s="4">
        <v>1</v>
      </c>
      <c r="M1078" s="4">
        <v>103</v>
      </c>
      <c r="N1078" s="4">
        <v>83</v>
      </c>
      <c r="O1078" s="4" t="s">
        <v>26</v>
      </c>
      <c r="P1078" s="7" t="s">
        <v>19</v>
      </c>
    </row>
    <row r="1079" spans="2:16" x14ac:dyDescent="0.45">
      <c r="B1079" s="4">
        <v>1078</v>
      </c>
      <c r="C1079" s="4" t="s">
        <v>43</v>
      </c>
      <c r="D1079" s="4" t="s">
        <v>16</v>
      </c>
      <c r="E1079" s="4" t="s">
        <v>37</v>
      </c>
      <c r="F1079" s="4" t="s">
        <v>18</v>
      </c>
      <c r="G1079" s="4" t="s">
        <v>19</v>
      </c>
      <c r="H1079" s="4" t="s">
        <v>46</v>
      </c>
      <c r="I1079" s="4">
        <v>8</v>
      </c>
      <c r="J1079" s="5">
        <v>25.4</v>
      </c>
      <c r="K1079" s="6">
        <v>1.1299999999999999</v>
      </c>
      <c r="L1079" s="4">
        <v>7</v>
      </c>
      <c r="M1079" s="4">
        <v>97</v>
      </c>
      <c r="N1079" s="4">
        <v>102</v>
      </c>
      <c r="O1079" s="4" t="s">
        <v>26</v>
      </c>
      <c r="P1079" s="7" t="s">
        <v>19</v>
      </c>
    </row>
    <row r="1080" spans="2:16" x14ac:dyDescent="0.45">
      <c r="B1080" s="4">
        <v>1079</v>
      </c>
      <c r="C1080" s="4" t="s">
        <v>45</v>
      </c>
      <c r="D1080" s="4" t="s">
        <v>23</v>
      </c>
      <c r="E1080" s="4" t="s">
        <v>17</v>
      </c>
      <c r="F1080" s="4" t="s">
        <v>28</v>
      </c>
      <c r="G1080" s="4" t="s">
        <v>30</v>
      </c>
      <c r="H1080" s="4" t="s">
        <v>25</v>
      </c>
      <c r="I1080" s="4">
        <v>20</v>
      </c>
      <c r="J1080" s="5">
        <v>49.2</v>
      </c>
      <c r="K1080" s="6">
        <v>1.65</v>
      </c>
      <c r="L1080" s="4">
        <v>3</v>
      </c>
      <c r="M1080" s="4">
        <v>125</v>
      </c>
      <c r="N1080" s="4">
        <v>74</v>
      </c>
      <c r="O1080" s="4" t="s">
        <v>21</v>
      </c>
      <c r="P1080" s="7" t="s">
        <v>30</v>
      </c>
    </row>
    <row r="1081" spans="2:16" x14ac:dyDescent="0.45">
      <c r="B1081" s="4">
        <v>1080</v>
      </c>
      <c r="C1081" s="4" t="s">
        <v>43</v>
      </c>
      <c r="D1081" s="4" t="s">
        <v>23</v>
      </c>
      <c r="E1081" s="4" t="s">
        <v>35</v>
      </c>
      <c r="F1081" s="4" t="s">
        <v>28</v>
      </c>
      <c r="G1081" s="4" t="s">
        <v>30</v>
      </c>
      <c r="H1081" s="4" t="s">
        <v>28</v>
      </c>
      <c r="I1081" s="4">
        <v>8</v>
      </c>
      <c r="J1081" s="5">
        <v>33.9</v>
      </c>
      <c r="K1081" s="6">
        <v>1.25</v>
      </c>
      <c r="L1081" s="4">
        <v>4</v>
      </c>
      <c r="M1081" s="4">
        <v>117</v>
      </c>
      <c r="N1081" s="4">
        <v>80</v>
      </c>
      <c r="O1081" s="4" t="s">
        <v>21</v>
      </c>
      <c r="P1081" s="7" t="s">
        <v>19</v>
      </c>
    </row>
    <row r="1082" spans="2:16" x14ac:dyDescent="0.45">
      <c r="B1082" s="4">
        <v>1081</v>
      </c>
      <c r="C1082" s="4" t="s">
        <v>22</v>
      </c>
      <c r="D1082" s="4" t="s">
        <v>23</v>
      </c>
      <c r="E1082" s="4" t="s">
        <v>35</v>
      </c>
      <c r="F1082" s="4" t="s">
        <v>24</v>
      </c>
      <c r="G1082" s="4" t="s">
        <v>19</v>
      </c>
      <c r="H1082" s="4" t="s">
        <v>25</v>
      </c>
      <c r="I1082" s="4">
        <v>75</v>
      </c>
      <c r="J1082" s="5">
        <v>78.8</v>
      </c>
      <c r="K1082" s="6">
        <v>1.68</v>
      </c>
      <c r="L1082" s="4">
        <v>7</v>
      </c>
      <c r="M1082" s="4">
        <v>118</v>
      </c>
      <c r="N1082" s="4">
        <v>93</v>
      </c>
      <c r="O1082" s="4" t="s">
        <v>21</v>
      </c>
      <c r="P1082" s="7" t="s">
        <v>19</v>
      </c>
    </row>
    <row r="1083" spans="2:16" x14ac:dyDescent="0.45">
      <c r="B1083" s="4">
        <v>1082</v>
      </c>
      <c r="C1083" s="4" t="s">
        <v>27</v>
      </c>
      <c r="D1083" s="4" t="s">
        <v>23</v>
      </c>
      <c r="E1083" s="4" t="s">
        <v>17</v>
      </c>
      <c r="F1083" s="4" t="s">
        <v>18</v>
      </c>
      <c r="G1083" s="4" t="s">
        <v>19</v>
      </c>
      <c r="H1083" s="4" t="s">
        <v>46</v>
      </c>
      <c r="I1083" s="4">
        <v>39</v>
      </c>
      <c r="J1083" s="5">
        <v>47</v>
      </c>
      <c r="K1083" s="6">
        <v>1.65</v>
      </c>
      <c r="L1083" s="4">
        <v>1</v>
      </c>
      <c r="M1083" s="4">
        <v>105</v>
      </c>
      <c r="N1083" s="4">
        <v>89</v>
      </c>
      <c r="O1083" s="4" t="s">
        <v>26</v>
      </c>
      <c r="P1083" s="7" t="s">
        <v>19</v>
      </c>
    </row>
    <row r="1084" spans="2:16" x14ac:dyDescent="0.45">
      <c r="B1084" s="4">
        <v>1083</v>
      </c>
      <c r="C1084" s="4" t="s">
        <v>45</v>
      </c>
      <c r="D1084" s="4" t="s">
        <v>16</v>
      </c>
      <c r="E1084" s="4" t="s">
        <v>35</v>
      </c>
      <c r="F1084" s="4" t="s">
        <v>28</v>
      </c>
      <c r="G1084" s="4" t="s">
        <v>19</v>
      </c>
      <c r="H1084" s="4" t="s">
        <v>28</v>
      </c>
      <c r="I1084" s="4">
        <v>28</v>
      </c>
      <c r="J1084" s="5">
        <v>67.099999999999994</v>
      </c>
      <c r="K1084" s="6">
        <v>1.63</v>
      </c>
      <c r="L1084" s="4">
        <v>4</v>
      </c>
      <c r="M1084" s="4">
        <v>108</v>
      </c>
      <c r="N1084" s="4">
        <v>73</v>
      </c>
      <c r="O1084" s="4" t="s">
        <v>26</v>
      </c>
      <c r="P1084" s="7" t="s">
        <v>19</v>
      </c>
    </row>
    <row r="1085" spans="2:16" x14ac:dyDescent="0.45">
      <c r="B1085" s="4">
        <v>1084</v>
      </c>
      <c r="C1085" s="4" t="s">
        <v>33</v>
      </c>
      <c r="D1085" s="4" t="s">
        <v>23</v>
      </c>
      <c r="E1085" s="4" t="s">
        <v>35</v>
      </c>
      <c r="F1085" s="4" t="s">
        <v>42</v>
      </c>
      <c r="G1085" s="4" t="s">
        <v>19</v>
      </c>
      <c r="H1085" s="4" t="s">
        <v>25</v>
      </c>
      <c r="I1085" s="4">
        <v>10</v>
      </c>
      <c r="J1085" s="5">
        <v>23.4</v>
      </c>
      <c r="K1085" s="6">
        <v>1.41</v>
      </c>
      <c r="L1085" s="4">
        <v>1</v>
      </c>
      <c r="M1085" s="4">
        <v>98</v>
      </c>
      <c r="N1085" s="4">
        <v>101</v>
      </c>
      <c r="O1085" s="4" t="s">
        <v>21</v>
      </c>
      <c r="P1085" s="7" t="s">
        <v>19</v>
      </c>
    </row>
    <row r="1086" spans="2:16" x14ac:dyDescent="0.45">
      <c r="B1086" s="4">
        <v>1085</v>
      </c>
      <c r="C1086" s="4" t="s">
        <v>41</v>
      </c>
      <c r="D1086" s="4" t="s">
        <v>16</v>
      </c>
      <c r="E1086" s="4" t="s">
        <v>37</v>
      </c>
      <c r="F1086" s="4" t="s">
        <v>24</v>
      </c>
      <c r="G1086" s="4" t="s">
        <v>19</v>
      </c>
      <c r="H1086" s="4" t="s">
        <v>20</v>
      </c>
      <c r="I1086" s="4">
        <v>32</v>
      </c>
      <c r="J1086" s="5">
        <v>75.2</v>
      </c>
      <c r="K1086" s="6">
        <v>1.82</v>
      </c>
      <c r="L1086" s="4">
        <v>3</v>
      </c>
      <c r="M1086" s="4">
        <v>129</v>
      </c>
      <c r="N1086" s="4">
        <v>88</v>
      </c>
      <c r="O1086" s="4" t="s">
        <v>21</v>
      </c>
      <c r="P1086" s="7" t="s">
        <v>30</v>
      </c>
    </row>
    <row r="1087" spans="2:16" x14ac:dyDescent="0.45">
      <c r="B1087" s="4">
        <v>1086</v>
      </c>
      <c r="C1087" s="4" t="s">
        <v>27</v>
      </c>
      <c r="D1087" s="4" t="s">
        <v>16</v>
      </c>
      <c r="E1087" s="4" t="s">
        <v>17</v>
      </c>
      <c r="F1087" s="4" t="s">
        <v>28</v>
      </c>
      <c r="G1087" s="4" t="s">
        <v>19</v>
      </c>
      <c r="H1087" s="4" t="s">
        <v>20</v>
      </c>
      <c r="I1087" s="4">
        <v>5</v>
      </c>
      <c r="J1087" s="5">
        <v>33.4</v>
      </c>
      <c r="K1087" s="6">
        <v>1.22</v>
      </c>
      <c r="L1087" s="4">
        <v>5</v>
      </c>
      <c r="M1087" s="4">
        <v>95</v>
      </c>
      <c r="N1087" s="4">
        <v>76</v>
      </c>
      <c r="O1087" s="4" t="s">
        <v>26</v>
      </c>
      <c r="P1087" s="7" t="s">
        <v>19</v>
      </c>
    </row>
    <row r="1088" spans="2:16" x14ac:dyDescent="0.45">
      <c r="B1088" s="4">
        <v>1087</v>
      </c>
      <c r="C1088" s="4" t="s">
        <v>22</v>
      </c>
      <c r="D1088" s="4" t="s">
        <v>16</v>
      </c>
      <c r="E1088" s="4" t="s">
        <v>37</v>
      </c>
      <c r="F1088" s="4" t="s">
        <v>24</v>
      </c>
      <c r="G1088" s="4" t="s">
        <v>19</v>
      </c>
      <c r="H1088" s="4" t="s">
        <v>46</v>
      </c>
      <c r="I1088" s="4">
        <v>15</v>
      </c>
      <c r="J1088" s="5">
        <v>50.5</v>
      </c>
      <c r="K1088" s="6">
        <v>1.73</v>
      </c>
      <c r="L1088" s="4">
        <v>5</v>
      </c>
      <c r="M1088" s="4">
        <v>112</v>
      </c>
      <c r="N1088" s="4">
        <v>99</v>
      </c>
      <c r="O1088" s="4" t="s">
        <v>21</v>
      </c>
      <c r="P1088" s="7" t="s">
        <v>19</v>
      </c>
    </row>
    <row r="1089" spans="2:16" x14ac:dyDescent="0.45">
      <c r="B1089" s="4">
        <v>1088</v>
      </c>
      <c r="C1089" s="4" t="s">
        <v>40</v>
      </c>
      <c r="D1089" s="4" t="s">
        <v>16</v>
      </c>
      <c r="E1089" s="4" t="s">
        <v>35</v>
      </c>
      <c r="F1089" s="4" t="s">
        <v>18</v>
      </c>
      <c r="G1089" s="4" t="s">
        <v>19</v>
      </c>
      <c r="H1089" s="4" t="s">
        <v>36</v>
      </c>
      <c r="I1089" s="4">
        <v>13</v>
      </c>
      <c r="J1089" s="5">
        <v>56.1</v>
      </c>
      <c r="K1089" s="6">
        <v>1.57</v>
      </c>
      <c r="L1089" s="4">
        <v>4</v>
      </c>
      <c r="M1089" s="4">
        <v>128</v>
      </c>
      <c r="N1089" s="4">
        <v>98</v>
      </c>
      <c r="O1089" s="4" t="s">
        <v>21</v>
      </c>
      <c r="P1089" s="7" t="s">
        <v>19</v>
      </c>
    </row>
    <row r="1090" spans="2:16" x14ac:dyDescent="0.45">
      <c r="B1090" s="4">
        <v>1089</v>
      </c>
      <c r="C1090" s="4" t="s">
        <v>22</v>
      </c>
      <c r="D1090" s="4" t="s">
        <v>16</v>
      </c>
      <c r="E1090" s="4" t="s">
        <v>37</v>
      </c>
      <c r="F1090" s="4" t="s">
        <v>28</v>
      </c>
      <c r="G1090" s="4" t="s">
        <v>19</v>
      </c>
      <c r="H1090" s="4" t="s">
        <v>34</v>
      </c>
      <c r="I1090" s="4">
        <v>89</v>
      </c>
      <c r="J1090" s="5">
        <v>48.9</v>
      </c>
      <c r="K1090" s="6">
        <v>1.73</v>
      </c>
      <c r="L1090" s="4">
        <v>8</v>
      </c>
      <c r="M1090" s="4">
        <v>136</v>
      </c>
      <c r="N1090" s="4">
        <v>78</v>
      </c>
      <c r="O1090" s="4" t="s">
        <v>26</v>
      </c>
      <c r="P1090" s="7" t="s">
        <v>30</v>
      </c>
    </row>
    <row r="1091" spans="2:16" x14ac:dyDescent="0.45">
      <c r="B1091" s="4">
        <v>1090</v>
      </c>
      <c r="C1091" s="4" t="s">
        <v>39</v>
      </c>
      <c r="D1091" s="4" t="s">
        <v>16</v>
      </c>
      <c r="E1091" s="4" t="s">
        <v>17</v>
      </c>
      <c r="F1091" s="4" t="s">
        <v>28</v>
      </c>
      <c r="G1091" s="4" t="s">
        <v>19</v>
      </c>
      <c r="H1091" s="4" t="s">
        <v>28</v>
      </c>
      <c r="I1091" s="4">
        <v>67</v>
      </c>
      <c r="J1091" s="5">
        <v>60.5</v>
      </c>
      <c r="K1091" s="6">
        <v>1.68</v>
      </c>
      <c r="L1091" s="4">
        <v>9</v>
      </c>
      <c r="M1091" s="4">
        <v>113</v>
      </c>
      <c r="N1091" s="4">
        <v>88</v>
      </c>
      <c r="O1091" s="4" t="s">
        <v>26</v>
      </c>
      <c r="P1091" s="7" t="s">
        <v>19</v>
      </c>
    </row>
    <row r="1092" spans="2:16" x14ac:dyDescent="0.45">
      <c r="B1092" s="4">
        <v>1091</v>
      </c>
      <c r="C1092" s="4" t="s">
        <v>22</v>
      </c>
      <c r="D1092" s="4" t="s">
        <v>16</v>
      </c>
      <c r="E1092" s="4" t="s">
        <v>17</v>
      </c>
      <c r="F1092" s="4" t="s">
        <v>28</v>
      </c>
      <c r="G1092" s="4" t="s">
        <v>19</v>
      </c>
      <c r="H1092" s="4" t="s">
        <v>28</v>
      </c>
      <c r="I1092" s="4">
        <v>66</v>
      </c>
      <c r="J1092" s="5">
        <v>94.2</v>
      </c>
      <c r="K1092" s="6">
        <v>1.64</v>
      </c>
      <c r="L1092" s="4">
        <v>2</v>
      </c>
      <c r="M1092" s="4">
        <v>114</v>
      </c>
      <c r="N1092" s="4">
        <v>90</v>
      </c>
      <c r="O1092" s="4" t="s">
        <v>26</v>
      </c>
      <c r="P1092" s="7" t="s">
        <v>19</v>
      </c>
    </row>
    <row r="1093" spans="2:16" x14ac:dyDescent="0.45">
      <c r="B1093" s="4">
        <v>1092</v>
      </c>
      <c r="C1093" s="4" t="s">
        <v>45</v>
      </c>
      <c r="D1093" s="4" t="s">
        <v>23</v>
      </c>
      <c r="E1093" s="4" t="s">
        <v>37</v>
      </c>
      <c r="F1093" s="4" t="s">
        <v>28</v>
      </c>
      <c r="G1093" s="4" t="s">
        <v>19</v>
      </c>
      <c r="H1093" s="4" t="s">
        <v>28</v>
      </c>
      <c r="I1093" s="4">
        <v>50</v>
      </c>
      <c r="J1093" s="5">
        <v>81.099999999999994</v>
      </c>
      <c r="K1093" s="6">
        <v>1.69</v>
      </c>
      <c r="L1093" s="4">
        <v>7</v>
      </c>
      <c r="M1093" s="4">
        <v>122</v>
      </c>
      <c r="N1093" s="4">
        <v>101</v>
      </c>
      <c r="O1093" s="4" t="s">
        <v>26</v>
      </c>
      <c r="P1093" s="7" t="s">
        <v>19</v>
      </c>
    </row>
    <row r="1094" spans="2:16" x14ac:dyDescent="0.45">
      <c r="B1094" s="4">
        <v>1093</v>
      </c>
      <c r="C1094" s="4" t="s">
        <v>45</v>
      </c>
      <c r="D1094" s="4" t="s">
        <v>23</v>
      </c>
      <c r="E1094" s="4" t="s">
        <v>17</v>
      </c>
      <c r="F1094" s="4" t="s">
        <v>28</v>
      </c>
      <c r="G1094" s="4" t="s">
        <v>19</v>
      </c>
      <c r="H1094" s="4" t="s">
        <v>36</v>
      </c>
      <c r="I1094" s="4">
        <v>81</v>
      </c>
      <c r="J1094" s="5">
        <v>65.599999999999994</v>
      </c>
      <c r="K1094" s="6">
        <v>1.54</v>
      </c>
      <c r="L1094" s="4">
        <v>2</v>
      </c>
      <c r="M1094" s="4">
        <v>152</v>
      </c>
      <c r="N1094" s="4">
        <v>79</v>
      </c>
      <c r="O1094" s="4" t="s">
        <v>21</v>
      </c>
      <c r="P1094" s="7" t="s">
        <v>19</v>
      </c>
    </row>
    <row r="1095" spans="2:16" x14ac:dyDescent="0.45">
      <c r="B1095" s="4">
        <v>1094</v>
      </c>
      <c r="C1095" s="4" t="s">
        <v>27</v>
      </c>
      <c r="D1095" s="4" t="s">
        <v>23</v>
      </c>
      <c r="E1095" s="4" t="s">
        <v>35</v>
      </c>
      <c r="F1095" s="4" t="s">
        <v>18</v>
      </c>
      <c r="G1095" s="4" t="s">
        <v>19</v>
      </c>
      <c r="H1095" s="4" t="s">
        <v>36</v>
      </c>
      <c r="I1095" s="4">
        <v>60</v>
      </c>
      <c r="J1095" s="5">
        <v>91.8</v>
      </c>
      <c r="K1095" s="6">
        <v>1.78</v>
      </c>
      <c r="L1095" s="4">
        <v>2</v>
      </c>
      <c r="M1095" s="4">
        <v>137</v>
      </c>
      <c r="N1095" s="4">
        <v>93</v>
      </c>
      <c r="O1095" s="4" t="s">
        <v>26</v>
      </c>
      <c r="P1095" s="7" t="s">
        <v>19</v>
      </c>
    </row>
    <row r="1096" spans="2:16" x14ac:dyDescent="0.45">
      <c r="B1096" s="4">
        <v>1095</v>
      </c>
      <c r="C1096" s="4" t="s">
        <v>41</v>
      </c>
      <c r="D1096" s="4" t="s">
        <v>16</v>
      </c>
      <c r="E1096" s="4" t="s">
        <v>17</v>
      </c>
      <c r="F1096" s="4" t="s">
        <v>24</v>
      </c>
      <c r="G1096" s="4" t="s">
        <v>19</v>
      </c>
      <c r="H1096" s="4" t="s">
        <v>38</v>
      </c>
      <c r="I1096" s="4">
        <v>25</v>
      </c>
      <c r="J1096" s="5">
        <v>71.900000000000006</v>
      </c>
      <c r="K1096" s="6">
        <v>1.61</v>
      </c>
      <c r="L1096" s="4">
        <v>3</v>
      </c>
      <c r="M1096" s="4">
        <v>107</v>
      </c>
      <c r="N1096" s="4">
        <v>84</v>
      </c>
      <c r="O1096" s="4" t="s">
        <v>26</v>
      </c>
      <c r="P1096" s="7" t="s">
        <v>30</v>
      </c>
    </row>
    <row r="1097" spans="2:16" x14ac:dyDescent="0.45">
      <c r="B1097" s="4">
        <v>1096</v>
      </c>
      <c r="C1097" s="4" t="s">
        <v>29</v>
      </c>
      <c r="D1097" s="4" t="s">
        <v>16</v>
      </c>
      <c r="E1097" s="4" t="s">
        <v>37</v>
      </c>
      <c r="F1097" s="4" t="s">
        <v>28</v>
      </c>
      <c r="G1097" s="4" t="s">
        <v>19</v>
      </c>
      <c r="H1097" s="4" t="s">
        <v>36</v>
      </c>
      <c r="I1097" s="4">
        <v>13</v>
      </c>
      <c r="J1097" s="5">
        <v>57.6</v>
      </c>
      <c r="K1097" s="6">
        <v>1.49</v>
      </c>
      <c r="L1097" s="4">
        <v>2</v>
      </c>
      <c r="M1097" s="4">
        <v>117</v>
      </c>
      <c r="N1097" s="4">
        <v>83</v>
      </c>
      <c r="O1097" s="4" t="s">
        <v>26</v>
      </c>
      <c r="P1097" s="7" t="s">
        <v>19</v>
      </c>
    </row>
    <row r="1098" spans="2:16" x14ac:dyDescent="0.45">
      <c r="B1098" s="4">
        <v>1097</v>
      </c>
      <c r="C1098" s="4" t="s">
        <v>43</v>
      </c>
      <c r="D1098" s="4" t="s">
        <v>16</v>
      </c>
      <c r="E1098" s="4" t="s">
        <v>35</v>
      </c>
      <c r="F1098" s="4" t="s">
        <v>18</v>
      </c>
      <c r="G1098" s="4" t="s">
        <v>30</v>
      </c>
      <c r="H1098" s="4" t="s">
        <v>28</v>
      </c>
      <c r="I1098" s="4">
        <v>18</v>
      </c>
      <c r="J1098" s="5">
        <v>51.7</v>
      </c>
      <c r="K1098" s="6">
        <v>1.67</v>
      </c>
      <c r="L1098" s="4">
        <v>0</v>
      </c>
      <c r="M1098" s="4">
        <v>111</v>
      </c>
      <c r="N1098" s="4">
        <v>104</v>
      </c>
      <c r="O1098" s="4" t="s">
        <v>26</v>
      </c>
      <c r="P1098" s="7" t="s">
        <v>19</v>
      </c>
    </row>
    <row r="1099" spans="2:16" x14ac:dyDescent="0.45">
      <c r="B1099" s="4">
        <v>1098</v>
      </c>
      <c r="C1099" s="4" t="s">
        <v>27</v>
      </c>
      <c r="D1099" s="4" t="s">
        <v>23</v>
      </c>
      <c r="E1099" s="4" t="s">
        <v>17</v>
      </c>
      <c r="F1099" s="4" t="s">
        <v>18</v>
      </c>
      <c r="G1099" s="4" t="s">
        <v>19</v>
      </c>
      <c r="H1099" s="4" t="s">
        <v>28</v>
      </c>
      <c r="I1099" s="4">
        <v>15</v>
      </c>
      <c r="J1099" s="5">
        <v>51.4</v>
      </c>
      <c r="K1099" s="6">
        <v>1.46</v>
      </c>
      <c r="L1099" s="4">
        <v>5</v>
      </c>
      <c r="M1099" s="4">
        <v>116</v>
      </c>
      <c r="N1099" s="4">
        <v>84</v>
      </c>
      <c r="O1099" s="4" t="s">
        <v>26</v>
      </c>
      <c r="P1099" s="7" t="s">
        <v>19</v>
      </c>
    </row>
    <row r="1100" spans="2:16" x14ac:dyDescent="0.45">
      <c r="B1100" s="4">
        <v>1099</v>
      </c>
      <c r="C1100" s="4" t="s">
        <v>45</v>
      </c>
      <c r="D1100" s="4" t="s">
        <v>23</v>
      </c>
      <c r="E1100" s="4" t="s">
        <v>17</v>
      </c>
      <c r="F1100" s="4" t="s">
        <v>42</v>
      </c>
      <c r="G1100" s="4" t="s">
        <v>19</v>
      </c>
      <c r="H1100" s="4" t="s">
        <v>36</v>
      </c>
      <c r="I1100" s="4">
        <v>8</v>
      </c>
      <c r="J1100" s="5">
        <v>36.1</v>
      </c>
      <c r="K1100" s="6">
        <v>1.21</v>
      </c>
      <c r="L1100" s="4">
        <v>3</v>
      </c>
      <c r="M1100" s="4">
        <v>134</v>
      </c>
      <c r="N1100" s="4">
        <v>86</v>
      </c>
      <c r="O1100" s="4" t="s">
        <v>26</v>
      </c>
      <c r="P1100" s="7" t="s">
        <v>19</v>
      </c>
    </row>
    <row r="1101" spans="2:16" x14ac:dyDescent="0.45">
      <c r="B1101" s="4">
        <v>1100</v>
      </c>
      <c r="C1101" s="4" t="s">
        <v>29</v>
      </c>
      <c r="D1101" s="4" t="s">
        <v>16</v>
      </c>
      <c r="E1101" s="4" t="s">
        <v>37</v>
      </c>
      <c r="F1101" s="4" t="s">
        <v>18</v>
      </c>
      <c r="G1101" s="4" t="s">
        <v>30</v>
      </c>
      <c r="H1101" s="4" t="s">
        <v>34</v>
      </c>
      <c r="I1101" s="4">
        <v>12</v>
      </c>
      <c r="J1101" s="5">
        <v>38.4</v>
      </c>
      <c r="K1101" s="6">
        <v>1.52</v>
      </c>
      <c r="L1101" s="4">
        <v>1</v>
      </c>
      <c r="M1101" s="4">
        <v>101</v>
      </c>
      <c r="N1101" s="4">
        <v>85</v>
      </c>
      <c r="O1101" s="4" t="s">
        <v>26</v>
      </c>
      <c r="P1101" s="7" t="s">
        <v>30</v>
      </c>
    </row>
    <row r="1102" spans="2:16" x14ac:dyDescent="0.45">
      <c r="B1102" s="4">
        <v>1101</v>
      </c>
      <c r="C1102" s="4" t="s">
        <v>22</v>
      </c>
      <c r="D1102" s="4" t="s">
        <v>23</v>
      </c>
      <c r="E1102" s="4" t="s">
        <v>35</v>
      </c>
      <c r="F1102" s="4" t="s">
        <v>28</v>
      </c>
      <c r="G1102" s="4" t="s">
        <v>19</v>
      </c>
      <c r="H1102" s="4" t="s">
        <v>28</v>
      </c>
      <c r="I1102" s="4">
        <v>58</v>
      </c>
      <c r="J1102" s="5">
        <v>63.5</v>
      </c>
      <c r="K1102" s="6">
        <v>1.49</v>
      </c>
      <c r="L1102" s="4">
        <v>4</v>
      </c>
      <c r="M1102" s="4">
        <v>138</v>
      </c>
      <c r="N1102" s="4">
        <v>99</v>
      </c>
      <c r="O1102" s="4" t="s">
        <v>26</v>
      </c>
      <c r="P1102" s="7" t="s">
        <v>30</v>
      </c>
    </row>
    <row r="1103" spans="2:16" x14ac:dyDescent="0.45">
      <c r="B1103" s="4">
        <v>1102</v>
      </c>
      <c r="C1103" s="4" t="s">
        <v>29</v>
      </c>
      <c r="D1103" s="4" t="s">
        <v>16</v>
      </c>
      <c r="E1103" s="4" t="s">
        <v>35</v>
      </c>
      <c r="F1103" s="4" t="s">
        <v>24</v>
      </c>
      <c r="G1103" s="4" t="s">
        <v>19</v>
      </c>
      <c r="H1103" s="4" t="s">
        <v>28</v>
      </c>
      <c r="I1103" s="4">
        <v>39</v>
      </c>
      <c r="J1103" s="5">
        <v>91.2</v>
      </c>
      <c r="K1103" s="6">
        <v>1.54</v>
      </c>
      <c r="L1103" s="4">
        <v>3</v>
      </c>
      <c r="M1103" s="4">
        <v>120</v>
      </c>
      <c r="N1103" s="4">
        <v>87</v>
      </c>
      <c r="O1103" s="4" t="s">
        <v>26</v>
      </c>
      <c r="P1103" s="7" t="s">
        <v>19</v>
      </c>
    </row>
    <row r="1104" spans="2:16" x14ac:dyDescent="0.45">
      <c r="B1104" s="4">
        <v>1103</v>
      </c>
      <c r="C1104" s="4" t="s">
        <v>22</v>
      </c>
      <c r="D1104" s="4" t="s">
        <v>23</v>
      </c>
      <c r="E1104" s="4" t="s">
        <v>17</v>
      </c>
      <c r="F1104" s="4" t="s">
        <v>24</v>
      </c>
      <c r="G1104" s="4" t="s">
        <v>30</v>
      </c>
      <c r="H1104" s="4" t="s">
        <v>20</v>
      </c>
      <c r="I1104" s="4">
        <v>37</v>
      </c>
      <c r="J1104" s="5">
        <v>54.4</v>
      </c>
      <c r="K1104" s="6">
        <v>1.52</v>
      </c>
      <c r="L1104" s="4">
        <v>1</v>
      </c>
      <c r="M1104" s="4">
        <v>116</v>
      </c>
      <c r="N1104" s="4">
        <v>73</v>
      </c>
      <c r="O1104" s="4" t="s">
        <v>21</v>
      </c>
      <c r="P1104" s="7" t="s">
        <v>30</v>
      </c>
    </row>
    <row r="1105" spans="2:16" x14ac:dyDescent="0.45">
      <c r="B1105" s="4">
        <v>1104</v>
      </c>
      <c r="C1105" s="4" t="s">
        <v>33</v>
      </c>
      <c r="D1105" s="4" t="s">
        <v>23</v>
      </c>
      <c r="E1105" s="4" t="s">
        <v>35</v>
      </c>
      <c r="F1105" s="4" t="s">
        <v>18</v>
      </c>
      <c r="G1105" s="4" t="s">
        <v>30</v>
      </c>
      <c r="H1105" s="4" t="s">
        <v>25</v>
      </c>
      <c r="I1105" s="4">
        <v>28</v>
      </c>
      <c r="J1105" s="5">
        <v>57</v>
      </c>
      <c r="K1105" s="6">
        <v>1.89</v>
      </c>
      <c r="L1105" s="4">
        <v>2</v>
      </c>
      <c r="M1105" s="4">
        <v>123</v>
      </c>
      <c r="N1105" s="4">
        <v>96</v>
      </c>
      <c r="O1105" s="4" t="s">
        <v>21</v>
      </c>
      <c r="P1105" s="7" t="s">
        <v>19</v>
      </c>
    </row>
    <row r="1106" spans="2:16" x14ac:dyDescent="0.45">
      <c r="B1106" s="4">
        <v>1105</v>
      </c>
      <c r="C1106" s="4" t="s">
        <v>29</v>
      </c>
      <c r="D1106" s="4" t="s">
        <v>16</v>
      </c>
      <c r="E1106" s="4" t="s">
        <v>35</v>
      </c>
      <c r="F1106" s="4" t="s">
        <v>18</v>
      </c>
      <c r="G1106" s="4" t="s">
        <v>30</v>
      </c>
      <c r="H1106" s="4" t="s">
        <v>36</v>
      </c>
      <c r="I1106" s="4">
        <v>51</v>
      </c>
      <c r="J1106" s="5">
        <v>55.1</v>
      </c>
      <c r="K1106" s="6">
        <v>1.8</v>
      </c>
      <c r="L1106" s="4">
        <v>1</v>
      </c>
      <c r="M1106" s="4">
        <v>156</v>
      </c>
      <c r="N1106" s="4">
        <v>85</v>
      </c>
      <c r="O1106" s="4" t="s">
        <v>26</v>
      </c>
      <c r="P1106" s="7" t="s">
        <v>30</v>
      </c>
    </row>
    <row r="1107" spans="2:16" x14ac:dyDescent="0.45">
      <c r="B1107" s="4">
        <v>1106</v>
      </c>
      <c r="C1107" s="4" t="s">
        <v>41</v>
      </c>
      <c r="D1107" s="4" t="s">
        <v>16</v>
      </c>
      <c r="E1107" s="4" t="s">
        <v>35</v>
      </c>
      <c r="F1107" s="4" t="s">
        <v>18</v>
      </c>
      <c r="G1107" s="4" t="s">
        <v>30</v>
      </c>
      <c r="H1107" s="4" t="s">
        <v>28</v>
      </c>
      <c r="I1107" s="4">
        <v>1</v>
      </c>
      <c r="J1107" s="5">
        <v>18</v>
      </c>
      <c r="K1107" s="6">
        <v>0.77</v>
      </c>
      <c r="L1107" s="4">
        <v>4</v>
      </c>
      <c r="M1107" s="4">
        <v>109</v>
      </c>
      <c r="N1107" s="4">
        <v>98</v>
      </c>
      <c r="O1107" s="4" t="s">
        <v>21</v>
      </c>
      <c r="P1107" s="7" t="s">
        <v>19</v>
      </c>
    </row>
    <row r="1108" spans="2:16" x14ac:dyDescent="0.45">
      <c r="B1108" s="4">
        <v>1107</v>
      </c>
      <c r="C1108" s="4" t="s">
        <v>41</v>
      </c>
      <c r="D1108" s="4" t="s">
        <v>23</v>
      </c>
      <c r="E1108" s="4" t="s">
        <v>35</v>
      </c>
      <c r="F1108" s="4" t="s">
        <v>18</v>
      </c>
      <c r="G1108" s="4" t="s">
        <v>19</v>
      </c>
      <c r="H1108" s="4" t="s">
        <v>25</v>
      </c>
      <c r="I1108" s="4">
        <v>74</v>
      </c>
      <c r="J1108" s="5">
        <v>61.6</v>
      </c>
      <c r="K1108" s="6">
        <v>1.83</v>
      </c>
      <c r="L1108" s="4">
        <v>2</v>
      </c>
      <c r="M1108" s="4">
        <v>123</v>
      </c>
      <c r="N1108" s="4">
        <v>78</v>
      </c>
      <c r="O1108" s="4" t="s">
        <v>21</v>
      </c>
      <c r="P1108" s="7" t="s">
        <v>19</v>
      </c>
    </row>
    <row r="1109" spans="2:16" x14ac:dyDescent="0.45">
      <c r="B1109" s="4">
        <v>1108</v>
      </c>
      <c r="C1109" s="4" t="s">
        <v>22</v>
      </c>
      <c r="D1109" s="4" t="s">
        <v>23</v>
      </c>
      <c r="E1109" s="4" t="s">
        <v>35</v>
      </c>
      <c r="F1109" s="4" t="s">
        <v>42</v>
      </c>
      <c r="G1109" s="4" t="s">
        <v>19</v>
      </c>
      <c r="H1109" s="4" t="s">
        <v>46</v>
      </c>
      <c r="I1109" s="4">
        <v>8</v>
      </c>
      <c r="J1109" s="5">
        <v>25.7</v>
      </c>
      <c r="K1109" s="6">
        <v>1.36</v>
      </c>
      <c r="L1109" s="4">
        <v>10</v>
      </c>
      <c r="M1109" s="4">
        <v>113</v>
      </c>
      <c r="N1109" s="4">
        <v>76</v>
      </c>
      <c r="O1109" s="4" t="s">
        <v>26</v>
      </c>
      <c r="P1109" s="7" t="s">
        <v>19</v>
      </c>
    </row>
    <row r="1110" spans="2:16" x14ac:dyDescent="0.45">
      <c r="B1110" s="4">
        <v>1109</v>
      </c>
      <c r="C1110" s="4" t="s">
        <v>39</v>
      </c>
      <c r="D1110" s="4" t="s">
        <v>16</v>
      </c>
      <c r="E1110" s="4" t="s">
        <v>17</v>
      </c>
      <c r="F1110" s="4" t="s">
        <v>24</v>
      </c>
      <c r="G1110" s="4" t="s">
        <v>19</v>
      </c>
      <c r="H1110" s="4" t="s">
        <v>38</v>
      </c>
      <c r="I1110" s="4">
        <v>46</v>
      </c>
      <c r="J1110" s="5">
        <v>90.2</v>
      </c>
      <c r="K1110" s="6">
        <v>1.68</v>
      </c>
      <c r="L1110" s="4">
        <v>4</v>
      </c>
      <c r="M1110" s="4">
        <v>127</v>
      </c>
      <c r="N1110" s="4">
        <v>76</v>
      </c>
      <c r="O1110" s="4" t="s">
        <v>26</v>
      </c>
      <c r="P1110" s="7" t="s">
        <v>19</v>
      </c>
    </row>
    <row r="1111" spans="2:16" x14ac:dyDescent="0.45">
      <c r="B1111" s="4">
        <v>1110</v>
      </c>
      <c r="C1111" s="4" t="s">
        <v>40</v>
      </c>
      <c r="D1111" s="4" t="s">
        <v>16</v>
      </c>
      <c r="E1111" s="4" t="s">
        <v>35</v>
      </c>
      <c r="F1111" s="4" t="s">
        <v>28</v>
      </c>
      <c r="G1111" s="4" t="s">
        <v>19</v>
      </c>
      <c r="H1111" s="4" t="s">
        <v>36</v>
      </c>
      <c r="I1111" s="4">
        <v>10</v>
      </c>
      <c r="J1111" s="5">
        <v>18.600000000000001</v>
      </c>
      <c r="K1111" s="6">
        <v>1.28</v>
      </c>
      <c r="L1111" s="4">
        <v>2</v>
      </c>
      <c r="M1111" s="4">
        <v>127</v>
      </c>
      <c r="N1111" s="4">
        <v>74</v>
      </c>
      <c r="O1111" s="4" t="s">
        <v>21</v>
      </c>
      <c r="P1111" s="7" t="s">
        <v>19</v>
      </c>
    </row>
    <row r="1112" spans="2:16" x14ac:dyDescent="0.45">
      <c r="B1112" s="4">
        <v>1111</v>
      </c>
      <c r="C1112" s="4" t="s">
        <v>45</v>
      </c>
      <c r="D1112" s="4" t="s">
        <v>23</v>
      </c>
      <c r="E1112" s="4" t="s">
        <v>17</v>
      </c>
      <c r="F1112" s="4" t="s">
        <v>18</v>
      </c>
      <c r="G1112" s="4" t="s">
        <v>19</v>
      </c>
      <c r="H1112" s="4" t="s">
        <v>28</v>
      </c>
      <c r="I1112" s="4">
        <v>32</v>
      </c>
      <c r="J1112" s="5">
        <v>80</v>
      </c>
      <c r="K1112" s="6">
        <v>1.65</v>
      </c>
      <c r="L1112" s="4">
        <v>3</v>
      </c>
      <c r="M1112" s="4">
        <v>109</v>
      </c>
      <c r="N1112" s="4">
        <v>94</v>
      </c>
      <c r="O1112" s="4" t="s">
        <v>26</v>
      </c>
      <c r="P1112" s="7" t="s">
        <v>19</v>
      </c>
    </row>
    <row r="1113" spans="2:16" x14ac:dyDescent="0.45">
      <c r="B1113" s="4">
        <v>1112</v>
      </c>
      <c r="C1113" s="4" t="s">
        <v>43</v>
      </c>
      <c r="D1113" s="4" t="s">
        <v>16</v>
      </c>
      <c r="E1113" s="4" t="s">
        <v>17</v>
      </c>
      <c r="F1113" s="4" t="s">
        <v>18</v>
      </c>
      <c r="G1113" s="4" t="s">
        <v>19</v>
      </c>
      <c r="H1113" s="4" t="s">
        <v>28</v>
      </c>
      <c r="I1113" s="4">
        <v>45</v>
      </c>
      <c r="J1113" s="5">
        <v>89.4</v>
      </c>
      <c r="K1113" s="6">
        <v>1.78</v>
      </c>
      <c r="L1113" s="4">
        <v>1</v>
      </c>
      <c r="M1113" s="4">
        <v>121</v>
      </c>
      <c r="N1113" s="4">
        <v>103</v>
      </c>
      <c r="O1113" s="4" t="s">
        <v>21</v>
      </c>
      <c r="P1113" s="7" t="s">
        <v>19</v>
      </c>
    </row>
    <row r="1114" spans="2:16" x14ac:dyDescent="0.45">
      <c r="B1114" s="4">
        <v>1113</v>
      </c>
      <c r="C1114" s="4" t="s">
        <v>40</v>
      </c>
      <c r="D1114" s="4" t="s">
        <v>23</v>
      </c>
      <c r="E1114" s="4" t="s">
        <v>35</v>
      </c>
      <c r="F1114" s="4" t="s">
        <v>28</v>
      </c>
      <c r="G1114" s="4" t="s">
        <v>19</v>
      </c>
      <c r="H1114" s="4" t="s">
        <v>20</v>
      </c>
      <c r="I1114" s="4">
        <v>2</v>
      </c>
      <c r="J1114" s="5">
        <v>9.4</v>
      </c>
      <c r="K1114" s="6">
        <v>0.66</v>
      </c>
      <c r="L1114" s="4">
        <v>3</v>
      </c>
      <c r="M1114" s="4">
        <v>110</v>
      </c>
      <c r="N1114" s="4">
        <v>79</v>
      </c>
      <c r="O1114" s="4" t="s">
        <v>26</v>
      </c>
      <c r="P1114" s="7" t="s">
        <v>19</v>
      </c>
    </row>
    <row r="1115" spans="2:16" x14ac:dyDescent="0.45">
      <c r="B1115" s="4">
        <v>1114</v>
      </c>
      <c r="C1115" s="4" t="s">
        <v>41</v>
      </c>
      <c r="D1115" s="4" t="s">
        <v>16</v>
      </c>
      <c r="E1115" s="4" t="s">
        <v>37</v>
      </c>
      <c r="F1115" s="4" t="s">
        <v>28</v>
      </c>
      <c r="G1115" s="4" t="s">
        <v>19</v>
      </c>
      <c r="H1115" s="4" t="s">
        <v>32</v>
      </c>
      <c r="I1115" s="4">
        <v>39</v>
      </c>
      <c r="J1115" s="5">
        <v>88.7</v>
      </c>
      <c r="K1115" s="6">
        <v>1.79</v>
      </c>
      <c r="L1115" s="4">
        <v>0</v>
      </c>
      <c r="M1115" s="4">
        <v>126</v>
      </c>
      <c r="N1115" s="4">
        <v>132</v>
      </c>
      <c r="O1115" s="4" t="s">
        <v>21</v>
      </c>
      <c r="P1115" s="7" t="s">
        <v>19</v>
      </c>
    </row>
    <row r="1116" spans="2:16" x14ac:dyDescent="0.45">
      <c r="B1116" s="4">
        <v>1115</v>
      </c>
      <c r="C1116" s="4" t="s">
        <v>27</v>
      </c>
      <c r="D1116" s="4" t="s">
        <v>16</v>
      </c>
      <c r="E1116" s="4" t="s">
        <v>35</v>
      </c>
      <c r="F1116" s="4" t="s">
        <v>42</v>
      </c>
      <c r="G1116" s="4" t="s">
        <v>19</v>
      </c>
      <c r="H1116" s="4" t="s">
        <v>32</v>
      </c>
      <c r="I1116" s="4">
        <v>35</v>
      </c>
      <c r="J1116" s="5">
        <v>63.9</v>
      </c>
      <c r="K1116" s="6">
        <v>1.54</v>
      </c>
      <c r="L1116" s="4">
        <v>3</v>
      </c>
      <c r="M1116" s="4">
        <v>112</v>
      </c>
      <c r="N1116" s="4">
        <v>153</v>
      </c>
      <c r="O1116" s="4" t="s">
        <v>26</v>
      </c>
      <c r="P1116" s="7" t="s">
        <v>19</v>
      </c>
    </row>
    <row r="1117" spans="2:16" x14ac:dyDescent="0.45">
      <c r="B1117" s="4">
        <v>1116</v>
      </c>
      <c r="C1117" s="4" t="s">
        <v>41</v>
      </c>
      <c r="D1117" s="4" t="s">
        <v>16</v>
      </c>
      <c r="E1117" s="4" t="s">
        <v>17</v>
      </c>
      <c r="F1117" s="4" t="s">
        <v>24</v>
      </c>
      <c r="G1117" s="4" t="s">
        <v>19</v>
      </c>
      <c r="H1117" s="4" t="s">
        <v>34</v>
      </c>
      <c r="I1117" s="4">
        <v>4</v>
      </c>
      <c r="J1117" s="5">
        <v>9.1999999999999993</v>
      </c>
      <c r="K1117" s="6">
        <v>0.92</v>
      </c>
      <c r="L1117" s="4">
        <v>1</v>
      </c>
      <c r="M1117" s="4">
        <v>116</v>
      </c>
      <c r="N1117" s="4">
        <v>101</v>
      </c>
      <c r="O1117" s="4" t="s">
        <v>26</v>
      </c>
      <c r="P1117" s="7" t="s">
        <v>19</v>
      </c>
    </row>
    <row r="1118" spans="2:16" x14ac:dyDescent="0.45">
      <c r="B1118" s="4">
        <v>1117</v>
      </c>
      <c r="C1118" s="4" t="s">
        <v>40</v>
      </c>
      <c r="D1118" s="4" t="s">
        <v>23</v>
      </c>
      <c r="E1118" s="4" t="s">
        <v>17</v>
      </c>
      <c r="F1118" s="4" t="s">
        <v>28</v>
      </c>
      <c r="G1118" s="4" t="s">
        <v>19</v>
      </c>
      <c r="H1118" s="4" t="s">
        <v>32</v>
      </c>
      <c r="I1118" s="4">
        <v>22</v>
      </c>
      <c r="J1118" s="5">
        <v>78.400000000000006</v>
      </c>
      <c r="K1118" s="6">
        <v>1.84</v>
      </c>
      <c r="L1118" s="4">
        <v>3</v>
      </c>
      <c r="M1118" s="4">
        <v>103</v>
      </c>
      <c r="N1118" s="4">
        <v>137</v>
      </c>
      <c r="O1118" s="4" t="s">
        <v>21</v>
      </c>
      <c r="P1118" s="7" t="s">
        <v>30</v>
      </c>
    </row>
    <row r="1119" spans="2:16" x14ac:dyDescent="0.45">
      <c r="B1119" s="4">
        <v>1118</v>
      </c>
      <c r="C1119" s="4" t="s">
        <v>45</v>
      </c>
      <c r="D1119" s="4" t="s">
        <v>16</v>
      </c>
      <c r="E1119" s="4" t="s">
        <v>44</v>
      </c>
      <c r="F1119" s="4" t="s">
        <v>24</v>
      </c>
      <c r="G1119" s="4" t="s">
        <v>19</v>
      </c>
      <c r="H1119" s="4" t="s">
        <v>38</v>
      </c>
      <c r="I1119" s="4">
        <v>31</v>
      </c>
      <c r="J1119" s="5">
        <v>87</v>
      </c>
      <c r="K1119" s="6">
        <v>1.62</v>
      </c>
      <c r="L1119" s="4">
        <v>1</v>
      </c>
      <c r="M1119" s="4">
        <v>112</v>
      </c>
      <c r="N1119" s="4">
        <v>103</v>
      </c>
      <c r="O1119" s="4" t="s">
        <v>21</v>
      </c>
      <c r="P1119" s="7" t="s">
        <v>19</v>
      </c>
    </row>
    <row r="1120" spans="2:16" x14ac:dyDescent="0.45">
      <c r="B1120" s="4">
        <v>1119</v>
      </c>
      <c r="C1120" s="4" t="s">
        <v>27</v>
      </c>
      <c r="D1120" s="4" t="s">
        <v>23</v>
      </c>
      <c r="E1120" s="4" t="s">
        <v>17</v>
      </c>
      <c r="F1120" s="4" t="s">
        <v>24</v>
      </c>
      <c r="G1120" s="4" t="s">
        <v>19</v>
      </c>
      <c r="H1120" s="4" t="s">
        <v>28</v>
      </c>
      <c r="I1120" s="4">
        <v>58</v>
      </c>
      <c r="J1120" s="5">
        <v>47.1</v>
      </c>
      <c r="K1120" s="6">
        <v>1.68</v>
      </c>
      <c r="L1120" s="4">
        <v>0</v>
      </c>
      <c r="M1120" s="4">
        <v>109</v>
      </c>
      <c r="N1120" s="4">
        <v>101</v>
      </c>
      <c r="O1120" s="4" t="s">
        <v>26</v>
      </c>
      <c r="P1120" s="7" t="s">
        <v>19</v>
      </c>
    </row>
    <row r="1121" spans="2:16" x14ac:dyDescent="0.45">
      <c r="B1121" s="4">
        <v>1120</v>
      </c>
      <c r="C1121" s="4" t="s">
        <v>29</v>
      </c>
      <c r="D1121" s="4" t="s">
        <v>23</v>
      </c>
      <c r="E1121" s="4" t="s">
        <v>17</v>
      </c>
      <c r="F1121" s="4" t="s">
        <v>24</v>
      </c>
      <c r="G1121" s="4" t="s">
        <v>30</v>
      </c>
      <c r="H1121" s="4" t="s">
        <v>32</v>
      </c>
      <c r="I1121" s="4">
        <v>14</v>
      </c>
      <c r="J1121" s="5">
        <v>59.7</v>
      </c>
      <c r="K1121" s="6">
        <v>1.56</v>
      </c>
      <c r="L1121" s="4">
        <v>8</v>
      </c>
      <c r="M1121" s="4">
        <v>118</v>
      </c>
      <c r="N1121" s="4">
        <v>145</v>
      </c>
      <c r="O1121" s="4" t="s">
        <v>21</v>
      </c>
      <c r="P1121" s="7" t="s">
        <v>19</v>
      </c>
    </row>
    <row r="1122" spans="2:16" x14ac:dyDescent="0.45">
      <c r="B1122" s="4">
        <v>1121</v>
      </c>
      <c r="C1122" s="4" t="s">
        <v>40</v>
      </c>
      <c r="D1122" s="4" t="s">
        <v>16</v>
      </c>
      <c r="E1122" s="4" t="s">
        <v>35</v>
      </c>
      <c r="F1122" s="4" t="s">
        <v>18</v>
      </c>
      <c r="G1122" s="4" t="s">
        <v>19</v>
      </c>
      <c r="H1122" s="4" t="s">
        <v>20</v>
      </c>
      <c r="I1122" s="4">
        <v>3</v>
      </c>
      <c r="J1122" s="5">
        <v>9.1</v>
      </c>
      <c r="K1122" s="6">
        <v>1.01</v>
      </c>
      <c r="L1122" s="4">
        <v>2</v>
      </c>
      <c r="M1122" s="4">
        <v>94</v>
      </c>
      <c r="N1122" s="4">
        <v>95</v>
      </c>
      <c r="O1122" s="4" t="s">
        <v>26</v>
      </c>
      <c r="P1122" s="7" t="s">
        <v>19</v>
      </c>
    </row>
    <row r="1123" spans="2:16" x14ac:dyDescent="0.45">
      <c r="B1123" s="4">
        <v>1122</v>
      </c>
      <c r="C1123" s="4" t="s">
        <v>27</v>
      </c>
      <c r="D1123" s="4" t="s">
        <v>23</v>
      </c>
      <c r="E1123" s="4" t="s">
        <v>37</v>
      </c>
      <c r="F1123" s="4" t="s">
        <v>24</v>
      </c>
      <c r="G1123" s="4" t="s">
        <v>19</v>
      </c>
      <c r="H1123" s="4" t="s">
        <v>25</v>
      </c>
      <c r="I1123" s="4">
        <v>10</v>
      </c>
      <c r="J1123" s="5">
        <v>37.4</v>
      </c>
      <c r="K1123" s="6">
        <v>1.28</v>
      </c>
      <c r="L1123" s="4">
        <v>2</v>
      </c>
      <c r="M1123" s="4">
        <v>122</v>
      </c>
      <c r="N1123" s="4">
        <v>104</v>
      </c>
      <c r="O1123" s="4" t="s">
        <v>26</v>
      </c>
      <c r="P1123" s="7" t="s">
        <v>30</v>
      </c>
    </row>
    <row r="1124" spans="2:16" x14ac:dyDescent="0.45">
      <c r="B1124" s="4">
        <v>1123</v>
      </c>
      <c r="C1124" s="4" t="s">
        <v>29</v>
      </c>
      <c r="D1124" s="4" t="s">
        <v>16</v>
      </c>
      <c r="E1124" s="4" t="s">
        <v>37</v>
      </c>
      <c r="F1124" s="4" t="s">
        <v>24</v>
      </c>
      <c r="G1124" s="4" t="s">
        <v>19</v>
      </c>
      <c r="H1124" s="4" t="s">
        <v>20</v>
      </c>
      <c r="I1124" s="4">
        <v>18</v>
      </c>
      <c r="J1124" s="5">
        <v>46.9</v>
      </c>
      <c r="K1124" s="6">
        <v>1.77</v>
      </c>
      <c r="L1124" s="4">
        <v>1</v>
      </c>
      <c r="M1124" s="4">
        <v>113</v>
      </c>
      <c r="N1124" s="4">
        <v>102</v>
      </c>
      <c r="O1124" s="4" t="s">
        <v>26</v>
      </c>
      <c r="P1124" s="7" t="s">
        <v>19</v>
      </c>
    </row>
    <row r="1125" spans="2:16" x14ac:dyDescent="0.45">
      <c r="B1125" s="4">
        <v>1124</v>
      </c>
      <c r="C1125" s="4" t="s">
        <v>27</v>
      </c>
      <c r="D1125" s="4" t="s">
        <v>23</v>
      </c>
      <c r="E1125" s="4" t="s">
        <v>35</v>
      </c>
      <c r="F1125" s="4" t="s">
        <v>24</v>
      </c>
      <c r="G1125" s="4" t="s">
        <v>19</v>
      </c>
      <c r="H1125" s="4" t="s">
        <v>38</v>
      </c>
      <c r="I1125" s="4">
        <v>6</v>
      </c>
      <c r="J1125" s="5">
        <v>27.9</v>
      </c>
      <c r="K1125" s="6">
        <v>1.21</v>
      </c>
      <c r="L1125" s="4">
        <v>5</v>
      </c>
      <c r="M1125" s="4">
        <v>104</v>
      </c>
      <c r="N1125" s="4">
        <v>84</v>
      </c>
      <c r="O1125" s="4" t="s">
        <v>26</v>
      </c>
      <c r="P1125" s="7" t="s">
        <v>19</v>
      </c>
    </row>
    <row r="1126" spans="2:16" x14ac:dyDescent="0.45">
      <c r="B1126" s="4">
        <v>1125</v>
      </c>
      <c r="C1126" s="4" t="s">
        <v>31</v>
      </c>
      <c r="D1126" s="4" t="s">
        <v>23</v>
      </c>
      <c r="E1126" s="4" t="s">
        <v>35</v>
      </c>
      <c r="F1126" s="4" t="s">
        <v>42</v>
      </c>
      <c r="G1126" s="4" t="s">
        <v>30</v>
      </c>
      <c r="H1126" s="4" t="s">
        <v>36</v>
      </c>
      <c r="I1126" s="4">
        <v>55</v>
      </c>
      <c r="J1126" s="5">
        <v>58.3</v>
      </c>
      <c r="K1126" s="6">
        <v>1.76</v>
      </c>
      <c r="L1126" s="4">
        <v>4</v>
      </c>
      <c r="M1126" s="4">
        <v>131</v>
      </c>
      <c r="N1126" s="4">
        <v>91</v>
      </c>
      <c r="O1126" s="4" t="s">
        <v>26</v>
      </c>
      <c r="P1126" s="7" t="s">
        <v>30</v>
      </c>
    </row>
    <row r="1127" spans="2:16" x14ac:dyDescent="0.45">
      <c r="B1127" s="4">
        <v>1126</v>
      </c>
      <c r="C1127" s="4" t="s">
        <v>31</v>
      </c>
      <c r="D1127" s="4" t="s">
        <v>23</v>
      </c>
      <c r="E1127" s="4" t="s">
        <v>44</v>
      </c>
      <c r="F1127" s="4" t="s">
        <v>28</v>
      </c>
      <c r="G1127" s="4" t="s">
        <v>19</v>
      </c>
      <c r="H1127" s="4" t="s">
        <v>28</v>
      </c>
      <c r="I1127" s="4">
        <v>7</v>
      </c>
      <c r="J1127" s="5">
        <v>30</v>
      </c>
      <c r="K1127" s="6">
        <v>1.23</v>
      </c>
      <c r="L1127" s="4">
        <v>4</v>
      </c>
      <c r="M1127" s="4">
        <v>104</v>
      </c>
      <c r="N1127" s="4">
        <v>77</v>
      </c>
      <c r="O1127" s="4" t="s">
        <v>26</v>
      </c>
      <c r="P1127" s="7" t="s">
        <v>30</v>
      </c>
    </row>
    <row r="1128" spans="2:16" x14ac:dyDescent="0.45">
      <c r="B1128" s="4">
        <v>1127</v>
      </c>
      <c r="C1128" s="4" t="s">
        <v>41</v>
      </c>
      <c r="D1128" s="4" t="s">
        <v>16</v>
      </c>
      <c r="E1128" s="4" t="s">
        <v>35</v>
      </c>
      <c r="F1128" s="4" t="s">
        <v>24</v>
      </c>
      <c r="G1128" s="4" t="s">
        <v>19</v>
      </c>
      <c r="H1128" s="4" t="s">
        <v>38</v>
      </c>
      <c r="I1128" s="4">
        <v>23</v>
      </c>
      <c r="J1128" s="5">
        <v>69.3</v>
      </c>
      <c r="K1128" s="6">
        <v>1.75</v>
      </c>
      <c r="L1128" s="4">
        <v>1</v>
      </c>
      <c r="M1128" s="4">
        <v>99</v>
      </c>
      <c r="N1128" s="4">
        <v>83</v>
      </c>
      <c r="O1128" s="4" t="s">
        <v>26</v>
      </c>
      <c r="P1128" s="7" t="s">
        <v>19</v>
      </c>
    </row>
    <row r="1129" spans="2:16" x14ac:dyDescent="0.45">
      <c r="B1129" s="4">
        <v>1128</v>
      </c>
      <c r="C1129" s="4" t="s">
        <v>41</v>
      </c>
      <c r="D1129" s="4" t="s">
        <v>16</v>
      </c>
      <c r="E1129" s="4" t="s">
        <v>17</v>
      </c>
      <c r="F1129" s="4" t="s">
        <v>24</v>
      </c>
      <c r="G1129" s="4" t="s">
        <v>19</v>
      </c>
      <c r="H1129" s="4" t="s">
        <v>34</v>
      </c>
      <c r="I1129" s="4">
        <v>31</v>
      </c>
      <c r="J1129" s="5">
        <v>50</v>
      </c>
      <c r="K1129" s="6">
        <v>1.79</v>
      </c>
      <c r="L1129" s="4">
        <v>1</v>
      </c>
      <c r="M1129" s="4">
        <v>120</v>
      </c>
      <c r="N1129" s="4">
        <v>88</v>
      </c>
      <c r="O1129" s="4" t="s">
        <v>26</v>
      </c>
      <c r="P1129" s="7" t="s">
        <v>30</v>
      </c>
    </row>
    <row r="1130" spans="2:16" x14ac:dyDescent="0.45">
      <c r="B1130" s="4">
        <v>1129</v>
      </c>
      <c r="C1130" s="4" t="s">
        <v>29</v>
      </c>
      <c r="D1130" s="4" t="s">
        <v>23</v>
      </c>
      <c r="E1130" s="4" t="s">
        <v>17</v>
      </c>
      <c r="F1130" s="4" t="s">
        <v>24</v>
      </c>
      <c r="G1130" s="4" t="s">
        <v>30</v>
      </c>
      <c r="H1130" s="4" t="s">
        <v>25</v>
      </c>
      <c r="I1130" s="4">
        <v>53</v>
      </c>
      <c r="J1130" s="5">
        <v>67.8</v>
      </c>
      <c r="K1130" s="6">
        <v>1.58</v>
      </c>
      <c r="L1130" s="4">
        <v>4</v>
      </c>
      <c r="M1130" s="4">
        <v>111</v>
      </c>
      <c r="N1130" s="4">
        <v>98</v>
      </c>
      <c r="O1130" s="4" t="s">
        <v>26</v>
      </c>
      <c r="P1130" s="7" t="s">
        <v>30</v>
      </c>
    </row>
    <row r="1131" spans="2:16" x14ac:dyDescent="0.45">
      <c r="B1131" s="4">
        <v>1130</v>
      </c>
      <c r="C1131" s="4" t="s">
        <v>15</v>
      </c>
      <c r="D1131" s="4" t="s">
        <v>23</v>
      </c>
      <c r="E1131" s="4" t="s">
        <v>17</v>
      </c>
      <c r="F1131" s="4" t="s">
        <v>24</v>
      </c>
      <c r="G1131" s="4" t="s">
        <v>19</v>
      </c>
      <c r="H1131" s="4" t="s">
        <v>20</v>
      </c>
      <c r="I1131" s="4">
        <v>48</v>
      </c>
      <c r="J1131" s="5">
        <v>71.400000000000006</v>
      </c>
      <c r="K1131" s="6">
        <v>1.76</v>
      </c>
      <c r="L1131" s="4">
        <v>7</v>
      </c>
      <c r="M1131" s="4">
        <v>112</v>
      </c>
      <c r="N1131" s="4">
        <v>100</v>
      </c>
      <c r="O1131" s="4" t="s">
        <v>26</v>
      </c>
      <c r="P1131" s="7" t="s">
        <v>30</v>
      </c>
    </row>
    <row r="1132" spans="2:16" x14ac:dyDescent="0.45">
      <c r="B1132" s="4">
        <v>1131</v>
      </c>
      <c r="C1132" s="4" t="s">
        <v>40</v>
      </c>
      <c r="D1132" s="4" t="s">
        <v>16</v>
      </c>
      <c r="E1132" s="4" t="s">
        <v>37</v>
      </c>
      <c r="F1132" s="4" t="s">
        <v>42</v>
      </c>
      <c r="G1132" s="4" t="s">
        <v>19</v>
      </c>
      <c r="H1132" s="4" t="s">
        <v>25</v>
      </c>
      <c r="I1132" s="4">
        <v>13</v>
      </c>
      <c r="J1132" s="5">
        <v>46.6</v>
      </c>
      <c r="K1132" s="6">
        <v>1.68</v>
      </c>
      <c r="L1132" s="4">
        <v>2</v>
      </c>
      <c r="M1132" s="4">
        <v>115</v>
      </c>
      <c r="N1132" s="4">
        <v>91</v>
      </c>
      <c r="O1132" s="4" t="s">
        <v>21</v>
      </c>
      <c r="P1132" s="7" t="s">
        <v>19</v>
      </c>
    </row>
    <row r="1133" spans="2:16" x14ac:dyDescent="0.45">
      <c r="B1133" s="4">
        <v>1132</v>
      </c>
      <c r="C1133" s="4" t="s">
        <v>40</v>
      </c>
      <c r="D1133" s="4" t="s">
        <v>16</v>
      </c>
      <c r="E1133" s="4" t="s">
        <v>35</v>
      </c>
      <c r="F1133" s="4" t="s">
        <v>28</v>
      </c>
      <c r="G1133" s="4" t="s">
        <v>19</v>
      </c>
      <c r="H1133" s="4" t="s">
        <v>28</v>
      </c>
      <c r="I1133" s="4">
        <v>15</v>
      </c>
      <c r="J1133" s="5">
        <v>48.2</v>
      </c>
      <c r="K1133" s="6">
        <v>1.73</v>
      </c>
      <c r="L1133" s="4">
        <v>3</v>
      </c>
      <c r="M1133" s="4">
        <v>99</v>
      </c>
      <c r="N1133" s="4">
        <v>79</v>
      </c>
      <c r="O1133" s="4" t="s">
        <v>26</v>
      </c>
      <c r="P1133" s="7" t="s">
        <v>19</v>
      </c>
    </row>
    <row r="1134" spans="2:16" x14ac:dyDescent="0.45">
      <c r="B1134" s="4">
        <v>1133</v>
      </c>
      <c r="C1134" s="4" t="s">
        <v>31</v>
      </c>
      <c r="D1134" s="4" t="s">
        <v>23</v>
      </c>
      <c r="E1134" s="4" t="s">
        <v>35</v>
      </c>
      <c r="F1134" s="4" t="s">
        <v>18</v>
      </c>
      <c r="G1134" s="4" t="s">
        <v>30</v>
      </c>
      <c r="H1134" s="4" t="s">
        <v>20</v>
      </c>
      <c r="I1134" s="4">
        <v>11</v>
      </c>
      <c r="J1134" s="5">
        <v>27.2</v>
      </c>
      <c r="K1134" s="6">
        <v>1.28</v>
      </c>
      <c r="L1134" s="4">
        <v>1</v>
      </c>
      <c r="M1134" s="4">
        <v>106</v>
      </c>
      <c r="N1134" s="4">
        <v>88</v>
      </c>
      <c r="O1134" s="4" t="s">
        <v>26</v>
      </c>
      <c r="P1134" s="7" t="s">
        <v>19</v>
      </c>
    </row>
    <row r="1135" spans="2:16" x14ac:dyDescent="0.45">
      <c r="B1135" s="4">
        <v>1134</v>
      </c>
      <c r="C1135" s="4" t="s">
        <v>27</v>
      </c>
      <c r="D1135" s="4" t="s">
        <v>23</v>
      </c>
      <c r="E1135" s="4" t="s">
        <v>17</v>
      </c>
      <c r="F1135" s="4" t="s">
        <v>18</v>
      </c>
      <c r="G1135" s="4" t="s">
        <v>19</v>
      </c>
      <c r="H1135" s="4" t="s">
        <v>25</v>
      </c>
      <c r="I1135" s="4">
        <v>27</v>
      </c>
      <c r="J1135" s="5">
        <v>62.2</v>
      </c>
      <c r="K1135" s="6">
        <v>1.72</v>
      </c>
      <c r="L1135" s="4">
        <v>2</v>
      </c>
      <c r="M1135" s="4">
        <v>104</v>
      </c>
      <c r="N1135" s="4">
        <v>101</v>
      </c>
      <c r="O1135" s="4" t="s">
        <v>21</v>
      </c>
      <c r="P1135" s="7" t="s">
        <v>19</v>
      </c>
    </row>
    <row r="1136" spans="2:16" x14ac:dyDescent="0.45">
      <c r="B1136" s="4">
        <v>1135</v>
      </c>
      <c r="C1136" s="4" t="s">
        <v>41</v>
      </c>
      <c r="D1136" s="4" t="s">
        <v>16</v>
      </c>
      <c r="E1136" s="4" t="s">
        <v>35</v>
      </c>
      <c r="F1136" s="4" t="s">
        <v>18</v>
      </c>
      <c r="G1136" s="4" t="s">
        <v>30</v>
      </c>
      <c r="H1136" s="4" t="s">
        <v>32</v>
      </c>
      <c r="I1136" s="4">
        <v>19</v>
      </c>
      <c r="J1136" s="5">
        <v>50.5</v>
      </c>
      <c r="K1136" s="6">
        <v>1.86</v>
      </c>
      <c r="L1136" s="4">
        <v>1</v>
      </c>
      <c r="M1136" s="4">
        <v>117</v>
      </c>
      <c r="N1136" s="4">
        <v>114</v>
      </c>
      <c r="O1136" s="4" t="s">
        <v>21</v>
      </c>
      <c r="P1136" s="7" t="s">
        <v>30</v>
      </c>
    </row>
    <row r="1137" spans="2:16" x14ac:dyDescent="0.45">
      <c r="B1137" s="4">
        <v>1136</v>
      </c>
      <c r="C1137" s="4" t="s">
        <v>29</v>
      </c>
      <c r="D1137" s="4" t="s">
        <v>23</v>
      </c>
      <c r="E1137" s="4" t="s">
        <v>35</v>
      </c>
      <c r="F1137" s="4" t="s">
        <v>24</v>
      </c>
      <c r="G1137" s="4" t="s">
        <v>19</v>
      </c>
      <c r="H1137" s="4" t="s">
        <v>32</v>
      </c>
      <c r="I1137" s="4">
        <v>58</v>
      </c>
      <c r="J1137" s="5">
        <v>87.7</v>
      </c>
      <c r="K1137" s="6">
        <v>1.66</v>
      </c>
      <c r="L1137" s="4">
        <v>2</v>
      </c>
      <c r="M1137" s="4">
        <v>127</v>
      </c>
      <c r="N1137" s="4">
        <v>152</v>
      </c>
      <c r="O1137" s="4" t="s">
        <v>21</v>
      </c>
      <c r="P1137" s="7" t="s">
        <v>19</v>
      </c>
    </row>
    <row r="1138" spans="2:16" x14ac:dyDescent="0.45">
      <c r="B1138" s="4">
        <v>1137</v>
      </c>
      <c r="C1138" s="4" t="s">
        <v>22</v>
      </c>
      <c r="D1138" s="4" t="s">
        <v>23</v>
      </c>
      <c r="E1138" s="4" t="s">
        <v>44</v>
      </c>
      <c r="F1138" s="4" t="s">
        <v>18</v>
      </c>
      <c r="G1138" s="4" t="s">
        <v>19</v>
      </c>
      <c r="H1138" s="4" t="s">
        <v>25</v>
      </c>
      <c r="I1138" s="4">
        <v>64</v>
      </c>
      <c r="J1138" s="5">
        <v>54.6</v>
      </c>
      <c r="K1138" s="6">
        <v>1.55</v>
      </c>
      <c r="L1138" s="4">
        <v>2</v>
      </c>
      <c r="M1138" s="4">
        <v>112</v>
      </c>
      <c r="N1138" s="4">
        <v>84</v>
      </c>
      <c r="O1138" s="4" t="s">
        <v>21</v>
      </c>
      <c r="P1138" s="7" t="s">
        <v>19</v>
      </c>
    </row>
    <row r="1139" spans="2:16" x14ac:dyDescent="0.45">
      <c r="B1139" s="4">
        <v>1138</v>
      </c>
      <c r="C1139" s="4" t="s">
        <v>15</v>
      </c>
      <c r="D1139" s="4" t="s">
        <v>23</v>
      </c>
      <c r="E1139" s="4" t="s">
        <v>17</v>
      </c>
      <c r="F1139" s="4" t="s">
        <v>28</v>
      </c>
      <c r="G1139" s="4" t="s">
        <v>30</v>
      </c>
      <c r="H1139" s="4" t="s">
        <v>20</v>
      </c>
      <c r="I1139" s="4">
        <v>19</v>
      </c>
      <c r="J1139" s="5">
        <v>90.7</v>
      </c>
      <c r="K1139" s="6">
        <v>1.57</v>
      </c>
      <c r="L1139" s="4">
        <v>2</v>
      </c>
      <c r="M1139" s="4">
        <v>127</v>
      </c>
      <c r="N1139" s="4">
        <v>102</v>
      </c>
      <c r="O1139" s="4" t="s">
        <v>21</v>
      </c>
      <c r="P1139" s="7" t="s">
        <v>30</v>
      </c>
    </row>
    <row r="1140" spans="2:16" x14ac:dyDescent="0.45">
      <c r="B1140" s="4">
        <v>1139</v>
      </c>
      <c r="C1140" s="4" t="s">
        <v>33</v>
      </c>
      <c r="D1140" s="4" t="s">
        <v>16</v>
      </c>
      <c r="E1140" s="4" t="s">
        <v>17</v>
      </c>
      <c r="F1140" s="4" t="s">
        <v>28</v>
      </c>
      <c r="G1140" s="4" t="s">
        <v>30</v>
      </c>
      <c r="H1140" s="4" t="s">
        <v>38</v>
      </c>
      <c r="I1140" s="4">
        <v>8</v>
      </c>
      <c r="J1140" s="5">
        <v>35.1</v>
      </c>
      <c r="K1140" s="6">
        <v>1.27</v>
      </c>
      <c r="L1140" s="4">
        <v>4</v>
      </c>
      <c r="M1140" s="4">
        <v>115</v>
      </c>
      <c r="N1140" s="4">
        <v>86</v>
      </c>
      <c r="O1140" s="4" t="s">
        <v>21</v>
      </c>
      <c r="P1140" s="7" t="s">
        <v>19</v>
      </c>
    </row>
    <row r="1141" spans="2:16" x14ac:dyDescent="0.45">
      <c r="B1141" s="4">
        <v>1140</v>
      </c>
      <c r="C1141" s="4" t="s">
        <v>22</v>
      </c>
      <c r="D1141" s="4" t="s">
        <v>23</v>
      </c>
      <c r="E1141" s="4" t="s">
        <v>37</v>
      </c>
      <c r="F1141" s="4" t="s">
        <v>18</v>
      </c>
      <c r="G1141" s="4" t="s">
        <v>19</v>
      </c>
      <c r="H1141" s="4" t="s">
        <v>36</v>
      </c>
      <c r="I1141" s="4">
        <v>5</v>
      </c>
      <c r="J1141" s="5">
        <v>21.7</v>
      </c>
      <c r="K1141" s="6">
        <v>1.23</v>
      </c>
      <c r="L1141" s="4">
        <v>3</v>
      </c>
      <c r="M1141" s="4">
        <v>121</v>
      </c>
      <c r="N1141" s="4">
        <v>84</v>
      </c>
      <c r="O1141" s="4" t="s">
        <v>26</v>
      </c>
      <c r="P1141" s="7" t="s">
        <v>19</v>
      </c>
    </row>
    <row r="1142" spans="2:16" x14ac:dyDescent="0.45">
      <c r="B1142" s="4">
        <v>1141</v>
      </c>
      <c r="C1142" s="4" t="s">
        <v>27</v>
      </c>
      <c r="D1142" s="4" t="s">
        <v>16</v>
      </c>
      <c r="E1142" s="4" t="s">
        <v>35</v>
      </c>
      <c r="F1142" s="4" t="s">
        <v>24</v>
      </c>
      <c r="G1142" s="4" t="s">
        <v>19</v>
      </c>
      <c r="H1142" s="4" t="s">
        <v>28</v>
      </c>
      <c r="I1142" s="4">
        <v>42</v>
      </c>
      <c r="J1142" s="5">
        <v>80</v>
      </c>
      <c r="K1142" s="6">
        <v>1.66</v>
      </c>
      <c r="L1142" s="4">
        <v>2</v>
      </c>
      <c r="M1142" s="4">
        <v>130</v>
      </c>
      <c r="N1142" s="4">
        <v>91</v>
      </c>
      <c r="O1142" s="4" t="s">
        <v>21</v>
      </c>
      <c r="P1142" s="7" t="s">
        <v>30</v>
      </c>
    </row>
    <row r="1143" spans="2:16" x14ac:dyDescent="0.45">
      <c r="B1143" s="4">
        <v>1142</v>
      </c>
      <c r="C1143" s="4" t="s">
        <v>45</v>
      </c>
      <c r="D1143" s="4" t="s">
        <v>23</v>
      </c>
      <c r="E1143" s="4" t="s">
        <v>35</v>
      </c>
      <c r="F1143" s="4" t="s">
        <v>24</v>
      </c>
      <c r="G1143" s="4" t="s">
        <v>19</v>
      </c>
      <c r="H1143" s="4" t="s">
        <v>36</v>
      </c>
      <c r="I1143" s="4">
        <v>39</v>
      </c>
      <c r="J1143" s="5">
        <v>91.9</v>
      </c>
      <c r="K1143" s="6">
        <v>1.78</v>
      </c>
      <c r="L1143" s="4">
        <v>9</v>
      </c>
      <c r="M1143" s="4">
        <v>143</v>
      </c>
      <c r="N1143" s="4">
        <v>71</v>
      </c>
      <c r="O1143" s="4" t="s">
        <v>21</v>
      </c>
      <c r="P1143" s="7" t="s">
        <v>30</v>
      </c>
    </row>
    <row r="1144" spans="2:16" x14ac:dyDescent="0.45">
      <c r="B1144" s="4">
        <v>1143</v>
      </c>
      <c r="C1144" s="4" t="s">
        <v>22</v>
      </c>
      <c r="D1144" s="4" t="s">
        <v>16</v>
      </c>
      <c r="E1144" s="4" t="s">
        <v>35</v>
      </c>
      <c r="F1144" s="4" t="s">
        <v>24</v>
      </c>
      <c r="G1144" s="4" t="s">
        <v>19</v>
      </c>
      <c r="H1144" s="4" t="s">
        <v>28</v>
      </c>
      <c r="I1144" s="4">
        <v>23</v>
      </c>
      <c r="J1144" s="5">
        <v>65.7</v>
      </c>
      <c r="K1144" s="6">
        <v>1.51</v>
      </c>
      <c r="L1144" s="4">
        <v>5</v>
      </c>
      <c r="M1144" s="4">
        <v>101</v>
      </c>
      <c r="N1144" s="4">
        <v>87</v>
      </c>
      <c r="O1144" s="4" t="s">
        <v>26</v>
      </c>
      <c r="P1144" s="7" t="s">
        <v>19</v>
      </c>
    </row>
    <row r="1145" spans="2:16" x14ac:dyDescent="0.45">
      <c r="B1145" s="4">
        <v>1144</v>
      </c>
      <c r="C1145" s="4" t="s">
        <v>15</v>
      </c>
      <c r="D1145" s="4" t="s">
        <v>16</v>
      </c>
      <c r="E1145" s="4" t="s">
        <v>37</v>
      </c>
      <c r="F1145" s="4" t="s">
        <v>18</v>
      </c>
      <c r="G1145" s="4" t="s">
        <v>19</v>
      </c>
      <c r="H1145" s="4" t="s">
        <v>32</v>
      </c>
      <c r="I1145" s="4">
        <v>5</v>
      </c>
      <c r="J1145" s="5">
        <v>32.200000000000003</v>
      </c>
      <c r="K1145" s="6">
        <v>1.36</v>
      </c>
      <c r="L1145" s="4">
        <v>6</v>
      </c>
      <c r="M1145" s="4">
        <v>93</v>
      </c>
      <c r="N1145" s="4">
        <v>129</v>
      </c>
      <c r="O1145" s="4" t="s">
        <v>26</v>
      </c>
      <c r="P1145" s="7" t="s">
        <v>19</v>
      </c>
    </row>
    <row r="1146" spans="2:16" x14ac:dyDescent="0.45">
      <c r="B1146" s="4">
        <v>1145</v>
      </c>
      <c r="C1146" s="4" t="s">
        <v>15</v>
      </c>
      <c r="D1146" s="4" t="s">
        <v>23</v>
      </c>
      <c r="E1146" s="4" t="s">
        <v>17</v>
      </c>
      <c r="F1146" s="4" t="s">
        <v>24</v>
      </c>
      <c r="G1146" s="4" t="s">
        <v>30</v>
      </c>
      <c r="H1146" s="4" t="s">
        <v>20</v>
      </c>
      <c r="I1146" s="4">
        <v>12</v>
      </c>
      <c r="J1146" s="5">
        <v>43.9</v>
      </c>
      <c r="K1146" s="6">
        <v>1.47</v>
      </c>
      <c r="L1146" s="4">
        <v>10</v>
      </c>
      <c r="M1146" s="4">
        <v>102</v>
      </c>
      <c r="N1146" s="4">
        <v>74</v>
      </c>
      <c r="O1146" s="4" t="s">
        <v>26</v>
      </c>
      <c r="P1146" s="7" t="s">
        <v>30</v>
      </c>
    </row>
    <row r="1147" spans="2:16" x14ac:dyDescent="0.45">
      <c r="B1147" s="4">
        <v>1146</v>
      </c>
      <c r="C1147" s="4" t="s">
        <v>27</v>
      </c>
      <c r="D1147" s="4" t="s">
        <v>16</v>
      </c>
      <c r="E1147" s="4" t="s">
        <v>35</v>
      </c>
      <c r="F1147" s="4" t="s">
        <v>24</v>
      </c>
      <c r="G1147" s="4" t="s">
        <v>19</v>
      </c>
      <c r="H1147" s="4" t="s">
        <v>20</v>
      </c>
      <c r="I1147" s="4">
        <v>16</v>
      </c>
      <c r="J1147" s="5">
        <v>63.2</v>
      </c>
      <c r="K1147" s="6">
        <v>1.55</v>
      </c>
      <c r="L1147" s="4">
        <v>3</v>
      </c>
      <c r="M1147" s="4">
        <v>100</v>
      </c>
      <c r="N1147" s="4">
        <v>100</v>
      </c>
      <c r="O1147" s="4" t="s">
        <v>26</v>
      </c>
      <c r="P1147" s="7" t="s">
        <v>19</v>
      </c>
    </row>
    <row r="1148" spans="2:16" x14ac:dyDescent="0.45">
      <c r="B1148" s="4">
        <v>1147</v>
      </c>
      <c r="C1148" s="4" t="s">
        <v>45</v>
      </c>
      <c r="D1148" s="4" t="s">
        <v>23</v>
      </c>
      <c r="E1148" s="4" t="s">
        <v>44</v>
      </c>
      <c r="F1148" s="4" t="s">
        <v>28</v>
      </c>
      <c r="G1148" s="4" t="s">
        <v>30</v>
      </c>
      <c r="H1148" s="4" t="s">
        <v>28</v>
      </c>
      <c r="I1148" s="4">
        <v>44</v>
      </c>
      <c r="J1148" s="5">
        <v>47.8</v>
      </c>
      <c r="K1148" s="6">
        <v>1.84</v>
      </c>
      <c r="L1148" s="4">
        <v>0</v>
      </c>
      <c r="M1148" s="4">
        <v>119</v>
      </c>
      <c r="N1148" s="4">
        <v>89</v>
      </c>
      <c r="O1148" s="4" t="s">
        <v>21</v>
      </c>
      <c r="P1148" s="7" t="s">
        <v>19</v>
      </c>
    </row>
    <row r="1149" spans="2:16" x14ac:dyDescent="0.45">
      <c r="B1149" s="4">
        <v>1148</v>
      </c>
      <c r="C1149" s="4" t="s">
        <v>15</v>
      </c>
      <c r="D1149" s="4" t="s">
        <v>16</v>
      </c>
      <c r="E1149" s="4" t="s">
        <v>17</v>
      </c>
      <c r="F1149" s="4" t="s">
        <v>24</v>
      </c>
      <c r="G1149" s="4" t="s">
        <v>19</v>
      </c>
      <c r="H1149" s="4" t="s">
        <v>20</v>
      </c>
      <c r="I1149" s="4">
        <v>39</v>
      </c>
      <c r="J1149" s="5">
        <v>93.8</v>
      </c>
      <c r="K1149" s="6">
        <v>1.89</v>
      </c>
      <c r="L1149" s="4">
        <v>3</v>
      </c>
      <c r="M1149" s="4">
        <v>121</v>
      </c>
      <c r="N1149" s="4">
        <v>88</v>
      </c>
      <c r="O1149" s="4" t="s">
        <v>26</v>
      </c>
      <c r="P1149" s="7" t="s">
        <v>19</v>
      </c>
    </row>
    <row r="1150" spans="2:16" x14ac:dyDescent="0.45">
      <c r="B1150" s="4">
        <v>1149</v>
      </c>
      <c r="C1150" s="4" t="s">
        <v>22</v>
      </c>
      <c r="D1150" s="4" t="s">
        <v>16</v>
      </c>
      <c r="E1150" s="4" t="s">
        <v>35</v>
      </c>
      <c r="F1150" s="4" t="s">
        <v>24</v>
      </c>
      <c r="G1150" s="4" t="s">
        <v>30</v>
      </c>
      <c r="H1150" s="4" t="s">
        <v>20</v>
      </c>
      <c r="I1150" s="4">
        <v>43</v>
      </c>
      <c r="J1150" s="5">
        <v>61.5</v>
      </c>
      <c r="K1150" s="6">
        <v>1.68</v>
      </c>
      <c r="L1150" s="4">
        <v>1</v>
      </c>
      <c r="M1150" s="4">
        <v>115</v>
      </c>
      <c r="N1150" s="4">
        <v>75</v>
      </c>
      <c r="O1150" s="4" t="s">
        <v>26</v>
      </c>
      <c r="P1150" s="7" t="s">
        <v>19</v>
      </c>
    </row>
    <row r="1151" spans="2:16" x14ac:dyDescent="0.45">
      <c r="B1151" s="4">
        <v>1150</v>
      </c>
      <c r="C1151" s="4" t="s">
        <v>45</v>
      </c>
      <c r="D1151" s="4" t="s">
        <v>16</v>
      </c>
      <c r="E1151" s="4" t="s">
        <v>35</v>
      </c>
      <c r="F1151" s="4" t="s">
        <v>18</v>
      </c>
      <c r="G1151" s="4" t="s">
        <v>19</v>
      </c>
      <c r="H1151" s="4" t="s">
        <v>36</v>
      </c>
      <c r="I1151" s="4">
        <v>65</v>
      </c>
      <c r="J1151" s="5">
        <v>63.5</v>
      </c>
      <c r="K1151" s="6">
        <v>1.64</v>
      </c>
      <c r="L1151" s="4">
        <v>3</v>
      </c>
      <c r="M1151" s="4">
        <v>143</v>
      </c>
      <c r="N1151" s="4">
        <v>82</v>
      </c>
      <c r="O1151" s="4" t="s">
        <v>21</v>
      </c>
      <c r="P1151" s="7" t="s">
        <v>30</v>
      </c>
    </row>
    <row r="1152" spans="2:16" x14ac:dyDescent="0.45">
      <c r="B1152" s="4">
        <v>1151</v>
      </c>
      <c r="C1152" s="4" t="s">
        <v>41</v>
      </c>
      <c r="D1152" s="4" t="s">
        <v>16</v>
      </c>
      <c r="E1152" s="4" t="s">
        <v>44</v>
      </c>
      <c r="F1152" s="4" t="s">
        <v>18</v>
      </c>
      <c r="G1152" s="4" t="s">
        <v>19</v>
      </c>
      <c r="H1152" s="4" t="s">
        <v>46</v>
      </c>
      <c r="I1152" s="4">
        <v>14</v>
      </c>
      <c r="J1152" s="5">
        <v>49.9</v>
      </c>
      <c r="K1152" s="6">
        <v>1.55</v>
      </c>
      <c r="L1152" s="4">
        <v>6</v>
      </c>
      <c r="M1152" s="4">
        <v>103</v>
      </c>
      <c r="N1152" s="4">
        <v>90</v>
      </c>
      <c r="O1152" s="4" t="s">
        <v>21</v>
      </c>
      <c r="P1152" s="7" t="s">
        <v>19</v>
      </c>
    </row>
    <row r="1153" spans="2:16" x14ac:dyDescent="0.45">
      <c r="B1153" s="4">
        <v>1152</v>
      </c>
      <c r="C1153" s="4" t="s">
        <v>31</v>
      </c>
      <c r="D1153" s="4" t="s">
        <v>16</v>
      </c>
      <c r="E1153" s="4" t="s">
        <v>17</v>
      </c>
      <c r="F1153" s="4" t="s">
        <v>42</v>
      </c>
      <c r="G1153" s="4" t="s">
        <v>19</v>
      </c>
      <c r="H1153" s="4" t="s">
        <v>38</v>
      </c>
      <c r="I1153" s="4">
        <v>29</v>
      </c>
      <c r="J1153" s="5">
        <v>56.2</v>
      </c>
      <c r="K1153" s="6">
        <v>1.65</v>
      </c>
      <c r="L1153" s="4">
        <v>4</v>
      </c>
      <c r="M1153" s="4">
        <v>104</v>
      </c>
      <c r="N1153" s="4">
        <v>91</v>
      </c>
      <c r="O1153" s="4" t="s">
        <v>21</v>
      </c>
      <c r="P1153" s="7" t="s">
        <v>30</v>
      </c>
    </row>
    <row r="1154" spans="2:16" x14ac:dyDescent="0.45">
      <c r="B1154" s="4">
        <v>1153</v>
      </c>
      <c r="C1154" s="4" t="s">
        <v>39</v>
      </c>
      <c r="D1154" s="4" t="s">
        <v>16</v>
      </c>
      <c r="E1154" s="4" t="s">
        <v>35</v>
      </c>
      <c r="F1154" s="4" t="s">
        <v>28</v>
      </c>
      <c r="G1154" s="4" t="s">
        <v>19</v>
      </c>
      <c r="H1154" s="4" t="s">
        <v>20</v>
      </c>
      <c r="I1154" s="4">
        <v>11</v>
      </c>
      <c r="J1154" s="5">
        <v>34.700000000000003</v>
      </c>
      <c r="K1154" s="6">
        <v>1.1599999999999999</v>
      </c>
      <c r="L1154" s="4">
        <v>7</v>
      </c>
      <c r="M1154" s="4">
        <v>94</v>
      </c>
      <c r="N1154" s="4">
        <v>98</v>
      </c>
      <c r="O1154" s="4" t="s">
        <v>26</v>
      </c>
      <c r="P1154" s="7" t="s">
        <v>19</v>
      </c>
    </row>
    <row r="1155" spans="2:16" x14ac:dyDescent="0.45">
      <c r="B1155" s="4">
        <v>1154</v>
      </c>
      <c r="C1155" s="4" t="s">
        <v>15</v>
      </c>
      <c r="D1155" s="4" t="s">
        <v>23</v>
      </c>
      <c r="E1155" s="4" t="s">
        <v>35</v>
      </c>
      <c r="F1155" s="4" t="s">
        <v>24</v>
      </c>
      <c r="G1155" s="4" t="s">
        <v>19</v>
      </c>
      <c r="H1155" s="4" t="s">
        <v>32</v>
      </c>
      <c r="I1155" s="4">
        <v>51</v>
      </c>
      <c r="J1155" s="5">
        <v>91.6</v>
      </c>
      <c r="K1155" s="6">
        <v>1.59</v>
      </c>
      <c r="L1155" s="4">
        <v>0</v>
      </c>
      <c r="M1155" s="4">
        <v>121</v>
      </c>
      <c r="N1155" s="4">
        <v>143</v>
      </c>
      <c r="O1155" s="4" t="s">
        <v>26</v>
      </c>
      <c r="P1155" s="7" t="s">
        <v>19</v>
      </c>
    </row>
    <row r="1156" spans="2:16" x14ac:dyDescent="0.45">
      <c r="B1156" s="4">
        <v>1155</v>
      </c>
      <c r="C1156" s="4" t="s">
        <v>22</v>
      </c>
      <c r="D1156" s="4" t="s">
        <v>23</v>
      </c>
      <c r="E1156" s="4" t="s">
        <v>17</v>
      </c>
      <c r="F1156" s="4" t="s">
        <v>28</v>
      </c>
      <c r="G1156" s="4" t="s">
        <v>19</v>
      </c>
      <c r="H1156" s="4" t="s">
        <v>20</v>
      </c>
      <c r="I1156" s="4">
        <v>8</v>
      </c>
      <c r="J1156" s="5">
        <v>30.9</v>
      </c>
      <c r="K1156" s="6">
        <v>1.22</v>
      </c>
      <c r="L1156" s="4">
        <v>1</v>
      </c>
      <c r="M1156" s="4">
        <v>109</v>
      </c>
      <c r="N1156" s="4">
        <v>81</v>
      </c>
      <c r="O1156" s="4" t="s">
        <v>26</v>
      </c>
      <c r="P1156" s="7" t="s">
        <v>30</v>
      </c>
    </row>
    <row r="1157" spans="2:16" x14ac:dyDescent="0.45">
      <c r="B1157" s="4">
        <v>1156</v>
      </c>
      <c r="C1157" s="4" t="s">
        <v>27</v>
      </c>
      <c r="D1157" s="4" t="s">
        <v>16</v>
      </c>
      <c r="E1157" s="4" t="s">
        <v>35</v>
      </c>
      <c r="F1157" s="4" t="s">
        <v>18</v>
      </c>
      <c r="G1157" s="4" t="s">
        <v>19</v>
      </c>
      <c r="H1157" s="4" t="s">
        <v>20</v>
      </c>
      <c r="I1157" s="4">
        <v>11</v>
      </c>
      <c r="J1157" s="5">
        <v>33.4</v>
      </c>
      <c r="K1157" s="6">
        <v>1.21</v>
      </c>
      <c r="L1157" s="4">
        <v>4</v>
      </c>
      <c r="M1157" s="4">
        <v>110</v>
      </c>
      <c r="N1157" s="4">
        <v>79</v>
      </c>
      <c r="O1157" s="4" t="s">
        <v>21</v>
      </c>
      <c r="P1157" s="7" t="s">
        <v>19</v>
      </c>
    </row>
    <row r="1158" spans="2:16" x14ac:dyDescent="0.45">
      <c r="B1158" s="4">
        <v>1157</v>
      </c>
      <c r="C1158" s="4" t="s">
        <v>43</v>
      </c>
      <c r="D1158" s="4" t="s">
        <v>16</v>
      </c>
      <c r="E1158" s="4" t="s">
        <v>17</v>
      </c>
      <c r="F1158" s="4" t="s">
        <v>28</v>
      </c>
      <c r="G1158" s="4" t="s">
        <v>30</v>
      </c>
      <c r="H1158" s="4" t="s">
        <v>28</v>
      </c>
      <c r="I1158" s="4">
        <v>32</v>
      </c>
      <c r="J1158" s="5">
        <v>91.4</v>
      </c>
      <c r="K1158" s="6">
        <v>1.78</v>
      </c>
      <c r="L1158" s="4">
        <v>6</v>
      </c>
      <c r="M1158" s="4">
        <v>121</v>
      </c>
      <c r="N1158" s="4">
        <v>82</v>
      </c>
      <c r="O1158" s="4" t="s">
        <v>26</v>
      </c>
      <c r="P1158" s="7" t="s">
        <v>30</v>
      </c>
    </row>
    <row r="1159" spans="2:16" x14ac:dyDescent="0.45">
      <c r="B1159" s="4">
        <v>1158</v>
      </c>
      <c r="C1159" s="4" t="s">
        <v>22</v>
      </c>
      <c r="D1159" s="4" t="s">
        <v>16</v>
      </c>
      <c r="E1159" s="4" t="s">
        <v>17</v>
      </c>
      <c r="F1159" s="4" t="s">
        <v>28</v>
      </c>
      <c r="G1159" s="4" t="s">
        <v>19</v>
      </c>
      <c r="H1159" s="4" t="s">
        <v>36</v>
      </c>
      <c r="I1159" s="4">
        <v>34</v>
      </c>
      <c r="J1159" s="5">
        <v>48.2</v>
      </c>
      <c r="K1159" s="6">
        <v>1.86</v>
      </c>
      <c r="L1159" s="4">
        <v>0</v>
      </c>
      <c r="M1159" s="4">
        <v>128</v>
      </c>
      <c r="N1159" s="4">
        <v>94</v>
      </c>
      <c r="O1159" s="4" t="s">
        <v>21</v>
      </c>
      <c r="P1159" s="7" t="s">
        <v>30</v>
      </c>
    </row>
    <row r="1160" spans="2:16" x14ac:dyDescent="0.45">
      <c r="B1160" s="4">
        <v>1159</v>
      </c>
      <c r="C1160" s="4" t="s">
        <v>27</v>
      </c>
      <c r="D1160" s="4" t="s">
        <v>16</v>
      </c>
      <c r="E1160" s="4" t="s">
        <v>44</v>
      </c>
      <c r="F1160" s="4" t="s">
        <v>24</v>
      </c>
      <c r="G1160" s="4" t="s">
        <v>19</v>
      </c>
      <c r="H1160" s="4" t="s">
        <v>28</v>
      </c>
      <c r="I1160" s="4">
        <v>11</v>
      </c>
      <c r="J1160" s="5">
        <v>30.2</v>
      </c>
      <c r="K1160" s="6">
        <v>1.26</v>
      </c>
      <c r="L1160" s="4">
        <v>5</v>
      </c>
      <c r="M1160" s="4">
        <v>102</v>
      </c>
      <c r="N1160" s="4">
        <v>88</v>
      </c>
      <c r="O1160" s="4" t="s">
        <v>26</v>
      </c>
      <c r="P1160" s="7" t="s">
        <v>19</v>
      </c>
    </row>
    <row r="1161" spans="2:16" x14ac:dyDescent="0.45">
      <c r="B1161" s="4">
        <v>1160</v>
      </c>
      <c r="C1161" s="4" t="s">
        <v>33</v>
      </c>
      <c r="D1161" s="4" t="s">
        <v>16</v>
      </c>
      <c r="E1161" s="4" t="s">
        <v>44</v>
      </c>
      <c r="F1161" s="4" t="s">
        <v>18</v>
      </c>
      <c r="G1161" s="4" t="s">
        <v>19</v>
      </c>
      <c r="H1161" s="4" t="s">
        <v>28</v>
      </c>
      <c r="I1161" s="4">
        <v>12</v>
      </c>
      <c r="J1161" s="5">
        <v>60.7</v>
      </c>
      <c r="K1161" s="6">
        <v>1.73</v>
      </c>
      <c r="L1161" s="4">
        <v>3</v>
      </c>
      <c r="M1161" s="4">
        <v>106</v>
      </c>
      <c r="N1161" s="4">
        <v>92</v>
      </c>
      <c r="O1161" s="4" t="s">
        <v>26</v>
      </c>
      <c r="P1161" s="7" t="s">
        <v>19</v>
      </c>
    </row>
    <row r="1162" spans="2:16" x14ac:dyDescent="0.45">
      <c r="B1162" s="4">
        <v>1161</v>
      </c>
      <c r="C1162" s="4" t="s">
        <v>27</v>
      </c>
      <c r="D1162" s="4" t="s">
        <v>16</v>
      </c>
      <c r="E1162" s="4" t="s">
        <v>17</v>
      </c>
      <c r="F1162" s="4" t="s">
        <v>18</v>
      </c>
      <c r="G1162" s="4" t="s">
        <v>19</v>
      </c>
      <c r="H1162" s="4" t="s">
        <v>25</v>
      </c>
      <c r="I1162" s="4">
        <v>18</v>
      </c>
      <c r="J1162" s="5">
        <v>83.8</v>
      </c>
      <c r="K1162" s="6">
        <v>1.48</v>
      </c>
      <c r="L1162" s="4">
        <v>2</v>
      </c>
      <c r="M1162" s="4">
        <v>107</v>
      </c>
      <c r="N1162" s="4">
        <v>84</v>
      </c>
      <c r="O1162" s="4" t="s">
        <v>21</v>
      </c>
      <c r="P1162" s="7" t="s">
        <v>30</v>
      </c>
    </row>
    <row r="1163" spans="2:16" x14ac:dyDescent="0.45">
      <c r="B1163" s="4">
        <v>1162</v>
      </c>
      <c r="C1163" s="4" t="s">
        <v>45</v>
      </c>
      <c r="D1163" s="4" t="s">
        <v>16</v>
      </c>
      <c r="E1163" s="4" t="s">
        <v>37</v>
      </c>
      <c r="F1163" s="4" t="s">
        <v>18</v>
      </c>
      <c r="G1163" s="4" t="s">
        <v>19</v>
      </c>
      <c r="H1163" s="4" t="s">
        <v>20</v>
      </c>
      <c r="I1163" s="4">
        <v>60</v>
      </c>
      <c r="J1163" s="5">
        <v>78.2</v>
      </c>
      <c r="K1163" s="6">
        <v>1.75</v>
      </c>
      <c r="L1163" s="4">
        <v>1</v>
      </c>
      <c r="M1163" s="4">
        <v>113</v>
      </c>
      <c r="N1163" s="4">
        <v>72</v>
      </c>
      <c r="O1163" s="4" t="s">
        <v>21</v>
      </c>
      <c r="P1163" s="7" t="s">
        <v>19</v>
      </c>
    </row>
    <row r="1164" spans="2:16" x14ac:dyDescent="0.45">
      <c r="B1164" s="4">
        <v>1163</v>
      </c>
      <c r="C1164" s="4" t="s">
        <v>39</v>
      </c>
      <c r="D1164" s="4" t="s">
        <v>16</v>
      </c>
      <c r="E1164" s="4" t="s">
        <v>35</v>
      </c>
      <c r="F1164" s="4" t="s">
        <v>18</v>
      </c>
      <c r="G1164" s="4" t="s">
        <v>19</v>
      </c>
      <c r="H1164" s="4" t="s">
        <v>36</v>
      </c>
      <c r="I1164" s="4">
        <v>27</v>
      </c>
      <c r="J1164" s="5">
        <v>90.7</v>
      </c>
      <c r="K1164" s="6">
        <v>1.75</v>
      </c>
      <c r="L1164" s="4">
        <v>2</v>
      </c>
      <c r="M1164" s="4">
        <v>125</v>
      </c>
      <c r="N1164" s="4">
        <v>93</v>
      </c>
      <c r="O1164" s="4" t="s">
        <v>26</v>
      </c>
      <c r="P1164" s="7" t="s">
        <v>19</v>
      </c>
    </row>
    <row r="1165" spans="2:16" x14ac:dyDescent="0.45">
      <c r="B1165" s="4">
        <v>1164</v>
      </c>
      <c r="C1165" s="4" t="s">
        <v>31</v>
      </c>
      <c r="D1165" s="4" t="s">
        <v>16</v>
      </c>
      <c r="E1165" s="4" t="s">
        <v>17</v>
      </c>
      <c r="F1165" s="4" t="s">
        <v>24</v>
      </c>
      <c r="G1165" s="4" t="s">
        <v>19</v>
      </c>
      <c r="H1165" s="4" t="s">
        <v>34</v>
      </c>
      <c r="I1165" s="4">
        <v>47</v>
      </c>
      <c r="J1165" s="5">
        <v>94.3</v>
      </c>
      <c r="K1165" s="6">
        <v>1.78</v>
      </c>
      <c r="L1165" s="4">
        <v>2</v>
      </c>
      <c r="M1165" s="4">
        <v>121</v>
      </c>
      <c r="N1165" s="4">
        <v>78</v>
      </c>
      <c r="O1165" s="4" t="s">
        <v>26</v>
      </c>
      <c r="P1165" s="7" t="s">
        <v>19</v>
      </c>
    </row>
    <row r="1166" spans="2:16" x14ac:dyDescent="0.45">
      <c r="B1166" s="4">
        <v>1165</v>
      </c>
      <c r="C1166" s="4" t="s">
        <v>22</v>
      </c>
      <c r="D1166" s="4" t="s">
        <v>16</v>
      </c>
      <c r="E1166" s="4" t="s">
        <v>17</v>
      </c>
      <c r="F1166" s="4" t="s">
        <v>24</v>
      </c>
      <c r="G1166" s="4" t="s">
        <v>19</v>
      </c>
      <c r="H1166" s="4" t="s">
        <v>32</v>
      </c>
      <c r="I1166" s="4">
        <v>3</v>
      </c>
      <c r="J1166" s="5">
        <v>12.8</v>
      </c>
      <c r="K1166" s="6">
        <v>0.77</v>
      </c>
      <c r="L1166" s="4">
        <v>5</v>
      </c>
      <c r="M1166" s="4">
        <v>110</v>
      </c>
      <c r="N1166" s="4">
        <v>144</v>
      </c>
      <c r="O1166" s="4" t="s">
        <v>21</v>
      </c>
      <c r="P1166" s="7" t="s">
        <v>19</v>
      </c>
    </row>
    <row r="1167" spans="2:16" x14ac:dyDescent="0.45">
      <c r="B1167" s="4">
        <v>1166</v>
      </c>
      <c r="C1167" s="4" t="s">
        <v>43</v>
      </c>
      <c r="D1167" s="4" t="s">
        <v>16</v>
      </c>
      <c r="E1167" s="4" t="s">
        <v>35</v>
      </c>
      <c r="F1167" s="4" t="s">
        <v>24</v>
      </c>
      <c r="G1167" s="4" t="s">
        <v>19</v>
      </c>
      <c r="H1167" s="4" t="s">
        <v>20</v>
      </c>
      <c r="I1167" s="4">
        <v>34</v>
      </c>
      <c r="J1167" s="5">
        <v>57.3</v>
      </c>
      <c r="K1167" s="6">
        <v>1.76</v>
      </c>
      <c r="L1167" s="4">
        <v>1</v>
      </c>
      <c r="M1167" s="4">
        <v>105</v>
      </c>
      <c r="N1167" s="4">
        <v>72</v>
      </c>
      <c r="O1167" s="4" t="s">
        <v>26</v>
      </c>
      <c r="P1167" s="7" t="s">
        <v>30</v>
      </c>
    </row>
    <row r="1168" spans="2:16" x14ac:dyDescent="0.45">
      <c r="B1168" s="4">
        <v>1167</v>
      </c>
      <c r="C1168" s="4" t="s">
        <v>41</v>
      </c>
      <c r="D1168" s="4" t="s">
        <v>23</v>
      </c>
      <c r="E1168" s="4" t="s">
        <v>17</v>
      </c>
      <c r="F1168" s="4" t="s">
        <v>24</v>
      </c>
      <c r="G1168" s="4" t="s">
        <v>19</v>
      </c>
      <c r="H1168" s="4" t="s">
        <v>32</v>
      </c>
      <c r="I1168" s="4">
        <v>5</v>
      </c>
      <c r="J1168" s="5">
        <v>32.799999999999997</v>
      </c>
      <c r="K1168" s="6">
        <v>1.43</v>
      </c>
      <c r="L1168" s="4">
        <v>5</v>
      </c>
      <c r="M1168" s="4">
        <v>100</v>
      </c>
      <c r="N1168" s="4">
        <v>150</v>
      </c>
      <c r="O1168" s="4" t="s">
        <v>26</v>
      </c>
      <c r="P1168" s="7" t="s">
        <v>30</v>
      </c>
    </row>
    <row r="1169" spans="2:16" x14ac:dyDescent="0.45">
      <c r="B1169" s="4">
        <v>1168</v>
      </c>
      <c r="C1169" s="4" t="s">
        <v>45</v>
      </c>
      <c r="D1169" s="4" t="s">
        <v>23</v>
      </c>
      <c r="E1169" s="4" t="s">
        <v>17</v>
      </c>
      <c r="F1169" s="4" t="s">
        <v>28</v>
      </c>
      <c r="G1169" s="4" t="s">
        <v>30</v>
      </c>
      <c r="H1169" s="4" t="s">
        <v>28</v>
      </c>
      <c r="I1169" s="4">
        <v>7</v>
      </c>
      <c r="J1169" s="5">
        <v>20</v>
      </c>
      <c r="K1169" s="6">
        <v>1.06</v>
      </c>
      <c r="L1169" s="4">
        <v>2</v>
      </c>
      <c r="M1169" s="4">
        <v>97</v>
      </c>
      <c r="N1169" s="4">
        <v>86</v>
      </c>
      <c r="O1169" s="4" t="s">
        <v>21</v>
      </c>
      <c r="P1169" s="7" t="s">
        <v>19</v>
      </c>
    </row>
    <row r="1170" spans="2:16" x14ac:dyDescent="0.45">
      <c r="B1170" s="4">
        <v>1169</v>
      </c>
      <c r="C1170" s="4" t="s">
        <v>45</v>
      </c>
      <c r="D1170" s="4" t="s">
        <v>16</v>
      </c>
      <c r="E1170" s="4" t="s">
        <v>17</v>
      </c>
      <c r="F1170" s="4" t="s">
        <v>42</v>
      </c>
      <c r="G1170" s="4" t="s">
        <v>19</v>
      </c>
      <c r="H1170" s="4" t="s">
        <v>34</v>
      </c>
      <c r="I1170" s="4">
        <v>18</v>
      </c>
      <c r="J1170" s="5">
        <v>66.099999999999994</v>
      </c>
      <c r="K1170" s="6">
        <v>1.54</v>
      </c>
      <c r="L1170" s="4">
        <v>7</v>
      </c>
      <c r="M1170" s="4">
        <v>103</v>
      </c>
      <c r="N1170" s="4">
        <v>103</v>
      </c>
      <c r="O1170" s="4" t="s">
        <v>26</v>
      </c>
      <c r="P1170" s="7" t="s">
        <v>30</v>
      </c>
    </row>
    <row r="1171" spans="2:16" x14ac:dyDescent="0.45">
      <c r="B1171" s="4">
        <v>1170</v>
      </c>
      <c r="C1171" s="4" t="s">
        <v>29</v>
      </c>
      <c r="D1171" s="4" t="s">
        <v>16</v>
      </c>
      <c r="E1171" s="4" t="s">
        <v>17</v>
      </c>
      <c r="F1171" s="4" t="s">
        <v>24</v>
      </c>
      <c r="G1171" s="4" t="s">
        <v>19</v>
      </c>
      <c r="H1171" s="4" t="s">
        <v>38</v>
      </c>
      <c r="I1171" s="4">
        <v>39</v>
      </c>
      <c r="J1171" s="5">
        <v>61.2</v>
      </c>
      <c r="K1171" s="6">
        <v>1.65</v>
      </c>
      <c r="L1171" s="4">
        <v>2</v>
      </c>
      <c r="M1171" s="4">
        <v>118</v>
      </c>
      <c r="N1171" s="4">
        <v>76</v>
      </c>
      <c r="O1171" s="4" t="s">
        <v>26</v>
      </c>
      <c r="P1171" s="7" t="s">
        <v>19</v>
      </c>
    </row>
    <row r="1172" spans="2:16" x14ac:dyDescent="0.45">
      <c r="B1172" s="4">
        <v>1171</v>
      </c>
      <c r="C1172" s="4" t="s">
        <v>29</v>
      </c>
      <c r="D1172" s="4" t="s">
        <v>16</v>
      </c>
      <c r="E1172" s="4" t="s">
        <v>17</v>
      </c>
      <c r="F1172" s="4" t="s">
        <v>18</v>
      </c>
      <c r="G1172" s="4" t="s">
        <v>19</v>
      </c>
      <c r="H1172" s="4" t="s">
        <v>20</v>
      </c>
      <c r="I1172" s="4">
        <v>8</v>
      </c>
      <c r="J1172" s="5">
        <v>31.6</v>
      </c>
      <c r="K1172" s="6">
        <v>1.22</v>
      </c>
      <c r="L1172" s="4">
        <v>1</v>
      </c>
      <c r="M1172" s="4">
        <v>93</v>
      </c>
      <c r="N1172" s="4">
        <v>96</v>
      </c>
      <c r="O1172" s="4" t="s">
        <v>26</v>
      </c>
      <c r="P1172" s="7" t="s">
        <v>19</v>
      </c>
    </row>
    <row r="1173" spans="2:16" x14ac:dyDescent="0.45">
      <c r="B1173" s="4">
        <v>1172</v>
      </c>
      <c r="C1173" s="4" t="s">
        <v>31</v>
      </c>
      <c r="D1173" s="4" t="s">
        <v>16</v>
      </c>
      <c r="E1173" s="4" t="s">
        <v>44</v>
      </c>
      <c r="F1173" s="4" t="s">
        <v>18</v>
      </c>
      <c r="G1173" s="4" t="s">
        <v>19</v>
      </c>
      <c r="H1173" s="4" t="s">
        <v>25</v>
      </c>
      <c r="I1173" s="4">
        <v>50</v>
      </c>
      <c r="J1173" s="5">
        <v>90.5</v>
      </c>
      <c r="K1173" s="6">
        <v>1.71</v>
      </c>
      <c r="L1173" s="4">
        <v>1</v>
      </c>
      <c r="M1173" s="4">
        <v>114</v>
      </c>
      <c r="N1173" s="4">
        <v>81</v>
      </c>
      <c r="O1173" s="4" t="s">
        <v>26</v>
      </c>
      <c r="P1173" s="7" t="s">
        <v>30</v>
      </c>
    </row>
    <row r="1174" spans="2:16" x14ac:dyDescent="0.45">
      <c r="B1174" s="4">
        <v>1173</v>
      </c>
      <c r="C1174" s="4" t="s">
        <v>22</v>
      </c>
      <c r="D1174" s="4" t="s">
        <v>23</v>
      </c>
      <c r="E1174" s="4" t="s">
        <v>44</v>
      </c>
      <c r="F1174" s="4" t="s">
        <v>18</v>
      </c>
      <c r="G1174" s="4" t="s">
        <v>19</v>
      </c>
      <c r="H1174" s="4" t="s">
        <v>20</v>
      </c>
      <c r="I1174" s="4">
        <v>2</v>
      </c>
      <c r="J1174" s="5">
        <v>16.2</v>
      </c>
      <c r="K1174" s="6">
        <v>0.88</v>
      </c>
      <c r="L1174" s="4">
        <v>3</v>
      </c>
      <c r="M1174" s="4">
        <v>111</v>
      </c>
      <c r="N1174" s="4">
        <v>101</v>
      </c>
      <c r="O1174" s="4" t="s">
        <v>26</v>
      </c>
      <c r="P1174" s="7" t="s">
        <v>19</v>
      </c>
    </row>
    <row r="1175" spans="2:16" x14ac:dyDescent="0.45">
      <c r="B1175" s="4">
        <v>1174</v>
      </c>
      <c r="C1175" s="4" t="s">
        <v>27</v>
      </c>
      <c r="D1175" s="4" t="s">
        <v>23</v>
      </c>
      <c r="E1175" s="4" t="s">
        <v>35</v>
      </c>
      <c r="F1175" s="4" t="s">
        <v>28</v>
      </c>
      <c r="G1175" s="4" t="s">
        <v>19</v>
      </c>
      <c r="H1175" s="4" t="s">
        <v>36</v>
      </c>
      <c r="I1175" s="4">
        <v>51</v>
      </c>
      <c r="J1175" s="5">
        <v>67.8</v>
      </c>
      <c r="K1175" s="6">
        <v>1.74</v>
      </c>
      <c r="L1175" s="4">
        <v>3</v>
      </c>
      <c r="M1175" s="4">
        <v>141</v>
      </c>
      <c r="N1175" s="4">
        <v>83</v>
      </c>
      <c r="O1175" s="4" t="s">
        <v>26</v>
      </c>
      <c r="P1175" s="7" t="s">
        <v>19</v>
      </c>
    </row>
    <row r="1176" spans="2:16" x14ac:dyDescent="0.45">
      <c r="B1176" s="4">
        <v>1175</v>
      </c>
      <c r="C1176" s="4" t="s">
        <v>27</v>
      </c>
      <c r="D1176" s="4" t="s">
        <v>16</v>
      </c>
      <c r="E1176" s="4" t="s">
        <v>17</v>
      </c>
      <c r="F1176" s="4" t="s">
        <v>24</v>
      </c>
      <c r="G1176" s="4" t="s">
        <v>19</v>
      </c>
      <c r="H1176" s="4" t="s">
        <v>28</v>
      </c>
      <c r="I1176" s="4">
        <v>54</v>
      </c>
      <c r="J1176" s="5">
        <v>94.8</v>
      </c>
      <c r="K1176" s="6">
        <v>1.77</v>
      </c>
      <c r="L1176" s="4">
        <v>3</v>
      </c>
      <c r="M1176" s="4">
        <v>107</v>
      </c>
      <c r="N1176" s="4">
        <v>95</v>
      </c>
      <c r="O1176" s="4" t="s">
        <v>21</v>
      </c>
      <c r="P1176" s="7" t="s">
        <v>19</v>
      </c>
    </row>
    <row r="1177" spans="2:16" x14ac:dyDescent="0.45">
      <c r="B1177" s="4">
        <v>1176</v>
      </c>
      <c r="C1177" s="4" t="s">
        <v>27</v>
      </c>
      <c r="D1177" s="4" t="s">
        <v>23</v>
      </c>
      <c r="E1177" s="4" t="s">
        <v>35</v>
      </c>
      <c r="F1177" s="4" t="s">
        <v>24</v>
      </c>
      <c r="G1177" s="4" t="s">
        <v>19</v>
      </c>
      <c r="H1177" s="4" t="s">
        <v>32</v>
      </c>
      <c r="I1177" s="4">
        <v>51</v>
      </c>
      <c r="J1177" s="5">
        <v>86.5</v>
      </c>
      <c r="K1177" s="6">
        <v>1.87</v>
      </c>
      <c r="L1177" s="4">
        <v>2</v>
      </c>
      <c r="M1177" s="4">
        <v>123</v>
      </c>
      <c r="N1177" s="4">
        <v>123</v>
      </c>
      <c r="O1177" s="4" t="s">
        <v>21</v>
      </c>
      <c r="P1177" s="7" t="s">
        <v>19</v>
      </c>
    </row>
    <row r="1178" spans="2:16" x14ac:dyDescent="0.45">
      <c r="B1178" s="4">
        <v>1177</v>
      </c>
      <c r="C1178" s="4" t="s">
        <v>27</v>
      </c>
      <c r="D1178" s="4" t="s">
        <v>16</v>
      </c>
      <c r="E1178" s="4" t="s">
        <v>35</v>
      </c>
      <c r="F1178" s="4" t="s">
        <v>24</v>
      </c>
      <c r="G1178" s="4" t="s">
        <v>19</v>
      </c>
      <c r="H1178" s="4" t="s">
        <v>28</v>
      </c>
      <c r="I1178" s="4">
        <v>5</v>
      </c>
      <c r="J1178" s="5">
        <v>30.6</v>
      </c>
      <c r="K1178" s="6">
        <v>1.41</v>
      </c>
      <c r="L1178" s="4">
        <v>6</v>
      </c>
      <c r="M1178" s="4">
        <v>110</v>
      </c>
      <c r="N1178" s="4">
        <v>92</v>
      </c>
      <c r="O1178" s="4" t="s">
        <v>26</v>
      </c>
      <c r="P1178" s="7" t="s">
        <v>19</v>
      </c>
    </row>
    <row r="1179" spans="2:16" x14ac:dyDescent="0.45">
      <c r="B1179" s="4">
        <v>1178</v>
      </c>
      <c r="C1179" s="4" t="s">
        <v>27</v>
      </c>
      <c r="D1179" s="4" t="s">
        <v>16</v>
      </c>
      <c r="E1179" s="4" t="s">
        <v>17</v>
      </c>
      <c r="F1179" s="4" t="s">
        <v>24</v>
      </c>
      <c r="G1179" s="4" t="s">
        <v>30</v>
      </c>
      <c r="H1179" s="4" t="s">
        <v>28</v>
      </c>
      <c r="I1179" s="4">
        <v>45</v>
      </c>
      <c r="J1179" s="5">
        <v>48.8</v>
      </c>
      <c r="K1179" s="6">
        <v>1.5</v>
      </c>
      <c r="L1179" s="4">
        <v>8</v>
      </c>
      <c r="M1179" s="4">
        <v>105</v>
      </c>
      <c r="N1179" s="4">
        <v>92</v>
      </c>
      <c r="O1179" s="4" t="s">
        <v>26</v>
      </c>
      <c r="P1179" s="7" t="s">
        <v>19</v>
      </c>
    </row>
    <row r="1180" spans="2:16" x14ac:dyDescent="0.45">
      <c r="B1180" s="4">
        <v>1179</v>
      </c>
      <c r="C1180" s="4" t="s">
        <v>27</v>
      </c>
      <c r="D1180" s="4" t="s">
        <v>16</v>
      </c>
      <c r="E1180" s="4" t="s">
        <v>35</v>
      </c>
      <c r="F1180" s="4" t="s">
        <v>18</v>
      </c>
      <c r="G1180" s="4" t="s">
        <v>30</v>
      </c>
      <c r="H1180" s="4" t="s">
        <v>36</v>
      </c>
      <c r="I1180" s="4">
        <v>51</v>
      </c>
      <c r="J1180" s="5">
        <v>64</v>
      </c>
      <c r="K1180" s="6">
        <v>1.62</v>
      </c>
      <c r="L1180" s="4">
        <v>3</v>
      </c>
      <c r="M1180" s="4">
        <v>151</v>
      </c>
      <c r="N1180" s="4">
        <v>101</v>
      </c>
      <c r="O1180" s="4" t="s">
        <v>21</v>
      </c>
      <c r="P1180" s="7" t="s">
        <v>19</v>
      </c>
    </row>
    <row r="1181" spans="2:16" x14ac:dyDescent="0.45">
      <c r="B1181" s="4">
        <v>1180</v>
      </c>
      <c r="C1181" s="4" t="s">
        <v>22</v>
      </c>
      <c r="D1181" s="4" t="s">
        <v>23</v>
      </c>
      <c r="E1181" s="4" t="s">
        <v>35</v>
      </c>
      <c r="F1181" s="4" t="s">
        <v>42</v>
      </c>
      <c r="G1181" s="4" t="s">
        <v>19</v>
      </c>
      <c r="H1181" s="4" t="s">
        <v>34</v>
      </c>
      <c r="I1181" s="4">
        <v>4</v>
      </c>
      <c r="J1181" s="5">
        <v>11.2</v>
      </c>
      <c r="K1181" s="6">
        <v>0.83</v>
      </c>
      <c r="L1181" s="4">
        <v>2</v>
      </c>
      <c r="M1181" s="4">
        <v>99</v>
      </c>
      <c r="N1181" s="4">
        <v>102</v>
      </c>
      <c r="O1181" s="4" t="s">
        <v>26</v>
      </c>
      <c r="P1181" s="7" t="s">
        <v>19</v>
      </c>
    </row>
    <row r="1182" spans="2:16" x14ac:dyDescent="0.45">
      <c r="B1182" s="4">
        <v>1181</v>
      </c>
      <c r="C1182" s="4" t="s">
        <v>22</v>
      </c>
      <c r="D1182" s="4" t="s">
        <v>23</v>
      </c>
      <c r="E1182" s="4" t="s">
        <v>17</v>
      </c>
      <c r="F1182" s="4" t="s">
        <v>18</v>
      </c>
      <c r="G1182" s="4" t="s">
        <v>30</v>
      </c>
      <c r="H1182" s="4" t="s">
        <v>28</v>
      </c>
      <c r="I1182" s="4">
        <v>14</v>
      </c>
      <c r="J1182" s="5">
        <v>63.8</v>
      </c>
      <c r="K1182" s="6">
        <v>1.59</v>
      </c>
      <c r="L1182" s="4">
        <v>2</v>
      </c>
      <c r="M1182" s="4">
        <v>115</v>
      </c>
      <c r="N1182" s="4">
        <v>104</v>
      </c>
      <c r="O1182" s="4" t="s">
        <v>26</v>
      </c>
      <c r="P1182" s="7" t="s">
        <v>30</v>
      </c>
    </row>
    <row r="1183" spans="2:16" x14ac:dyDescent="0.45">
      <c r="B1183" s="4">
        <v>1182</v>
      </c>
      <c r="C1183" s="4" t="s">
        <v>41</v>
      </c>
      <c r="D1183" s="4" t="s">
        <v>16</v>
      </c>
      <c r="E1183" s="4" t="s">
        <v>35</v>
      </c>
      <c r="F1183" s="4" t="s">
        <v>28</v>
      </c>
      <c r="G1183" s="4" t="s">
        <v>19</v>
      </c>
      <c r="H1183" s="4" t="s">
        <v>32</v>
      </c>
      <c r="I1183" s="4">
        <v>68</v>
      </c>
      <c r="J1183" s="5">
        <v>49.8</v>
      </c>
      <c r="K1183" s="6">
        <v>1.69</v>
      </c>
      <c r="L1183" s="4">
        <v>4</v>
      </c>
      <c r="M1183" s="4">
        <v>123</v>
      </c>
      <c r="N1183" s="4">
        <v>166</v>
      </c>
      <c r="O1183" s="4" t="s">
        <v>21</v>
      </c>
      <c r="P1183" s="7" t="s">
        <v>30</v>
      </c>
    </row>
    <row r="1184" spans="2:16" x14ac:dyDescent="0.45">
      <c r="B1184" s="4">
        <v>1183</v>
      </c>
      <c r="C1184" s="4" t="s">
        <v>41</v>
      </c>
      <c r="D1184" s="4" t="s">
        <v>23</v>
      </c>
      <c r="E1184" s="4" t="s">
        <v>35</v>
      </c>
      <c r="F1184" s="4" t="s">
        <v>28</v>
      </c>
      <c r="G1184" s="4" t="s">
        <v>19</v>
      </c>
      <c r="H1184" s="4" t="s">
        <v>20</v>
      </c>
      <c r="I1184" s="4">
        <v>49</v>
      </c>
      <c r="J1184" s="5">
        <v>84.5</v>
      </c>
      <c r="K1184" s="6">
        <v>1.55</v>
      </c>
      <c r="L1184" s="4">
        <v>0</v>
      </c>
      <c r="M1184" s="4">
        <v>131</v>
      </c>
      <c r="N1184" s="4">
        <v>103</v>
      </c>
      <c r="O1184" s="4" t="s">
        <v>26</v>
      </c>
      <c r="P1184" s="7" t="s">
        <v>30</v>
      </c>
    </row>
    <row r="1185" spans="2:16" x14ac:dyDescent="0.45">
      <c r="B1185" s="4">
        <v>1184</v>
      </c>
      <c r="C1185" s="4" t="s">
        <v>40</v>
      </c>
      <c r="D1185" s="4" t="s">
        <v>16</v>
      </c>
      <c r="E1185" s="4" t="s">
        <v>17</v>
      </c>
      <c r="F1185" s="4" t="s">
        <v>18</v>
      </c>
      <c r="G1185" s="4" t="s">
        <v>19</v>
      </c>
      <c r="H1185" s="4" t="s">
        <v>34</v>
      </c>
      <c r="I1185" s="4">
        <v>58</v>
      </c>
      <c r="J1185" s="5">
        <v>87</v>
      </c>
      <c r="K1185" s="6">
        <v>1.63</v>
      </c>
      <c r="L1185" s="4">
        <v>4</v>
      </c>
      <c r="M1185" s="4">
        <v>116</v>
      </c>
      <c r="N1185" s="4">
        <v>79</v>
      </c>
      <c r="O1185" s="4" t="s">
        <v>26</v>
      </c>
      <c r="P1185" s="7" t="s">
        <v>19</v>
      </c>
    </row>
    <row r="1186" spans="2:16" x14ac:dyDescent="0.45">
      <c r="B1186" s="4">
        <v>1185</v>
      </c>
      <c r="C1186" s="4" t="s">
        <v>41</v>
      </c>
      <c r="D1186" s="4" t="s">
        <v>23</v>
      </c>
      <c r="E1186" s="4" t="s">
        <v>35</v>
      </c>
      <c r="F1186" s="4" t="s">
        <v>18</v>
      </c>
      <c r="G1186" s="4" t="s">
        <v>19</v>
      </c>
      <c r="H1186" s="4" t="s">
        <v>34</v>
      </c>
      <c r="I1186" s="4">
        <v>41</v>
      </c>
      <c r="J1186" s="5">
        <v>71</v>
      </c>
      <c r="K1186" s="6">
        <v>1.75</v>
      </c>
      <c r="L1186" s="4">
        <v>3</v>
      </c>
      <c r="M1186" s="4">
        <v>126</v>
      </c>
      <c r="N1186" s="4">
        <v>86</v>
      </c>
      <c r="O1186" s="4" t="s">
        <v>21</v>
      </c>
      <c r="P1186" s="7" t="s">
        <v>19</v>
      </c>
    </row>
    <row r="1187" spans="2:16" x14ac:dyDescent="0.45">
      <c r="B1187" s="4">
        <v>1186</v>
      </c>
      <c r="C1187" s="4" t="s">
        <v>43</v>
      </c>
      <c r="D1187" s="4" t="s">
        <v>16</v>
      </c>
      <c r="E1187" s="4" t="s">
        <v>44</v>
      </c>
      <c r="F1187" s="4" t="s">
        <v>28</v>
      </c>
      <c r="G1187" s="4" t="s">
        <v>30</v>
      </c>
      <c r="H1187" s="4" t="s">
        <v>38</v>
      </c>
      <c r="I1187" s="4">
        <v>13</v>
      </c>
      <c r="J1187" s="5">
        <v>45.1</v>
      </c>
      <c r="K1187" s="6">
        <v>1.49</v>
      </c>
      <c r="L1187" s="4">
        <v>2</v>
      </c>
      <c r="M1187" s="4">
        <v>109</v>
      </c>
      <c r="N1187" s="4">
        <v>85</v>
      </c>
      <c r="O1187" s="4" t="s">
        <v>26</v>
      </c>
      <c r="P1187" s="7" t="s">
        <v>19</v>
      </c>
    </row>
    <row r="1188" spans="2:16" x14ac:dyDescent="0.45">
      <c r="B1188" s="4">
        <v>1187</v>
      </c>
      <c r="C1188" s="4" t="s">
        <v>15</v>
      </c>
      <c r="D1188" s="4" t="s">
        <v>23</v>
      </c>
      <c r="E1188" s="4" t="s">
        <v>17</v>
      </c>
      <c r="F1188" s="4" t="s">
        <v>18</v>
      </c>
      <c r="G1188" s="4" t="s">
        <v>19</v>
      </c>
      <c r="H1188" s="4" t="s">
        <v>38</v>
      </c>
      <c r="I1188" s="4">
        <v>53</v>
      </c>
      <c r="J1188" s="5">
        <v>62.2</v>
      </c>
      <c r="K1188" s="6">
        <v>1.68</v>
      </c>
      <c r="L1188" s="4">
        <v>5</v>
      </c>
      <c r="M1188" s="4">
        <v>106</v>
      </c>
      <c r="N1188" s="4">
        <v>105</v>
      </c>
      <c r="O1188" s="4" t="s">
        <v>21</v>
      </c>
      <c r="P1188" s="7" t="s">
        <v>19</v>
      </c>
    </row>
    <row r="1189" spans="2:16" x14ac:dyDescent="0.45">
      <c r="B1189" s="4">
        <v>1188</v>
      </c>
      <c r="C1189" s="4" t="s">
        <v>27</v>
      </c>
      <c r="D1189" s="4" t="s">
        <v>16</v>
      </c>
      <c r="E1189" s="4" t="s">
        <v>35</v>
      </c>
      <c r="F1189" s="4" t="s">
        <v>24</v>
      </c>
      <c r="G1189" s="4" t="s">
        <v>19</v>
      </c>
      <c r="H1189" s="4" t="s">
        <v>34</v>
      </c>
      <c r="I1189" s="4">
        <v>55</v>
      </c>
      <c r="J1189" s="5">
        <v>93.1</v>
      </c>
      <c r="K1189" s="6">
        <v>1.59</v>
      </c>
      <c r="L1189" s="4">
        <v>4</v>
      </c>
      <c r="M1189" s="4">
        <v>117</v>
      </c>
      <c r="N1189" s="4">
        <v>102</v>
      </c>
      <c r="O1189" s="4" t="s">
        <v>26</v>
      </c>
      <c r="P1189" s="7" t="s">
        <v>19</v>
      </c>
    </row>
    <row r="1190" spans="2:16" x14ac:dyDescent="0.45">
      <c r="B1190" s="4">
        <v>1189</v>
      </c>
      <c r="C1190" s="4" t="s">
        <v>27</v>
      </c>
      <c r="D1190" s="4" t="s">
        <v>16</v>
      </c>
      <c r="E1190" s="4" t="s">
        <v>17</v>
      </c>
      <c r="F1190" s="4" t="s">
        <v>24</v>
      </c>
      <c r="G1190" s="4" t="s">
        <v>19</v>
      </c>
      <c r="H1190" s="4" t="s">
        <v>28</v>
      </c>
      <c r="I1190" s="4">
        <v>13</v>
      </c>
      <c r="J1190" s="5">
        <v>40.9</v>
      </c>
      <c r="K1190" s="6">
        <v>1.61</v>
      </c>
      <c r="L1190" s="4">
        <v>2</v>
      </c>
      <c r="M1190" s="4">
        <v>96</v>
      </c>
      <c r="N1190" s="4">
        <v>87</v>
      </c>
      <c r="O1190" s="4" t="s">
        <v>21</v>
      </c>
      <c r="P1190" s="7" t="s">
        <v>19</v>
      </c>
    </row>
    <row r="1191" spans="2:16" x14ac:dyDescent="0.45">
      <c r="B1191" s="4">
        <v>1190</v>
      </c>
      <c r="C1191" s="4" t="s">
        <v>40</v>
      </c>
      <c r="D1191" s="4" t="s">
        <v>23</v>
      </c>
      <c r="E1191" s="4" t="s">
        <v>44</v>
      </c>
      <c r="F1191" s="4" t="s">
        <v>18</v>
      </c>
      <c r="G1191" s="4" t="s">
        <v>30</v>
      </c>
      <c r="H1191" s="4" t="s">
        <v>34</v>
      </c>
      <c r="I1191" s="4">
        <v>0</v>
      </c>
      <c r="J1191" s="5">
        <v>8.5</v>
      </c>
      <c r="K1191" s="6">
        <v>0.8</v>
      </c>
      <c r="L1191" s="4">
        <v>6</v>
      </c>
      <c r="M1191" s="4">
        <v>102</v>
      </c>
      <c r="N1191" s="4">
        <v>70</v>
      </c>
      <c r="O1191" s="4" t="s">
        <v>21</v>
      </c>
      <c r="P1191" s="7" t="s">
        <v>19</v>
      </c>
    </row>
    <row r="1192" spans="2:16" x14ac:dyDescent="0.45">
      <c r="B1192" s="4">
        <v>1191</v>
      </c>
      <c r="C1192" s="4" t="s">
        <v>39</v>
      </c>
      <c r="D1192" s="4" t="s">
        <v>16</v>
      </c>
      <c r="E1192" s="4" t="s">
        <v>17</v>
      </c>
      <c r="F1192" s="4" t="s">
        <v>24</v>
      </c>
      <c r="G1192" s="4" t="s">
        <v>19</v>
      </c>
      <c r="H1192" s="4" t="s">
        <v>32</v>
      </c>
      <c r="I1192" s="4">
        <v>3</v>
      </c>
      <c r="J1192" s="5">
        <v>16.399999999999999</v>
      </c>
      <c r="K1192" s="6">
        <v>1.01</v>
      </c>
      <c r="L1192" s="4">
        <v>5</v>
      </c>
      <c r="M1192" s="4">
        <v>98</v>
      </c>
      <c r="N1192" s="4">
        <v>149</v>
      </c>
      <c r="O1192" s="4" t="s">
        <v>26</v>
      </c>
      <c r="P1192" s="7" t="s">
        <v>19</v>
      </c>
    </row>
    <row r="1193" spans="2:16" x14ac:dyDescent="0.45">
      <c r="B1193" s="4">
        <v>1192</v>
      </c>
      <c r="C1193" s="4" t="s">
        <v>40</v>
      </c>
      <c r="D1193" s="4" t="s">
        <v>23</v>
      </c>
      <c r="E1193" s="4" t="s">
        <v>44</v>
      </c>
      <c r="F1193" s="4" t="s">
        <v>18</v>
      </c>
      <c r="G1193" s="4" t="s">
        <v>19</v>
      </c>
      <c r="H1193" s="4" t="s">
        <v>34</v>
      </c>
      <c r="I1193" s="4">
        <v>16</v>
      </c>
      <c r="J1193" s="5">
        <v>44</v>
      </c>
      <c r="K1193" s="6">
        <v>1.64</v>
      </c>
      <c r="L1193" s="4">
        <v>2</v>
      </c>
      <c r="M1193" s="4">
        <v>107</v>
      </c>
      <c r="N1193" s="4">
        <v>101</v>
      </c>
      <c r="O1193" s="4" t="s">
        <v>26</v>
      </c>
      <c r="P1193" s="7" t="s">
        <v>19</v>
      </c>
    </row>
    <row r="1194" spans="2:16" x14ac:dyDescent="0.45">
      <c r="B1194" s="4">
        <v>1193</v>
      </c>
      <c r="C1194" s="4" t="s">
        <v>39</v>
      </c>
      <c r="D1194" s="4" t="s">
        <v>16</v>
      </c>
      <c r="E1194" s="4" t="s">
        <v>35</v>
      </c>
      <c r="F1194" s="4" t="s">
        <v>24</v>
      </c>
      <c r="G1194" s="4" t="s">
        <v>19</v>
      </c>
      <c r="H1194" s="4" t="s">
        <v>32</v>
      </c>
      <c r="I1194" s="4">
        <v>12</v>
      </c>
      <c r="J1194" s="5">
        <v>48.3</v>
      </c>
      <c r="K1194" s="6">
        <v>1.5</v>
      </c>
      <c r="L1194" s="4">
        <v>4</v>
      </c>
      <c r="M1194" s="4">
        <v>117</v>
      </c>
      <c r="N1194" s="4">
        <v>169</v>
      </c>
      <c r="O1194" s="4" t="s">
        <v>26</v>
      </c>
      <c r="P1194" s="7" t="s">
        <v>19</v>
      </c>
    </row>
    <row r="1195" spans="2:16" x14ac:dyDescent="0.45">
      <c r="B1195" s="4">
        <v>1194</v>
      </c>
      <c r="C1195" s="4" t="s">
        <v>40</v>
      </c>
      <c r="D1195" s="4" t="s">
        <v>23</v>
      </c>
      <c r="E1195" s="4" t="s">
        <v>35</v>
      </c>
      <c r="F1195" s="4" t="s">
        <v>24</v>
      </c>
      <c r="G1195" s="4" t="s">
        <v>19</v>
      </c>
      <c r="H1195" s="4" t="s">
        <v>25</v>
      </c>
      <c r="I1195" s="4">
        <v>2</v>
      </c>
      <c r="J1195" s="5">
        <v>11.6</v>
      </c>
      <c r="K1195" s="6">
        <v>0.62</v>
      </c>
      <c r="L1195" s="4">
        <v>5</v>
      </c>
      <c r="M1195" s="4">
        <v>109</v>
      </c>
      <c r="N1195" s="4">
        <v>102</v>
      </c>
      <c r="O1195" s="4" t="s">
        <v>21</v>
      </c>
      <c r="P1195" s="7" t="s">
        <v>19</v>
      </c>
    </row>
    <row r="1196" spans="2:16" x14ac:dyDescent="0.45">
      <c r="B1196" s="4">
        <v>1195</v>
      </c>
      <c r="C1196" s="4" t="s">
        <v>27</v>
      </c>
      <c r="D1196" s="4" t="s">
        <v>23</v>
      </c>
      <c r="E1196" s="4" t="s">
        <v>17</v>
      </c>
      <c r="F1196" s="4" t="s">
        <v>24</v>
      </c>
      <c r="G1196" s="4" t="s">
        <v>19</v>
      </c>
      <c r="H1196" s="4" t="s">
        <v>20</v>
      </c>
      <c r="I1196" s="4">
        <v>19</v>
      </c>
      <c r="J1196" s="5">
        <v>53</v>
      </c>
      <c r="K1196" s="6">
        <v>1.89</v>
      </c>
      <c r="L1196" s="4">
        <v>0</v>
      </c>
      <c r="M1196" s="4">
        <v>101</v>
      </c>
      <c r="N1196" s="4">
        <v>105</v>
      </c>
      <c r="O1196" s="4" t="s">
        <v>26</v>
      </c>
      <c r="P1196" s="7" t="s">
        <v>19</v>
      </c>
    </row>
    <row r="1197" spans="2:16" x14ac:dyDescent="0.45">
      <c r="B1197" s="4">
        <v>1196</v>
      </c>
      <c r="C1197" s="4" t="s">
        <v>45</v>
      </c>
      <c r="D1197" s="4" t="s">
        <v>16</v>
      </c>
      <c r="E1197" s="4" t="s">
        <v>37</v>
      </c>
      <c r="F1197" s="4" t="s">
        <v>24</v>
      </c>
      <c r="G1197" s="4" t="s">
        <v>19</v>
      </c>
      <c r="H1197" s="4" t="s">
        <v>36</v>
      </c>
      <c r="I1197" s="4">
        <v>53</v>
      </c>
      <c r="J1197" s="5">
        <v>67.599999999999994</v>
      </c>
      <c r="K1197" s="6">
        <v>1.66</v>
      </c>
      <c r="L1197" s="4">
        <v>1</v>
      </c>
      <c r="M1197" s="4">
        <v>142</v>
      </c>
      <c r="N1197" s="4">
        <v>103</v>
      </c>
      <c r="O1197" s="4" t="s">
        <v>26</v>
      </c>
      <c r="P1197" s="7" t="s">
        <v>19</v>
      </c>
    </row>
    <row r="1198" spans="2:16" x14ac:dyDescent="0.45">
      <c r="B1198" s="4">
        <v>1197</v>
      </c>
      <c r="C1198" s="4" t="s">
        <v>43</v>
      </c>
      <c r="D1198" s="4" t="s">
        <v>23</v>
      </c>
      <c r="E1198" s="4" t="s">
        <v>17</v>
      </c>
      <c r="F1198" s="4" t="s">
        <v>18</v>
      </c>
      <c r="G1198" s="4" t="s">
        <v>19</v>
      </c>
      <c r="H1198" s="4" t="s">
        <v>20</v>
      </c>
      <c r="I1198" s="4">
        <v>20</v>
      </c>
      <c r="J1198" s="5">
        <v>47.6</v>
      </c>
      <c r="K1198" s="6">
        <v>1.63</v>
      </c>
      <c r="L1198" s="4">
        <v>1</v>
      </c>
      <c r="M1198" s="4">
        <v>96</v>
      </c>
      <c r="N1198" s="4">
        <v>98</v>
      </c>
      <c r="O1198" s="4" t="s">
        <v>21</v>
      </c>
      <c r="P1198" s="7" t="s">
        <v>19</v>
      </c>
    </row>
    <row r="1199" spans="2:16" x14ac:dyDescent="0.45">
      <c r="B1199" s="4">
        <v>1198</v>
      </c>
      <c r="C1199" s="4" t="s">
        <v>29</v>
      </c>
      <c r="D1199" s="4" t="s">
        <v>23</v>
      </c>
      <c r="E1199" s="4" t="s">
        <v>35</v>
      </c>
      <c r="F1199" s="4" t="s">
        <v>24</v>
      </c>
      <c r="G1199" s="4" t="s">
        <v>19</v>
      </c>
      <c r="H1199" s="4" t="s">
        <v>34</v>
      </c>
      <c r="I1199" s="4">
        <v>17</v>
      </c>
      <c r="J1199" s="5">
        <v>55.7</v>
      </c>
      <c r="K1199" s="6">
        <v>1.53</v>
      </c>
      <c r="L1199" s="4">
        <v>4</v>
      </c>
      <c r="M1199" s="4">
        <v>100</v>
      </c>
      <c r="N1199" s="4">
        <v>82</v>
      </c>
      <c r="O1199" s="4" t="s">
        <v>26</v>
      </c>
      <c r="P1199" s="7" t="s">
        <v>19</v>
      </c>
    </row>
    <row r="1200" spans="2:16" x14ac:dyDescent="0.45">
      <c r="B1200" s="4">
        <v>1199</v>
      </c>
      <c r="C1200" s="4" t="s">
        <v>15</v>
      </c>
      <c r="D1200" s="4" t="s">
        <v>16</v>
      </c>
      <c r="E1200" s="4" t="s">
        <v>17</v>
      </c>
      <c r="F1200" s="4" t="s">
        <v>18</v>
      </c>
      <c r="G1200" s="4" t="s">
        <v>30</v>
      </c>
      <c r="H1200" s="4" t="s">
        <v>28</v>
      </c>
      <c r="I1200" s="4">
        <v>31</v>
      </c>
      <c r="J1200" s="5">
        <v>49.7</v>
      </c>
      <c r="K1200" s="6">
        <v>1.73</v>
      </c>
      <c r="L1200" s="4">
        <v>0</v>
      </c>
      <c r="M1200" s="4">
        <v>123</v>
      </c>
      <c r="N1200" s="4">
        <v>101</v>
      </c>
      <c r="O1200" s="4" t="s">
        <v>26</v>
      </c>
      <c r="P1200" s="7" t="s">
        <v>19</v>
      </c>
    </row>
    <row r="1201" spans="2:16" x14ac:dyDescent="0.45">
      <c r="B1201" s="4">
        <v>1200</v>
      </c>
      <c r="C1201" s="4" t="s">
        <v>27</v>
      </c>
      <c r="D1201" s="4" t="s">
        <v>23</v>
      </c>
      <c r="E1201" s="4" t="s">
        <v>17</v>
      </c>
      <c r="F1201" s="4" t="s">
        <v>24</v>
      </c>
      <c r="G1201" s="4" t="s">
        <v>19</v>
      </c>
      <c r="H1201" s="4" t="s">
        <v>36</v>
      </c>
      <c r="I1201" s="4">
        <v>8</v>
      </c>
      <c r="J1201" s="5">
        <v>36.5</v>
      </c>
      <c r="K1201" s="6">
        <v>1.22</v>
      </c>
      <c r="L1201" s="4">
        <v>5</v>
      </c>
      <c r="M1201" s="4">
        <v>124</v>
      </c>
      <c r="N1201" s="4">
        <v>102</v>
      </c>
      <c r="O1201" s="4" t="s">
        <v>21</v>
      </c>
      <c r="P1201" s="7" t="s">
        <v>19</v>
      </c>
    </row>
    <row r="1202" spans="2:16" x14ac:dyDescent="0.45">
      <c r="B1202" s="4">
        <v>1201</v>
      </c>
      <c r="C1202" s="4" t="s">
        <v>45</v>
      </c>
      <c r="D1202" s="4" t="s">
        <v>16</v>
      </c>
      <c r="E1202" s="4" t="s">
        <v>17</v>
      </c>
      <c r="F1202" s="4" t="s">
        <v>18</v>
      </c>
      <c r="G1202" s="4" t="s">
        <v>19</v>
      </c>
      <c r="H1202" s="4" t="s">
        <v>28</v>
      </c>
      <c r="I1202" s="4">
        <v>23</v>
      </c>
      <c r="J1202" s="5">
        <v>90.3</v>
      </c>
      <c r="K1202" s="6">
        <v>1.65</v>
      </c>
      <c r="L1202" s="4">
        <v>1</v>
      </c>
      <c r="M1202" s="4">
        <v>109</v>
      </c>
      <c r="N1202" s="4">
        <v>81</v>
      </c>
      <c r="O1202" s="4" t="s">
        <v>26</v>
      </c>
      <c r="P1202" s="7" t="s">
        <v>19</v>
      </c>
    </row>
    <row r="1203" spans="2:16" x14ac:dyDescent="0.45">
      <c r="B1203" s="4">
        <v>1202</v>
      </c>
      <c r="C1203" s="4" t="s">
        <v>31</v>
      </c>
      <c r="D1203" s="4" t="s">
        <v>16</v>
      </c>
      <c r="E1203" s="4" t="s">
        <v>17</v>
      </c>
      <c r="F1203" s="4" t="s">
        <v>18</v>
      </c>
      <c r="G1203" s="4" t="s">
        <v>19</v>
      </c>
      <c r="H1203" s="4" t="s">
        <v>38</v>
      </c>
      <c r="I1203" s="4">
        <v>7</v>
      </c>
      <c r="J1203" s="5">
        <v>37.9</v>
      </c>
      <c r="K1203" s="6">
        <v>1.35</v>
      </c>
      <c r="L1203" s="4">
        <v>7</v>
      </c>
      <c r="M1203" s="4">
        <v>110</v>
      </c>
      <c r="N1203" s="4">
        <v>76</v>
      </c>
      <c r="O1203" s="4" t="s">
        <v>26</v>
      </c>
      <c r="P1203" s="7" t="s">
        <v>19</v>
      </c>
    </row>
    <row r="1204" spans="2:16" x14ac:dyDescent="0.45">
      <c r="B1204" s="4">
        <v>1203</v>
      </c>
      <c r="C1204" s="4" t="s">
        <v>43</v>
      </c>
      <c r="D1204" s="4" t="s">
        <v>23</v>
      </c>
      <c r="E1204" s="4" t="s">
        <v>35</v>
      </c>
      <c r="F1204" s="4" t="s">
        <v>24</v>
      </c>
      <c r="G1204" s="4" t="s">
        <v>19</v>
      </c>
      <c r="H1204" s="4" t="s">
        <v>28</v>
      </c>
      <c r="I1204" s="4">
        <v>20</v>
      </c>
      <c r="J1204" s="5">
        <v>46.6</v>
      </c>
      <c r="K1204" s="6">
        <v>1.7</v>
      </c>
      <c r="L1204" s="4">
        <v>1</v>
      </c>
      <c r="M1204" s="4">
        <v>124</v>
      </c>
      <c r="N1204" s="4">
        <v>73</v>
      </c>
      <c r="O1204" s="4" t="s">
        <v>21</v>
      </c>
      <c r="P1204" s="7" t="s">
        <v>30</v>
      </c>
    </row>
    <row r="1205" spans="2:16" x14ac:dyDescent="0.45">
      <c r="B1205" s="4">
        <v>1204</v>
      </c>
      <c r="C1205" s="4" t="s">
        <v>41</v>
      </c>
      <c r="D1205" s="4" t="s">
        <v>23</v>
      </c>
      <c r="E1205" s="4" t="s">
        <v>35</v>
      </c>
      <c r="F1205" s="4" t="s">
        <v>24</v>
      </c>
      <c r="G1205" s="4" t="s">
        <v>19</v>
      </c>
      <c r="H1205" s="4" t="s">
        <v>28</v>
      </c>
      <c r="I1205" s="4">
        <v>32</v>
      </c>
      <c r="J1205" s="5">
        <v>55.2</v>
      </c>
      <c r="K1205" s="6">
        <v>1.78</v>
      </c>
      <c r="L1205" s="4">
        <v>1</v>
      </c>
      <c r="M1205" s="4">
        <v>123</v>
      </c>
      <c r="N1205" s="4">
        <v>76</v>
      </c>
      <c r="O1205" s="4" t="s">
        <v>26</v>
      </c>
      <c r="P1205" s="7" t="s">
        <v>19</v>
      </c>
    </row>
    <row r="1206" spans="2:16" x14ac:dyDescent="0.45">
      <c r="B1206" s="4">
        <v>1205</v>
      </c>
      <c r="C1206" s="4" t="s">
        <v>22</v>
      </c>
      <c r="D1206" s="4" t="s">
        <v>16</v>
      </c>
      <c r="E1206" s="4" t="s">
        <v>35</v>
      </c>
      <c r="F1206" s="4" t="s">
        <v>28</v>
      </c>
      <c r="G1206" s="4" t="s">
        <v>19</v>
      </c>
      <c r="H1206" s="4" t="s">
        <v>25</v>
      </c>
      <c r="I1206" s="4">
        <v>18</v>
      </c>
      <c r="J1206" s="5">
        <v>81.2</v>
      </c>
      <c r="K1206" s="6">
        <v>1.59</v>
      </c>
      <c r="L1206" s="4">
        <v>3</v>
      </c>
      <c r="M1206" s="4">
        <v>121</v>
      </c>
      <c r="N1206" s="4">
        <v>89</v>
      </c>
      <c r="O1206" s="4" t="s">
        <v>26</v>
      </c>
      <c r="P1206" s="7" t="s">
        <v>30</v>
      </c>
    </row>
    <row r="1207" spans="2:16" x14ac:dyDescent="0.45">
      <c r="B1207" s="4">
        <v>1206</v>
      </c>
      <c r="C1207" s="4" t="s">
        <v>41</v>
      </c>
      <c r="D1207" s="4" t="s">
        <v>23</v>
      </c>
      <c r="E1207" s="4" t="s">
        <v>35</v>
      </c>
      <c r="F1207" s="4" t="s">
        <v>18</v>
      </c>
      <c r="G1207" s="4" t="s">
        <v>30</v>
      </c>
      <c r="H1207" s="4" t="s">
        <v>38</v>
      </c>
      <c r="I1207" s="4">
        <v>19</v>
      </c>
      <c r="J1207" s="5">
        <v>63.7</v>
      </c>
      <c r="K1207" s="6">
        <v>1.67</v>
      </c>
      <c r="L1207" s="4">
        <v>3</v>
      </c>
      <c r="M1207" s="4">
        <v>114</v>
      </c>
      <c r="N1207" s="4">
        <v>71</v>
      </c>
      <c r="O1207" s="4" t="s">
        <v>26</v>
      </c>
      <c r="P1207" s="7" t="s">
        <v>19</v>
      </c>
    </row>
    <row r="1208" spans="2:16" x14ac:dyDescent="0.45">
      <c r="B1208" s="4">
        <v>1207</v>
      </c>
      <c r="C1208" s="4" t="s">
        <v>45</v>
      </c>
      <c r="D1208" s="4" t="s">
        <v>23</v>
      </c>
      <c r="E1208" s="4" t="s">
        <v>35</v>
      </c>
      <c r="F1208" s="4" t="s">
        <v>18</v>
      </c>
      <c r="G1208" s="4" t="s">
        <v>19</v>
      </c>
      <c r="H1208" s="4" t="s">
        <v>20</v>
      </c>
      <c r="I1208" s="4">
        <v>73</v>
      </c>
      <c r="J1208" s="5">
        <v>53.1</v>
      </c>
      <c r="K1208" s="6">
        <v>1.5</v>
      </c>
      <c r="L1208" s="4">
        <v>1</v>
      </c>
      <c r="M1208" s="4">
        <v>126</v>
      </c>
      <c r="N1208" s="4">
        <v>77</v>
      </c>
      <c r="O1208" s="4" t="s">
        <v>26</v>
      </c>
      <c r="P1208" s="7" t="s">
        <v>30</v>
      </c>
    </row>
    <row r="1209" spans="2:16" x14ac:dyDescent="0.45">
      <c r="B1209" s="4">
        <v>1208</v>
      </c>
      <c r="C1209" s="4" t="s">
        <v>22</v>
      </c>
      <c r="D1209" s="4" t="s">
        <v>23</v>
      </c>
      <c r="E1209" s="4" t="s">
        <v>44</v>
      </c>
      <c r="F1209" s="4" t="s">
        <v>24</v>
      </c>
      <c r="G1209" s="4" t="s">
        <v>19</v>
      </c>
      <c r="H1209" s="4" t="s">
        <v>36</v>
      </c>
      <c r="I1209" s="4">
        <v>30</v>
      </c>
      <c r="J1209" s="5">
        <v>65.7</v>
      </c>
      <c r="K1209" s="6">
        <v>1.63</v>
      </c>
      <c r="L1209" s="4">
        <v>2</v>
      </c>
      <c r="M1209" s="4">
        <v>128</v>
      </c>
      <c r="N1209" s="4">
        <v>91</v>
      </c>
      <c r="O1209" s="4" t="s">
        <v>26</v>
      </c>
      <c r="P1209" s="7" t="s">
        <v>30</v>
      </c>
    </row>
    <row r="1210" spans="2:16" x14ac:dyDescent="0.45">
      <c r="B1210" s="4">
        <v>1209</v>
      </c>
      <c r="C1210" s="4" t="s">
        <v>40</v>
      </c>
      <c r="D1210" s="4" t="s">
        <v>23</v>
      </c>
      <c r="E1210" s="4" t="s">
        <v>17</v>
      </c>
      <c r="F1210" s="4" t="s">
        <v>24</v>
      </c>
      <c r="G1210" s="4" t="s">
        <v>19</v>
      </c>
      <c r="H1210" s="4" t="s">
        <v>32</v>
      </c>
      <c r="I1210" s="4">
        <v>2</v>
      </c>
      <c r="J1210" s="5">
        <v>17.8</v>
      </c>
      <c r="K1210" s="6">
        <v>0.78</v>
      </c>
      <c r="L1210" s="4">
        <v>4</v>
      </c>
      <c r="M1210" s="4">
        <v>93</v>
      </c>
      <c r="N1210" s="4">
        <v>165</v>
      </c>
      <c r="O1210" s="4" t="s">
        <v>26</v>
      </c>
      <c r="P1210" s="7" t="s">
        <v>19</v>
      </c>
    </row>
    <row r="1211" spans="2:16" x14ac:dyDescent="0.45">
      <c r="B1211" s="4">
        <v>1210</v>
      </c>
      <c r="C1211" s="4" t="s">
        <v>15</v>
      </c>
      <c r="D1211" s="4" t="s">
        <v>16</v>
      </c>
      <c r="E1211" s="4" t="s">
        <v>17</v>
      </c>
      <c r="F1211" s="4" t="s">
        <v>18</v>
      </c>
      <c r="G1211" s="4" t="s">
        <v>19</v>
      </c>
      <c r="H1211" s="4" t="s">
        <v>20</v>
      </c>
      <c r="I1211" s="4">
        <v>9</v>
      </c>
      <c r="J1211" s="5">
        <v>27.6</v>
      </c>
      <c r="K1211" s="6">
        <v>1.08</v>
      </c>
      <c r="L1211" s="4">
        <v>9</v>
      </c>
      <c r="M1211" s="4">
        <v>93</v>
      </c>
      <c r="N1211" s="4">
        <v>100</v>
      </c>
      <c r="O1211" s="4" t="s">
        <v>26</v>
      </c>
      <c r="P1211" s="7" t="s">
        <v>19</v>
      </c>
    </row>
    <row r="1212" spans="2:16" x14ac:dyDescent="0.45">
      <c r="B1212" s="4">
        <v>1211</v>
      </c>
      <c r="C1212" s="4" t="s">
        <v>31</v>
      </c>
      <c r="D1212" s="4" t="s">
        <v>23</v>
      </c>
      <c r="E1212" s="4" t="s">
        <v>35</v>
      </c>
      <c r="F1212" s="4" t="s">
        <v>24</v>
      </c>
      <c r="G1212" s="4" t="s">
        <v>30</v>
      </c>
      <c r="H1212" s="4" t="s">
        <v>28</v>
      </c>
      <c r="I1212" s="4">
        <v>7</v>
      </c>
      <c r="J1212" s="5">
        <v>37.700000000000003</v>
      </c>
      <c r="K1212" s="6">
        <v>1.08</v>
      </c>
      <c r="L1212" s="4">
        <v>5</v>
      </c>
      <c r="M1212" s="4">
        <v>101</v>
      </c>
      <c r="N1212" s="4">
        <v>86</v>
      </c>
      <c r="O1212" s="4" t="s">
        <v>21</v>
      </c>
      <c r="P1212" s="7" t="s">
        <v>19</v>
      </c>
    </row>
    <row r="1213" spans="2:16" x14ac:dyDescent="0.45">
      <c r="B1213" s="4">
        <v>1212</v>
      </c>
      <c r="C1213" s="4" t="s">
        <v>33</v>
      </c>
      <c r="D1213" s="4" t="s">
        <v>23</v>
      </c>
      <c r="E1213" s="4" t="s">
        <v>35</v>
      </c>
      <c r="F1213" s="4" t="s">
        <v>24</v>
      </c>
      <c r="G1213" s="4" t="s">
        <v>19</v>
      </c>
      <c r="H1213" s="4" t="s">
        <v>46</v>
      </c>
      <c r="I1213" s="4">
        <v>29</v>
      </c>
      <c r="J1213" s="5">
        <v>76.2</v>
      </c>
      <c r="K1213" s="6">
        <v>1.55</v>
      </c>
      <c r="L1213" s="4">
        <v>2</v>
      </c>
      <c r="M1213" s="4">
        <v>117</v>
      </c>
      <c r="N1213" s="4">
        <v>92</v>
      </c>
      <c r="O1213" s="4" t="s">
        <v>21</v>
      </c>
      <c r="P1213" s="7" t="s">
        <v>19</v>
      </c>
    </row>
    <row r="1214" spans="2:16" x14ac:dyDescent="0.45">
      <c r="B1214" s="4">
        <v>1213</v>
      </c>
      <c r="C1214" s="4" t="s">
        <v>22</v>
      </c>
      <c r="D1214" s="4" t="s">
        <v>23</v>
      </c>
      <c r="E1214" s="4" t="s">
        <v>35</v>
      </c>
      <c r="F1214" s="4" t="s">
        <v>18</v>
      </c>
      <c r="G1214" s="4" t="s">
        <v>19</v>
      </c>
      <c r="H1214" s="4" t="s">
        <v>28</v>
      </c>
      <c r="I1214" s="4">
        <v>53</v>
      </c>
      <c r="J1214" s="5">
        <v>57.1</v>
      </c>
      <c r="K1214" s="6">
        <v>1.65</v>
      </c>
      <c r="L1214" s="4">
        <v>5</v>
      </c>
      <c r="M1214" s="4">
        <v>134</v>
      </c>
      <c r="N1214" s="4">
        <v>102</v>
      </c>
      <c r="O1214" s="4" t="s">
        <v>21</v>
      </c>
      <c r="P1214" s="7" t="s">
        <v>30</v>
      </c>
    </row>
    <row r="1215" spans="2:16" x14ac:dyDescent="0.45">
      <c r="B1215" s="4">
        <v>1214</v>
      </c>
      <c r="C1215" s="4" t="s">
        <v>40</v>
      </c>
      <c r="D1215" s="4" t="s">
        <v>23</v>
      </c>
      <c r="E1215" s="4" t="s">
        <v>35</v>
      </c>
      <c r="F1215" s="4" t="s">
        <v>28</v>
      </c>
      <c r="G1215" s="4" t="s">
        <v>19</v>
      </c>
      <c r="H1215" s="4" t="s">
        <v>28</v>
      </c>
      <c r="I1215" s="4">
        <v>8</v>
      </c>
      <c r="J1215" s="5">
        <v>34.700000000000003</v>
      </c>
      <c r="K1215" s="6">
        <v>1.39</v>
      </c>
      <c r="L1215" s="4">
        <v>8</v>
      </c>
      <c r="M1215" s="4">
        <v>97</v>
      </c>
      <c r="N1215" s="4">
        <v>99</v>
      </c>
      <c r="O1215" s="4" t="s">
        <v>26</v>
      </c>
      <c r="P1215" s="7" t="s">
        <v>19</v>
      </c>
    </row>
    <row r="1216" spans="2:16" x14ac:dyDescent="0.45">
      <c r="B1216" s="4">
        <v>1215</v>
      </c>
      <c r="C1216" s="4" t="s">
        <v>43</v>
      </c>
      <c r="D1216" s="4" t="s">
        <v>23</v>
      </c>
      <c r="E1216" s="4" t="s">
        <v>44</v>
      </c>
      <c r="F1216" s="4" t="s">
        <v>28</v>
      </c>
      <c r="G1216" s="4" t="s">
        <v>30</v>
      </c>
      <c r="H1216" s="4" t="s">
        <v>46</v>
      </c>
      <c r="I1216" s="4">
        <v>0</v>
      </c>
      <c r="J1216" s="5">
        <v>17.2</v>
      </c>
      <c r="K1216" s="6">
        <v>0.78</v>
      </c>
      <c r="L1216" s="4">
        <v>1</v>
      </c>
      <c r="M1216" s="4">
        <v>108</v>
      </c>
      <c r="N1216" s="4">
        <v>87</v>
      </c>
      <c r="O1216" s="4" t="s">
        <v>26</v>
      </c>
      <c r="P1216" s="7" t="s">
        <v>30</v>
      </c>
    </row>
    <row r="1217" spans="2:16" x14ac:dyDescent="0.45">
      <c r="B1217" s="4">
        <v>1216</v>
      </c>
      <c r="C1217" s="4" t="s">
        <v>27</v>
      </c>
      <c r="D1217" s="4" t="s">
        <v>23</v>
      </c>
      <c r="E1217" s="4" t="s">
        <v>17</v>
      </c>
      <c r="F1217" s="4" t="s">
        <v>18</v>
      </c>
      <c r="G1217" s="4" t="s">
        <v>19</v>
      </c>
      <c r="H1217" s="4" t="s">
        <v>28</v>
      </c>
      <c r="I1217" s="4">
        <v>13</v>
      </c>
      <c r="J1217" s="5">
        <v>62.4</v>
      </c>
      <c r="K1217" s="6">
        <v>1.49</v>
      </c>
      <c r="L1217" s="4">
        <v>1</v>
      </c>
      <c r="M1217" s="4">
        <v>108</v>
      </c>
      <c r="N1217" s="4">
        <v>86</v>
      </c>
      <c r="O1217" s="4" t="s">
        <v>21</v>
      </c>
      <c r="P1217" s="7" t="s">
        <v>19</v>
      </c>
    </row>
    <row r="1218" spans="2:16" x14ac:dyDescent="0.45">
      <c r="B1218" s="4">
        <v>1217</v>
      </c>
      <c r="C1218" s="4" t="s">
        <v>33</v>
      </c>
      <c r="D1218" s="4" t="s">
        <v>16</v>
      </c>
      <c r="E1218" s="4" t="s">
        <v>35</v>
      </c>
      <c r="F1218" s="4" t="s">
        <v>24</v>
      </c>
      <c r="G1218" s="4" t="s">
        <v>19</v>
      </c>
      <c r="H1218" s="4" t="s">
        <v>32</v>
      </c>
      <c r="I1218" s="4">
        <v>40</v>
      </c>
      <c r="J1218" s="5">
        <v>51.4</v>
      </c>
      <c r="K1218" s="6">
        <v>1.88</v>
      </c>
      <c r="L1218" s="4">
        <v>4</v>
      </c>
      <c r="M1218" s="4">
        <v>117</v>
      </c>
      <c r="N1218" s="4">
        <v>165</v>
      </c>
      <c r="O1218" s="4" t="s">
        <v>21</v>
      </c>
      <c r="P1218" s="7" t="s">
        <v>19</v>
      </c>
    </row>
    <row r="1219" spans="2:16" x14ac:dyDescent="0.45">
      <c r="B1219" s="4">
        <v>1218</v>
      </c>
      <c r="C1219" s="4" t="s">
        <v>33</v>
      </c>
      <c r="D1219" s="4" t="s">
        <v>23</v>
      </c>
      <c r="E1219" s="4" t="s">
        <v>17</v>
      </c>
      <c r="F1219" s="4" t="s">
        <v>18</v>
      </c>
      <c r="G1219" s="4" t="s">
        <v>19</v>
      </c>
      <c r="H1219" s="4" t="s">
        <v>36</v>
      </c>
      <c r="I1219" s="4">
        <v>3</v>
      </c>
      <c r="J1219" s="5">
        <v>16.600000000000001</v>
      </c>
      <c r="K1219" s="6">
        <v>0.84</v>
      </c>
      <c r="L1219" s="4">
        <v>0</v>
      </c>
      <c r="M1219" s="4">
        <v>133</v>
      </c>
      <c r="N1219" s="4">
        <v>82</v>
      </c>
      <c r="O1219" s="4" t="s">
        <v>26</v>
      </c>
      <c r="P1219" s="7" t="s">
        <v>19</v>
      </c>
    </row>
    <row r="1220" spans="2:16" x14ac:dyDescent="0.45">
      <c r="B1220" s="4">
        <v>1219</v>
      </c>
      <c r="C1220" s="4" t="s">
        <v>43</v>
      </c>
      <c r="D1220" s="4" t="s">
        <v>23</v>
      </c>
      <c r="E1220" s="4" t="s">
        <v>17</v>
      </c>
      <c r="F1220" s="4" t="s">
        <v>28</v>
      </c>
      <c r="G1220" s="4" t="s">
        <v>19</v>
      </c>
      <c r="H1220" s="4" t="s">
        <v>38</v>
      </c>
      <c r="I1220" s="4">
        <v>5</v>
      </c>
      <c r="J1220" s="5">
        <v>35.200000000000003</v>
      </c>
      <c r="K1220" s="6">
        <v>1.23</v>
      </c>
      <c r="L1220" s="4">
        <v>5</v>
      </c>
      <c r="M1220" s="4">
        <v>93</v>
      </c>
      <c r="N1220" s="4">
        <v>83</v>
      </c>
      <c r="O1220" s="4" t="s">
        <v>26</v>
      </c>
      <c r="P1220" s="7" t="s">
        <v>19</v>
      </c>
    </row>
    <row r="1221" spans="2:16" x14ac:dyDescent="0.45">
      <c r="B1221" s="4">
        <v>1220</v>
      </c>
      <c r="C1221" s="4" t="s">
        <v>45</v>
      </c>
      <c r="D1221" s="4" t="s">
        <v>16</v>
      </c>
      <c r="E1221" s="4" t="s">
        <v>17</v>
      </c>
      <c r="F1221" s="4" t="s">
        <v>18</v>
      </c>
      <c r="G1221" s="4" t="s">
        <v>30</v>
      </c>
      <c r="H1221" s="4" t="s">
        <v>36</v>
      </c>
      <c r="I1221" s="4">
        <v>77</v>
      </c>
      <c r="J1221" s="5">
        <v>52.2</v>
      </c>
      <c r="K1221" s="6">
        <v>1.77</v>
      </c>
      <c r="L1221" s="4">
        <v>3</v>
      </c>
      <c r="M1221" s="4">
        <v>142</v>
      </c>
      <c r="N1221" s="4">
        <v>91</v>
      </c>
      <c r="O1221" s="4" t="s">
        <v>21</v>
      </c>
      <c r="P1221" s="7" t="s">
        <v>19</v>
      </c>
    </row>
    <row r="1222" spans="2:16" x14ac:dyDescent="0.45">
      <c r="B1222" s="4">
        <v>1221</v>
      </c>
      <c r="C1222" s="4" t="s">
        <v>33</v>
      </c>
      <c r="D1222" s="4" t="s">
        <v>16</v>
      </c>
      <c r="E1222" s="4" t="s">
        <v>37</v>
      </c>
      <c r="F1222" s="4" t="s">
        <v>28</v>
      </c>
      <c r="G1222" s="4" t="s">
        <v>19</v>
      </c>
      <c r="H1222" s="4" t="s">
        <v>38</v>
      </c>
      <c r="I1222" s="4">
        <v>26</v>
      </c>
      <c r="J1222" s="5">
        <v>69.099999999999994</v>
      </c>
      <c r="K1222" s="6">
        <v>1.51</v>
      </c>
      <c r="L1222" s="4">
        <v>7</v>
      </c>
      <c r="M1222" s="4">
        <v>118</v>
      </c>
      <c r="N1222" s="4">
        <v>74</v>
      </c>
      <c r="O1222" s="4" t="s">
        <v>26</v>
      </c>
      <c r="P1222" s="7" t="s">
        <v>19</v>
      </c>
    </row>
    <row r="1223" spans="2:16" x14ac:dyDescent="0.45">
      <c r="B1223" s="4">
        <v>1222</v>
      </c>
      <c r="C1223" s="4" t="s">
        <v>40</v>
      </c>
      <c r="D1223" s="4" t="s">
        <v>23</v>
      </c>
      <c r="E1223" s="4" t="s">
        <v>35</v>
      </c>
      <c r="F1223" s="4" t="s">
        <v>24</v>
      </c>
      <c r="G1223" s="4" t="s">
        <v>19</v>
      </c>
      <c r="H1223" s="4" t="s">
        <v>25</v>
      </c>
      <c r="I1223" s="4">
        <v>12</v>
      </c>
      <c r="J1223" s="5">
        <v>64.400000000000006</v>
      </c>
      <c r="K1223" s="6">
        <v>1.69</v>
      </c>
      <c r="L1223" s="4">
        <v>8</v>
      </c>
      <c r="M1223" s="4">
        <v>107</v>
      </c>
      <c r="N1223" s="4">
        <v>78</v>
      </c>
      <c r="O1223" s="4" t="s">
        <v>26</v>
      </c>
      <c r="P1223" s="7" t="s">
        <v>19</v>
      </c>
    </row>
    <row r="1224" spans="2:16" x14ac:dyDescent="0.45">
      <c r="B1224" s="4">
        <v>1223</v>
      </c>
      <c r="C1224" s="4" t="s">
        <v>45</v>
      </c>
      <c r="D1224" s="4" t="s">
        <v>23</v>
      </c>
      <c r="E1224" s="4" t="s">
        <v>35</v>
      </c>
      <c r="F1224" s="4" t="s">
        <v>24</v>
      </c>
      <c r="G1224" s="4" t="s">
        <v>19</v>
      </c>
      <c r="H1224" s="4" t="s">
        <v>46</v>
      </c>
      <c r="I1224" s="4">
        <v>7</v>
      </c>
      <c r="J1224" s="5">
        <v>30.8</v>
      </c>
      <c r="K1224" s="6">
        <v>1.1399999999999999</v>
      </c>
      <c r="L1224" s="4">
        <v>1</v>
      </c>
      <c r="M1224" s="4">
        <v>93</v>
      </c>
      <c r="N1224" s="4">
        <v>99</v>
      </c>
      <c r="O1224" s="4" t="s">
        <v>26</v>
      </c>
      <c r="P1224" s="7" t="s">
        <v>19</v>
      </c>
    </row>
    <row r="1225" spans="2:16" x14ac:dyDescent="0.45">
      <c r="B1225" s="4">
        <v>1224</v>
      </c>
      <c r="C1225" s="4" t="s">
        <v>27</v>
      </c>
      <c r="D1225" s="4" t="s">
        <v>16</v>
      </c>
      <c r="E1225" s="4" t="s">
        <v>35</v>
      </c>
      <c r="F1225" s="4" t="s">
        <v>28</v>
      </c>
      <c r="G1225" s="4" t="s">
        <v>19</v>
      </c>
      <c r="H1225" s="4" t="s">
        <v>28</v>
      </c>
      <c r="I1225" s="4">
        <v>16</v>
      </c>
      <c r="J1225" s="5">
        <v>43.8</v>
      </c>
      <c r="K1225" s="6">
        <v>1.66</v>
      </c>
      <c r="L1225" s="4">
        <v>4</v>
      </c>
      <c r="M1225" s="4">
        <v>101</v>
      </c>
      <c r="N1225" s="4">
        <v>87</v>
      </c>
      <c r="O1225" s="4" t="s">
        <v>26</v>
      </c>
      <c r="P1225" s="7" t="s">
        <v>19</v>
      </c>
    </row>
    <row r="1226" spans="2:16" x14ac:dyDescent="0.45">
      <c r="B1226" s="4">
        <v>1225</v>
      </c>
      <c r="C1226" s="4" t="s">
        <v>29</v>
      </c>
      <c r="D1226" s="4" t="s">
        <v>23</v>
      </c>
      <c r="E1226" s="4" t="s">
        <v>37</v>
      </c>
      <c r="F1226" s="4" t="s">
        <v>28</v>
      </c>
      <c r="G1226" s="4" t="s">
        <v>19</v>
      </c>
      <c r="H1226" s="4" t="s">
        <v>20</v>
      </c>
      <c r="I1226" s="4">
        <v>19</v>
      </c>
      <c r="J1226" s="5">
        <v>66.599999999999994</v>
      </c>
      <c r="K1226" s="6">
        <v>1.78</v>
      </c>
      <c r="L1226" s="4">
        <v>3</v>
      </c>
      <c r="M1226" s="4">
        <v>116</v>
      </c>
      <c r="N1226" s="4">
        <v>100</v>
      </c>
      <c r="O1226" s="4" t="s">
        <v>26</v>
      </c>
      <c r="P1226" s="7" t="s">
        <v>30</v>
      </c>
    </row>
    <row r="1227" spans="2:16" x14ac:dyDescent="0.45">
      <c r="B1227" s="4">
        <v>1226</v>
      </c>
      <c r="C1227" s="4" t="s">
        <v>22</v>
      </c>
      <c r="D1227" s="4" t="s">
        <v>16</v>
      </c>
      <c r="E1227" s="4" t="s">
        <v>17</v>
      </c>
      <c r="F1227" s="4" t="s">
        <v>18</v>
      </c>
      <c r="G1227" s="4" t="s">
        <v>19</v>
      </c>
      <c r="H1227" s="4" t="s">
        <v>32</v>
      </c>
      <c r="I1227" s="4">
        <v>1</v>
      </c>
      <c r="J1227" s="5">
        <v>8.1999999999999993</v>
      </c>
      <c r="K1227" s="6">
        <v>0.69</v>
      </c>
      <c r="L1227" s="4">
        <v>1</v>
      </c>
      <c r="M1227" s="4">
        <v>95</v>
      </c>
      <c r="N1227" s="4">
        <v>156</v>
      </c>
      <c r="O1227" s="4" t="s">
        <v>26</v>
      </c>
      <c r="P1227" s="7" t="s">
        <v>19</v>
      </c>
    </row>
    <row r="1228" spans="2:16" x14ac:dyDescent="0.45">
      <c r="B1228" s="4">
        <v>1227</v>
      </c>
      <c r="C1228" s="4" t="s">
        <v>15</v>
      </c>
      <c r="D1228" s="4" t="s">
        <v>23</v>
      </c>
      <c r="E1228" s="4" t="s">
        <v>17</v>
      </c>
      <c r="F1228" s="4" t="s">
        <v>24</v>
      </c>
      <c r="G1228" s="4" t="s">
        <v>19</v>
      </c>
      <c r="H1228" s="4" t="s">
        <v>32</v>
      </c>
      <c r="I1228" s="4">
        <v>44</v>
      </c>
      <c r="J1228" s="5">
        <v>58.1</v>
      </c>
      <c r="K1228" s="6">
        <v>1.7</v>
      </c>
      <c r="L1228" s="4">
        <v>0</v>
      </c>
      <c r="M1228" s="4">
        <v>107</v>
      </c>
      <c r="N1228" s="4">
        <v>179</v>
      </c>
      <c r="O1228" s="4" t="s">
        <v>26</v>
      </c>
      <c r="P1228" s="7" t="s">
        <v>19</v>
      </c>
    </row>
    <row r="1229" spans="2:16" x14ac:dyDescent="0.45">
      <c r="B1229" s="4">
        <v>1228</v>
      </c>
      <c r="C1229" s="4" t="s">
        <v>22</v>
      </c>
      <c r="D1229" s="4" t="s">
        <v>16</v>
      </c>
      <c r="E1229" s="4" t="s">
        <v>37</v>
      </c>
      <c r="F1229" s="4" t="s">
        <v>24</v>
      </c>
      <c r="G1229" s="4" t="s">
        <v>19</v>
      </c>
      <c r="H1229" s="4" t="s">
        <v>38</v>
      </c>
      <c r="I1229" s="4">
        <v>13</v>
      </c>
      <c r="J1229" s="5">
        <v>43.7</v>
      </c>
      <c r="K1229" s="6">
        <v>1.73</v>
      </c>
      <c r="L1229" s="4">
        <v>7</v>
      </c>
      <c r="M1229" s="4">
        <v>108</v>
      </c>
      <c r="N1229" s="4">
        <v>102</v>
      </c>
      <c r="O1229" s="4" t="s">
        <v>26</v>
      </c>
      <c r="P1229" s="7" t="s">
        <v>19</v>
      </c>
    </row>
    <row r="1230" spans="2:16" x14ac:dyDescent="0.45">
      <c r="B1230" s="4">
        <v>1229</v>
      </c>
      <c r="C1230" s="4" t="s">
        <v>39</v>
      </c>
      <c r="D1230" s="4" t="s">
        <v>16</v>
      </c>
      <c r="E1230" s="4" t="s">
        <v>17</v>
      </c>
      <c r="F1230" s="4" t="s">
        <v>24</v>
      </c>
      <c r="G1230" s="4" t="s">
        <v>19</v>
      </c>
      <c r="H1230" s="4" t="s">
        <v>25</v>
      </c>
      <c r="I1230" s="4">
        <v>41</v>
      </c>
      <c r="J1230" s="5">
        <v>46.3</v>
      </c>
      <c r="K1230" s="6">
        <v>1.75</v>
      </c>
      <c r="L1230" s="4">
        <v>1</v>
      </c>
      <c r="M1230" s="4">
        <v>109</v>
      </c>
      <c r="N1230" s="4">
        <v>93</v>
      </c>
      <c r="O1230" s="4" t="s">
        <v>26</v>
      </c>
      <c r="P1230" s="7" t="s">
        <v>19</v>
      </c>
    </row>
    <row r="1231" spans="2:16" x14ac:dyDescent="0.45">
      <c r="B1231" s="4">
        <v>1230</v>
      </c>
      <c r="C1231" s="4" t="s">
        <v>39</v>
      </c>
      <c r="D1231" s="4" t="s">
        <v>16</v>
      </c>
      <c r="E1231" s="4" t="s">
        <v>35</v>
      </c>
      <c r="F1231" s="4" t="s">
        <v>28</v>
      </c>
      <c r="G1231" s="4" t="s">
        <v>19</v>
      </c>
      <c r="H1231" s="4" t="s">
        <v>28</v>
      </c>
      <c r="I1231" s="4">
        <v>24</v>
      </c>
      <c r="J1231" s="5">
        <v>93</v>
      </c>
      <c r="K1231" s="6">
        <v>1.74</v>
      </c>
      <c r="L1231" s="4">
        <v>8</v>
      </c>
      <c r="M1231" s="4">
        <v>102</v>
      </c>
      <c r="N1231" s="4">
        <v>101</v>
      </c>
      <c r="O1231" s="4" t="s">
        <v>26</v>
      </c>
      <c r="P1231" s="7" t="s">
        <v>19</v>
      </c>
    </row>
    <row r="1232" spans="2:16" x14ac:dyDescent="0.45">
      <c r="B1232" s="4">
        <v>1231</v>
      </c>
      <c r="C1232" s="4" t="s">
        <v>45</v>
      </c>
      <c r="D1232" s="4" t="s">
        <v>16</v>
      </c>
      <c r="E1232" s="4" t="s">
        <v>37</v>
      </c>
      <c r="F1232" s="4" t="s">
        <v>18</v>
      </c>
      <c r="G1232" s="4" t="s">
        <v>30</v>
      </c>
      <c r="H1232" s="4" t="s">
        <v>28</v>
      </c>
      <c r="I1232" s="4">
        <v>11</v>
      </c>
      <c r="J1232" s="5">
        <v>20.6</v>
      </c>
      <c r="K1232" s="6">
        <v>1.1299999999999999</v>
      </c>
      <c r="L1232" s="4">
        <v>1</v>
      </c>
      <c r="M1232" s="4">
        <v>106</v>
      </c>
      <c r="N1232" s="4">
        <v>103</v>
      </c>
      <c r="O1232" s="4" t="s">
        <v>21</v>
      </c>
      <c r="P1232" s="7" t="s">
        <v>19</v>
      </c>
    </row>
    <row r="1233" spans="2:16" x14ac:dyDescent="0.45">
      <c r="B1233" s="4">
        <v>1232</v>
      </c>
      <c r="C1233" s="4" t="s">
        <v>27</v>
      </c>
      <c r="D1233" s="4" t="s">
        <v>16</v>
      </c>
      <c r="E1233" s="4" t="s">
        <v>17</v>
      </c>
      <c r="F1233" s="4" t="s">
        <v>24</v>
      </c>
      <c r="G1233" s="4" t="s">
        <v>19</v>
      </c>
      <c r="H1233" s="4" t="s">
        <v>34</v>
      </c>
      <c r="I1233" s="4">
        <v>9</v>
      </c>
      <c r="J1233" s="5">
        <v>22.5</v>
      </c>
      <c r="K1233" s="6">
        <v>1.19</v>
      </c>
      <c r="L1233" s="4">
        <v>1</v>
      </c>
      <c r="M1233" s="4">
        <v>111</v>
      </c>
      <c r="N1233" s="4">
        <v>91</v>
      </c>
      <c r="O1233" s="4" t="s">
        <v>26</v>
      </c>
      <c r="P1233" s="7" t="s">
        <v>19</v>
      </c>
    </row>
    <row r="1234" spans="2:16" x14ac:dyDescent="0.45">
      <c r="B1234" s="4">
        <v>1233</v>
      </c>
      <c r="C1234" s="4" t="s">
        <v>27</v>
      </c>
      <c r="D1234" s="4" t="s">
        <v>16</v>
      </c>
      <c r="E1234" s="4" t="s">
        <v>17</v>
      </c>
      <c r="F1234" s="4" t="s">
        <v>24</v>
      </c>
      <c r="G1234" s="4" t="s">
        <v>19</v>
      </c>
      <c r="H1234" s="4" t="s">
        <v>28</v>
      </c>
      <c r="I1234" s="4">
        <v>47</v>
      </c>
      <c r="J1234" s="5">
        <v>79.599999999999994</v>
      </c>
      <c r="K1234" s="6">
        <v>1.84</v>
      </c>
      <c r="L1234" s="4">
        <v>7</v>
      </c>
      <c r="M1234" s="4">
        <v>122</v>
      </c>
      <c r="N1234" s="4">
        <v>94</v>
      </c>
      <c r="O1234" s="4" t="s">
        <v>26</v>
      </c>
      <c r="P1234" s="7" t="s">
        <v>19</v>
      </c>
    </row>
    <row r="1235" spans="2:16" x14ac:dyDescent="0.45">
      <c r="B1235" s="4">
        <v>1234</v>
      </c>
      <c r="C1235" s="4" t="s">
        <v>43</v>
      </c>
      <c r="D1235" s="4" t="s">
        <v>16</v>
      </c>
      <c r="E1235" s="4" t="s">
        <v>35</v>
      </c>
      <c r="F1235" s="4" t="s">
        <v>18</v>
      </c>
      <c r="G1235" s="4" t="s">
        <v>19</v>
      </c>
      <c r="H1235" s="4" t="s">
        <v>28</v>
      </c>
      <c r="I1235" s="4">
        <v>19</v>
      </c>
      <c r="J1235" s="5">
        <v>52.2</v>
      </c>
      <c r="K1235" s="6">
        <v>1.82</v>
      </c>
      <c r="L1235" s="4">
        <v>1</v>
      </c>
      <c r="M1235" s="4">
        <v>117</v>
      </c>
      <c r="N1235" s="4">
        <v>83</v>
      </c>
      <c r="O1235" s="4" t="s">
        <v>26</v>
      </c>
      <c r="P1235" s="7" t="s">
        <v>19</v>
      </c>
    </row>
    <row r="1236" spans="2:16" x14ac:dyDescent="0.45">
      <c r="B1236" s="4">
        <v>1235</v>
      </c>
      <c r="C1236" s="4" t="s">
        <v>27</v>
      </c>
      <c r="D1236" s="4" t="s">
        <v>16</v>
      </c>
      <c r="E1236" s="4" t="s">
        <v>35</v>
      </c>
      <c r="F1236" s="4" t="s">
        <v>28</v>
      </c>
      <c r="G1236" s="4" t="s">
        <v>19</v>
      </c>
      <c r="H1236" s="4" t="s">
        <v>28</v>
      </c>
      <c r="I1236" s="4">
        <v>44</v>
      </c>
      <c r="J1236" s="5">
        <v>76.900000000000006</v>
      </c>
      <c r="K1236" s="6">
        <v>1.65</v>
      </c>
      <c r="L1236" s="4">
        <v>2</v>
      </c>
      <c r="M1236" s="4">
        <v>121</v>
      </c>
      <c r="N1236" s="4">
        <v>93</v>
      </c>
      <c r="O1236" s="4" t="s">
        <v>26</v>
      </c>
      <c r="P1236" s="7" t="s">
        <v>19</v>
      </c>
    </row>
    <row r="1237" spans="2:16" x14ac:dyDescent="0.45">
      <c r="B1237" s="4">
        <v>1236</v>
      </c>
      <c r="C1237" s="4" t="s">
        <v>45</v>
      </c>
      <c r="D1237" s="4" t="s">
        <v>23</v>
      </c>
      <c r="E1237" s="4" t="s">
        <v>37</v>
      </c>
      <c r="F1237" s="4" t="s">
        <v>18</v>
      </c>
      <c r="G1237" s="4" t="s">
        <v>19</v>
      </c>
      <c r="H1237" s="4" t="s">
        <v>28</v>
      </c>
      <c r="I1237" s="4">
        <v>5</v>
      </c>
      <c r="J1237" s="5">
        <v>27.6</v>
      </c>
      <c r="K1237" s="6">
        <v>1.26</v>
      </c>
      <c r="L1237" s="4">
        <v>2</v>
      </c>
      <c r="M1237" s="4">
        <v>106</v>
      </c>
      <c r="N1237" s="4">
        <v>90</v>
      </c>
      <c r="O1237" s="4" t="s">
        <v>26</v>
      </c>
      <c r="P1237" s="7" t="s">
        <v>19</v>
      </c>
    </row>
    <row r="1238" spans="2:16" x14ac:dyDescent="0.45">
      <c r="B1238" s="4">
        <v>1237</v>
      </c>
      <c r="C1238" s="4" t="s">
        <v>27</v>
      </c>
      <c r="D1238" s="4" t="s">
        <v>23</v>
      </c>
      <c r="E1238" s="4" t="s">
        <v>17</v>
      </c>
      <c r="F1238" s="4" t="s">
        <v>28</v>
      </c>
      <c r="G1238" s="4" t="s">
        <v>19</v>
      </c>
      <c r="H1238" s="4" t="s">
        <v>25</v>
      </c>
      <c r="I1238" s="4">
        <v>11</v>
      </c>
      <c r="J1238" s="5">
        <v>21.5</v>
      </c>
      <c r="K1238" s="6">
        <v>1.1399999999999999</v>
      </c>
      <c r="L1238" s="4">
        <v>10</v>
      </c>
      <c r="M1238" s="4">
        <v>118</v>
      </c>
      <c r="N1238" s="4">
        <v>105</v>
      </c>
      <c r="O1238" s="4" t="s">
        <v>26</v>
      </c>
      <c r="P1238" s="7" t="s">
        <v>19</v>
      </c>
    </row>
    <row r="1239" spans="2:16" x14ac:dyDescent="0.45">
      <c r="B1239" s="4">
        <v>1238</v>
      </c>
      <c r="C1239" s="4" t="s">
        <v>27</v>
      </c>
      <c r="D1239" s="4" t="s">
        <v>16</v>
      </c>
      <c r="E1239" s="4" t="s">
        <v>35</v>
      </c>
      <c r="F1239" s="4" t="s">
        <v>18</v>
      </c>
      <c r="G1239" s="4" t="s">
        <v>30</v>
      </c>
      <c r="H1239" s="4" t="s">
        <v>46</v>
      </c>
      <c r="I1239" s="4">
        <v>10</v>
      </c>
      <c r="J1239" s="5">
        <v>34.1</v>
      </c>
      <c r="K1239" s="6">
        <v>1.1299999999999999</v>
      </c>
      <c r="L1239" s="4">
        <v>3</v>
      </c>
      <c r="M1239" s="4">
        <v>116</v>
      </c>
      <c r="N1239" s="4">
        <v>103</v>
      </c>
      <c r="O1239" s="4" t="s">
        <v>26</v>
      </c>
      <c r="P1239" s="7" t="s">
        <v>19</v>
      </c>
    </row>
    <row r="1240" spans="2:16" x14ac:dyDescent="0.45">
      <c r="B1240" s="4">
        <v>1239</v>
      </c>
      <c r="C1240" s="4" t="s">
        <v>27</v>
      </c>
      <c r="D1240" s="4" t="s">
        <v>16</v>
      </c>
      <c r="E1240" s="4" t="s">
        <v>35</v>
      </c>
      <c r="F1240" s="4" t="s">
        <v>24</v>
      </c>
      <c r="G1240" s="4" t="s">
        <v>30</v>
      </c>
      <c r="H1240" s="4" t="s">
        <v>28</v>
      </c>
      <c r="I1240" s="4">
        <v>48</v>
      </c>
      <c r="J1240" s="5">
        <v>63.5</v>
      </c>
      <c r="K1240" s="6">
        <v>1.58</v>
      </c>
      <c r="L1240" s="4">
        <v>2</v>
      </c>
      <c r="M1240" s="4">
        <v>118</v>
      </c>
      <c r="N1240" s="4">
        <v>72</v>
      </c>
      <c r="O1240" s="4" t="s">
        <v>26</v>
      </c>
      <c r="P1240" s="7" t="s">
        <v>30</v>
      </c>
    </row>
    <row r="1241" spans="2:16" x14ac:dyDescent="0.45">
      <c r="B1241" s="4">
        <v>1240</v>
      </c>
      <c r="C1241" s="4" t="s">
        <v>27</v>
      </c>
      <c r="D1241" s="4" t="s">
        <v>23</v>
      </c>
      <c r="E1241" s="4" t="s">
        <v>17</v>
      </c>
      <c r="F1241" s="4" t="s">
        <v>24</v>
      </c>
      <c r="G1241" s="4" t="s">
        <v>19</v>
      </c>
      <c r="H1241" s="4" t="s">
        <v>20</v>
      </c>
      <c r="I1241" s="4">
        <v>12</v>
      </c>
      <c r="J1241" s="5">
        <v>51.7</v>
      </c>
      <c r="K1241" s="6">
        <v>1.67</v>
      </c>
      <c r="L1241" s="4">
        <v>8</v>
      </c>
      <c r="M1241" s="4">
        <v>110</v>
      </c>
      <c r="N1241" s="4">
        <v>77</v>
      </c>
      <c r="O1241" s="4" t="s">
        <v>26</v>
      </c>
      <c r="P1241" s="7" t="s">
        <v>19</v>
      </c>
    </row>
    <row r="1242" spans="2:16" x14ac:dyDescent="0.45">
      <c r="B1242" s="4">
        <v>1241</v>
      </c>
      <c r="C1242" s="4" t="s">
        <v>22</v>
      </c>
      <c r="D1242" s="4" t="s">
        <v>16</v>
      </c>
      <c r="E1242" s="4" t="s">
        <v>17</v>
      </c>
      <c r="F1242" s="4" t="s">
        <v>18</v>
      </c>
      <c r="G1242" s="4" t="s">
        <v>19</v>
      </c>
      <c r="H1242" s="4" t="s">
        <v>28</v>
      </c>
      <c r="I1242" s="4">
        <v>5</v>
      </c>
      <c r="J1242" s="5">
        <v>21.9</v>
      </c>
      <c r="K1242" s="6">
        <v>1.21</v>
      </c>
      <c r="L1242" s="4">
        <v>4</v>
      </c>
      <c r="M1242" s="4">
        <v>104</v>
      </c>
      <c r="N1242" s="4">
        <v>74</v>
      </c>
      <c r="O1242" s="4" t="s">
        <v>26</v>
      </c>
      <c r="P1242" s="7" t="s">
        <v>19</v>
      </c>
    </row>
    <row r="1243" spans="2:16" x14ac:dyDescent="0.45">
      <c r="B1243" s="4">
        <v>1242</v>
      </c>
      <c r="C1243" s="4" t="s">
        <v>39</v>
      </c>
      <c r="D1243" s="4" t="s">
        <v>23</v>
      </c>
      <c r="E1243" s="4" t="s">
        <v>17</v>
      </c>
      <c r="F1243" s="4" t="s">
        <v>24</v>
      </c>
      <c r="G1243" s="4" t="s">
        <v>19</v>
      </c>
      <c r="H1243" s="4" t="s">
        <v>36</v>
      </c>
      <c r="I1243" s="4">
        <v>17</v>
      </c>
      <c r="J1243" s="5">
        <v>62.9</v>
      </c>
      <c r="K1243" s="6">
        <v>1.56</v>
      </c>
      <c r="L1243" s="4">
        <v>6</v>
      </c>
      <c r="M1243" s="4">
        <v>137</v>
      </c>
      <c r="N1243" s="4">
        <v>89</v>
      </c>
      <c r="O1243" s="4" t="s">
        <v>21</v>
      </c>
      <c r="P1243" s="7" t="s">
        <v>19</v>
      </c>
    </row>
    <row r="1244" spans="2:16" x14ac:dyDescent="0.45">
      <c r="B1244" s="4">
        <v>1243</v>
      </c>
      <c r="C1244" s="4" t="s">
        <v>41</v>
      </c>
      <c r="D1244" s="4" t="s">
        <v>23</v>
      </c>
      <c r="E1244" s="4" t="s">
        <v>35</v>
      </c>
      <c r="F1244" s="4" t="s">
        <v>24</v>
      </c>
      <c r="G1244" s="4" t="s">
        <v>19</v>
      </c>
      <c r="H1244" s="4" t="s">
        <v>20</v>
      </c>
      <c r="I1244" s="4">
        <v>19</v>
      </c>
      <c r="J1244" s="5">
        <v>93</v>
      </c>
      <c r="K1244" s="6">
        <v>1.78</v>
      </c>
      <c r="L1244" s="4">
        <v>0</v>
      </c>
      <c r="M1244" s="4">
        <v>99</v>
      </c>
      <c r="N1244" s="4">
        <v>83</v>
      </c>
      <c r="O1244" s="4" t="s">
        <v>21</v>
      </c>
      <c r="P1244" s="7" t="s">
        <v>19</v>
      </c>
    </row>
    <row r="1245" spans="2:16" x14ac:dyDescent="0.45">
      <c r="B1245" s="4">
        <v>1244</v>
      </c>
      <c r="C1245" s="4" t="s">
        <v>45</v>
      </c>
      <c r="D1245" s="4" t="s">
        <v>16</v>
      </c>
      <c r="E1245" s="4" t="s">
        <v>35</v>
      </c>
      <c r="F1245" s="4" t="s">
        <v>28</v>
      </c>
      <c r="G1245" s="4" t="s">
        <v>19</v>
      </c>
      <c r="H1245" s="4" t="s">
        <v>32</v>
      </c>
      <c r="I1245" s="4">
        <v>81</v>
      </c>
      <c r="J1245" s="5">
        <v>49.3</v>
      </c>
      <c r="K1245" s="6">
        <v>1.82</v>
      </c>
      <c r="L1245" s="4">
        <v>1</v>
      </c>
      <c r="M1245" s="4">
        <v>115</v>
      </c>
      <c r="N1245" s="4">
        <v>142</v>
      </c>
      <c r="O1245" s="4" t="s">
        <v>21</v>
      </c>
      <c r="P1245" s="7" t="s">
        <v>19</v>
      </c>
    </row>
    <row r="1246" spans="2:16" x14ac:dyDescent="0.45">
      <c r="B1246" s="4">
        <v>1245</v>
      </c>
      <c r="C1246" s="4" t="s">
        <v>31</v>
      </c>
      <c r="D1246" s="4" t="s">
        <v>16</v>
      </c>
      <c r="E1246" s="4" t="s">
        <v>17</v>
      </c>
      <c r="F1246" s="4" t="s">
        <v>18</v>
      </c>
      <c r="G1246" s="4" t="s">
        <v>19</v>
      </c>
      <c r="H1246" s="4" t="s">
        <v>38</v>
      </c>
      <c r="I1246" s="4">
        <v>1</v>
      </c>
      <c r="J1246" s="5">
        <v>6.8</v>
      </c>
      <c r="K1246" s="6">
        <v>0.96</v>
      </c>
      <c r="L1246" s="4">
        <v>2</v>
      </c>
      <c r="M1246" s="4">
        <v>111</v>
      </c>
      <c r="N1246" s="4">
        <v>103</v>
      </c>
      <c r="O1246" s="4" t="s">
        <v>21</v>
      </c>
      <c r="P1246" s="7" t="s">
        <v>19</v>
      </c>
    </row>
    <row r="1247" spans="2:16" x14ac:dyDescent="0.45">
      <c r="B1247" s="4">
        <v>1246</v>
      </c>
      <c r="C1247" s="4" t="s">
        <v>15</v>
      </c>
      <c r="D1247" s="4" t="s">
        <v>23</v>
      </c>
      <c r="E1247" s="4" t="s">
        <v>17</v>
      </c>
      <c r="F1247" s="4" t="s">
        <v>18</v>
      </c>
      <c r="G1247" s="4" t="s">
        <v>30</v>
      </c>
      <c r="H1247" s="4" t="s">
        <v>38</v>
      </c>
      <c r="I1247" s="4">
        <v>8</v>
      </c>
      <c r="J1247" s="5">
        <v>19.7</v>
      </c>
      <c r="K1247" s="6">
        <v>1.1200000000000001</v>
      </c>
      <c r="L1247" s="4">
        <v>3</v>
      </c>
      <c r="M1247" s="4">
        <v>111</v>
      </c>
      <c r="N1247" s="4">
        <v>82</v>
      </c>
      <c r="O1247" s="4" t="s">
        <v>21</v>
      </c>
      <c r="P1247" s="7" t="s">
        <v>19</v>
      </c>
    </row>
    <row r="1248" spans="2:16" x14ac:dyDescent="0.45">
      <c r="B1248" s="4">
        <v>1247</v>
      </c>
      <c r="C1248" s="4" t="s">
        <v>40</v>
      </c>
      <c r="D1248" s="4" t="s">
        <v>23</v>
      </c>
      <c r="E1248" s="4" t="s">
        <v>17</v>
      </c>
      <c r="F1248" s="4" t="s">
        <v>18</v>
      </c>
      <c r="G1248" s="4" t="s">
        <v>30</v>
      </c>
      <c r="H1248" s="4" t="s">
        <v>20</v>
      </c>
      <c r="I1248" s="4">
        <v>51</v>
      </c>
      <c r="J1248" s="5">
        <v>69.3</v>
      </c>
      <c r="K1248" s="6">
        <v>1.55</v>
      </c>
      <c r="L1248" s="4">
        <v>1</v>
      </c>
      <c r="M1248" s="4">
        <v>120</v>
      </c>
      <c r="N1248" s="4">
        <v>92</v>
      </c>
      <c r="O1248" s="4" t="s">
        <v>26</v>
      </c>
      <c r="P1248" s="7" t="s">
        <v>19</v>
      </c>
    </row>
    <row r="1249" spans="2:16" x14ac:dyDescent="0.45">
      <c r="B1249" s="4">
        <v>1248</v>
      </c>
      <c r="C1249" s="4" t="s">
        <v>41</v>
      </c>
      <c r="D1249" s="4" t="s">
        <v>23</v>
      </c>
      <c r="E1249" s="4" t="s">
        <v>44</v>
      </c>
      <c r="F1249" s="4" t="s">
        <v>24</v>
      </c>
      <c r="G1249" s="4" t="s">
        <v>19</v>
      </c>
      <c r="H1249" s="4" t="s">
        <v>25</v>
      </c>
      <c r="I1249" s="4">
        <v>19</v>
      </c>
      <c r="J1249" s="5">
        <v>91.3</v>
      </c>
      <c r="K1249" s="6">
        <v>1.51</v>
      </c>
      <c r="L1249" s="4">
        <v>1</v>
      </c>
      <c r="M1249" s="4">
        <v>118</v>
      </c>
      <c r="N1249" s="4">
        <v>81</v>
      </c>
      <c r="O1249" s="4" t="s">
        <v>26</v>
      </c>
      <c r="P1249" s="7" t="s">
        <v>19</v>
      </c>
    </row>
    <row r="1250" spans="2:16" x14ac:dyDescent="0.45">
      <c r="B1250" s="4">
        <v>1249</v>
      </c>
      <c r="C1250" s="4" t="s">
        <v>29</v>
      </c>
      <c r="D1250" s="4" t="s">
        <v>16</v>
      </c>
      <c r="E1250" s="4" t="s">
        <v>44</v>
      </c>
      <c r="F1250" s="4" t="s">
        <v>42</v>
      </c>
      <c r="G1250" s="4" t="s">
        <v>30</v>
      </c>
      <c r="H1250" s="4" t="s">
        <v>25</v>
      </c>
      <c r="I1250" s="4">
        <v>5</v>
      </c>
      <c r="J1250" s="5">
        <v>34.6</v>
      </c>
      <c r="K1250" s="6">
        <v>1.23</v>
      </c>
      <c r="L1250" s="4">
        <v>6</v>
      </c>
      <c r="M1250" s="4">
        <v>115</v>
      </c>
      <c r="N1250" s="4">
        <v>76</v>
      </c>
      <c r="O1250" s="4" t="s">
        <v>21</v>
      </c>
      <c r="P1250" s="7" t="s">
        <v>19</v>
      </c>
    </row>
    <row r="1251" spans="2:16" x14ac:dyDescent="0.45">
      <c r="B1251" s="4">
        <v>1250</v>
      </c>
      <c r="C1251" s="4" t="s">
        <v>33</v>
      </c>
      <c r="D1251" s="4" t="s">
        <v>16</v>
      </c>
      <c r="E1251" s="4" t="s">
        <v>44</v>
      </c>
      <c r="F1251" s="4" t="s">
        <v>24</v>
      </c>
      <c r="G1251" s="4" t="s">
        <v>19</v>
      </c>
      <c r="H1251" s="4" t="s">
        <v>36</v>
      </c>
      <c r="I1251" s="4">
        <v>24</v>
      </c>
      <c r="J1251" s="5">
        <v>66.3</v>
      </c>
      <c r="K1251" s="6">
        <v>1.54</v>
      </c>
      <c r="L1251" s="4">
        <v>4</v>
      </c>
      <c r="M1251" s="4">
        <v>127</v>
      </c>
      <c r="N1251" s="4">
        <v>97</v>
      </c>
      <c r="O1251" s="4" t="s">
        <v>21</v>
      </c>
      <c r="P1251" s="7" t="s">
        <v>19</v>
      </c>
    </row>
    <row r="1252" spans="2:16" x14ac:dyDescent="0.45">
      <c r="B1252" s="4">
        <v>1251</v>
      </c>
      <c r="C1252" s="4" t="s">
        <v>27</v>
      </c>
      <c r="D1252" s="4" t="s">
        <v>16</v>
      </c>
      <c r="E1252" s="4" t="s">
        <v>37</v>
      </c>
      <c r="F1252" s="4" t="s">
        <v>24</v>
      </c>
      <c r="G1252" s="4" t="s">
        <v>30</v>
      </c>
      <c r="H1252" s="4" t="s">
        <v>20</v>
      </c>
      <c r="I1252" s="4">
        <v>24</v>
      </c>
      <c r="J1252" s="5">
        <v>58.9</v>
      </c>
      <c r="K1252" s="6">
        <v>1.86</v>
      </c>
      <c r="L1252" s="4">
        <v>6</v>
      </c>
      <c r="M1252" s="4">
        <v>98</v>
      </c>
      <c r="N1252" s="4">
        <v>83</v>
      </c>
      <c r="O1252" s="4" t="s">
        <v>26</v>
      </c>
      <c r="P1252" s="7" t="s">
        <v>19</v>
      </c>
    </row>
    <row r="1253" spans="2:16" x14ac:dyDescent="0.45">
      <c r="B1253" s="4">
        <v>1252</v>
      </c>
      <c r="C1253" s="4" t="s">
        <v>22</v>
      </c>
      <c r="D1253" s="4" t="s">
        <v>16</v>
      </c>
      <c r="E1253" s="4" t="s">
        <v>35</v>
      </c>
      <c r="F1253" s="4" t="s">
        <v>42</v>
      </c>
      <c r="G1253" s="4" t="s">
        <v>30</v>
      </c>
      <c r="H1253" s="4" t="s">
        <v>20</v>
      </c>
      <c r="I1253" s="4">
        <v>42</v>
      </c>
      <c r="J1253" s="5">
        <v>67.2</v>
      </c>
      <c r="K1253" s="6">
        <v>1.75</v>
      </c>
      <c r="L1253" s="4">
        <v>2</v>
      </c>
      <c r="M1253" s="4">
        <v>136</v>
      </c>
      <c r="N1253" s="4">
        <v>79</v>
      </c>
      <c r="O1253" s="4" t="s">
        <v>21</v>
      </c>
      <c r="P1253" s="7" t="s">
        <v>30</v>
      </c>
    </row>
    <row r="1254" spans="2:16" x14ac:dyDescent="0.45">
      <c r="B1254" s="4">
        <v>1253</v>
      </c>
      <c r="C1254" s="4" t="s">
        <v>33</v>
      </c>
      <c r="D1254" s="4" t="s">
        <v>16</v>
      </c>
      <c r="E1254" s="4" t="s">
        <v>35</v>
      </c>
      <c r="F1254" s="4" t="s">
        <v>24</v>
      </c>
      <c r="G1254" s="4" t="s">
        <v>19</v>
      </c>
      <c r="H1254" s="4" t="s">
        <v>28</v>
      </c>
      <c r="I1254" s="4">
        <v>50</v>
      </c>
      <c r="J1254" s="5">
        <v>49.8</v>
      </c>
      <c r="K1254" s="6">
        <v>1.67</v>
      </c>
      <c r="L1254" s="4">
        <v>2</v>
      </c>
      <c r="M1254" s="4">
        <v>110</v>
      </c>
      <c r="N1254" s="4">
        <v>94</v>
      </c>
      <c r="O1254" s="4" t="s">
        <v>26</v>
      </c>
      <c r="P1254" s="7" t="s">
        <v>19</v>
      </c>
    </row>
    <row r="1255" spans="2:16" x14ac:dyDescent="0.45">
      <c r="B1255" s="4">
        <v>1254</v>
      </c>
      <c r="C1255" s="4" t="s">
        <v>31</v>
      </c>
      <c r="D1255" s="4" t="s">
        <v>23</v>
      </c>
      <c r="E1255" s="4" t="s">
        <v>35</v>
      </c>
      <c r="F1255" s="4" t="s">
        <v>18</v>
      </c>
      <c r="G1255" s="4" t="s">
        <v>19</v>
      </c>
      <c r="H1255" s="4" t="s">
        <v>28</v>
      </c>
      <c r="I1255" s="4">
        <v>7</v>
      </c>
      <c r="J1255" s="5">
        <v>31.9</v>
      </c>
      <c r="K1255" s="6">
        <v>1.05</v>
      </c>
      <c r="L1255" s="4">
        <v>4</v>
      </c>
      <c r="M1255" s="4">
        <v>102</v>
      </c>
      <c r="N1255" s="4">
        <v>88</v>
      </c>
      <c r="O1255" s="4" t="s">
        <v>26</v>
      </c>
      <c r="P1255" s="7" t="s">
        <v>19</v>
      </c>
    </row>
    <row r="1256" spans="2:16" x14ac:dyDescent="0.45">
      <c r="B1256" s="4">
        <v>1255</v>
      </c>
      <c r="C1256" s="4" t="s">
        <v>15</v>
      </c>
      <c r="D1256" s="4" t="s">
        <v>16</v>
      </c>
      <c r="E1256" s="4" t="s">
        <v>44</v>
      </c>
      <c r="F1256" s="4" t="s">
        <v>42</v>
      </c>
      <c r="G1256" s="4" t="s">
        <v>19</v>
      </c>
      <c r="H1256" s="4" t="s">
        <v>36</v>
      </c>
      <c r="I1256" s="4">
        <v>64</v>
      </c>
      <c r="J1256" s="5">
        <v>58.3</v>
      </c>
      <c r="K1256" s="6">
        <v>1.73</v>
      </c>
      <c r="L1256" s="4">
        <v>3</v>
      </c>
      <c r="M1256" s="4">
        <v>136</v>
      </c>
      <c r="N1256" s="4">
        <v>91</v>
      </c>
      <c r="O1256" s="4" t="s">
        <v>21</v>
      </c>
      <c r="P1256" s="7" t="s">
        <v>19</v>
      </c>
    </row>
    <row r="1257" spans="2:16" x14ac:dyDescent="0.45">
      <c r="B1257" s="4">
        <v>1256</v>
      </c>
      <c r="C1257" s="4" t="s">
        <v>41</v>
      </c>
      <c r="D1257" s="4" t="s">
        <v>16</v>
      </c>
      <c r="E1257" s="4" t="s">
        <v>17</v>
      </c>
      <c r="F1257" s="4" t="s">
        <v>18</v>
      </c>
      <c r="G1257" s="4" t="s">
        <v>30</v>
      </c>
      <c r="H1257" s="4" t="s">
        <v>46</v>
      </c>
      <c r="I1257" s="4">
        <v>68</v>
      </c>
      <c r="J1257" s="5">
        <v>55.4</v>
      </c>
      <c r="K1257" s="6">
        <v>1.64</v>
      </c>
      <c r="L1257" s="4">
        <v>6</v>
      </c>
      <c r="M1257" s="4">
        <v>132</v>
      </c>
      <c r="N1257" s="4">
        <v>70</v>
      </c>
      <c r="O1257" s="4" t="s">
        <v>26</v>
      </c>
      <c r="P1257" s="7" t="s">
        <v>19</v>
      </c>
    </row>
    <row r="1258" spans="2:16" x14ac:dyDescent="0.45">
      <c r="B1258" s="4">
        <v>1257</v>
      </c>
      <c r="C1258" s="4" t="s">
        <v>41</v>
      </c>
      <c r="D1258" s="4" t="s">
        <v>16</v>
      </c>
      <c r="E1258" s="4" t="s">
        <v>17</v>
      </c>
      <c r="F1258" s="4" t="s">
        <v>24</v>
      </c>
      <c r="G1258" s="4" t="s">
        <v>19</v>
      </c>
      <c r="H1258" s="4" t="s">
        <v>28</v>
      </c>
      <c r="I1258" s="4">
        <v>65</v>
      </c>
      <c r="J1258" s="5">
        <v>50.6</v>
      </c>
      <c r="K1258" s="6">
        <v>1.88</v>
      </c>
      <c r="L1258" s="4">
        <v>4</v>
      </c>
      <c r="M1258" s="4">
        <v>125</v>
      </c>
      <c r="N1258" s="4">
        <v>85</v>
      </c>
      <c r="O1258" s="4" t="s">
        <v>26</v>
      </c>
      <c r="P1258" s="7" t="s">
        <v>19</v>
      </c>
    </row>
    <row r="1259" spans="2:16" x14ac:dyDescent="0.45">
      <c r="B1259" s="4">
        <v>1258</v>
      </c>
      <c r="C1259" s="4" t="s">
        <v>29</v>
      </c>
      <c r="D1259" s="4" t="s">
        <v>16</v>
      </c>
      <c r="E1259" s="4" t="s">
        <v>44</v>
      </c>
      <c r="F1259" s="4" t="s">
        <v>24</v>
      </c>
      <c r="G1259" s="4" t="s">
        <v>19</v>
      </c>
      <c r="H1259" s="4" t="s">
        <v>20</v>
      </c>
      <c r="I1259" s="4">
        <v>11</v>
      </c>
      <c r="J1259" s="5">
        <v>21.9</v>
      </c>
      <c r="K1259" s="6">
        <v>1.06</v>
      </c>
      <c r="L1259" s="4">
        <v>3</v>
      </c>
      <c r="M1259" s="4">
        <v>104</v>
      </c>
      <c r="N1259" s="4">
        <v>100</v>
      </c>
      <c r="O1259" s="4" t="s">
        <v>21</v>
      </c>
      <c r="P1259" s="7" t="s">
        <v>19</v>
      </c>
    </row>
    <row r="1260" spans="2:16" x14ac:dyDescent="0.45">
      <c r="B1260" s="4">
        <v>1259</v>
      </c>
      <c r="C1260" s="4" t="s">
        <v>31</v>
      </c>
      <c r="D1260" s="4" t="s">
        <v>23</v>
      </c>
      <c r="E1260" s="4" t="s">
        <v>17</v>
      </c>
      <c r="F1260" s="4" t="s">
        <v>28</v>
      </c>
      <c r="G1260" s="4" t="s">
        <v>19</v>
      </c>
      <c r="H1260" s="4" t="s">
        <v>34</v>
      </c>
      <c r="I1260" s="4">
        <v>20</v>
      </c>
      <c r="J1260" s="5">
        <v>58.6</v>
      </c>
      <c r="K1260" s="6">
        <v>1.82</v>
      </c>
      <c r="L1260" s="4">
        <v>0</v>
      </c>
      <c r="M1260" s="4">
        <v>104</v>
      </c>
      <c r="N1260" s="4">
        <v>91</v>
      </c>
      <c r="O1260" s="4" t="s">
        <v>21</v>
      </c>
      <c r="P1260" s="7" t="s">
        <v>19</v>
      </c>
    </row>
    <row r="1261" spans="2:16" x14ac:dyDescent="0.45">
      <c r="B1261" s="4">
        <v>1260</v>
      </c>
      <c r="C1261" s="4" t="s">
        <v>27</v>
      </c>
      <c r="D1261" s="4" t="s">
        <v>23</v>
      </c>
      <c r="E1261" s="4" t="s">
        <v>17</v>
      </c>
      <c r="F1261" s="4" t="s">
        <v>24</v>
      </c>
      <c r="G1261" s="4" t="s">
        <v>30</v>
      </c>
      <c r="H1261" s="4" t="s">
        <v>34</v>
      </c>
      <c r="I1261" s="4">
        <v>62</v>
      </c>
      <c r="J1261" s="5">
        <v>46.5</v>
      </c>
      <c r="K1261" s="6">
        <v>1.66</v>
      </c>
      <c r="L1261" s="4">
        <v>4</v>
      </c>
      <c r="M1261" s="4">
        <v>122</v>
      </c>
      <c r="N1261" s="4">
        <v>100</v>
      </c>
      <c r="O1261" s="4" t="s">
        <v>21</v>
      </c>
      <c r="P1261" s="7" t="s">
        <v>30</v>
      </c>
    </row>
    <row r="1262" spans="2:16" x14ac:dyDescent="0.45">
      <c r="B1262" s="4">
        <v>1261</v>
      </c>
      <c r="C1262" s="4" t="s">
        <v>15</v>
      </c>
      <c r="D1262" s="4" t="s">
        <v>16</v>
      </c>
      <c r="E1262" s="4" t="s">
        <v>17</v>
      </c>
      <c r="F1262" s="4" t="s">
        <v>24</v>
      </c>
      <c r="G1262" s="4" t="s">
        <v>19</v>
      </c>
      <c r="H1262" s="4" t="s">
        <v>32</v>
      </c>
      <c r="I1262" s="4">
        <v>56</v>
      </c>
      <c r="J1262" s="5">
        <v>86.8</v>
      </c>
      <c r="K1262" s="6">
        <v>1.58</v>
      </c>
      <c r="L1262" s="4">
        <v>3</v>
      </c>
      <c r="M1262" s="4">
        <v>122</v>
      </c>
      <c r="N1262" s="4">
        <v>154</v>
      </c>
      <c r="O1262" s="4" t="s">
        <v>26</v>
      </c>
      <c r="P1262" s="7" t="s">
        <v>19</v>
      </c>
    </row>
    <row r="1263" spans="2:16" x14ac:dyDescent="0.45">
      <c r="B1263" s="4">
        <v>1262</v>
      </c>
      <c r="C1263" s="4" t="s">
        <v>27</v>
      </c>
      <c r="D1263" s="4" t="s">
        <v>16</v>
      </c>
      <c r="E1263" s="4" t="s">
        <v>35</v>
      </c>
      <c r="F1263" s="4" t="s">
        <v>18</v>
      </c>
      <c r="G1263" s="4" t="s">
        <v>19</v>
      </c>
      <c r="H1263" s="4" t="s">
        <v>20</v>
      </c>
      <c r="I1263" s="4">
        <v>16</v>
      </c>
      <c r="J1263" s="5">
        <v>41.4</v>
      </c>
      <c r="K1263" s="6">
        <v>1.52</v>
      </c>
      <c r="L1263" s="4">
        <v>1</v>
      </c>
      <c r="M1263" s="4">
        <v>103</v>
      </c>
      <c r="N1263" s="4">
        <v>85</v>
      </c>
      <c r="O1263" s="4" t="s">
        <v>26</v>
      </c>
      <c r="P1263" s="7" t="s">
        <v>19</v>
      </c>
    </row>
    <row r="1264" spans="2:16" x14ac:dyDescent="0.45">
      <c r="B1264" s="4">
        <v>1263</v>
      </c>
      <c r="C1264" s="4" t="s">
        <v>39</v>
      </c>
      <c r="D1264" s="4" t="s">
        <v>16</v>
      </c>
      <c r="E1264" s="4" t="s">
        <v>17</v>
      </c>
      <c r="F1264" s="4" t="s">
        <v>24</v>
      </c>
      <c r="G1264" s="4" t="s">
        <v>30</v>
      </c>
      <c r="H1264" s="4" t="s">
        <v>20</v>
      </c>
      <c r="I1264" s="4">
        <v>44</v>
      </c>
      <c r="J1264" s="5">
        <v>76.900000000000006</v>
      </c>
      <c r="K1264" s="6">
        <v>1.73</v>
      </c>
      <c r="L1264" s="4">
        <v>2</v>
      </c>
      <c r="M1264" s="4">
        <v>109</v>
      </c>
      <c r="N1264" s="4">
        <v>90</v>
      </c>
      <c r="O1264" s="4" t="s">
        <v>21</v>
      </c>
      <c r="P1264" s="7" t="s">
        <v>19</v>
      </c>
    </row>
    <row r="1265" spans="2:16" x14ac:dyDescent="0.45">
      <c r="B1265" s="4">
        <v>1264</v>
      </c>
      <c r="C1265" s="4" t="s">
        <v>27</v>
      </c>
      <c r="D1265" s="4" t="s">
        <v>23</v>
      </c>
      <c r="E1265" s="4" t="s">
        <v>35</v>
      </c>
      <c r="F1265" s="4" t="s">
        <v>24</v>
      </c>
      <c r="G1265" s="4" t="s">
        <v>19</v>
      </c>
      <c r="H1265" s="4" t="s">
        <v>20</v>
      </c>
      <c r="I1265" s="4">
        <v>12</v>
      </c>
      <c r="J1265" s="5">
        <v>46.2</v>
      </c>
      <c r="K1265" s="6">
        <v>1.64</v>
      </c>
      <c r="L1265" s="4">
        <v>0</v>
      </c>
      <c r="M1265" s="4">
        <v>97</v>
      </c>
      <c r="N1265" s="4">
        <v>87</v>
      </c>
      <c r="O1265" s="4" t="s">
        <v>21</v>
      </c>
      <c r="P1265" s="7" t="s">
        <v>19</v>
      </c>
    </row>
    <row r="1266" spans="2:16" x14ac:dyDescent="0.45">
      <c r="B1266" s="4">
        <v>1265</v>
      </c>
      <c r="C1266" s="4" t="s">
        <v>27</v>
      </c>
      <c r="D1266" s="4" t="s">
        <v>16</v>
      </c>
      <c r="E1266" s="4" t="s">
        <v>35</v>
      </c>
      <c r="F1266" s="4" t="s">
        <v>18</v>
      </c>
      <c r="G1266" s="4" t="s">
        <v>19</v>
      </c>
      <c r="H1266" s="4" t="s">
        <v>20</v>
      </c>
      <c r="I1266" s="4">
        <v>25</v>
      </c>
      <c r="J1266" s="5">
        <v>51.9</v>
      </c>
      <c r="K1266" s="6">
        <v>1.69</v>
      </c>
      <c r="L1266" s="4">
        <v>0</v>
      </c>
      <c r="M1266" s="4">
        <v>122</v>
      </c>
      <c r="N1266" s="4">
        <v>94</v>
      </c>
      <c r="O1266" s="4" t="s">
        <v>26</v>
      </c>
      <c r="P1266" s="7" t="s">
        <v>19</v>
      </c>
    </row>
    <row r="1267" spans="2:16" x14ac:dyDescent="0.45">
      <c r="B1267" s="4">
        <v>1266</v>
      </c>
      <c r="C1267" s="4" t="s">
        <v>45</v>
      </c>
      <c r="D1267" s="4" t="s">
        <v>16</v>
      </c>
      <c r="E1267" s="4" t="s">
        <v>17</v>
      </c>
      <c r="F1267" s="4" t="s">
        <v>18</v>
      </c>
      <c r="G1267" s="4" t="s">
        <v>19</v>
      </c>
      <c r="H1267" s="4" t="s">
        <v>20</v>
      </c>
      <c r="I1267" s="4">
        <v>31</v>
      </c>
      <c r="J1267" s="5">
        <v>64.599999999999994</v>
      </c>
      <c r="K1267" s="6">
        <v>1.78</v>
      </c>
      <c r="L1267" s="4">
        <v>0</v>
      </c>
      <c r="M1267" s="4">
        <v>124</v>
      </c>
      <c r="N1267" s="4">
        <v>96</v>
      </c>
      <c r="O1267" s="4" t="s">
        <v>26</v>
      </c>
      <c r="P1267" s="7" t="s">
        <v>30</v>
      </c>
    </row>
    <row r="1268" spans="2:16" x14ac:dyDescent="0.45">
      <c r="B1268" s="4">
        <v>1267</v>
      </c>
      <c r="C1268" s="4" t="s">
        <v>40</v>
      </c>
      <c r="D1268" s="4" t="s">
        <v>16</v>
      </c>
      <c r="E1268" s="4" t="s">
        <v>35</v>
      </c>
      <c r="F1268" s="4" t="s">
        <v>18</v>
      </c>
      <c r="G1268" s="4" t="s">
        <v>19</v>
      </c>
      <c r="H1268" s="4" t="s">
        <v>28</v>
      </c>
      <c r="I1268" s="4">
        <v>51</v>
      </c>
      <c r="J1268" s="5">
        <v>61.7</v>
      </c>
      <c r="K1268" s="6">
        <v>1.49</v>
      </c>
      <c r="L1268" s="4">
        <v>1</v>
      </c>
      <c r="M1268" s="4">
        <v>125</v>
      </c>
      <c r="N1268" s="4">
        <v>101</v>
      </c>
      <c r="O1268" s="4" t="s">
        <v>26</v>
      </c>
      <c r="P1268" s="7" t="s">
        <v>19</v>
      </c>
    </row>
    <row r="1269" spans="2:16" x14ac:dyDescent="0.45">
      <c r="B1269" s="4">
        <v>1268</v>
      </c>
      <c r="C1269" s="4" t="s">
        <v>27</v>
      </c>
      <c r="D1269" s="4" t="s">
        <v>16</v>
      </c>
      <c r="E1269" s="4" t="s">
        <v>17</v>
      </c>
      <c r="F1269" s="4" t="s">
        <v>24</v>
      </c>
      <c r="G1269" s="4" t="s">
        <v>19</v>
      </c>
      <c r="H1269" s="4" t="s">
        <v>38</v>
      </c>
      <c r="I1269" s="4">
        <v>7</v>
      </c>
      <c r="J1269" s="5">
        <v>31.7</v>
      </c>
      <c r="K1269" s="6">
        <v>1.06</v>
      </c>
      <c r="L1269" s="4">
        <v>2</v>
      </c>
      <c r="M1269" s="4">
        <v>109</v>
      </c>
      <c r="N1269" s="4">
        <v>82</v>
      </c>
      <c r="O1269" s="4" t="s">
        <v>21</v>
      </c>
      <c r="P1269" s="7" t="s">
        <v>19</v>
      </c>
    </row>
    <row r="1270" spans="2:16" x14ac:dyDescent="0.45">
      <c r="B1270" s="4">
        <v>1269</v>
      </c>
      <c r="C1270" s="4" t="s">
        <v>40</v>
      </c>
      <c r="D1270" s="4" t="s">
        <v>23</v>
      </c>
      <c r="E1270" s="4" t="s">
        <v>17</v>
      </c>
      <c r="F1270" s="4" t="s">
        <v>24</v>
      </c>
      <c r="G1270" s="4" t="s">
        <v>19</v>
      </c>
      <c r="H1270" s="4" t="s">
        <v>20</v>
      </c>
      <c r="I1270" s="4">
        <v>23</v>
      </c>
      <c r="J1270" s="5">
        <v>76.2</v>
      </c>
      <c r="K1270" s="6">
        <v>1.63</v>
      </c>
      <c r="L1270" s="4">
        <v>8</v>
      </c>
      <c r="M1270" s="4">
        <v>109</v>
      </c>
      <c r="N1270" s="4">
        <v>99</v>
      </c>
      <c r="O1270" s="4" t="s">
        <v>26</v>
      </c>
      <c r="P1270" s="7" t="s">
        <v>19</v>
      </c>
    </row>
    <row r="1271" spans="2:16" x14ac:dyDescent="0.45">
      <c r="B1271" s="4">
        <v>1270</v>
      </c>
      <c r="C1271" s="4" t="s">
        <v>45</v>
      </c>
      <c r="D1271" s="4" t="s">
        <v>23</v>
      </c>
      <c r="E1271" s="4" t="s">
        <v>17</v>
      </c>
      <c r="F1271" s="4" t="s">
        <v>28</v>
      </c>
      <c r="G1271" s="4" t="s">
        <v>19</v>
      </c>
      <c r="H1271" s="4" t="s">
        <v>46</v>
      </c>
      <c r="I1271" s="4">
        <v>26</v>
      </c>
      <c r="J1271" s="5">
        <v>95</v>
      </c>
      <c r="K1271" s="6">
        <v>1.5</v>
      </c>
      <c r="L1271" s="4">
        <v>2</v>
      </c>
      <c r="M1271" s="4">
        <v>101</v>
      </c>
      <c r="N1271" s="4">
        <v>82</v>
      </c>
      <c r="O1271" s="4" t="s">
        <v>26</v>
      </c>
      <c r="P1271" s="7" t="s">
        <v>19</v>
      </c>
    </row>
    <row r="1272" spans="2:16" x14ac:dyDescent="0.45">
      <c r="B1272" s="4">
        <v>1271</v>
      </c>
      <c r="C1272" s="4" t="s">
        <v>27</v>
      </c>
      <c r="D1272" s="4" t="s">
        <v>23</v>
      </c>
      <c r="E1272" s="4" t="s">
        <v>17</v>
      </c>
      <c r="F1272" s="4" t="s">
        <v>24</v>
      </c>
      <c r="G1272" s="4" t="s">
        <v>30</v>
      </c>
      <c r="H1272" s="4" t="s">
        <v>36</v>
      </c>
      <c r="I1272" s="4">
        <v>18</v>
      </c>
      <c r="J1272" s="5">
        <v>59.1</v>
      </c>
      <c r="K1272" s="6">
        <v>1.89</v>
      </c>
      <c r="L1272" s="4">
        <v>10</v>
      </c>
      <c r="M1272" s="4">
        <v>129</v>
      </c>
      <c r="N1272" s="4">
        <v>104</v>
      </c>
      <c r="O1272" s="4" t="s">
        <v>21</v>
      </c>
      <c r="P1272" s="7" t="s">
        <v>19</v>
      </c>
    </row>
    <row r="1273" spans="2:16" x14ac:dyDescent="0.45">
      <c r="B1273" s="4">
        <v>1272</v>
      </c>
      <c r="C1273" s="4" t="s">
        <v>43</v>
      </c>
      <c r="D1273" s="4" t="s">
        <v>23</v>
      </c>
      <c r="E1273" s="4" t="s">
        <v>17</v>
      </c>
      <c r="F1273" s="4" t="s">
        <v>24</v>
      </c>
      <c r="G1273" s="4" t="s">
        <v>19</v>
      </c>
      <c r="H1273" s="4" t="s">
        <v>20</v>
      </c>
      <c r="I1273" s="4">
        <v>47</v>
      </c>
      <c r="J1273" s="5">
        <v>90.2</v>
      </c>
      <c r="K1273" s="6">
        <v>1.67</v>
      </c>
      <c r="L1273" s="4">
        <v>2</v>
      </c>
      <c r="M1273" s="4">
        <v>123</v>
      </c>
      <c r="N1273" s="4">
        <v>74</v>
      </c>
      <c r="O1273" s="4" t="s">
        <v>21</v>
      </c>
      <c r="P1273" s="7" t="s">
        <v>19</v>
      </c>
    </row>
    <row r="1274" spans="2:16" x14ac:dyDescent="0.45">
      <c r="B1274" s="4">
        <v>1273</v>
      </c>
      <c r="C1274" s="4" t="s">
        <v>39</v>
      </c>
      <c r="D1274" s="4" t="s">
        <v>16</v>
      </c>
      <c r="E1274" s="4" t="s">
        <v>37</v>
      </c>
      <c r="F1274" s="4" t="s">
        <v>24</v>
      </c>
      <c r="G1274" s="4" t="s">
        <v>30</v>
      </c>
      <c r="H1274" s="4" t="s">
        <v>36</v>
      </c>
      <c r="I1274" s="4">
        <v>26</v>
      </c>
      <c r="J1274" s="5">
        <v>70.5</v>
      </c>
      <c r="K1274" s="6">
        <v>1.7</v>
      </c>
      <c r="L1274" s="4">
        <v>0</v>
      </c>
      <c r="M1274" s="4">
        <v>132</v>
      </c>
      <c r="N1274" s="4">
        <v>78</v>
      </c>
      <c r="O1274" s="4" t="s">
        <v>21</v>
      </c>
      <c r="P1274" s="7" t="s">
        <v>30</v>
      </c>
    </row>
    <row r="1275" spans="2:16" x14ac:dyDescent="0.45">
      <c r="B1275" s="4">
        <v>1274</v>
      </c>
      <c r="C1275" s="4" t="s">
        <v>31</v>
      </c>
      <c r="D1275" s="4" t="s">
        <v>16</v>
      </c>
      <c r="E1275" s="4" t="s">
        <v>35</v>
      </c>
      <c r="F1275" s="4" t="s">
        <v>24</v>
      </c>
      <c r="G1275" s="4" t="s">
        <v>19</v>
      </c>
      <c r="H1275" s="4" t="s">
        <v>36</v>
      </c>
      <c r="I1275" s="4">
        <v>48</v>
      </c>
      <c r="J1275" s="5">
        <v>92.8</v>
      </c>
      <c r="K1275" s="6">
        <v>1.6</v>
      </c>
      <c r="L1275" s="4">
        <v>2</v>
      </c>
      <c r="M1275" s="4">
        <v>152</v>
      </c>
      <c r="N1275" s="4">
        <v>74</v>
      </c>
      <c r="O1275" s="4" t="s">
        <v>26</v>
      </c>
      <c r="P1275" s="7" t="s">
        <v>19</v>
      </c>
    </row>
    <row r="1276" spans="2:16" x14ac:dyDescent="0.45">
      <c r="B1276" s="4">
        <v>1275</v>
      </c>
      <c r="C1276" s="4" t="s">
        <v>40</v>
      </c>
      <c r="D1276" s="4" t="s">
        <v>16</v>
      </c>
      <c r="E1276" s="4" t="s">
        <v>17</v>
      </c>
      <c r="F1276" s="4" t="s">
        <v>18</v>
      </c>
      <c r="G1276" s="4" t="s">
        <v>19</v>
      </c>
      <c r="H1276" s="4" t="s">
        <v>28</v>
      </c>
      <c r="I1276" s="4">
        <v>10</v>
      </c>
      <c r="J1276" s="5">
        <v>25.8</v>
      </c>
      <c r="K1276" s="6">
        <v>1.37</v>
      </c>
      <c r="L1276" s="4">
        <v>3</v>
      </c>
      <c r="M1276" s="4">
        <v>107</v>
      </c>
      <c r="N1276" s="4">
        <v>72</v>
      </c>
      <c r="O1276" s="4" t="s">
        <v>21</v>
      </c>
      <c r="P1276" s="7" t="s">
        <v>19</v>
      </c>
    </row>
    <row r="1277" spans="2:16" x14ac:dyDescent="0.45">
      <c r="B1277" s="4">
        <v>1276</v>
      </c>
      <c r="C1277" s="4" t="s">
        <v>45</v>
      </c>
      <c r="D1277" s="4" t="s">
        <v>16</v>
      </c>
      <c r="E1277" s="4" t="s">
        <v>17</v>
      </c>
      <c r="F1277" s="4" t="s">
        <v>18</v>
      </c>
      <c r="G1277" s="4" t="s">
        <v>19</v>
      </c>
      <c r="H1277" s="4" t="s">
        <v>38</v>
      </c>
      <c r="I1277" s="4">
        <v>21</v>
      </c>
      <c r="J1277" s="5">
        <v>61.4</v>
      </c>
      <c r="K1277" s="6">
        <v>1.74</v>
      </c>
      <c r="L1277" s="4">
        <v>4</v>
      </c>
      <c r="M1277" s="4">
        <v>113</v>
      </c>
      <c r="N1277" s="4">
        <v>93</v>
      </c>
      <c r="O1277" s="4" t="s">
        <v>26</v>
      </c>
      <c r="P1277" s="7" t="s">
        <v>19</v>
      </c>
    </row>
    <row r="1278" spans="2:16" x14ac:dyDescent="0.45">
      <c r="B1278" s="4">
        <v>1277</v>
      </c>
      <c r="C1278" s="4" t="s">
        <v>31</v>
      </c>
      <c r="D1278" s="4" t="s">
        <v>23</v>
      </c>
      <c r="E1278" s="4" t="s">
        <v>17</v>
      </c>
      <c r="F1278" s="4" t="s">
        <v>18</v>
      </c>
      <c r="G1278" s="4" t="s">
        <v>19</v>
      </c>
      <c r="H1278" s="4" t="s">
        <v>32</v>
      </c>
      <c r="I1278" s="4">
        <v>53</v>
      </c>
      <c r="J1278" s="5">
        <v>88.4</v>
      </c>
      <c r="K1278" s="6">
        <v>1.52</v>
      </c>
      <c r="L1278" s="4">
        <v>3</v>
      </c>
      <c r="M1278" s="4">
        <v>118</v>
      </c>
      <c r="N1278" s="4">
        <v>127</v>
      </c>
      <c r="O1278" s="4" t="s">
        <v>26</v>
      </c>
      <c r="P1278" s="7" t="s">
        <v>19</v>
      </c>
    </row>
    <row r="1279" spans="2:16" x14ac:dyDescent="0.45">
      <c r="B1279" s="4">
        <v>1278</v>
      </c>
      <c r="C1279" s="4" t="s">
        <v>40</v>
      </c>
      <c r="D1279" s="4" t="s">
        <v>23</v>
      </c>
      <c r="E1279" s="4" t="s">
        <v>37</v>
      </c>
      <c r="F1279" s="4" t="s">
        <v>24</v>
      </c>
      <c r="G1279" s="4" t="s">
        <v>19</v>
      </c>
      <c r="H1279" s="4" t="s">
        <v>34</v>
      </c>
      <c r="I1279" s="4">
        <v>40</v>
      </c>
      <c r="J1279" s="5">
        <v>66.5</v>
      </c>
      <c r="K1279" s="6">
        <v>1.78</v>
      </c>
      <c r="L1279" s="4">
        <v>2</v>
      </c>
      <c r="M1279" s="4">
        <v>133</v>
      </c>
      <c r="N1279" s="4">
        <v>72</v>
      </c>
      <c r="O1279" s="4" t="s">
        <v>26</v>
      </c>
      <c r="P1279" s="7" t="s">
        <v>30</v>
      </c>
    </row>
    <row r="1280" spans="2:16" x14ac:dyDescent="0.45">
      <c r="B1280" s="4">
        <v>1279</v>
      </c>
      <c r="C1280" s="4" t="s">
        <v>31</v>
      </c>
      <c r="D1280" s="4" t="s">
        <v>23</v>
      </c>
      <c r="E1280" s="4" t="s">
        <v>35</v>
      </c>
      <c r="F1280" s="4" t="s">
        <v>18</v>
      </c>
      <c r="G1280" s="4" t="s">
        <v>19</v>
      </c>
      <c r="H1280" s="4" t="s">
        <v>36</v>
      </c>
      <c r="I1280" s="4">
        <v>37</v>
      </c>
      <c r="J1280" s="5">
        <v>85</v>
      </c>
      <c r="K1280" s="6">
        <v>1.58</v>
      </c>
      <c r="L1280" s="4">
        <v>1</v>
      </c>
      <c r="M1280" s="4">
        <v>124</v>
      </c>
      <c r="N1280" s="4">
        <v>95</v>
      </c>
      <c r="O1280" s="4" t="s">
        <v>21</v>
      </c>
      <c r="P1280" s="7" t="s">
        <v>30</v>
      </c>
    </row>
    <row r="1281" spans="2:16" x14ac:dyDescent="0.45">
      <c r="B1281" s="4">
        <v>1280</v>
      </c>
      <c r="C1281" s="4" t="s">
        <v>22</v>
      </c>
      <c r="D1281" s="4" t="s">
        <v>23</v>
      </c>
      <c r="E1281" s="4" t="s">
        <v>17</v>
      </c>
      <c r="F1281" s="4" t="s">
        <v>24</v>
      </c>
      <c r="G1281" s="4" t="s">
        <v>19</v>
      </c>
      <c r="H1281" s="4" t="s">
        <v>28</v>
      </c>
      <c r="I1281" s="4">
        <v>17</v>
      </c>
      <c r="J1281" s="5">
        <v>42.2</v>
      </c>
      <c r="K1281" s="6">
        <v>1.62</v>
      </c>
      <c r="L1281" s="4">
        <v>3</v>
      </c>
      <c r="M1281" s="4">
        <v>112</v>
      </c>
      <c r="N1281" s="4">
        <v>81</v>
      </c>
      <c r="O1281" s="4" t="s">
        <v>26</v>
      </c>
      <c r="P1281" s="7" t="s">
        <v>19</v>
      </c>
    </row>
    <row r="1282" spans="2:16" x14ac:dyDescent="0.45">
      <c r="B1282" s="4">
        <v>1281</v>
      </c>
      <c r="C1282" s="4" t="s">
        <v>33</v>
      </c>
      <c r="D1282" s="4" t="s">
        <v>23</v>
      </c>
      <c r="E1282" s="4" t="s">
        <v>35</v>
      </c>
      <c r="F1282" s="4" t="s">
        <v>18</v>
      </c>
      <c r="G1282" s="4" t="s">
        <v>19</v>
      </c>
      <c r="H1282" s="4" t="s">
        <v>20</v>
      </c>
      <c r="I1282" s="4">
        <v>8</v>
      </c>
      <c r="J1282" s="5">
        <v>20.5</v>
      </c>
      <c r="K1282" s="6">
        <v>1.1000000000000001</v>
      </c>
      <c r="L1282" s="4">
        <v>1</v>
      </c>
      <c r="M1282" s="4">
        <v>120</v>
      </c>
      <c r="N1282" s="4">
        <v>82</v>
      </c>
      <c r="O1282" s="4" t="s">
        <v>21</v>
      </c>
      <c r="P1282" s="7" t="s">
        <v>30</v>
      </c>
    </row>
    <row r="1283" spans="2:16" x14ac:dyDescent="0.45">
      <c r="B1283" s="4">
        <v>1282</v>
      </c>
      <c r="C1283" s="4" t="s">
        <v>27</v>
      </c>
      <c r="D1283" s="4" t="s">
        <v>23</v>
      </c>
      <c r="E1283" s="4" t="s">
        <v>17</v>
      </c>
      <c r="F1283" s="4" t="s">
        <v>24</v>
      </c>
      <c r="G1283" s="4" t="s">
        <v>19</v>
      </c>
      <c r="H1283" s="4" t="s">
        <v>34</v>
      </c>
      <c r="I1283" s="4">
        <v>46</v>
      </c>
      <c r="J1283" s="5">
        <v>54</v>
      </c>
      <c r="K1283" s="6">
        <v>1.69</v>
      </c>
      <c r="L1283" s="4">
        <v>4</v>
      </c>
      <c r="M1283" s="4">
        <v>119</v>
      </c>
      <c r="N1283" s="4">
        <v>73</v>
      </c>
      <c r="O1283" s="4" t="s">
        <v>26</v>
      </c>
      <c r="P1283" s="7" t="s">
        <v>30</v>
      </c>
    </row>
    <row r="1284" spans="2:16" x14ac:dyDescent="0.45">
      <c r="B1284" s="4">
        <v>1283</v>
      </c>
      <c r="C1284" s="4" t="s">
        <v>22</v>
      </c>
      <c r="D1284" s="4" t="s">
        <v>23</v>
      </c>
      <c r="E1284" s="4" t="s">
        <v>35</v>
      </c>
      <c r="F1284" s="4" t="s">
        <v>28</v>
      </c>
      <c r="G1284" s="4" t="s">
        <v>30</v>
      </c>
      <c r="H1284" s="4" t="s">
        <v>20</v>
      </c>
      <c r="I1284" s="4">
        <v>33</v>
      </c>
      <c r="J1284" s="5">
        <v>68.900000000000006</v>
      </c>
      <c r="K1284" s="6">
        <v>1.57</v>
      </c>
      <c r="L1284" s="4">
        <v>1</v>
      </c>
      <c r="M1284" s="4">
        <v>108</v>
      </c>
      <c r="N1284" s="4">
        <v>105</v>
      </c>
      <c r="O1284" s="4" t="s">
        <v>21</v>
      </c>
      <c r="P1284" s="7" t="s">
        <v>19</v>
      </c>
    </row>
    <row r="1285" spans="2:16" x14ac:dyDescent="0.45">
      <c r="B1285" s="4">
        <v>1284</v>
      </c>
      <c r="C1285" s="4" t="s">
        <v>27</v>
      </c>
      <c r="D1285" s="4" t="s">
        <v>23</v>
      </c>
      <c r="E1285" s="4" t="s">
        <v>17</v>
      </c>
      <c r="F1285" s="4" t="s">
        <v>24</v>
      </c>
      <c r="G1285" s="4" t="s">
        <v>30</v>
      </c>
      <c r="H1285" s="4" t="s">
        <v>20</v>
      </c>
      <c r="I1285" s="4">
        <v>7</v>
      </c>
      <c r="J1285" s="5">
        <v>25.3</v>
      </c>
      <c r="K1285" s="6">
        <v>1.1299999999999999</v>
      </c>
      <c r="L1285" s="4">
        <v>2</v>
      </c>
      <c r="M1285" s="4">
        <v>109</v>
      </c>
      <c r="N1285" s="4">
        <v>92</v>
      </c>
      <c r="O1285" s="4" t="s">
        <v>21</v>
      </c>
      <c r="P1285" s="7" t="s">
        <v>19</v>
      </c>
    </row>
    <row r="1286" spans="2:16" x14ac:dyDescent="0.45">
      <c r="B1286" s="4">
        <v>1285</v>
      </c>
      <c r="C1286" s="4" t="s">
        <v>45</v>
      </c>
      <c r="D1286" s="4" t="s">
        <v>16</v>
      </c>
      <c r="E1286" s="4" t="s">
        <v>35</v>
      </c>
      <c r="F1286" s="4" t="s">
        <v>18</v>
      </c>
      <c r="G1286" s="4" t="s">
        <v>30</v>
      </c>
      <c r="H1286" s="4" t="s">
        <v>34</v>
      </c>
      <c r="I1286" s="4">
        <v>18</v>
      </c>
      <c r="J1286" s="5">
        <v>72</v>
      </c>
      <c r="K1286" s="6">
        <v>1.82</v>
      </c>
      <c r="L1286" s="4">
        <v>1</v>
      </c>
      <c r="M1286" s="4">
        <v>118</v>
      </c>
      <c r="N1286" s="4">
        <v>97</v>
      </c>
      <c r="O1286" s="4" t="s">
        <v>26</v>
      </c>
      <c r="P1286" s="7" t="s">
        <v>19</v>
      </c>
    </row>
    <row r="1287" spans="2:16" x14ac:dyDescent="0.45">
      <c r="B1287" s="4">
        <v>1286</v>
      </c>
      <c r="C1287" s="4" t="s">
        <v>43</v>
      </c>
      <c r="D1287" s="4" t="s">
        <v>16</v>
      </c>
      <c r="E1287" s="4" t="s">
        <v>17</v>
      </c>
      <c r="F1287" s="4" t="s">
        <v>42</v>
      </c>
      <c r="G1287" s="4" t="s">
        <v>30</v>
      </c>
      <c r="H1287" s="4" t="s">
        <v>36</v>
      </c>
      <c r="I1287" s="4">
        <v>22</v>
      </c>
      <c r="J1287" s="5">
        <v>47.4</v>
      </c>
      <c r="K1287" s="6">
        <v>1.66</v>
      </c>
      <c r="L1287" s="4">
        <v>9</v>
      </c>
      <c r="M1287" s="4">
        <v>130</v>
      </c>
      <c r="N1287" s="4">
        <v>95</v>
      </c>
      <c r="O1287" s="4" t="s">
        <v>21</v>
      </c>
      <c r="P1287" s="7" t="s">
        <v>19</v>
      </c>
    </row>
    <row r="1288" spans="2:16" x14ac:dyDescent="0.45">
      <c r="B1288" s="4">
        <v>1287</v>
      </c>
      <c r="C1288" s="4" t="s">
        <v>33</v>
      </c>
      <c r="D1288" s="4" t="s">
        <v>16</v>
      </c>
      <c r="E1288" s="4" t="s">
        <v>17</v>
      </c>
      <c r="F1288" s="4" t="s">
        <v>42</v>
      </c>
      <c r="G1288" s="4" t="s">
        <v>19</v>
      </c>
      <c r="H1288" s="4" t="s">
        <v>25</v>
      </c>
      <c r="I1288" s="4">
        <v>0</v>
      </c>
      <c r="J1288" s="5">
        <v>15</v>
      </c>
      <c r="K1288" s="6">
        <v>0.91</v>
      </c>
      <c r="L1288" s="4">
        <v>3</v>
      </c>
      <c r="M1288" s="4">
        <v>113</v>
      </c>
      <c r="N1288" s="4">
        <v>100</v>
      </c>
      <c r="O1288" s="4" t="s">
        <v>26</v>
      </c>
      <c r="P1288" s="7" t="s">
        <v>19</v>
      </c>
    </row>
    <row r="1289" spans="2:16" x14ac:dyDescent="0.45">
      <c r="B1289" s="4">
        <v>1288</v>
      </c>
      <c r="C1289" s="4" t="s">
        <v>45</v>
      </c>
      <c r="D1289" s="4" t="s">
        <v>23</v>
      </c>
      <c r="E1289" s="4" t="s">
        <v>35</v>
      </c>
      <c r="F1289" s="4" t="s">
        <v>24</v>
      </c>
      <c r="G1289" s="4" t="s">
        <v>19</v>
      </c>
      <c r="H1289" s="4" t="s">
        <v>38</v>
      </c>
      <c r="I1289" s="4">
        <v>1</v>
      </c>
      <c r="J1289" s="5">
        <v>8</v>
      </c>
      <c r="K1289" s="6">
        <v>0.7</v>
      </c>
      <c r="L1289" s="4">
        <v>3</v>
      </c>
      <c r="M1289" s="4">
        <v>117</v>
      </c>
      <c r="N1289" s="4">
        <v>76</v>
      </c>
      <c r="O1289" s="4" t="s">
        <v>26</v>
      </c>
      <c r="P1289" s="7" t="s">
        <v>30</v>
      </c>
    </row>
    <row r="1290" spans="2:16" x14ac:dyDescent="0.45">
      <c r="B1290" s="4">
        <v>1289</v>
      </c>
      <c r="C1290" s="4" t="s">
        <v>43</v>
      </c>
      <c r="D1290" s="4" t="s">
        <v>16</v>
      </c>
      <c r="E1290" s="4" t="s">
        <v>35</v>
      </c>
      <c r="F1290" s="4" t="s">
        <v>24</v>
      </c>
      <c r="G1290" s="4" t="s">
        <v>19</v>
      </c>
      <c r="H1290" s="4" t="s">
        <v>34</v>
      </c>
      <c r="I1290" s="4">
        <v>10</v>
      </c>
      <c r="J1290" s="5">
        <v>18.7</v>
      </c>
      <c r="K1290" s="6">
        <v>1.26</v>
      </c>
      <c r="L1290" s="4">
        <v>4</v>
      </c>
      <c r="M1290" s="4">
        <v>100</v>
      </c>
      <c r="N1290" s="4">
        <v>72</v>
      </c>
      <c r="O1290" s="4" t="s">
        <v>26</v>
      </c>
      <c r="P1290" s="7" t="s">
        <v>19</v>
      </c>
    </row>
    <row r="1291" spans="2:16" x14ac:dyDescent="0.45">
      <c r="B1291" s="4">
        <v>1290</v>
      </c>
      <c r="C1291" s="4" t="s">
        <v>39</v>
      </c>
      <c r="D1291" s="4" t="s">
        <v>23</v>
      </c>
      <c r="E1291" s="4" t="s">
        <v>35</v>
      </c>
      <c r="F1291" s="4" t="s">
        <v>18</v>
      </c>
      <c r="G1291" s="4" t="s">
        <v>19</v>
      </c>
      <c r="H1291" s="4" t="s">
        <v>20</v>
      </c>
      <c r="I1291" s="4">
        <v>2</v>
      </c>
      <c r="J1291" s="5">
        <v>14.8</v>
      </c>
      <c r="K1291" s="6">
        <v>0.93</v>
      </c>
      <c r="L1291" s="4">
        <v>3</v>
      </c>
      <c r="M1291" s="4">
        <v>102</v>
      </c>
      <c r="N1291" s="4">
        <v>87</v>
      </c>
      <c r="O1291" s="4" t="s">
        <v>26</v>
      </c>
      <c r="P1291" s="7" t="s">
        <v>19</v>
      </c>
    </row>
    <row r="1292" spans="2:16" x14ac:dyDescent="0.45">
      <c r="B1292" s="4">
        <v>1291</v>
      </c>
      <c r="C1292" s="4" t="s">
        <v>22</v>
      </c>
      <c r="D1292" s="4" t="s">
        <v>16</v>
      </c>
      <c r="E1292" s="4" t="s">
        <v>44</v>
      </c>
      <c r="F1292" s="4" t="s">
        <v>28</v>
      </c>
      <c r="G1292" s="4" t="s">
        <v>30</v>
      </c>
      <c r="H1292" s="4" t="s">
        <v>46</v>
      </c>
      <c r="I1292" s="4">
        <v>17</v>
      </c>
      <c r="J1292" s="5">
        <v>41.4</v>
      </c>
      <c r="K1292" s="6">
        <v>1.69</v>
      </c>
      <c r="L1292" s="4">
        <v>2</v>
      </c>
      <c r="M1292" s="4">
        <v>117</v>
      </c>
      <c r="N1292" s="4">
        <v>97</v>
      </c>
      <c r="O1292" s="4" t="s">
        <v>26</v>
      </c>
      <c r="P1292" s="7" t="s">
        <v>19</v>
      </c>
    </row>
    <row r="1293" spans="2:16" x14ac:dyDescent="0.45">
      <c r="B1293" s="4">
        <v>1292</v>
      </c>
      <c r="C1293" s="4" t="s">
        <v>15</v>
      </c>
      <c r="D1293" s="4" t="s">
        <v>23</v>
      </c>
      <c r="E1293" s="4" t="s">
        <v>17</v>
      </c>
      <c r="F1293" s="4" t="s">
        <v>18</v>
      </c>
      <c r="G1293" s="4" t="s">
        <v>30</v>
      </c>
      <c r="H1293" s="4" t="s">
        <v>34</v>
      </c>
      <c r="I1293" s="4">
        <v>33</v>
      </c>
      <c r="J1293" s="5">
        <v>57.7</v>
      </c>
      <c r="K1293" s="6">
        <v>1.78</v>
      </c>
      <c r="L1293" s="4">
        <v>3</v>
      </c>
      <c r="M1293" s="4">
        <v>106</v>
      </c>
      <c r="N1293" s="4">
        <v>77</v>
      </c>
      <c r="O1293" s="4" t="s">
        <v>21</v>
      </c>
      <c r="P1293" s="7" t="s">
        <v>19</v>
      </c>
    </row>
    <row r="1294" spans="2:16" x14ac:dyDescent="0.45">
      <c r="B1294" s="4">
        <v>1293</v>
      </c>
      <c r="C1294" s="4" t="s">
        <v>41</v>
      </c>
      <c r="D1294" s="4" t="s">
        <v>23</v>
      </c>
      <c r="E1294" s="4" t="s">
        <v>35</v>
      </c>
      <c r="F1294" s="4" t="s">
        <v>28</v>
      </c>
      <c r="G1294" s="4" t="s">
        <v>30</v>
      </c>
      <c r="H1294" s="4" t="s">
        <v>34</v>
      </c>
      <c r="I1294" s="4">
        <v>19</v>
      </c>
      <c r="J1294" s="5">
        <v>72.5</v>
      </c>
      <c r="K1294" s="6">
        <v>1.72</v>
      </c>
      <c r="L1294" s="4">
        <v>0</v>
      </c>
      <c r="M1294" s="4">
        <v>124</v>
      </c>
      <c r="N1294" s="4">
        <v>81</v>
      </c>
      <c r="O1294" s="4" t="s">
        <v>26</v>
      </c>
      <c r="P1294" s="7" t="s">
        <v>30</v>
      </c>
    </row>
    <row r="1295" spans="2:16" x14ac:dyDescent="0.45">
      <c r="B1295" s="4">
        <v>1294</v>
      </c>
      <c r="C1295" s="4" t="s">
        <v>15</v>
      </c>
      <c r="D1295" s="4" t="s">
        <v>16</v>
      </c>
      <c r="E1295" s="4" t="s">
        <v>44</v>
      </c>
      <c r="F1295" s="4" t="s">
        <v>24</v>
      </c>
      <c r="G1295" s="4" t="s">
        <v>19</v>
      </c>
      <c r="H1295" s="4" t="s">
        <v>32</v>
      </c>
      <c r="I1295" s="4">
        <v>34</v>
      </c>
      <c r="J1295" s="5">
        <v>94.3</v>
      </c>
      <c r="K1295" s="6">
        <v>1.7</v>
      </c>
      <c r="L1295" s="4">
        <v>9</v>
      </c>
      <c r="M1295" s="4">
        <v>104</v>
      </c>
      <c r="N1295" s="4">
        <v>178</v>
      </c>
      <c r="O1295" s="4" t="s">
        <v>21</v>
      </c>
      <c r="P1295" s="7" t="s">
        <v>19</v>
      </c>
    </row>
    <row r="1296" spans="2:16" x14ac:dyDescent="0.45">
      <c r="B1296" s="4">
        <v>1295</v>
      </c>
      <c r="C1296" s="4" t="s">
        <v>27</v>
      </c>
      <c r="D1296" s="4" t="s">
        <v>16</v>
      </c>
      <c r="E1296" s="4" t="s">
        <v>17</v>
      </c>
      <c r="F1296" s="4" t="s">
        <v>24</v>
      </c>
      <c r="G1296" s="4" t="s">
        <v>19</v>
      </c>
      <c r="H1296" s="4" t="s">
        <v>28</v>
      </c>
      <c r="I1296" s="4">
        <v>9</v>
      </c>
      <c r="J1296" s="5">
        <v>28.7</v>
      </c>
      <c r="K1296" s="6">
        <v>1.1399999999999999</v>
      </c>
      <c r="L1296" s="4">
        <v>1</v>
      </c>
      <c r="M1296" s="4">
        <v>111</v>
      </c>
      <c r="N1296" s="4">
        <v>73</v>
      </c>
      <c r="O1296" s="4" t="s">
        <v>26</v>
      </c>
      <c r="P1296" s="7" t="s">
        <v>19</v>
      </c>
    </row>
    <row r="1297" spans="2:16" x14ac:dyDescent="0.45">
      <c r="B1297" s="4">
        <v>1296</v>
      </c>
      <c r="C1297" s="4" t="s">
        <v>31</v>
      </c>
      <c r="D1297" s="4" t="s">
        <v>23</v>
      </c>
      <c r="E1297" s="4" t="s">
        <v>37</v>
      </c>
      <c r="F1297" s="4" t="s">
        <v>18</v>
      </c>
      <c r="G1297" s="4" t="s">
        <v>19</v>
      </c>
      <c r="H1297" s="4" t="s">
        <v>38</v>
      </c>
      <c r="I1297" s="4">
        <v>21</v>
      </c>
      <c r="J1297" s="5">
        <v>67</v>
      </c>
      <c r="K1297" s="6">
        <v>1.54</v>
      </c>
      <c r="L1297" s="4">
        <v>4</v>
      </c>
      <c r="M1297" s="4">
        <v>118</v>
      </c>
      <c r="N1297" s="4">
        <v>74</v>
      </c>
      <c r="O1297" s="4" t="s">
        <v>26</v>
      </c>
      <c r="P1297" s="7" t="s">
        <v>19</v>
      </c>
    </row>
    <row r="1298" spans="2:16" x14ac:dyDescent="0.45">
      <c r="B1298" s="4">
        <v>1297</v>
      </c>
      <c r="C1298" s="4" t="s">
        <v>39</v>
      </c>
      <c r="D1298" s="4" t="s">
        <v>23</v>
      </c>
      <c r="E1298" s="4" t="s">
        <v>35</v>
      </c>
      <c r="F1298" s="4" t="s">
        <v>24</v>
      </c>
      <c r="G1298" s="4" t="s">
        <v>19</v>
      </c>
      <c r="H1298" s="4" t="s">
        <v>20</v>
      </c>
      <c r="I1298" s="4">
        <v>6</v>
      </c>
      <c r="J1298" s="5">
        <v>36.5</v>
      </c>
      <c r="K1298" s="6">
        <v>1.38</v>
      </c>
      <c r="L1298" s="4">
        <v>1</v>
      </c>
      <c r="M1298" s="4">
        <v>99</v>
      </c>
      <c r="N1298" s="4">
        <v>104</v>
      </c>
      <c r="O1298" s="4" t="s">
        <v>21</v>
      </c>
      <c r="P1298" s="7" t="s">
        <v>19</v>
      </c>
    </row>
    <row r="1299" spans="2:16" x14ac:dyDescent="0.45">
      <c r="B1299" s="4">
        <v>1298</v>
      </c>
      <c r="C1299" s="4" t="s">
        <v>27</v>
      </c>
      <c r="D1299" s="4" t="s">
        <v>23</v>
      </c>
      <c r="E1299" s="4" t="s">
        <v>35</v>
      </c>
      <c r="F1299" s="4" t="s">
        <v>24</v>
      </c>
      <c r="G1299" s="4" t="s">
        <v>19</v>
      </c>
      <c r="H1299" s="4" t="s">
        <v>38</v>
      </c>
      <c r="I1299" s="4">
        <v>22</v>
      </c>
      <c r="J1299" s="5">
        <v>57.8</v>
      </c>
      <c r="K1299" s="6">
        <v>1.71</v>
      </c>
      <c r="L1299" s="4">
        <v>1</v>
      </c>
      <c r="M1299" s="4">
        <v>114</v>
      </c>
      <c r="N1299" s="4">
        <v>78</v>
      </c>
      <c r="O1299" s="4" t="s">
        <v>26</v>
      </c>
      <c r="P1299" s="7" t="s">
        <v>30</v>
      </c>
    </row>
    <row r="1300" spans="2:16" x14ac:dyDescent="0.45">
      <c r="B1300" s="4">
        <v>1299</v>
      </c>
      <c r="C1300" s="4" t="s">
        <v>27</v>
      </c>
      <c r="D1300" s="4" t="s">
        <v>16</v>
      </c>
      <c r="E1300" s="4" t="s">
        <v>17</v>
      </c>
      <c r="F1300" s="4" t="s">
        <v>24</v>
      </c>
      <c r="G1300" s="4" t="s">
        <v>30</v>
      </c>
      <c r="H1300" s="4" t="s">
        <v>20</v>
      </c>
      <c r="I1300" s="4">
        <v>8</v>
      </c>
      <c r="J1300" s="5">
        <v>24.9</v>
      </c>
      <c r="K1300" s="6">
        <v>1.44</v>
      </c>
      <c r="L1300" s="4">
        <v>3</v>
      </c>
      <c r="M1300" s="4">
        <v>94</v>
      </c>
      <c r="N1300" s="4">
        <v>100</v>
      </c>
      <c r="O1300" s="4" t="s">
        <v>26</v>
      </c>
      <c r="P1300" s="7" t="s">
        <v>19</v>
      </c>
    </row>
    <row r="1301" spans="2:16" x14ac:dyDescent="0.45">
      <c r="B1301" s="4">
        <v>1300</v>
      </c>
      <c r="C1301" s="4" t="s">
        <v>40</v>
      </c>
      <c r="D1301" s="4" t="s">
        <v>16</v>
      </c>
      <c r="E1301" s="4" t="s">
        <v>44</v>
      </c>
      <c r="F1301" s="4" t="s">
        <v>18</v>
      </c>
      <c r="G1301" s="4" t="s">
        <v>30</v>
      </c>
      <c r="H1301" s="4" t="s">
        <v>20</v>
      </c>
      <c r="I1301" s="4">
        <v>31</v>
      </c>
      <c r="J1301" s="5">
        <v>58.4</v>
      </c>
      <c r="K1301" s="6">
        <v>1.79</v>
      </c>
      <c r="L1301" s="4">
        <v>1</v>
      </c>
      <c r="M1301" s="4">
        <v>111</v>
      </c>
      <c r="N1301" s="4">
        <v>86</v>
      </c>
      <c r="O1301" s="4" t="s">
        <v>26</v>
      </c>
      <c r="P1301" s="7" t="s">
        <v>19</v>
      </c>
    </row>
    <row r="1302" spans="2:16" x14ac:dyDescent="0.45">
      <c r="B1302" s="4">
        <v>1301</v>
      </c>
      <c r="C1302" s="4" t="s">
        <v>45</v>
      </c>
      <c r="D1302" s="4" t="s">
        <v>23</v>
      </c>
      <c r="E1302" s="4" t="s">
        <v>35</v>
      </c>
      <c r="F1302" s="4" t="s">
        <v>24</v>
      </c>
      <c r="G1302" s="4" t="s">
        <v>30</v>
      </c>
      <c r="H1302" s="4" t="s">
        <v>25</v>
      </c>
      <c r="I1302" s="4">
        <v>19</v>
      </c>
      <c r="J1302" s="5">
        <v>48.5</v>
      </c>
      <c r="K1302" s="6">
        <v>1.54</v>
      </c>
      <c r="L1302" s="4">
        <v>1</v>
      </c>
      <c r="M1302" s="4">
        <v>113</v>
      </c>
      <c r="N1302" s="4">
        <v>85</v>
      </c>
      <c r="O1302" s="4" t="s">
        <v>21</v>
      </c>
      <c r="P1302" s="7" t="s">
        <v>19</v>
      </c>
    </row>
    <row r="1303" spans="2:16" x14ac:dyDescent="0.45">
      <c r="B1303" s="4">
        <v>1302</v>
      </c>
      <c r="C1303" s="4" t="s">
        <v>41</v>
      </c>
      <c r="D1303" s="4" t="s">
        <v>23</v>
      </c>
      <c r="E1303" s="4" t="s">
        <v>17</v>
      </c>
      <c r="F1303" s="4" t="s">
        <v>24</v>
      </c>
      <c r="G1303" s="4" t="s">
        <v>19</v>
      </c>
      <c r="H1303" s="4" t="s">
        <v>36</v>
      </c>
      <c r="I1303" s="4">
        <v>46</v>
      </c>
      <c r="J1303" s="5">
        <v>67.400000000000006</v>
      </c>
      <c r="K1303" s="6">
        <v>1.84</v>
      </c>
      <c r="L1303" s="4">
        <v>7</v>
      </c>
      <c r="M1303" s="4">
        <v>126</v>
      </c>
      <c r="N1303" s="4">
        <v>101</v>
      </c>
      <c r="O1303" s="4" t="s">
        <v>26</v>
      </c>
      <c r="P1303" s="7" t="s">
        <v>19</v>
      </c>
    </row>
    <row r="1304" spans="2:16" x14ac:dyDescent="0.45">
      <c r="B1304" s="4">
        <v>1303</v>
      </c>
      <c r="C1304" s="4" t="s">
        <v>29</v>
      </c>
      <c r="D1304" s="4" t="s">
        <v>16</v>
      </c>
      <c r="E1304" s="4" t="s">
        <v>35</v>
      </c>
      <c r="F1304" s="4" t="s">
        <v>42</v>
      </c>
      <c r="G1304" s="4" t="s">
        <v>19</v>
      </c>
      <c r="H1304" s="4" t="s">
        <v>28</v>
      </c>
      <c r="I1304" s="4">
        <v>71</v>
      </c>
      <c r="J1304" s="5">
        <v>58</v>
      </c>
      <c r="K1304" s="6">
        <v>1.65</v>
      </c>
      <c r="L1304" s="4">
        <v>1</v>
      </c>
      <c r="M1304" s="4">
        <v>112</v>
      </c>
      <c r="N1304" s="4">
        <v>105</v>
      </c>
      <c r="O1304" s="4" t="s">
        <v>26</v>
      </c>
      <c r="P1304" s="7" t="s">
        <v>19</v>
      </c>
    </row>
    <row r="1305" spans="2:16" x14ac:dyDescent="0.45">
      <c r="B1305" s="4">
        <v>1304</v>
      </c>
      <c r="C1305" s="4" t="s">
        <v>45</v>
      </c>
      <c r="D1305" s="4" t="s">
        <v>23</v>
      </c>
      <c r="E1305" s="4" t="s">
        <v>35</v>
      </c>
      <c r="F1305" s="4" t="s">
        <v>28</v>
      </c>
      <c r="G1305" s="4" t="s">
        <v>30</v>
      </c>
      <c r="H1305" s="4" t="s">
        <v>20</v>
      </c>
      <c r="I1305" s="4">
        <v>34</v>
      </c>
      <c r="J1305" s="5">
        <v>66.3</v>
      </c>
      <c r="K1305" s="6">
        <v>1.56</v>
      </c>
      <c r="L1305" s="4">
        <v>6</v>
      </c>
      <c r="M1305" s="4">
        <v>108</v>
      </c>
      <c r="N1305" s="4">
        <v>103</v>
      </c>
      <c r="O1305" s="4" t="s">
        <v>21</v>
      </c>
      <c r="P1305" s="7" t="s">
        <v>19</v>
      </c>
    </row>
    <row r="1306" spans="2:16" x14ac:dyDescent="0.45">
      <c r="B1306" s="4">
        <v>1305</v>
      </c>
      <c r="C1306" s="4" t="s">
        <v>43</v>
      </c>
      <c r="D1306" s="4" t="s">
        <v>16</v>
      </c>
      <c r="E1306" s="4" t="s">
        <v>17</v>
      </c>
      <c r="F1306" s="4" t="s">
        <v>18</v>
      </c>
      <c r="G1306" s="4" t="s">
        <v>19</v>
      </c>
      <c r="H1306" s="4" t="s">
        <v>20</v>
      </c>
      <c r="I1306" s="4">
        <v>78</v>
      </c>
      <c r="J1306" s="5">
        <v>82.9</v>
      </c>
      <c r="K1306" s="6">
        <v>1.9</v>
      </c>
      <c r="L1306" s="4">
        <v>1</v>
      </c>
      <c r="M1306" s="4">
        <v>120</v>
      </c>
      <c r="N1306" s="4">
        <v>90</v>
      </c>
      <c r="O1306" s="4" t="s">
        <v>26</v>
      </c>
      <c r="P1306" s="7" t="s">
        <v>19</v>
      </c>
    </row>
    <row r="1307" spans="2:16" x14ac:dyDescent="0.45">
      <c r="B1307" s="4">
        <v>1306</v>
      </c>
      <c r="C1307" s="4" t="s">
        <v>22</v>
      </c>
      <c r="D1307" s="4" t="s">
        <v>16</v>
      </c>
      <c r="E1307" s="4" t="s">
        <v>17</v>
      </c>
      <c r="F1307" s="4" t="s">
        <v>24</v>
      </c>
      <c r="G1307" s="4" t="s">
        <v>19</v>
      </c>
      <c r="H1307" s="4" t="s">
        <v>36</v>
      </c>
      <c r="I1307" s="4">
        <v>45</v>
      </c>
      <c r="J1307" s="5">
        <v>61.5</v>
      </c>
      <c r="K1307" s="6">
        <v>1.82</v>
      </c>
      <c r="L1307" s="4">
        <v>2</v>
      </c>
      <c r="M1307" s="4">
        <v>137</v>
      </c>
      <c r="N1307" s="4">
        <v>92</v>
      </c>
      <c r="O1307" s="4" t="s">
        <v>21</v>
      </c>
      <c r="P1307" s="7" t="s">
        <v>30</v>
      </c>
    </row>
    <row r="1308" spans="2:16" x14ac:dyDescent="0.45">
      <c r="B1308" s="4">
        <v>1307</v>
      </c>
      <c r="C1308" s="4" t="s">
        <v>31</v>
      </c>
      <c r="D1308" s="4" t="s">
        <v>16</v>
      </c>
      <c r="E1308" s="4" t="s">
        <v>35</v>
      </c>
      <c r="F1308" s="4" t="s">
        <v>24</v>
      </c>
      <c r="G1308" s="4" t="s">
        <v>19</v>
      </c>
      <c r="H1308" s="4" t="s">
        <v>28</v>
      </c>
      <c r="I1308" s="4">
        <v>9</v>
      </c>
      <c r="J1308" s="5">
        <v>20.6</v>
      </c>
      <c r="K1308" s="6">
        <v>1.33</v>
      </c>
      <c r="L1308" s="4">
        <v>1</v>
      </c>
      <c r="M1308" s="4">
        <v>117</v>
      </c>
      <c r="N1308" s="4">
        <v>102</v>
      </c>
      <c r="O1308" s="4" t="s">
        <v>26</v>
      </c>
      <c r="P1308" s="7" t="s">
        <v>19</v>
      </c>
    </row>
    <row r="1309" spans="2:16" x14ac:dyDescent="0.45">
      <c r="B1309" s="4">
        <v>1308</v>
      </c>
      <c r="C1309" s="4" t="s">
        <v>27</v>
      </c>
      <c r="D1309" s="4" t="s">
        <v>23</v>
      </c>
      <c r="E1309" s="4" t="s">
        <v>35</v>
      </c>
      <c r="F1309" s="4" t="s">
        <v>24</v>
      </c>
      <c r="G1309" s="4" t="s">
        <v>19</v>
      </c>
      <c r="H1309" s="4" t="s">
        <v>25</v>
      </c>
      <c r="I1309" s="4">
        <v>16</v>
      </c>
      <c r="J1309" s="5">
        <v>61.6</v>
      </c>
      <c r="K1309" s="6">
        <v>1.61</v>
      </c>
      <c r="L1309" s="4">
        <v>3</v>
      </c>
      <c r="M1309" s="4">
        <v>104</v>
      </c>
      <c r="N1309" s="4">
        <v>103</v>
      </c>
      <c r="O1309" s="4" t="s">
        <v>21</v>
      </c>
      <c r="P1309" s="7" t="s">
        <v>19</v>
      </c>
    </row>
    <row r="1310" spans="2:16" x14ac:dyDescent="0.45">
      <c r="B1310" s="4">
        <v>1309</v>
      </c>
      <c r="C1310" s="4" t="s">
        <v>15</v>
      </c>
      <c r="D1310" s="4" t="s">
        <v>16</v>
      </c>
      <c r="E1310" s="4" t="s">
        <v>17</v>
      </c>
      <c r="F1310" s="4" t="s">
        <v>24</v>
      </c>
      <c r="G1310" s="4" t="s">
        <v>19</v>
      </c>
      <c r="H1310" s="4" t="s">
        <v>32</v>
      </c>
      <c r="I1310" s="4">
        <v>16</v>
      </c>
      <c r="J1310" s="5">
        <v>57</v>
      </c>
      <c r="K1310" s="6">
        <v>1.53</v>
      </c>
      <c r="L1310" s="4">
        <v>5</v>
      </c>
      <c r="M1310" s="4">
        <v>118</v>
      </c>
      <c r="N1310" s="4">
        <v>160</v>
      </c>
      <c r="O1310" s="4" t="s">
        <v>21</v>
      </c>
      <c r="P1310" s="7" t="s">
        <v>19</v>
      </c>
    </row>
    <row r="1311" spans="2:16" x14ac:dyDescent="0.45">
      <c r="B1311" s="4">
        <v>1310</v>
      </c>
      <c r="C1311" s="4" t="s">
        <v>39</v>
      </c>
      <c r="D1311" s="4" t="s">
        <v>23</v>
      </c>
      <c r="E1311" s="4" t="s">
        <v>17</v>
      </c>
      <c r="F1311" s="4" t="s">
        <v>24</v>
      </c>
      <c r="G1311" s="4" t="s">
        <v>19</v>
      </c>
      <c r="H1311" s="4" t="s">
        <v>36</v>
      </c>
      <c r="I1311" s="4">
        <v>22</v>
      </c>
      <c r="J1311" s="5">
        <v>48.2</v>
      </c>
      <c r="K1311" s="6">
        <v>1.72</v>
      </c>
      <c r="L1311" s="4">
        <v>5</v>
      </c>
      <c r="M1311" s="4">
        <v>127</v>
      </c>
      <c r="N1311" s="4">
        <v>75</v>
      </c>
      <c r="O1311" s="4" t="s">
        <v>26</v>
      </c>
      <c r="P1311" s="7" t="s">
        <v>30</v>
      </c>
    </row>
    <row r="1312" spans="2:16" x14ac:dyDescent="0.45">
      <c r="B1312" s="4">
        <v>1311</v>
      </c>
      <c r="C1312" s="4" t="s">
        <v>29</v>
      </c>
      <c r="D1312" s="4" t="s">
        <v>16</v>
      </c>
      <c r="E1312" s="4" t="s">
        <v>17</v>
      </c>
      <c r="F1312" s="4" t="s">
        <v>28</v>
      </c>
      <c r="G1312" s="4" t="s">
        <v>30</v>
      </c>
      <c r="H1312" s="4" t="s">
        <v>28</v>
      </c>
      <c r="I1312" s="4">
        <v>56</v>
      </c>
      <c r="J1312" s="5">
        <v>69.8</v>
      </c>
      <c r="K1312" s="6">
        <v>1.88</v>
      </c>
      <c r="L1312" s="4">
        <v>1</v>
      </c>
      <c r="M1312" s="4">
        <v>109</v>
      </c>
      <c r="N1312" s="4">
        <v>96</v>
      </c>
      <c r="O1312" s="4" t="s">
        <v>21</v>
      </c>
      <c r="P1312" s="7" t="s">
        <v>19</v>
      </c>
    </row>
    <row r="1313" spans="2:16" x14ac:dyDescent="0.45">
      <c r="B1313" s="4">
        <v>1312</v>
      </c>
      <c r="C1313" s="4" t="s">
        <v>22</v>
      </c>
      <c r="D1313" s="4" t="s">
        <v>23</v>
      </c>
      <c r="E1313" s="4" t="s">
        <v>17</v>
      </c>
      <c r="F1313" s="4" t="s">
        <v>24</v>
      </c>
      <c r="G1313" s="4" t="s">
        <v>19</v>
      </c>
      <c r="H1313" s="4" t="s">
        <v>28</v>
      </c>
      <c r="I1313" s="4">
        <v>47</v>
      </c>
      <c r="J1313" s="5">
        <v>51.8</v>
      </c>
      <c r="K1313" s="6">
        <v>1.81</v>
      </c>
      <c r="L1313" s="4">
        <v>1</v>
      </c>
      <c r="M1313" s="4">
        <v>125</v>
      </c>
      <c r="N1313" s="4">
        <v>81</v>
      </c>
      <c r="O1313" s="4" t="s">
        <v>21</v>
      </c>
      <c r="P1313" s="7" t="s">
        <v>30</v>
      </c>
    </row>
    <row r="1314" spans="2:16" x14ac:dyDescent="0.45">
      <c r="B1314" s="4">
        <v>1313</v>
      </c>
      <c r="C1314" s="4" t="s">
        <v>41</v>
      </c>
      <c r="D1314" s="4" t="s">
        <v>23</v>
      </c>
      <c r="E1314" s="4" t="s">
        <v>44</v>
      </c>
      <c r="F1314" s="4" t="s">
        <v>18</v>
      </c>
      <c r="G1314" s="4" t="s">
        <v>19</v>
      </c>
      <c r="H1314" s="4" t="s">
        <v>20</v>
      </c>
      <c r="I1314" s="4">
        <v>58</v>
      </c>
      <c r="J1314" s="5">
        <v>62.7</v>
      </c>
      <c r="K1314" s="6">
        <v>1.78</v>
      </c>
      <c r="L1314" s="4">
        <v>1</v>
      </c>
      <c r="M1314" s="4">
        <v>115</v>
      </c>
      <c r="N1314" s="4">
        <v>88</v>
      </c>
      <c r="O1314" s="4" t="s">
        <v>26</v>
      </c>
      <c r="P1314" s="7" t="s">
        <v>19</v>
      </c>
    </row>
    <row r="1315" spans="2:16" x14ac:dyDescent="0.45">
      <c r="B1315" s="4">
        <v>1314</v>
      </c>
      <c r="C1315" s="4" t="s">
        <v>29</v>
      </c>
      <c r="D1315" s="4" t="s">
        <v>16</v>
      </c>
      <c r="E1315" s="4" t="s">
        <v>35</v>
      </c>
      <c r="F1315" s="4" t="s">
        <v>42</v>
      </c>
      <c r="G1315" s="4" t="s">
        <v>19</v>
      </c>
      <c r="H1315" s="4" t="s">
        <v>20</v>
      </c>
      <c r="I1315" s="4">
        <v>19</v>
      </c>
      <c r="J1315" s="5">
        <v>77.099999999999994</v>
      </c>
      <c r="K1315" s="6">
        <v>1.67</v>
      </c>
      <c r="L1315" s="4">
        <v>2</v>
      </c>
      <c r="M1315" s="4">
        <v>115</v>
      </c>
      <c r="N1315" s="4">
        <v>72</v>
      </c>
      <c r="O1315" s="4" t="s">
        <v>21</v>
      </c>
      <c r="P1315" s="7" t="s">
        <v>19</v>
      </c>
    </row>
    <row r="1316" spans="2:16" x14ac:dyDescent="0.45">
      <c r="B1316" s="4">
        <v>1315</v>
      </c>
      <c r="C1316" s="4" t="s">
        <v>29</v>
      </c>
      <c r="D1316" s="4" t="s">
        <v>16</v>
      </c>
      <c r="E1316" s="4" t="s">
        <v>35</v>
      </c>
      <c r="F1316" s="4" t="s">
        <v>18</v>
      </c>
      <c r="G1316" s="4" t="s">
        <v>19</v>
      </c>
      <c r="H1316" s="4" t="s">
        <v>20</v>
      </c>
      <c r="I1316" s="4">
        <v>28</v>
      </c>
      <c r="J1316" s="5">
        <v>63.4</v>
      </c>
      <c r="K1316" s="6">
        <v>1.48</v>
      </c>
      <c r="L1316" s="4">
        <v>4</v>
      </c>
      <c r="M1316" s="4">
        <v>107</v>
      </c>
      <c r="N1316" s="4">
        <v>95</v>
      </c>
      <c r="O1316" s="4" t="s">
        <v>21</v>
      </c>
      <c r="P1316" s="7" t="s">
        <v>19</v>
      </c>
    </row>
    <row r="1317" spans="2:16" x14ac:dyDescent="0.45">
      <c r="B1317" s="4">
        <v>1316</v>
      </c>
      <c r="C1317" s="4" t="s">
        <v>39</v>
      </c>
      <c r="D1317" s="4" t="s">
        <v>23</v>
      </c>
      <c r="E1317" s="4" t="s">
        <v>17</v>
      </c>
      <c r="F1317" s="4" t="s">
        <v>18</v>
      </c>
      <c r="G1317" s="4" t="s">
        <v>30</v>
      </c>
      <c r="H1317" s="4" t="s">
        <v>28</v>
      </c>
      <c r="I1317" s="4">
        <v>45</v>
      </c>
      <c r="J1317" s="5">
        <v>63.7</v>
      </c>
      <c r="K1317" s="6">
        <v>1.61</v>
      </c>
      <c r="L1317" s="4">
        <v>0</v>
      </c>
      <c r="M1317" s="4">
        <v>125</v>
      </c>
      <c r="N1317" s="4">
        <v>97</v>
      </c>
      <c r="O1317" s="4" t="s">
        <v>21</v>
      </c>
      <c r="P1317" s="7" t="s">
        <v>30</v>
      </c>
    </row>
    <row r="1318" spans="2:16" x14ac:dyDescent="0.45">
      <c r="B1318" s="4">
        <v>1317</v>
      </c>
      <c r="C1318" s="4" t="s">
        <v>41</v>
      </c>
      <c r="D1318" s="4" t="s">
        <v>16</v>
      </c>
      <c r="E1318" s="4" t="s">
        <v>35</v>
      </c>
      <c r="F1318" s="4" t="s">
        <v>18</v>
      </c>
      <c r="G1318" s="4" t="s">
        <v>19</v>
      </c>
      <c r="H1318" s="4" t="s">
        <v>25</v>
      </c>
      <c r="I1318" s="4">
        <v>39</v>
      </c>
      <c r="J1318" s="5">
        <v>87.7</v>
      </c>
      <c r="K1318" s="6">
        <v>1.63</v>
      </c>
      <c r="L1318" s="4">
        <v>2</v>
      </c>
      <c r="M1318" s="4">
        <v>110</v>
      </c>
      <c r="N1318" s="4">
        <v>81</v>
      </c>
      <c r="O1318" s="4" t="s">
        <v>26</v>
      </c>
      <c r="P1318" s="7" t="s">
        <v>30</v>
      </c>
    </row>
    <row r="1319" spans="2:16" x14ac:dyDescent="0.45">
      <c r="B1319" s="4">
        <v>1318</v>
      </c>
      <c r="C1319" s="4" t="s">
        <v>33</v>
      </c>
      <c r="D1319" s="4" t="s">
        <v>23</v>
      </c>
      <c r="E1319" s="4" t="s">
        <v>35</v>
      </c>
      <c r="F1319" s="4" t="s">
        <v>24</v>
      </c>
      <c r="G1319" s="4" t="s">
        <v>19</v>
      </c>
      <c r="H1319" s="4" t="s">
        <v>25</v>
      </c>
      <c r="I1319" s="4">
        <v>39</v>
      </c>
      <c r="J1319" s="5">
        <v>57.9</v>
      </c>
      <c r="K1319" s="6">
        <v>1.66</v>
      </c>
      <c r="L1319" s="4">
        <v>2</v>
      </c>
      <c r="M1319" s="4">
        <v>109</v>
      </c>
      <c r="N1319" s="4">
        <v>91</v>
      </c>
      <c r="O1319" s="4" t="s">
        <v>26</v>
      </c>
      <c r="P1319" s="7" t="s">
        <v>19</v>
      </c>
    </row>
    <row r="1320" spans="2:16" x14ac:dyDescent="0.45">
      <c r="B1320" s="4">
        <v>1319</v>
      </c>
      <c r="C1320" s="4" t="s">
        <v>41</v>
      </c>
      <c r="D1320" s="4" t="s">
        <v>23</v>
      </c>
      <c r="E1320" s="4" t="s">
        <v>35</v>
      </c>
      <c r="F1320" s="4" t="s">
        <v>24</v>
      </c>
      <c r="G1320" s="4" t="s">
        <v>30</v>
      </c>
      <c r="H1320" s="4" t="s">
        <v>36</v>
      </c>
      <c r="I1320" s="4">
        <v>14</v>
      </c>
      <c r="J1320" s="5">
        <v>54.2</v>
      </c>
      <c r="K1320" s="6">
        <v>1.66</v>
      </c>
      <c r="L1320" s="4">
        <v>3</v>
      </c>
      <c r="M1320" s="4">
        <v>128</v>
      </c>
      <c r="N1320" s="4">
        <v>83</v>
      </c>
      <c r="O1320" s="4" t="s">
        <v>26</v>
      </c>
      <c r="P1320" s="7" t="s">
        <v>30</v>
      </c>
    </row>
    <row r="1321" spans="2:16" x14ac:dyDescent="0.45">
      <c r="B1321" s="4">
        <v>1320</v>
      </c>
      <c r="C1321" s="4" t="s">
        <v>27</v>
      </c>
      <c r="D1321" s="4" t="s">
        <v>23</v>
      </c>
      <c r="E1321" s="4" t="s">
        <v>17</v>
      </c>
      <c r="F1321" s="4" t="s">
        <v>24</v>
      </c>
      <c r="G1321" s="4" t="s">
        <v>19</v>
      </c>
      <c r="H1321" s="4" t="s">
        <v>32</v>
      </c>
      <c r="I1321" s="4">
        <v>17</v>
      </c>
      <c r="J1321" s="5">
        <v>58.3</v>
      </c>
      <c r="K1321" s="6">
        <v>1.5</v>
      </c>
      <c r="L1321" s="4">
        <v>5</v>
      </c>
      <c r="M1321" s="4">
        <v>111</v>
      </c>
      <c r="N1321" s="4">
        <v>145</v>
      </c>
      <c r="O1321" s="4" t="s">
        <v>26</v>
      </c>
      <c r="P1321" s="7" t="s">
        <v>19</v>
      </c>
    </row>
    <row r="1322" spans="2:16" x14ac:dyDescent="0.45">
      <c r="B1322" s="4">
        <v>1321</v>
      </c>
      <c r="C1322" s="4" t="s">
        <v>22</v>
      </c>
      <c r="D1322" s="4" t="s">
        <v>23</v>
      </c>
      <c r="E1322" s="4" t="s">
        <v>44</v>
      </c>
      <c r="F1322" s="4" t="s">
        <v>18</v>
      </c>
      <c r="G1322" s="4" t="s">
        <v>19</v>
      </c>
      <c r="H1322" s="4" t="s">
        <v>28</v>
      </c>
      <c r="I1322" s="4">
        <v>10</v>
      </c>
      <c r="J1322" s="5">
        <v>21.6</v>
      </c>
      <c r="K1322" s="6">
        <v>1.29</v>
      </c>
      <c r="L1322" s="4">
        <v>1</v>
      </c>
      <c r="M1322" s="4">
        <v>106</v>
      </c>
      <c r="N1322" s="4">
        <v>99</v>
      </c>
      <c r="O1322" s="4" t="s">
        <v>26</v>
      </c>
      <c r="P1322" s="7" t="s">
        <v>19</v>
      </c>
    </row>
    <row r="1323" spans="2:16" x14ac:dyDescent="0.45">
      <c r="B1323" s="4">
        <v>1322</v>
      </c>
      <c r="C1323" s="4" t="s">
        <v>39</v>
      </c>
      <c r="D1323" s="4" t="s">
        <v>23</v>
      </c>
      <c r="E1323" s="4" t="s">
        <v>35</v>
      </c>
      <c r="F1323" s="4" t="s">
        <v>24</v>
      </c>
      <c r="G1323" s="4" t="s">
        <v>19</v>
      </c>
      <c r="H1323" s="4" t="s">
        <v>20</v>
      </c>
      <c r="I1323" s="4">
        <v>22</v>
      </c>
      <c r="J1323" s="5">
        <v>48.4</v>
      </c>
      <c r="K1323" s="6">
        <v>1.62</v>
      </c>
      <c r="L1323" s="4">
        <v>0</v>
      </c>
      <c r="M1323" s="4">
        <v>113</v>
      </c>
      <c r="N1323" s="4">
        <v>80</v>
      </c>
      <c r="O1323" s="4" t="s">
        <v>21</v>
      </c>
      <c r="P1323" s="7" t="s">
        <v>19</v>
      </c>
    </row>
    <row r="1324" spans="2:16" x14ac:dyDescent="0.45">
      <c r="B1324" s="4">
        <v>1323</v>
      </c>
      <c r="C1324" s="4" t="s">
        <v>41</v>
      </c>
      <c r="D1324" s="4" t="s">
        <v>23</v>
      </c>
      <c r="E1324" s="4" t="s">
        <v>35</v>
      </c>
      <c r="F1324" s="4" t="s">
        <v>18</v>
      </c>
      <c r="G1324" s="4" t="s">
        <v>19</v>
      </c>
      <c r="H1324" s="4" t="s">
        <v>46</v>
      </c>
      <c r="I1324" s="4">
        <v>36</v>
      </c>
      <c r="J1324" s="5">
        <v>88.8</v>
      </c>
      <c r="K1324" s="6">
        <v>1.79</v>
      </c>
      <c r="L1324" s="4">
        <v>6</v>
      </c>
      <c r="M1324" s="4">
        <v>102</v>
      </c>
      <c r="N1324" s="4">
        <v>79</v>
      </c>
      <c r="O1324" s="4" t="s">
        <v>26</v>
      </c>
      <c r="P1324" s="7" t="s">
        <v>19</v>
      </c>
    </row>
    <row r="1325" spans="2:16" x14ac:dyDescent="0.45">
      <c r="B1325" s="4">
        <v>1324</v>
      </c>
      <c r="C1325" s="4" t="s">
        <v>27</v>
      </c>
      <c r="D1325" s="4" t="s">
        <v>23</v>
      </c>
      <c r="E1325" s="4" t="s">
        <v>35</v>
      </c>
      <c r="F1325" s="4" t="s">
        <v>24</v>
      </c>
      <c r="G1325" s="4" t="s">
        <v>19</v>
      </c>
      <c r="H1325" s="4" t="s">
        <v>20</v>
      </c>
      <c r="I1325" s="4">
        <v>15</v>
      </c>
      <c r="J1325" s="5">
        <v>57.2</v>
      </c>
      <c r="K1325" s="6">
        <v>1.48</v>
      </c>
      <c r="L1325" s="4">
        <v>5</v>
      </c>
      <c r="M1325" s="4">
        <v>103</v>
      </c>
      <c r="N1325" s="4">
        <v>82</v>
      </c>
      <c r="O1325" s="4" t="s">
        <v>26</v>
      </c>
      <c r="P1325" s="7" t="s">
        <v>19</v>
      </c>
    </row>
    <row r="1326" spans="2:16" x14ac:dyDescent="0.45">
      <c r="B1326" s="4">
        <v>1325</v>
      </c>
      <c r="C1326" s="4" t="s">
        <v>43</v>
      </c>
      <c r="D1326" s="4" t="s">
        <v>23</v>
      </c>
      <c r="E1326" s="4" t="s">
        <v>17</v>
      </c>
      <c r="F1326" s="4" t="s">
        <v>24</v>
      </c>
      <c r="G1326" s="4" t="s">
        <v>30</v>
      </c>
      <c r="H1326" s="4" t="s">
        <v>32</v>
      </c>
      <c r="I1326" s="4">
        <v>83</v>
      </c>
      <c r="J1326" s="5">
        <v>56.7</v>
      </c>
      <c r="K1326" s="6">
        <v>1.62</v>
      </c>
      <c r="L1326" s="4">
        <v>0</v>
      </c>
      <c r="M1326" s="4">
        <v>124</v>
      </c>
      <c r="N1326" s="4">
        <v>168</v>
      </c>
      <c r="O1326" s="4" t="s">
        <v>21</v>
      </c>
      <c r="P1326" s="7" t="s">
        <v>19</v>
      </c>
    </row>
    <row r="1327" spans="2:16" x14ac:dyDescent="0.45">
      <c r="B1327" s="4">
        <v>1326</v>
      </c>
      <c r="C1327" s="4" t="s">
        <v>27</v>
      </c>
      <c r="D1327" s="4" t="s">
        <v>16</v>
      </c>
      <c r="E1327" s="4" t="s">
        <v>35</v>
      </c>
      <c r="F1327" s="4" t="s">
        <v>28</v>
      </c>
      <c r="G1327" s="4" t="s">
        <v>19</v>
      </c>
      <c r="H1327" s="4" t="s">
        <v>28</v>
      </c>
      <c r="I1327" s="4">
        <v>8</v>
      </c>
      <c r="J1327" s="5">
        <v>24.2</v>
      </c>
      <c r="K1327" s="6">
        <v>1.45</v>
      </c>
      <c r="L1327" s="4">
        <v>1</v>
      </c>
      <c r="M1327" s="4">
        <v>113</v>
      </c>
      <c r="N1327" s="4">
        <v>101</v>
      </c>
      <c r="O1327" s="4" t="s">
        <v>21</v>
      </c>
      <c r="P1327" s="7" t="s">
        <v>19</v>
      </c>
    </row>
    <row r="1328" spans="2:16" x14ac:dyDescent="0.45">
      <c r="B1328" s="4">
        <v>1327</v>
      </c>
      <c r="C1328" s="4" t="s">
        <v>45</v>
      </c>
      <c r="D1328" s="4" t="s">
        <v>23</v>
      </c>
      <c r="E1328" s="4" t="s">
        <v>35</v>
      </c>
      <c r="F1328" s="4" t="s">
        <v>28</v>
      </c>
      <c r="G1328" s="4" t="s">
        <v>19</v>
      </c>
      <c r="H1328" s="4" t="s">
        <v>28</v>
      </c>
      <c r="I1328" s="4">
        <v>52</v>
      </c>
      <c r="J1328" s="5">
        <v>63.3</v>
      </c>
      <c r="K1328" s="6">
        <v>1.66</v>
      </c>
      <c r="L1328" s="4">
        <v>0</v>
      </c>
      <c r="M1328" s="4">
        <v>126</v>
      </c>
      <c r="N1328" s="4">
        <v>84</v>
      </c>
      <c r="O1328" s="4" t="s">
        <v>26</v>
      </c>
      <c r="P1328" s="7" t="s">
        <v>19</v>
      </c>
    </row>
    <row r="1329" spans="2:16" x14ac:dyDescent="0.45">
      <c r="B1329" s="4">
        <v>1328</v>
      </c>
      <c r="C1329" s="4" t="s">
        <v>45</v>
      </c>
      <c r="D1329" s="4" t="s">
        <v>23</v>
      </c>
      <c r="E1329" s="4" t="s">
        <v>35</v>
      </c>
      <c r="F1329" s="4" t="s">
        <v>18</v>
      </c>
      <c r="G1329" s="4" t="s">
        <v>19</v>
      </c>
      <c r="H1329" s="4" t="s">
        <v>20</v>
      </c>
      <c r="I1329" s="4">
        <v>40</v>
      </c>
      <c r="J1329" s="5">
        <v>64.900000000000006</v>
      </c>
      <c r="K1329" s="6">
        <v>1.58</v>
      </c>
      <c r="L1329" s="4">
        <v>4</v>
      </c>
      <c r="M1329" s="4">
        <v>127</v>
      </c>
      <c r="N1329" s="4">
        <v>102</v>
      </c>
      <c r="O1329" s="4" t="s">
        <v>21</v>
      </c>
      <c r="P1329" s="7" t="s">
        <v>30</v>
      </c>
    </row>
    <row r="1330" spans="2:16" x14ac:dyDescent="0.45">
      <c r="B1330" s="4">
        <v>1329</v>
      </c>
      <c r="C1330" s="4" t="s">
        <v>29</v>
      </c>
      <c r="D1330" s="4" t="s">
        <v>23</v>
      </c>
      <c r="E1330" s="4" t="s">
        <v>17</v>
      </c>
      <c r="F1330" s="4" t="s">
        <v>24</v>
      </c>
      <c r="G1330" s="4" t="s">
        <v>19</v>
      </c>
      <c r="H1330" s="4" t="s">
        <v>20</v>
      </c>
      <c r="I1330" s="4">
        <v>40</v>
      </c>
      <c r="J1330" s="5">
        <v>45.1</v>
      </c>
      <c r="K1330" s="6">
        <v>1.86</v>
      </c>
      <c r="L1330" s="4">
        <v>3</v>
      </c>
      <c r="M1330" s="4">
        <v>121</v>
      </c>
      <c r="N1330" s="4">
        <v>88</v>
      </c>
      <c r="O1330" s="4" t="s">
        <v>26</v>
      </c>
      <c r="P1330" s="7" t="s">
        <v>19</v>
      </c>
    </row>
    <row r="1331" spans="2:16" x14ac:dyDescent="0.45">
      <c r="B1331" s="4">
        <v>1330</v>
      </c>
      <c r="C1331" s="4" t="s">
        <v>27</v>
      </c>
      <c r="D1331" s="4" t="s">
        <v>23</v>
      </c>
      <c r="E1331" s="4" t="s">
        <v>35</v>
      </c>
      <c r="F1331" s="4" t="s">
        <v>28</v>
      </c>
      <c r="G1331" s="4" t="s">
        <v>19</v>
      </c>
      <c r="H1331" s="4" t="s">
        <v>32</v>
      </c>
      <c r="I1331" s="4">
        <v>51</v>
      </c>
      <c r="J1331" s="5">
        <v>72.599999999999994</v>
      </c>
      <c r="K1331" s="6">
        <v>1.54</v>
      </c>
      <c r="L1331" s="4">
        <v>2</v>
      </c>
      <c r="M1331" s="4">
        <v>126</v>
      </c>
      <c r="N1331" s="4">
        <v>149</v>
      </c>
      <c r="O1331" s="4" t="s">
        <v>21</v>
      </c>
      <c r="P1331" s="7" t="s">
        <v>30</v>
      </c>
    </row>
    <row r="1332" spans="2:16" x14ac:dyDescent="0.45">
      <c r="B1332" s="4">
        <v>1331</v>
      </c>
      <c r="C1332" s="4" t="s">
        <v>43</v>
      </c>
      <c r="D1332" s="4" t="s">
        <v>16</v>
      </c>
      <c r="E1332" s="4" t="s">
        <v>35</v>
      </c>
      <c r="F1332" s="4" t="s">
        <v>42</v>
      </c>
      <c r="G1332" s="4" t="s">
        <v>19</v>
      </c>
      <c r="H1332" s="4" t="s">
        <v>28</v>
      </c>
      <c r="I1332" s="4">
        <v>13</v>
      </c>
      <c r="J1332" s="5">
        <v>42.5</v>
      </c>
      <c r="K1332" s="6">
        <v>1.65</v>
      </c>
      <c r="L1332" s="4">
        <v>2</v>
      </c>
      <c r="M1332" s="4">
        <v>97</v>
      </c>
      <c r="N1332" s="4">
        <v>74</v>
      </c>
      <c r="O1332" s="4" t="s">
        <v>26</v>
      </c>
      <c r="P1332" s="7" t="s">
        <v>19</v>
      </c>
    </row>
    <row r="1333" spans="2:16" x14ac:dyDescent="0.45">
      <c r="B1333" s="4">
        <v>1332</v>
      </c>
      <c r="C1333" s="4" t="s">
        <v>31</v>
      </c>
      <c r="D1333" s="4" t="s">
        <v>16</v>
      </c>
      <c r="E1333" s="4" t="s">
        <v>44</v>
      </c>
      <c r="F1333" s="4" t="s">
        <v>18</v>
      </c>
      <c r="G1333" s="4" t="s">
        <v>19</v>
      </c>
      <c r="H1333" s="4" t="s">
        <v>20</v>
      </c>
      <c r="I1333" s="4">
        <v>15</v>
      </c>
      <c r="J1333" s="5">
        <v>44.7</v>
      </c>
      <c r="K1333" s="6">
        <v>1.66</v>
      </c>
      <c r="L1333" s="4">
        <v>1</v>
      </c>
      <c r="M1333" s="4">
        <v>96</v>
      </c>
      <c r="N1333" s="4">
        <v>101</v>
      </c>
      <c r="O1333" s="4" t="s">
        <v>26</v>
      </c>
      <c r="P1333" s="7" t="s">
        <v>19</v>
      </c>
    </row>
    <row r="1334" spans="2:16" x14ac:dyDescent="0.45">
      <c r="B1334" s="4">
        <v>1333</v>
      </c>
      <c r="C1334" s="4" t="s">
        <v>15</v>
      </c>
      <c r="D1334" s="4" t="s">
        <v>16</v>
      </c>
      <c r="E1334" s="4" t="s">
        <v>17</v>
      </c>
      <c r="F1334" s="4" t="s">
        <v>28</v>
      </c>
      <c r="G1334" s="4" t="s">
        <v>19</v>
      </c>
      <c r="H1334" s="4" t="s">
        <v>20</v>
      </c>
      <c r="I1334" s="4">
        <v>31</v>
      </c>
      <c r="J1334" s="5">
        <v>67.099999999999994</v>
      </c>
      <c r="K1334" s="6">
        <v>1.68</v>
      </c>
      <c r="L1334" s="4">
        <v>4</v>
      </c>
      <c r="M1334" s="4">
        <v>109</v>
      </c>
      <c r="N1334" s="4">
        <v>71</v>
      </c>
      <c r="O1334" s="4" t="s">
        <v>21</v>
      </c>
      <c r="P1334" s="7" t="s">
        <v>19</v>
      </c>
    </row>
    <row r="1335" spans="2:16" x14ac:dyDescent="0.45">
      <c r="B1335" s="4">
        <v>1334</v>
      </c>
      <c r="C1335" s="4" t="s">
        <v>22</v>
      </c>
      <c r="D1335" s="4" t="s">
        <v>23</v>
      </c>
      <c r="E1335" s="4" t="s">
        <v>17</v>
      </c>
      <c r="F1335" s="4" t="s">
        <v>24</v>
      </c>
      <c r="G1335" s="4" t="s">
        <v>19</v>
      </c>
      <c r="H1335" s="4" t="s">
        <v>20</v>
      </c>
      <c r="I1335" s="4">
        <v>13</v>
      </c>
      <c r="J1335" s="5">
        <v>63.1</v>
      </c>
      <c r="K1335" s="6">
        <v>1.67</v>
      </c>
      <c r="L1335" s="4">
        <v>2</v>
      </c>
      <c r="M1335" s="4">
        <v>101</v>
      </c>
      <c r="N1335" s="4">
        <v>75</v>
      </c>
      <c r="O1335" s="4" t="s">
        <v>21</v>
      </c>
      <c r="P1335" s="7" t="s">
        <v>19</v>
      </c>
    </row>
    <row r="1336" spans="2:16" x14ac:dyDescent="0.45">
      <c r="B1336" s="4">
        <v>1335</v>
      </c>
      <c r="C1336" s="4" t="s">
        <v>22</v>
      </c>
      <c r="D1336" s="4" t="s">
        <v>23</v>
      </c>
      <c r="E1336" s="4" t="s">
        <v>35</v>
      </c>
      <c r="F1336" s="4" t="s">
        <v>18</v>
      </c>
      <c r="G1336" s="4" t="s">
        <v>30</v>
      </c>
      <c r="H1336" s="4" t="s">
        <v>20</v>
      </c>
      <c r="I1336" s="4">
        <v>2</v>
      </c>
      <c r="J1336" s="5">
        <v>15.3</v>
      </c>
      <c r="K1336" s="6">
        <v>0.7</v>
      </c>
      <c r="L1336" s="4">
        <v>3</v>
      </c>
      <c r="M1336" s="4">
        <v>115</v>
      </c>
      <c r="N1336" s="4">
        <v>90</v>
      </c>
      <c r="O1336" s="4" t="s">
        <v>21</v>
      </c>
      <c r="P1336" s="7" t="s">
        <v>19</v>
      </c>
    </row>
    <row r="1337" spans="2:16" x14ac:dyDescent="0.45">
      <c r="B1337" s="4">
        <v>1336</v>
      </c>
      <c r="C1337" s="4" t="s">
        <v>15</v>
      </c>
      <c r="D1337" s="4" t="s">
        <v>23</v>
      </c>
      <c r="E1337" s="4" t="s">
        <v>17</v>
      </c>
      <c r="F1337" s="4" t="s">
        <v>24</v>
      </c>
      <c r="G1337" s="4" t="s">
        <v>30</v>
      </c>
      <c r="H1337" s="4" t="s">
        <v>25</v>
      </c>
      <c r="I1337" s="4">
        <v>39</v>
      </c>
      <c r="J1337" s="5">
        <v>81.3</v>
      </c>
      <c r="K1337" s="6">
        <v>1.86</v>
      </c>
      <c r="L1337" s="4">
        <v>6</v>
      </c>
      <c r="M1337" s="4">
        <v>116</v>
      </c>
      <c r="N1337" s="4">
        <v>103</v>
      </c>
      <c r="O1337" s="4" t="s">
        <v>21</v>
      </c>
      <c r="P1337" s="7" t="s">
        <v>30</v>
      </c>
    </row>
    <row r="1338" spans="2:16" x14ac:dyDescent="0.45">
      <c r="B1338" s="4">
        <v>1337</v>
      </c>
      <c r="C1338" s="4" t="s">
        <v>45</v>
      </c>
      <c r="D1338" s="4" t="s">
        <v>16</v>
      </c>
      <c r="E1338" s="4" t="s">
        <v>17</v>
      </c>
      <c r="F1338" s="4" t="s">
        <v>28</v>
      </c>
      <c r="G1338" s="4" t="s">
        <v>19</v>
      </c>
      <c r="H1338" s="4" t="s">
        <v>36</v>
      </c>
      <c r="I1338" s="4">
        <v>63</v>
      </c>
      <c r="J1338" s="5">
        <v>82.6</v>
      </c>
      <c r="K1338" s="6">
        <v>1.5</v>
      </c>
      <c r="L1338" s="4">
        <v>2</v>
      </c>
      <c r="M1338" s="4">
        <v>145</v>
      </c>
      <c r="N1338" s="4">
        <v>102</v>
      </c>
      <c r="O1338" s="4" t="s">
        <v>26</v>
      </c>
      <c r="P1338" s="7" t="s">
        <v>19</v>
      </c>
    </row>
    <row r="1339" spans="2:16" x14ac:dyDescent="0.45">
      <c r="B1339" s="4">
        <v>1338</v>
      </c>
      <c r="C1339" s="4" t="s">
        <v>27</v>
      </c>
      <c r="D1339" s="4" t="s">
        <v>23</v>
      </c>
      <c r="E1339" s="4" t="s">
        <v>35</v>
      </c>
      <c r="F1339" s="4" t="s">
        <v>18</v>
      </c>
      <c r="G1339" s="4" t="s">
        <v>19</v>
      </c>
      <c r="H1339" s="4" t="s">
        <v>32</v>
      </c>
      <c r="I1339" s="4">
        <v>32</v>
      </c>
      <c r="J1339" s="5">
        <v>50.6</v>
      </c>
      <c r="K1339" s="6">
        <v>1.5</v>
      </c>
      <c r="L1339" s="4">
        <v>9</v>
      </c>
      <c r="M1339" s="4">
        <v>126</v>
      </c>
      <c r="N1339" s="4">
        <v>170</v>
      </c>
      <c r="O1339" s="4" t="s">
        <v>26</v>
      </c>
      <c r="P1339" s="7" t="s">
        <v>30</v>
      </c>
    </row>
    <row r="1340" spans="2:16" x14ac:dyDescent="0.45">
      <c r="B1340" s="4">
        <v>1339</v>
      </c>
      <c r="C1340" s="4" t="s">
        <v>27</v>
      </c>
      <c r="D1340" s="4" t="s">
        <v>23</v>
      </c>
      <c r="E1340" s="4" t="s">
        <v>37</v>
      </c>
      <c r="F1340" s="4" t="s">
        <v>28</v>
      </c>
      <c r="G1340" s="4" t="s">
        <v>19</v>
      </c>
      <c r="H1340" s="4" t="s">
        <v>20</v>
      </c>
      <c r="I1340" s="4">
        <v>27</v>
      </c>
      <c r="J1340" s="5">
        <v>64.400000000000006</v>
      </c>
      <c r="K1340" s="6">
        <v>1.67</v>
      </c>
      <c r="L1340" s="4">
        <v>2</v>
      </c>
      <c r="M1340" s="4">
        <v>121</v>
      </c>
      <c r="N1340" s="4">
        <v>85</v>
      </c>
      <c r="O1340" s="4" t="s">
        <v>26</v>
      </c>
      <c r="P1340" s="7" t="s">
        <v>19</v>
      </c>
    </row>
    <row r="1341" spans="2:16" x14ac:dyDescent="0.45">
      <c r="B1341" s="4">
        <v>1340</v>
      </c>
      <c r="C1341" s="4" t="s">
        <v>29</v>
      </c>
      <c r="D1341" s="4" t="s">
        <v>23</v>
      </c>
      <c r="E1341" s="4" t="s">
        <v>44</v>
      </c>
      <c r="F1341" s="4" t="s">
        <v>24</v>
      </c>
      <c r="G1341" s="4" t="s">
        <v>19</v>
      </c>
      <c r="H1341" s="4" t="s">
        <v>25</v>
      </c>
      <c r="I1341" s="4">
        <v>16</v>
      </c>
      <c r="J1341" s="5">
        <v>62.9</v>
      </c>
      <c r="K1341" s="6">
        <v>1.72</v>
      </c>
      <c r="L1341" s="4">
        <v>1</v>
      </c>
      <c r="M1341" s="4">
        <v>97</v>
      </c>
      <c r="N1341" s="4">
        <v>101</v>
      </c>
      <c r="O1341" s="4" t="s">
        <v>26</v>
      </c>
      <c r="P1341" s="7" t="s">
        <v>19</v>
      </c>
    </row>
    <row r="1342" spans="2:16" x14ac:dyDescent="0.45">
      <c r="B1342" s="4">
        <v>1341</v>
      </c>
      <c r="C1342" s="4" t="s">
        <v>39</v>
      </c>
      <c r="D1342" s="4" t="s">
        <v>23</v>
      </c>
      <c r="E1342" s="4" t="s">
        <v>17</v>
      </c>
      <c r="F1342" s="4" t="s">
        <v>24</v>
      </c>
      <c r="G1342" s="4" t="s">
        <v>30</v>
      </c>
      <c r="H1342" s="4" t="s">
        <v>20</v>
      </c>
      <c r="I1342" s="4">
        <v>20</v>
      </c>
      <c r="J1342" s="5">
        <v>88.6</v>
      </c>
      <c r="K1342" s="6">
        <v>1.52</v>
      </c>
      <c r="L1342" s="4">
        <v>1</v>
      </c>
      <c r="M1342" s="4">
        <v>120</v>
      </c>
      <c r="N1342" s="4">
        <v>81</v>
      </c>
      <c r="O1342" s="4" t="s">
        <v>21</v>
      </c>
      <c r="P1342" s="7" t="s">
        <v>30</v>
      </c>
    </row>
    <row r="1343" spans="2:16" x14ac:dyDescent="0.45">
      <c r="B1343" s="4">
        <v>1342</v>
      </c>
      <c r="C1343" s="4" t="s">
        <v>27</v>
      </c>
      <c r="D1343" s="4" t="s">
        <v>23</v>
      </c>
      <c r="E1343" s="4" t="s">
        <v>17</v>
      </c>
      <c r="F1343" s="4" t="s">
        <v>24</v>
      </c>
      <c r="G1343" s="4" t="s">
        <v>19</v>
      </c>
      <c r="H1343" s="4" t="s">
        <v>34</v>
      </c>
      <c r="I1343" s="4">
        <v>5</v>
      </c>
      <c r="J1343" s="5">
        <v>33.200000000000003</v>
      </c>
      <c r="K1343" s="6">
        <v>1.4</v>
      </c>
      <c r="L1343" s="4">
        <v>4</v>
      </c>
      <c r="M1343" s="4">
        <v>111</v>
      </c>
      <c r="N1343" s="4">
        <v>91</v>
      </c>
      <c r="O1343" s="4" t="s">
        <v>21</v>
      </c>
      <c r="P1343" s="7" t="s">
        <v>19</v>
      </c>
    </row>
    <row r="1344" spans="2:16" x14ac:dyDescent="0.45">
      <c r="B1344" s="4">
        <v>1343</v>
      </c>
      <c r="C1344" s="4" t="s">
        <v>45</v>
      </c>
      <c r="D1344" s="4" t="s">
        <v>16</v>
      </c>
      <c r="E1344" s="4" t="s">
        <v>17</v>
      </c>
      <c r="F1344" s="4" t="s">
        <v>24</v>
      </c>
      <c r="G1344" s="4" t="s">
        <v>19</v>
      </c>
      <c r="H1344" s="4" t="s">
        <v>36</v>
      </c>
      <c r="I1344" s="4">
        <v>14</v>
      </c>
      <c r="J1344" s="5">
        <v>38.4</v>
      </c>
      <c r="K1344" s="6">
        <v>1.47</v>
      </c>
      <c r="L1344" s="4">
        <v>6</v>
      </c>
      <c r="M1344" s="4">
        <v>123</v>
      </c>
      <c r="N1344" s="4">
        <v>92</v>
      </c>
      <c r="O1344" s="4" t="s">
        <v>26</v>
      </c>
      <c r="P1344" s="7" t="s">
        <v>19</v>
      </c>
    </row>
    <row r="1345" spans="2:16" x14ac:dyDescent="0.45">
      <c r="B1345" s="4">
        <v>1344</v>
      </c>
      <c r="C1345" s="4" t="s">
        <v>33</v>
      </c>
      <c r="D1345" s="4" t="s">
        <v>16</v>
      </c>
      <c r="E1345" s="4" t="s">
        <v>17</v>
      </c>
      <c r="F1345" s="4" t="s">
        <v>28</v>
      </c>
      <c r="G1345" s="4" t="s">
        <v>19</v>
      </c>
      <c r="H1345" s="4" t="s">
        <v>46</v>
      </c>
      <c r="I1345" s="4">
        <v>54</v>
      </c>
      <c r="J1345" s="5">
        <v>76.400000000000006</v>
      </c>
      <c r="K1345" s="6">
        <v>1.76</v>
      </c>
      <c r="L1345" s="4">
        <v>4</v>
      </c>
      <c r="M1345" s="4">
        <v>113</v>
      </c>
      <c r="N1345" s="4">
        <v>80</v>
      </c>
      <c r="O1345" s="4" t="s">
        <v>26</v>
      </c>
      <c r="P1345" s="7" t="s">
        <v>30</v>
      </c>
    </row>
    <row r="1346" spans="2:16" x14ac:dyDescent="0.45">
      <c r="B1346" s="4">
        <v>1345</v>
      </c>
      <c r="C1346" s="4" t="s">
        <v>33</v>
      </c>
      <c r="D1346" s="4" t="s">
        <v>23</v>
      </c>
      <c r="E1346" s="4" t="s">
        <v>35</v>
      </c>
      <c r="F1346" s="4" t="s">
        <v>28</v>
      </c>
      <c r="G1346" s="4" t="s">
        <v>19</v>
      </c>
      <c r="H1346" s="4" t="s">
        <v>20</v>
      </c>
      <c r="I1346" s="4">
        <v>42</v>
      </c>
      <c r="J1346" s="5">
        <v>47.1</v>
      </c>
      <c r="K1346" s="6">
        <v>1.87</v>
      </c>
      <c r="L1346" s="4">
        <v>0</v>
      </c>
      <c r="M1346" s="4">
        <v>116</v>
      </c>
      <c r="N1346" s="4">
        <v>87</v>
      </c>
      <c r="O1346" s="4" t="s">
        <v>26</v>
      </c>
      <c r="P1346" s="7" t="s">
        <v>30</v>
      </c>
    </row>
    <row r="1347" spans="2:16" x14ac:dyDescent="0.45">
      <c r="B1347" s="4">
        <v>1346</v>
      </c>
      <c r="C1347" s="4" t="s">
        <v>29</v>
      </c>
      <c r="D1347" s="4" t="s">
        <v>16</v>
      </c>
      <c r="E1347" s="4" t="s">
        <v>35</v>
      </c>
      <c r="F1347" s="4" t="s">
        <v>18</v>
      </c>
      <c r="G1347" s="4" t="s">
        <v>19</v>
      </c>
      <c r="H1347" s="4" t="s">
        <v>28</v>
      </c>
      <c r="I1347" s="4">
        <v>36</v>
      </c>
      <c r="J1347" s="5">
        <v>68.2</v>
      </c>
      <c r="K1347" s="6">
        <v>1.8</v>
      </c>
      <c r="L1347" s="4">
        <v>3</v>
      </c>
      <c r="M1347" s="4">
        <v>113</v>
      </c>
      <c r="N1347" s="4">
        <v>85</v>
      </c>
      <c r="O1347" s="4" t="s">
        <v>26</v>
      </c>
      <c r="P1347" s="7" t="s">
        <v>19</v>
      </c>
    </row>
    <row r="1348" spans="2:16" x14ac:dyDescent="0.45">
      <c r="B1348" s="4">
        <v>1347</v>
      </c>
      <c r="C1348" s="4" t="s">
        <v>29</v>
      </c>
      <c r="D1348" s="4" t="s">
        <v>23</v>
      </c>
      <c r="E1348" s="4" t="s">
        <v>37</v>
      </c>
      <c r="F1348" s="4" t="s">
        <v>24</v>
      </c>
      <c r="G1348" s="4" t="s">
        <v>19</v>
      </c>
      <c r="H1348" s="4" t="s">
        <v>32</v>
      </c>
      <c r="I1348" s="4">
        <v>0</v>
      </c>
      <c r="J1348" s="5">
        <v>10.8</v>
      </c>
      <c r="K1348" s="6">
        <v>0.87</v>
      </c>
      <c r="L1348" s="4">
        <v>2</v>
      </c>
      <c r="M1348" s="4">
        <v>111</v>
      </c>
      <c r="N1348" s="4">
        <v>173</v>
      </c>
      <c r="O1348" s="4" t="s">
        <v>21</v>
      </c>
      <c r="P1348" s="7" t="s">
        <v>19</v>
      </c>
    </row>
    <row r="1349" spans="2:16" x14ac:dyDescent="0.45">
      <c r="B1349" s="4">
        <v>1348</v>
      </c>
      <c r="C1349" s="4" t="s">
        <v>39</v>
      </c>
      <c r="D1349" s="4" t="s">
        <v>16</v>
      </c>
      <c r="E1349" s="4" t="s">
        <v>17</v>
      </c>
      <c r="F1349" s="4" t="s">
        <v>24</v>
      </c>
      <c r="G1349" s="4" t="s">
        <v>30</v>
      </c>
      <c r="H1349" s="4" t="s">
        <v>28</v>
      </c>
      <c r="I1349" s="4">
        <v>34</v>
      </c>
      <c r="J1349" s="5">
        <v>52.1</v>
      </c>
      <c r="K1349" s="6">
        <v>1.8</v>
      </c>
      <c r="L1349" s="4">
        <v>0</v>
      </c>
      <c r="M1349" s="4">
        <v>103</v>
      </c>
      <c r="N1349" s="4">
        <v>76</v>
      </c>
      <c r="O1349" s="4" t="s">
        <v>21</v>
      </c>
      <c r="P1349" s="7" t="s">
        <v>19</v>
      </c>
    </row>
    <row r="1350" spans="2:16" x14ac:dyDescent="0.45">
      <c r="B1350" s="4">
        <v>1349</v>
      </c>
      <c r="C1350" s="4" t="s">
        <v>41</v>
      </c>
      <c r="D1350" s="4" t="s">
        <v>16</v>
      </c>
      <c r="E1350" s="4" t="s">
        <v>17</v>
      </c>
      <c r="F1350" s="4" t="s">
        <v>28</v>
      </c>
      <c r="G1350" s="4" t="s">
        <v>19</v>
      </c>
      <c r="H1350" s="4" t="s">
        <v>20</v>
      </c>
      <c r="I1350" s="4">
        <v>22</v>
      </c>
      <c r="J1350" s="5">
        <v>62.1</v>
      </c>
      <c r="K1350" s="6">
        <v>1.59</v>
      </c>
      <c r="L1350" s="4">
        <v>3</v>
      </c>
      <c r="M1350" s="4">
        <v>114</v>
      </c>
      <c r="N1350" s="4">
        <v>93</v>
      </c>
      <c r="O1350" s="4" t="s">
        <v>21</v>
      </c>
      <c r="P1350" s="7" t="s">
        <v>30</v>
      </c>
    </row>
    <row r="1351" spans="2:16" x14ac:dyDescent="0.45">
      <c r="B1351" s="4">
        <v>1350</v>
      </c>
      <c r="C1351" s="4" t="s">
        <v>41</v>
      </c>
      <c r="D1351" s="4" t="s">
        <v>16</v>
      </c>
      <c r="E1351" s="4" t="s">
        <v>17</v>
      </c>
      <c r="F1351" s="4" t="s">
        <v>18</v>
      </c>
      <c r="G1351" s="4" t="s">
        <v>19</v>
      </c>
      <c r="H1351" s="4" t="s">
        <v>28</v>
      </c>
      <c r="I1351" s="4">
        <v>32</v>
      </c>
      <c r="J1351" s="5">
        <v>94.4</v>
      </c>
      <c r="K1351" s="6">
        <v>1.59</v>
      </c>
      <c r="L1351" s="4">
        <v>4</v>
      </c>
      <c r="M1351" s="4">
        <v>111</v>
      </c>
      <c r="N1351" s="4">
        <v>81</v>
      </c>
      <c r="O1351" s="4" t="s">
        <v>26</v>
      </c>
      <c r="P1351" s="7" t="s">
        <v>19</v>
      </c>
    </row>
    <row r="1352" spans="2:16" x14ac:dyDescent="0.45">
      <c r="B1352" s="4">
        <v>1351</v>
      </c>
      <c r="C1352" s="4" t="s">
        <v>27</v>
      </c>
      <c r="D1352" s="4" t="s">
        <v>16</v>
      </c>
      <c r="E1352" s="4" t="s">
        <v>17</v>
      </c>
      <c r="F1352" s="4" t="s">
        <v>24</v>
      </c>
      <c r="G1352" s="4" t="s">
        <v>30</v>
      </c>
      <c r="H1352" s="4" t="s">
        <v>20</v>
      </c>
      <c r="I1352" s="4">
        <v>21</v>
      </c>
      <c r="J1352" s="5">
        <v>94</v>
      </c>
      <c r="K1352" s="6">
        <v>1.63</v>
      </c>
      <c r="L1352" s="4">
        <v>4</v>
      </c>
      <c r="M1352" s="4">
        <v>111</v>
      </c>
      <c r="N1352" s="4">
        <v>90</v>
      </c>
      <c r="O1352" s="4" t="s">
        <v>21</v>
      </c>
      <c r="P1352" s="7" t="s">
        <v>19</v>
      </c>
    </row>
    <row r="1353" spans="2:16" x14ac:dyDescent="0.45">
      <c r="B1353" s="4">
        <v>1352</v>
      </c>
      <c r="C1353" s="4" t="s">
        <v>41</v>
      </c>
      <c r="D1353" s="4" t="s">
        <v>23</v>
      </c>
      <c r="E1353" s="4" t="s">
        <v>37</v>
      </c>
      <c r="F1353" s="4" t="s">
        <v>24</v>
      </c>
      <c r="G1353" s="4" t="s">
        <v>19</v>
      </c>
      <c r="H1353" s="4" t="s">
        <v>20</v>
      </c>
      <c r="I1353" s="4">
        <v>63</v>
      </c>
      <c r="J1353" s="5">
        <v>65</v>
      </c>
      <c r="K1353" s="6">
        <v>1.73</v>
      </c>
      <c r="L1353" s="4">
        <v>3</v>
      </c>
      <c r="M1353" s="4">
        <v>137</v>
      </c>
      <c r="N1353" s="4">
        <v>91</v>
      </c>
      <c r="O1353" s="4" t="s">
        <v>21</v>
      </c>
      <c r="P1353" s="7" t="s">
        <v>30</v>
      </c>
    </row>
    <row r="1354" spans="2:16" x14ac:dyDescent="0.45">
      <c r="B1354" s="4">
        <v>1353</v>
      </c>
      <c r="C1354" s="4" t="s">
        <v>40</v>
      </c>
      <c r="D1354" s="4" t="s">
        <v>23</v>
      </c>
      <c r="E1354" s="4" t="s">
        <v>17</v>
      </c>
      <c r="F1354" s="4" t="s">
        <v>18</v>
      </c>
      <c r="G1354" s="4" t="s">
        <v>19</v>
      </c>
      <c r="H1354" s="4" t="s">
        <v>20</v>
      </c>
      <c r="I1354" s="4">
        <v>1</v>
      </c>
      <c r="J1354" s="5">
        <v>7.1</v>
      </c>
      <c r="K1354" s="6">
        <v>0.67</v>
      </c>
      <c r="L1354" s="4">
        <v>6</v>
      </c>
      <c r="M1354" s="4">
        <v>98</v>
      </c>
      <c r="N1354" s="4">
        <v>86</v>
      </c>
      <c r="O1354" s="4" t="s">
        <v>26</v>
      </c>
      <c r="P1354" s="7" t="s">
        <v>19</v>
      </c>
    </row>
    <row r="1355" spans="2:16" x14ac:dyDescent="0.45">
      <c r="B1355" s="4">
        <v>1354</v>
      </c>
      <c r="C1355" s="4" t="s">
        <v>40</v>
      </c>
      <c r="D1355" s="4" t="s">
        <v>23</v>
      </c>
      <c r="E1355" s="4" t="s">
        <v>37</v>
      </c>
      <c r="F1355" s="4" t="s">
        <v>24</v>
      </c>
      <c r="G1355" s="4" t="s">
        <v>19</v>
      </c>
      <c r="H1355" s="4" t="s">
        <v>38</v>
      </c>
      <c r="I1355" s="4">
        <v>30</v>
      </c>
      <c r="J1355" s="5">
        <v>75.5</v>
      </c>
      <c r="K1355" s="6">
        <v>1.75</v>
      </c>
      <c r="L1355" s="4">
        <v>3</v>
      </c>
      <c r="M1355" s="4">
        <v>123</v>
      </c>
      <c r="N1355" s="4">
        <v>92</v>
      </c>
      <c r="O1355" s="4" t="s">
        <v>21</v>
      </c>
      <c r="P1355" s="7" t="s">
        <v>19</v>
      </c>
    </row>
    <row r="1356" spans="2:16" x14ac:dyDescent="0.45">
      <c r="B1356" s="4">
        <v>1355</v>
      </c>
      <c r="C1356" s="4" t="s">
        <v>41</v>
      </c>
      <c r="D1356" s="4" t="s">
        <v>23</v>
      </c>
      <c r="E1356" s="4" t="s">
        <v>44</v>
      </c>
      <c r="F1356" s="4" t="s">
        <v>24</v>
      </c>
      <c r="G1356" s="4" t="s">
        <v>19</v>
      </c>
      <c r="H1356" s="4" t="s">
        <v>46</v>
      </c>
      <c r="I1356" s="4">
        <v>21</v>
      </c>
      <c r="J1356" s="5">
        <v>83.7</v>
      </c>
      <c r="K1356" s="6">
        <v>1.68</v>
      </c>
      <c r="L1356" s="4">
        <v>1</v>
      </c>
      <c r="M1356" s="4">
        <v>114</v>
      </c>
      <c r="N1356" s="4">
        <v>87</v>
      </c>
      <c r="O1356" s="4" t="s">
        <v>21</v>
      </c>
      <c r="P1356" s="7" t="s">
        <v>19</v>
      </c>
    </row>
    <row r="1357" spans="2:16" x14ac:dyDescent="0.45">
      <c r="B1357" s="4">
        <v>1356</v>
      </c>
      <c r="C1357" s="4" t="s">
        <v>40</v>
      </c>
      <c r="D1357" s="4" t="s">
        <v>16</v>
      </c>
      <c r="E1357" s="4" t="s">
        <v>35</v>
      </c>
      <c r="F1357" s="4" t="s">
        <v>24</v>
      </c>
      <c r="G1357" s="4" t="s">
        <v>19</v>
      </c>
      <c r="H1357" s="4" t="s">
        <v>28</v>
      </c>
      <c r="I1357" s="4">
        <v>0</v>
      </c>
      <c r="J1357" s="5">
        <v>12</v>
      </c>
      <c r="K1357" s="6">
        <v>0.7</v>
      </c>
      <c r="L1357" s="4">
        <v>4</v>
      </c>
      <c r="M1357" s="4">
        <v>94</v>
      </c>
      <c r="N1357" s="4">
        <v>73</v>
      </c>
      <c r="O1357" s="4" t="s">
        <v>26</v>
      </c>
      <c r="P1357" s="7" t="s">
        <v>19</v>
      </c>
    </row>
    <row r="1358" spans="2:16" x14ac:dyDescent="0.45">
      <c r="B1358" s="4">
        <v>1357</v>
      </c>
      <c r="C1358" s="4" t="s">
        <v>31</v>
      </c>
      <c r="D1358" s="4" t="s">
        <v>16</v>
      </c>
      <c r="E1358" s="4" t="s">
        <v>17</v>
      </c>
      <c r="F1358" s="4" t="s">
        <v>28</v>
      </c>
      <c r="G1358" s="4" t="s">
        <v>19</v>
      </c>
      <c r="H1358" s="4" t="s">
        <v>25</v>
      </c>
      <c r="I1358" s="4">
        <v>77</v>
      </c>
      <c r="J1358" s="5">
        <v>86.3</v>
      </c>
      <c r="K1358" s="6">
        <v>1.69</v>
      </c>
      <c r="L1358" s="4">
        <v>0</v>
      </c>
      <c r="M1358" s="4">
        <v>138</v>
      </c>
      <c r="N1358" s="4">
        <v>102</v>
      </c>
      <c r="O1358" s="4" t="s">
        <v>26</v>
      </c>
      <c r="P1358" s="7" t="s">
        <v>30</v>
      </c>
    </row>
    <row r="1359" spans="2:16" x14ac:dyDescent="0.45">
      <c r="B1359" s="4">
        <v>1358</v>
      </c>
      <c r="C1359" s="4" t="s">
        <v>22</v>
      </c>
      <c r="D1359" s="4" t="s">
        <v>16</v>
      </c>
      <c r="E1359" s="4" t="s">
        <v>17</v>
      </c>
      <c r="F1359" s="4" t="s">
        <v>24</v>
      </c>
      <c r="G1359" s="4" t="s">
        <v>30</v>
      </c>
      <c r="H1359" s="4" t="s">
        <v>36</v>
      </c>
      <c r="I1359" s="4">
        <v>55</v>
      </c>
      <c r="J1359" s="5">
        <v>70</v>
      </c>
      <c r="K1359" s="6">
        <v>1.64</v>
      </c>
      <c r="L1359" s="4">
        <v>0</v>
      </c>
      <c r="M1359" s="4">
        <v>135</v>
      </c>
      <c r="N1359" s="4">
        <v>103</v>
      </c>
      <c r="O1359" s="4" t="s">
        <v>21</v>
      </c>
      <c r="P1359" s="7" t="s">
        <v>19</v>
      </c>
    </row>
    <row r="1360" spans="2:16" x14ac:dyDescent="0.45">
      <c r="B1360" s="4">
        <v>1359</v>
      </c>
      <c r="C1360" s="4" t="s">
        <v>15</v>
      </c>
      <c r="D1360" s="4" t="s">
        <v>23</v>
      </c>
      <c r="E1360" s="4" t="s">
        <v>35</v>
      </c>
      <c r="F1360" s="4" t="s">
        <v>24</v>
      </c>
      <c r="G1360" s="4" t="s">
        <v>30</v>
      </c>
      <c r="H1360" s="4" t="s">
        <v>36</v>
      </c>
      <c r="I1360" s="4">
        <v>48</v>
      </c>
      <c r="J1360" s="5">
        <v>85.9</v>
      </c>
      <c r="K1360" s="6">
        <v>1.5</v>
      </c>
      <c r="L1360" s="4">
        <v>2</v>
      </c>
      <c r="M1360" s="4">
        <v>130</v>
      </c>
      <c r="N1360" s="4">
        <v>84</v>
      </c>
      <c r="O1360" s="4" t="s">
        <v>21</v>
      </c>
      <c r="P1360" s="7" t="s">
        <v>19</v>
      </c>
    </row>
    <row r="1361" spans="2:16" x14ac:dyDescent="0.45">
      <c r="B1361" s="4">
        <v>1360</v>
      </c>
      <c r="C1361" s="4" t="s">
        <v>40</v>
      </c>
      <c r="D1361" s="4" t="s">
        <v>23</v>
      </c>
      <c r="E1361" s="4" t="s">
        <v>37</v>
      </c>
      <c r="F1361" s="4" t="s">
        <v>24</v>
      </c>
      <c r="G1361" s="4" t="s">
        <v>19</v>
      </c>
      <c r="H1361" s="4" t="s">
        <v>28</v>
      </c>
      <c r="I1361" s="4">
        <v>26</v>
      </c>
      <c r="J1361" s="5">
        <v>84.9</v>
      </c>
      <c r="K1361" s="6">
        <v>1.53</v>
      </c>
      <c r="L1361" s="4">
        <v>0</v>
      </c>
      <c r="M1361" s="4">
        <v>113</v>
      </c>
      <c r="N1361" s="4">
        <v>82</v>
      </c>
      <c r="O1361" s="4" t="s">
        <v>26</v>
      </c>
      <c r="P1361" s="7" t="s">
        <v>19</v>
      </c>
    </row>
    <row r="1362" spans="2:16" x14ac:dyDescent="0.45">
      <c r="B1362" s="4">
        <v>1361</v>
      </c>
      <c r="C1362" s="4" t="s">
        <v>27</v>
      </c>
      <c r="D1362" s="4" t="s">
        <v>16</v>
      </c>
      <c r="E1362" s="4" t="s">
        <v>35</v>
      </c>
      <c r="F1362" s="4" t="s">
        <v>18</v>
      </c>
      <c r="G1362" s="4" t="s">
        <v>19</v>
      </c>
      <c r="H1362" s="4" t="s">
        <v>34</v>
      </c>
      <c r="I1362" s="4">
        <v>14</v>
      </c>
      <c r="J1362" s="5">
        <v>44.4</v>
      </c>
      <c r="K1362" s="6">
        <v>1.47</v>
      </c>
      <c r="L1362" s="4">
        <v>1</v>
      </c>
      <c r="M1362" s="4">
        <v>115</v>
      </c>
      <c r="N1362" s="4">
        <v>87</v>
      </c>
      <c r="O1362" s="4" t="s">
        <v>26</v>
      </c>
      <c r="P1362" s="7" t="s">
        <v>19</v>
      </c>
    </row>
    <row r="1363" spans="2:16" x14ac:dyDescent="0.45">
      <c r="B1363" s="4">
        <v>1362</v>
      </c>
      <c r="C1363" s="4" t="s">
        <v>33</v>
      </c>
      <c r="D1363" s="4" t="s">
        <v>23</v>
      </c>
      <c r="E1363" s="4" t="s">
        <v>17</v>
      </c>
      <c r="F1363" s="4" t="s">
        <v>28</v>
      </c>
      <c r="G1363" s="4" t="s">
        <v>19</v>
      </c>
      <c r="H1363" s="4" t="s">
        <v>20</v>
      </c>
      <c r="I1363" s="4">
        <v>18</v>
      </c>
      <c r="J1363" s="5">
        <v>71.2</v>
      </c>
      <c r="K1363" s="6">
        <v>1.78</v>
      </c>
      <c r="L1363" s="4">
        <v>5</v>
      </c>
      <c r="M1363" s="4">
        <v>105</v>
      </c>
      <c r="N1363" s="4">
        <v>91</v>
      </c>
      <c r="O1363" s="4" t="s">
        <v>26</v>
      </c>
      <c r="P1363" s="7" t="s">
        <v>19</v>
      </c>
    </row>
    <row r="1364" spans="2:16" x14ac:dyDescent="0.45">
      <c r="B1364" s="4">
        <v>1363</v>
      </c>
      <c r="C1364" s="4" t="s">
        <v>29</v>
      </c>
      <c r="D1364" s="4" t="s">
        <v>23</v>
      </c>
      <c r="E1364" s="4" t="s">
        <v>44</v>
      </c>
      <c r="F1364" s="4" t="s">
        <v>18</v>
      </c>
      <c r="G1364" s="4" t="s">
        <v>19</v>
      </c>
      <c r="H1364" s="4" t="s">
        <v>28</v>
      </c>
      <c r="I1364" s="4">
        <v>38</v>
      </c>
      <c r="J1364" s="5">
        <v>74.8</v>
      </c>
      <c r="K1364" s="6">
        <v>1.72</v>
      </c>
      <c r="L1364" s="4">
        <v>0</v>
      </c>
      <c r="M1364" s="4">
        <v>104</v>
      </c>
      <c r="N1364" s="4">
        <v>72</v>
      </c>
      <c r="O1364" s="4" t="s">
        <v>26</v>
      </c>
      <c r="P1364" s="7" t="s">
        <v>19</v>
      </c>
    </row>
    <row r="1365" spans="2:16" x14ac:dyDescent="0.45">
      <c r="B1365" s="4">
        <v>1364</v>
      </c>
      <c r="C1365" s="4" t="s">
        <v>33</v>
      </c>
      <c r="D1365" s="4" t="s">
        <v>16</v>
      </c>
      <c r="E1365" s="4" t="s">
        <v>17</v>
      </c>
      <c r="F1365" s="4" t="s">
        <v>18</v>
      </c>
      <c r="G1365" s="4" t="s">
        <v>19</v>
      </c>
      <c r="H1365" s="4" t="s">
        <v>20</v>
      </c>
      <c r="I1365" s="4">
        <v>26</v>
      </c>
      <c r="J1365" s="5">
        <v>66.400000000000006</v>
      </c>
      <c r="K1365" s="6">
        <v>1.57</v>
      </c>
      <c r="L1365" s="4">
        <v>3</v>
      </c>
      <c r="M1365" s="4">
        <v>120</v>
      </c>
      <c r="N1365" s="4">
        <v>81</v>
      </c>
      <c r="O1365" s="4" t="s">
        <v>21</v>
      </c>
      <c r="P1365" s="7" t="s">
        <v>19</v>
      </c>
    </row>
    <row r="1366" spans="2:16" x14ac:dyDescent="0.45">
      <c r="B1366" s="4">
        <v>1365</v>
      </c>
      <c r="C1366" s="4" t="s">
        <v>40</v>
      </c>
      <c r="D1366" s="4" t="s">
        <v>23</v>
      </c>
      <c r="E1366" s="4" t="s">
        <v>17</v>
      </c>
      <c r="F1366" s="4" t="s">
        <v>18</v>
      </c>
      <c r="G1366" s="4" t="s">
        <v>19</v>
      </c>
      <c r="H1366" s="4" t="s">
        <v>25</v>
      </c>
      <c r="I1366" s="4">
        <v>58</v>
      </c>
      <c r="J1366" s="5">
        <v>78.900000000000006</v>
      </c>
      <c r="K1366" s="6">
        <v>1.75</v>
      </c>
      <c r="L1366" s="4">
        <v>2</v>
      </c>
      <c r="M1366" s="4">
        <v>123</v>
      </c>
      <c r="N1366" s="4">
        <v>99</v>
      </c>
      <c r="O1366" s="4" t="s">
        <v>26</v>
      </c>
      <c r="P1366" s="7" t="s">
        <v>19</v>
      </c>
    </row>
    <row r="1367" spans="2:16" x14ac:dyDescent="0.45">
      <c r="B1367" s="4">
        <v>1366</v>
      </c>
      <c r="C1367" s="4" t="s">
        <v>43</v>
      </c>
      <c r="D1367" s="4" t="s">
        <v>23</v>
      </c>
      <c r="E1367" s="4" t="s">
        <v>17</v>
      </c>
      <c r="F1367" s="4" t="s">
        <v>18</v>
      </c>
      <c r="G1367" s="4" t="s">
        <v>30</v>
      </c>
      <c r="H1367" s="4" t="s">
        <v>20</v>
      </c>
      <c r="I1367" s="4">
        <v>56</v>
      </c>
      <c r="J1367" s="5">
        <v>80.5</v>
      </c>
      <c r="K1367" s="6">
        <v>1.76</v>
      </c>
      <c r="L1367" s="4">
        <v>1</v>
      </c>
      <c r="M1367" s="4">
        <v>122</v>
      </c>
      <c r="N1367" s="4">
        <v>104</v>
      </c>
      <c r="O1367" s="4" t="s">
        <v>26</v>
      </c>
      <c r="P1367" s="7" t="s">
        <v>19</v>
      </c>
    </row>
    <row r="1368" spans="2:16" x14ac:dyDescent="0.45">
      <c r="B1368" s="4">
        <v>1367</v>
      </c>
      <c r="C1368" s="4" t="s">
        <v>22</v>
      </c>
      <c r="D1368" s="4" t="s">
        <v>16</v>
      </c>
      <c r="E1368" s="4" t="s">
        <v>37</v>
      </c>
      <c r="F1368" s="4" t="s">
        <v>28</v>
      </c>
      <c r="G1368" s="4" t="s">
        <v>19</v>
      </c>
      <c r="H1368" s="4" t="s">
        <v>20</v>
      </c>
      <c r="I1368" s="4">
        <v>33</v>
      </c>
      <c r="J1368" s="5">
        <v>67.5</v>
      </c>
      <c r="K1368" s="6">
        <v>1.57</v>
      </c>
      <c r="L1368" s="4">
        <v>1</v>
      </c>
      <c r="M1368" s="4">
        <v>117</v>
      </c>
      <c r="N1368" s="4">
        <v>99</v>
      </c>
      <c r="O1368" s="4" t="s">
        <v>26</v>
      </c>
      <c r="P1368" s="7" t="s">
        <v>19</v>
      </c>
    </row>
    <row r="1369" spans="2:16" x14ac:dyDescent="0.45">
      <c r="B1369" s="4">
        <v>1368</v>
      </c>
      <c r="C1369" s="4" t="s">
        <v>39</v>
      </c>
      <c r="D1369" s="4" t="s">
        <v>16</v>
      </c>
      <c r="E1369" s="4" t="s">
        <v>35</v>
      </c>
      <c r="F1369" s="4" t="s">
        <v>18</v>
      </c>
      <c r="G1369" s="4" t="s">
        <v>30</v>
      </c>
      <c r="H1369" s="4" t="s">
        <v>36</v>
      </c>
      <c r="I1369" s="4">
        <v>40</v>
      </c>
      <c r="J1369" s="5">
        <v>82.1</v>
      </c>
      <c r="K1369" s="6">
        <v>1.51</v>
      </c>
      <c r="L1369" s="4">
        <v>5</v>
      </c>
      <c r="M1369" s="4">
        <v>131</v>
      </c>
      <c r="N1369" s="4">
        <v>102</v>
      </c>
      <c r="O1369" s="4" t="s">
        <v>21</v>
      </c>
      <c r="P1369" s="7" t="s">
        <v>19</v>
      </c>
    </row>
    <row r="1370" spans="2:16" x14ac:dyDescent="0.45">
      <c r="B1370" s="4">
        <v>1369</v>
      </c>
      <c r="C1370" s="4" t="s">
        <v>45</v>
      </c>
      <c r="D1370" s="4" t="s">
        <v>16</v>
      </c>
      <c r="E1370" s="4" t="s">
        <v>37</v>
      </c>
      <c r="F1370" s="4" t="s">
        <v>42</v>
      </c>
      <c r="G1370" s="4" t="s">
        <v>19</v>
      </c>
      <c r="H1370" s="4" t="s">
        <v>20</v>
      </c>
      <c r="I1370" s="4">
        <v>4</v>
      </c>
      <c r="J1370" s="5">
        <v>11.1</v>
      </c>
      <c r="K1370" s="6">
        <v>0.93</v>
      </c>
      <c r="L1370" s="4">
        <v>3</v>
      </c>
      <c r="M1370" s="4">
        <v>102</v>
      </c>
      <c r="N1370" s="4">
        <v>90</v>
      </c>
      <c r="O1370" s="4" t="s">
        <v>21</v>
      </c>
      <c r="P1370" s="7" t="s">
        <v>19</v>
      </c>
    </row>
    <row r="1371" spans="2:16" x14ac:dyDescent="0.45">
      <c r="B1371" s="4">
        <v>1370</v>
      </c>
      <c r="C1371" s="4" t="s">
        <v>27</v>
      </c>
      <c r="D1371" s="4" t="s">
        <v>16</v>
      </c>
      <c r="E1371" s="4" t="s">
        <v>17</v>
      </c>
      <c r="F1371" s="4" t="s">
        <v>18</v>
      </c>
      <c r="G1371" s="4" t="s">
        <v>30</v>
      </c>
      <c r="H1371" s="4" t="s">
        <v>20</v>
      </c>
      <c r="I1371" s="4">
        <v>54</v>
      </c>
      <c r="J1371" s="5">
        <v>71.3</v>
      </c>
      <c r="K1371" s="6">
        <v>1.66</v>
      </c>
      <c r="L1371" s="4">
        <v>2</v>
      </c>
      <c r="M1371" s="4">
        <v>114</v>
      </c>
      <c r="N1371" s="4">
        <v>82</v>
      </c>
      <c r="O1371" s="4" t="s">
        <v>26</v>
      </c>
      <c r="P1371" s="7" t="s">
        <v>19</v>
      </c>
    </row>
    <row r="1372" spans="2:16" x14ac:dyDescent="0.45">
      <c r="B1372" s="4">
        <v>1371</v>
      </c>
      <c r="C1372" s="4" t="s">
        <v>27</v>
      </c>
      <c r="D1372" s="4" t="s">
        <v>23</v>
      </c>
      <c r="E1372" s="4" t="s">
        <v>37</v>
      </c>
      <c r="F1372" s="4" t="s">
        <v>24</v>
      </c>
      <c r="G1372" s="4" t="s">
        <v>30</v>
      </c>
      <c r="H1372" s="4" t="s">
        <v>28</v>
      </c>
      <c r="I1372" s="4">
        <v>22</v>
      </c>
      <c r="J1372" s="5">
        <v>92</v>
      </c>
      <c r="K1372" s="6">
        <v>1.86</v>
      </c>
      <c r="L1372" s="4">
        <v>10</v>
      </c>
      <c r="M1372" s="4">
        <v>105</v>
      </c>
      <c r="N1372" s="4">
        <v>83</v>
      </c>
      <c r="O1372" s="4" t="s">
        <v>26</v>
      </c>
      <c r="P1372" s="7" t="s">
        <v>19</v>
      </c>
    </row>
    <row r="1373" spans="2:16" x14ac:dyDescent="0.45">
      <c r="B1373" s="4">
        <v>1372</v>
      </c>
      <c r="C1373" s="4" t="s">
        <v>40</v>
      </c>
      <c r="D1373" s="4" t="s">
        <v>23</v>
      </c>
      <c r="E1373" s="4" t="s">
        <v>17</v>
      </c>
      <c r="F1373" s="4" t="s">
        <v>24</v>
      </c>
      <c r="G1373" s="4" t="s">
        <v>30</v>
      </c>
      <c r="H1373" s="4" t="s">
        <v>25</v>
      </c>
      <c r="I1373" s="4">
        <v>21</v>
      </c>
      <c r="J1373" s="5">
        <v>60.7</v>
      </c>
      <c r="K1373" s="6">
        <v>1.62</v>
      </c>
      <c r="L1373" s="4">
        <v>8</v>
      </c>
      <c r="M1373" s="4">
        <v>118</v>
      </c>
      <c r="N1373" s="4">
        <v>85</v>
      </c>
      <c r="O1373" s="4" t="s">
        <v>21</v>
      </c>
      <c r="P1373" s="7" t="s">
        <v>19</v>
      </c>
    </row>
    <row r="1374" spans="2:16" x14ac:dyDescent="0.45">
      <c r="B1374" s="4">
        <v>1373</v>
      </c>
      <c r="C1374" s="4" t="s">
        <v>43</v>
      </c>
      <c r="D1374" s="4" t="s">
        <v>16</v>
      </c>
      <c r="E1374" s="4" t="s">
        <v>17</v>
      </c>
      <c r="F1374" s="4" t="s">
        <v>24</v>
      </c>
      <c r="G1374" s="4" t="s">
        <v>19</v>
      </c>
      <c r="H1374" s="4" t="s">
        <v>20</v>
      </c>
      <c r="I1374" s="4">
        <v>2</v>
      </c>
      <c r="J1374" s="5">
        <v>15.5</v>
      </c>
      <c r="K1374" s="6">
        <v>0.91</v>
      </c>
      <c r="L1374" s="4">
        <v>2</v>
      </c>
      <c r="M1374" s="4">
        <v>102</v>
      </c>
      <c r="N1374" s="4">
        <v>76</v>
      </c>
      <c r="O1374" s="4" t="s">
        <v>26</v>
      </c>
      <c r="P1374" s="7" t="s">
        <v>19</v>
      </c>
    </row>
    <row r="1375" spans="2:16" x14ac:dyDescent="0.45">
      <c r="B1375" s="4">
        <v>1374</v>
      </c>
      <c r="C1375" s="4" t="s">
        <v>22</v>
      </c>
      <c r="D1375" s="4" t="s">
        <v>16</v>
      </c>
      <c r="E1375" s="4" t="s">
        <v>35</v>
      </c>
      <c r="F1375" s="4" t="s">
        <v>28</v>
      </c>
      <c r="G1375" s="4" t="s">
        <v>19</v>
      </c>
      <c r="H1375" s="4" t="s">
        <v>25</v>
      </c>
      <c r="I1375" s="4">
        <v>14</v>
      </c>
      <c r="J1375" s="5">
        <v>38.9</v>
      </c>
      <c r="K1375" s="6">
        <v>1.73</v>
      </c>
      <c r="L1375" s="4">
        <v>6</v>
      </c>
      <c r="M1375" s="4">
        <v>96</v>
      </c>
      <c r="N1375" s="4">
        <v>82</v>
      </c>
      <c r="O1375" s="4" t="s">
        <v>26</v>
      </c>
      <c r="P1375" s="7" t="s">
        <v>19</v>
      </c>
    </row>
    <row r="1376" spans="2:16" x14ac:dyDescent="0.45">
      <c r="B1376" s="4">
        <v>1375</v>
      </c>
      <c r="C1376" s="4" t="s">
        <v>22</v>
      </c>
      <c r="D1376" s="4" t="s">
        <v>16</v>
      </c>
      <c r="E1376" s="4" t="s">
        <v>17</v>
      </c>
      <c r="F1376" s="4" t="s">
        <v>18</v>
      </c>
      <c r="G1376" s="4" t="s">
        <v>30</v>
      </c>
      <c r="H1376" s="4" t="s">
        <v>36</v>
      </c>
      <c r="I1376" s="4">
        <v>51</v>
      </c>
      <c r="J1376" s="5">
        <v>58.3</v>
      </c>
      <c r="K1376" s="6">
        <v>1.84</v>
      </c>
      <c r="L1376" s="4">
        <v>5</v>
      </c>
      <c r="M1376" s="4">
        <v>153</v>
      </c>
      <c r="N1376" s="4">
        <v>74</v>
      </c>
      <c r="O1376" s="4" t="s">
        <v>21</v>
      </c>
      <c r="P1376" s="7" t="s">
        <v>19</v>
      </c>
    </row>
    <row r="1377" spans="2:16" x14ac:dyDescent="0.45">
      <c r="B1377" s="4">
        <v>1376</v>
      </c>
      <c r="C1377" s="4" t="s">
        <v>27</v>
      </c>
      <c r="D1377" s="4" t="s">
        <v>16</v>
      </c>
      <c r="E1377" s="4" t="s">
        <v>17</v>
      </c>
      <c r="F1377" s="4" t="s">
        <v>18</v>
      </c>
      <c r="G1377" s="4" t="s">
        <v>30</v>
      </c>
      <c r="H1377" s="4" t="s">
        <v>28</v>
      </c>
      <c r="I1377" s="4">
        <v>21</v>
      </c>
      <c r="J1377" s="5">
        <v>81.400000000000006</v>
      </c>
      <c r="K1377" s="6">
        <v>1.53</v>
      </c>
      <c r="L1377" s="4">
        <v>4</v>
      </c>
      <c r="M1377" s="4">
        <v>100</v>
      </c>
      <c r="N1377" s="4">
        <v>74</v>
      </c>
      <c r="O1377" s="4" t="s">
        <v>21</v>
      </c>
      <c r="P1377" s="7" t="s">
        <v>19</v>
      </c>
    </row>
    <row r="1378" spans="2:16" x14ac:dyDescent="0.45">
      <c r="B1378" s="4">
        <v>1377</v>
      </c>
      <c r="C1378" s="4" t="s">
        <v>41</v>
      </c>
      <c r="D1378" s="4" t="s">
        <v>23</v>
      </c>
      <c r="E1378" s="4" t="s">
        <v>17</v>
      </c>
      <c r="F1378" s="4" t="s">
        <v>24</v>
      </c>
      <c r="G1378" s="4" t="s">
        <v>19</v>
      </c>
      <c r="H1378" s="4" t="s">
        <v>38</v>
      </c>
      <c r="I1378" s="4">
        <v>44</v>
      </c>
      <c r="J1378" s="5">
        <v>86.7</v>
      </c>
      <c r="K1378" s="6">
        <v>1.73</v>
      </c>
      <c r="L1378" s="4">
        <v>1</v>
      </c>
      <c r="M1378" s="4">
        <v>121</v>
      </c>
      <c r="N1378" s="4">
        <v>99</v>
      </c>
      <c r="O1378" s="4" t="s">
        <v>26</v>
      </c>
      <c r="P1378" s="7" t="s">
        <v>30</v>
      </c>
    </row>
    <row r="1379" spans="2:16" x14ac:dyDescent="0.45">
      <c r="B1379" s="4">
        <v>1378</v>
      </c>
      <c r="C1379" s="4" t="s">
        <v>31</v>
      </c>
      <c r="D1379" s="4" t="s">
        <v>23</v>
      </c>
      <c r="E1379" s="4" t="s">
        <v>35</v>
      </c>
      <c r="F1379" s="4" t="s">
        <v>28</v>
      </c>
      <c r="G1379" s="4" t="s">
        <v>19</v>
      </c>
      <c r="H1379" s="4" t="s">
        <v>28</v>
      </c>
      <c r="I1379" s="4">
        <v>11</v>
      </c>
      <c r="J1379" s="5">
        <v>21.4</v>
      </c>
      <c r="K1379" s="6">
        <v>1.1299999999999999</v>
      </c>
      <c r="L1379" s="4">
        <v>1</v>
      </c>
      <c r="M1379" s="4">
        <v>105</v>
      </c>
      <c r="N1379" s="4">
        <v>95</v>
      </c>
      <c r="O1379" s="4" t="s">
        <v>21</v>
      </c>
      <c r="P1379" s="7" t="s">
        <v>19</v>
      </c>
    </row>
    <row r="1380" spans="2:16" x14ac:dyDescent="0.45">
      <c r="B1380" s="4">
        <v>1379</v>
      </c>
      <c r="C1380" s="4" t="s">
        <v>27</v>
      </c>
      <c r="D1380" s="4" t="s">
        <v>16</v>
      </c>
      <c r="E1380" s="4" t="s">
        <v>17</v>
      </c>
      <c r="F1380" s="4" t="s">
        <v>24</v>
      </c>
      <c r="G1380" s="4" t="s">
        <v>19</v>
      </c>
      <c r="H1380" s="4" t="s">
        <v>36</v>
      </c>
      <c r="I1380" s="4">
        <v>27</v>
      </c>
      <c r="J1380" s="5">
        <v>69.7</v>
      </c>
      <c r="K1380" s="6">
        <v>1.81</v>
      </c>
      <c r="L1380" s="4">
        <v>1</v>
      </c>
      <c r="M1380" s="4">
        <v>127</v>
      </c>
      <c r="N1380" s="4">
        <v>92</v>
      </c>
      <c r="O1380" s="4" t="s">
        <v>21</v>
      </c>
      <c r="P1380" s="7" t="s">
        <v>19</v>
      </c>
    </row>
    <row r="1381" spans="2:16" x14ac:dyDescent="0.45">
      <c r="B1381" s="4">
        <v>1380</v>
      </c>
      <c r="C1381" s="4" t="s">
        <v>22</v>
      </c>
      <c r="D1381" s="4" t="s">
        <v>23</v>
      </c>
      <c r="E1381" s="4" t="s">
        <v>35</v>
      </c>
      <c r="F1381" s="4" t="s">
        <v>18</v>
      </c>
      <c r="G1381" s="4" t="s">
        <v>19</v>
      </c>
      <c r="H1381" s="4" t="s">
        <v>20</v>
      </c>
      <c r="I1381" s="4">
        <v>0</v>
      </c>
      <c r="J1381" s="5">
        <v>15.6</v>
      </c>
      <c r="K1381" s="6">
        <v>0.76</v>
      </c>
      <c r="L1381" s="4">
        <v>1</v>
      </c>
      <c r="M1381" s="4">
        <v>94</v>
      </c>
      <c r="N1381" s="4">
        <v>73</v>
      </c>
      <c r="O1381" s="4" t="s">
        <v>26</v>
      </c>
      <c r="P1381" s="7" t="s">
        <v>19</v>
      </c>
    </row>
    <row r="1382" spans="2:16" x14ac:dyDescent="0.45">
      <c r="B1382" s="4">
        <v>1381</v>
      </c>
      <c r="C1382" s="4" t="s">
        <v>31</v>
      </c>
      <c r="D1382" s="4" t="s">
        <v>23</v>
      </c>
      <c r="E1382" s="4" t="s">
        <v>17</v>
      </c>
      <c r="F1382" s="4" t="s">
        <v>24</v>
      </c>
      <c r="G1382" s="4" t="s">
        <v>19</v>
      </c>
      <c r="H1382" s="4" t="s">
        <v>20</v>
      </c>
      <c r="I1382" s="4">
        <v>45</v>
      </c>
      <c r="J1382" s="5">
        <v>53.9</v>
      </c>
      <c r="K1382" s="6">
        <v>1.65</v>
      </c>
      <c r="L1382" s="4">
        <v>1</v>
      </c>
      <c r="M1382" s="4">
        <v>106</v>
      </c>
      <c r="N1382" s="4">
        <v>73</v>
      </c>
      <c r="O1382" s="4" t="s">
        <v>26</v>
      </c>
      <c r="P1382" s="7" t="s">
        <v>19</v>
      </c>
    </row>
    <row r="1383" spans="2:16" x14ac:dyDescent="0.45">
      <c r="B1383" s="4">
        <v>1382</v>
      </c>
      <c r="C1383" s="4" t="s">
        <v>41</v>
      </c>
      <c r="D1383" s="4" t="s">
        <v>23</v>
      </c>
      <c r="E1383" s="4" t="s">
        <v>17</v>
      </c>
      <c r="F1383" s="4" t="s">
        <v>24</v>
      </c>
      <c r="G1383" s="4" t="s">
        <v>30</v>
      </c>
      <c r="H1383" s="4" t="s">
        <v>25</v>
      </c>
      <c r="I1383" s="4">
        <v>6</v>
      </c>
      <c r="J1383" s="5">
        <v>22.2</v>
      </c>
      <c r="K1383" s="6">
        <v>1.23</v>
      </c>
      <c r="L1383" s="4">
        <v>2</v>
      </c>
      <c r="M1383" s="4">
        <v>112</v>
      </c>
      <c r="N1383" s="4">
        <v>88</v>
      </c>
      <c r="O1383" s="4" t="s">
        <v>26</v>
      </c>
      <c r="P1383" s="7" t="s">
        <v>19</v>
      </c>
    </row>
    <row r="1384" spans="2:16" x14ac:dyDescent="0.45">
      <c r="B1384" s="4">
        <v>1383</v>
      </c>
      <c r="C1384" s="4" t="s">
        <v>31</v>
      </c>
      <c r="D1384" s="4" t="s">
        <v>16</v>
      </c>
      <c r="E1384" s="4" t="s">
        <v>44</v>
      </c>
      <c r="F1384" s="4" t="s">
        <v>24</v>
      </c>
      <c r="G1384" s="4" t="s">
        <v>30</v>
      </c>
      <c r="H1384" s="4" t="s">
        <v>20</v>
      </c>
      <c r="I1384" s="4">
        <v>17</v>
      </c>
      <c r="J1384" s="5">
        <v>60.4</v>
      </c>
      <c r="K1384" s="6">
        <v>1.55</v>
      </c>
      <c r="L1384" s="4">
        <v>1</v>
      </c>
      <c r="M1384" s="4">
        <v>108</v>
      </c>
      <c r="N1384" s="4">
        <v>96</v>
      </c>
      <c r="O1384" s="4" t="s">
        <v>26</v>
      </c>
      <c r="P1384" s="7" t="s">
        <v>19</v>
      </c>
    </row>
    <row r="1385" spans="2:16" x14ac:dyDescent="0.45">
      <c r="B1385" s="4">
        <v>1384</v>
      </c>
      <c r="C1385" s="4" t="s">
        <v>29</v>
      </c>
      <c r="D1385" s="4" t="s">
        <v>16</v>
      </c>
      <c r="E1385" s="4" t="s">
        <v>17</v>
      </c>
      <c r="F1385" s="4" t="s">
        <v>28</v>
      </c>
      <c r="G1385" s="4" t="s">
        <v>19</v>
      </c>
      <c r="H1385" s="4" t="s">
        <v>46</v>
      </c>
      <c r="I1385" s="4">
        <v>41</v>
      </c>
      <c r="J1385" s="5">
        <v>64.8</v>
      </c>
      <c r="K1385" s="6">
        <v>1.81</v>
      </c>
      <c r="L1385" s="4">
        <v>0</v>
      </c>
      <c r="M1385" s="4">
        <v>119</v>
      </c>
      <c r="N1385" s="4">
        <v>80</v>
      </c>
      <c r="O1385" s="4" t="s">
        <v>26</v>
      </c>
      <c r="P1385" s="7" t="s">
        <v>19</v>
      </c>
    </row>
    <row r="1386" spans="2:16" x14ac:dyDescent="0.45">
      <c r="B1386" s="4">
        <v>1385</v>
      </c>
      <c r="C1386" s="4" t="s">
        <v>39</v>
      </c>
      <c r="D1386" s="4" t="s">
        <v>16</v>
      </c>
      <c r="E1386" s="4" t="s">
        <v>35</v>
      </c>
      <c r="F1386" s="4" t="s">
        <v>42</v>
      </c>
      <c r="G1386" s="4" t="s">
        <v>19</v>
      </c>
      <c r="H1386" s="4" t="s">
        <v>28</v>
      </c>
      <c r="I1386" s="4">
        <v>75</v>
      </c>
      <c r="J1386" s="5">
        <v>62.4</v>
      </c>
      <c r="K1386" s="6">
        <v>1.48</v>
      </c>
      <c r="L1386" s="4">
        <v>5</v>
      </c>
      <c r="M1386" s="4">
        <v>125</v>
      </c>
      <c r="N1386" s="4">
        <v>97</v>
      </c>
      <c r="O1386" s="4" t="s">
        <v>21</v>
      </c>
      <c r="P1386" s="7" t="s">
        <v>19</v>
      </c>
    </row>
    <row r="1387" spans="2:16" x14ac:dyDescent="0.45">
      <c r="B1387" s="4">
        <v>1386</v>
      </c>
      <c r="C1387" s="4" t="s">
        <v>45</v>
      </c>
      <c r="D1387" s="4" t="s">
        <v>23</v>
      </c>
      <c r="E1387" s="4" t="s">
        <v>35</v>
      </c>
      <c r="F1387" s="4" t="s">
        <v>18</v>
      </c>
      <c r="G1387" s="4" t="s">
        <v>19</v>
      </c>
      <c r="H1387" s="4" t="s">
        <v>34</v>
      </c>
      <c r="I1387" s="4">
        <v>3</v>
      </c>
      <c r="J1387" s="5">
        <v>8</v>
      </c>
      <c r="K1387" s="6">
        <v>0.88</v>
      </c>
      <c r="L1387" s="4">
        <v>4</v>
      </c>
      <c r="M1387" s="4">
        <v>104</v>
      </c>
      <c r="N1387" s="4">
        <v>74</v>
      </c>
      <c r="O1387" s="4" t="s">
        <v>26</v>
      </c>
      <c r="P1387" s="7" t="s">
        <v>19</v>
      </c>
    </row>
    <row r="1388" spans="2:16" x14ac:dyDescent="0.45">
      <c r="B1388" s="4">
        <v>1387</v>
      </c>
      <c r="C1388" s="4" t="s">
        <v>43</v>
      </c>
      <c r="D1388" s="4" t="s">
        <v>16</v>
      </c>
      <c r="E1388" s="4" t="s">
        <v>35</v>
      </c>
      <c r="F1388" s="4" t="s">
        <v>24</v>
      </c>
      <c r="G1388" s="4" t="s">
        <v>19</v>
      </c>
      <c r="H1388" s="4" t="s">
        <v>20</v>
      </c>
      <c r="I1388" s="4">
        <v>21</v>
      </c>
      <c r="J1388" s="5">
        <v>72.2</v>
      </c>
      <c r="K1388" s="6">
        <v>1.83</v>
      </c>
      <c r="L1388" s="4">
        <v>5</v>
      </c>
      <c r="M1388" s="4">
        <v>107</v>
      </c>
      <c r="N1388" s="4">
        <v>84</v>
      </c>
      <c r="O1388" s="4" t="s">
        <v>21</v>
      </c>
      <c r="P1388" s="7" t="s">
        <v>19</v>
      </c>
    </row>
    <row r="1389" spans="2:16" x14ac:dyDescent="0.45">
      <c r="B1389" s="4">
        <v>1388</v>
      </c>
      <c r="C1389" s="4" t="s">
        <v>40</v>
      </c>
      <c r="D1389" s="4" t="s">
        <v>16</v>
      </c>
      <c r="E1389" s="4" t="s">
        <v>17</v>
      </c>
      <c r="F1389" s="4" t="s">
        <v>28</v>
      </c>
      <c r="G1389" s="4" t="s">
        <v>30</v>
      </c>
      <c r="H1389" s="4" t="s">
        <v>28</v>
      </c>
      <c r="I1389" s="4">
        <v>20</v>
      </c>
      <c r="J1389" s="5">
        <v>69.2</v>
      </c>
      <c r="K1389" s="6">
        <v>1.63</v>
      </c>
      <c r="L1389" s="4">
        <v>0</v>
      </c>
      <c r="M1389" s="4">
        <v>107</v>
      </c>
      <c r="N1389" s="4">
        <v>82</v>
      </c>
      <c r="O1389" s="4" t="s">
        <v>21</v>
      </c>
      <c r="P1389" s="7" t="s">
        <v>19</v>
      </c>
    </row>
    <row r="1390" spans="2:16" x14ac:dyDescent="0.45">
      <c r="B1390" s="4">
        <v>1389</v>
      </c>
      <c r="C1390" s="4" t="s">
        <v>40</v>
      </c>
      <c r="D1390" s="4" t="s">
        <v>16</v>
      </c>
      <c r="E1390" s="4" t="s">
        <v>35</v>
      </c>
      <c r="F1390" s="4" t="s">
        <v>24</v>
      </c>
      <c r="G1390" s="4" t="s">
        <v>19</v>
      </c>
      <c r="H1390" s="4" t="s">
        <v>32</v>
      </c>
      <c r="I1390" s="4">
        <v>81</v>
      </c>
      <c r="J1390" s="5">
        <v>91.9</v>
      </c>
      <c r="K1390" s="6">
        <v>1.5</v>
      </c>
      <c r="L1390" s="4">
        <v>0</v>
      </c>
      <c r="M1390" s="4">
        <v>133</v>
      </c>
      <c r="N1390" s="4">
        <v>185</v>
      </c>
      <c r="O1390" s="4" t="s">
        <v>26</v>
      </c>
      <c r="P1390" s="7" t="s">
        <v>19</v>
      </c>
    </row>
    <row r="1391" spans="2:16" x14ac:dyDescent="0.45">
      <c r="B1391" s="4">
        <v>1390</v>
      </c>
      <c r="C1391" s="4" t="s">
        <v>22</v>
      </c>
      <c r="D1391" s="4" t="s">
        <v>23</v>
      </c>
      <c r="E1391" s="4" t="s">
        <v>17</v>
      </c>
      <c r="F1391" s="4" t="s">
        <v>24</v>
      </c>
      <c r="G1391" s="4" t="s">
        <v>30</v>
      </c>
      <c r="H1391" s="4" t="s">
        <v>46</v>
      </c>
      <c r="I1391" s="4">
        <v>61</v>
      </c>
      <c r="J1391" s="5">
        <v>82.9</v>
      </c>
      <c r="K1391" s="6">
        <v>1.74</v>
      </c>
      <c r="L1391" s="4">
        <v>4</v>
      </c>
      <c r="M1391" s="4">
        <v>115</v>
      </c>
      <c r="N1391" s="4">
        <v>79</v>
      </c>
      <c r="O1391" s="4" t="s">
        <v>21</v>
      </c>
      <c r="P1391" s="7" t="s">
        <v>19</v>
      </c>
    </row>
    <row r="1392" spans="2:16" x14ac:dyDescent="0.45">
      <c r="B1392" s="4">
        <v>1391</v>
      </c>
      <c r="C1392" s="4" t="s">
        <v>22</v>
      </c>
      <c r="D1392" s="4" t="s">
        <v>16</v>
      </c>
      <c r="E1392" s="4" t="s">
        <v>35</v>
      </c>
      <c r="F1392" s="4" t="s">
        <v>18</v>
      </c>
      <c r="G1392" s="4" t="s">
        <v>19</v>
      </c>
      <c r="H1392" s="4" t="s">
        <v>20</v>
      </c>
      <c r="I1392" s="4">
        <v>7</v>
      </c>
      <c r="J1392" s="5">
        <v>19.3</v>
      </c>
      <c r="K1392" s="6">
        <v>1.31</v>
      </c>
      <c r="L1392" s="4">
        <v>6</v>
      </c>
      <c r="M1392" s="4">
        <v>93</v>
      </c>
      <c r="N1392" s="4">
        <v>89</v>
      </c>
      <c r="O1392" s="4" t="s">
        <v>26</v>
      </c>
      <c r="P1392" s="7" t="s">
        <v>19</v>
      </c>
    </row>
    <row r="1393" spans="2:16" x14ac:dyDescent="0.45">
      <c r="B1393" s="4">
        <v>1392</v>
      </c>
      <c r="C1393" s="4" t="s">
        <v>41</v>
      </c>
      <c r="D1393" s="4" t="s">
        <v>23</v>
      </c>
      <c r="E1393" s="4" t="s">
        <v>17</v>
      </c>
      <c r="F1393" s="4" t="s">
        <v>42</v>
      </c>
      <c r="G1393" s="4" t="s">
        <v>19</v>
      </c>
      <c r="H1393" s="4" t="s">
        <v>25</v>
      </c>
      <c r="I1393" s="4">
        <v>1</v>
      </c>
      <c r="J1393" s="5">
        <v>12.7</v>
      </c>
      <c r="K1393" s="6">
        <v>1.02</v>
      </c>
      <c r="L1393" s="4">
        <v>3</v>
      </c>
      <c r="M1393" s="4">
        <v>93</v>
      </c>
      <c r="N1393" s="4">
        <v>87</v>
      </c>
      <c r="O1393" s="4" t="s">
        <v>26</v>
      </c>
      <c r="P1393" s="7" t="s">
        <v>19</v>
      </c>
    </row>
    <row r="1394" spans="2:16" x14ac:dyDescent="0.45">
      <c r="B1394" s="4">
        <v>1393</v>
      </c>
      <c r="C1394" s="4" t="s">
        <v>45</v>
      </c>
      <c r="D1394" s="4" t="s">
        <v>16</v>
      </c>
      <c r="E1394" s="4" t="s">
        <v>35</v>
      </c>
      <c r="F1394" s="4" t="s">
        <v>42</v>
      </c>
      <c r="G1394" s="4" t="s">
        <v>30</v>
      </c>
      <c r="H1394" s="4" t="s">
        <v>28</v>
      </c>
      <c r="I1394" s="4">
        <v>0</v>
      </c>
      <c r="J1394" s="5">
        <v>8.9</v>
      </c>
      <c r="K1394" s="6">
        <v>0.98</v>
      </c>
      <c r="L1394" s="4">
        <v>0</v>
      </c>
      <c r="M1394" s="4">
        <v>98</v>
      </c>
      <c r="N1394" s="4">
        <v>98</v>
      </c>
      <c r="O1394" s="4" t="s">
        <v>26</v>
      </c>
      <c r="P1394" s="7" t="s">
        <v>19</v>
      </c>
    </row>
    <row r="1395" spans="2:16" x14ac:dyDescent="0.45">
      <c r="B1395" s="4">
        <v>1394</v>
      </c>
      <c r="C1395" s="4" t="s">
        <v>41</v>
      </c>
      <c r="D1395" s="4" t="s">
        <v>16</v>
      </c>
      <c r="E1395" s="4" t="s">
        <v>17</v>
      </c>
      <c r="F1395" s="4" t="s">
        <v>28</v>
      </c>
      <c r="G1395" s="4" t="s">
        <v>19</v>
      </c>
      <c r="H1395" s="4" t="s">
        <v>25</v>
      </c>
      <c r="I1395" s="4">
        <v>7</v>
      </c>
      <c r="J1395" s="5">
        <v>33</v>
      </c>
      <c r="K1395" s="6">
        <v>1.36</v>
      </c>
      <c r="L1395" s="4">
        <v>2</v>
      </c>
      <c r="M1395" s="4">
        <v>94</v>
      </c>
      <c r="N1395" s="4">
        <v>77</v>
      </c>
      <c r="O1395" s="4" t="s">
        <v>26</v>
      </c>
      <c r="P1395" s="7" t="s">
        <v>19</v>
      </c>
    </row>
    <row r="1396" spans="2:16" x14ac:dyDescent="0.45">
      <c r="B1396" s="4">
        <v>1395</v>
      </c>
      <c r="C1396" s="4" t="s">
        <v>27</v>
      </c>
      <c r="D1396" s="4" t="s">
        <v>16</v>
      </c>
      <c r="E1396" s="4" t="s">
        <v>17</v>
      </c>
      <c r="F1396" s="4" t="s">
        <v>42</v>
      </c>
      <c r="G1396" s="4" t="s">
        <v>19</v>
      </c>
      <c r="H1396" s="4" t="s">
        <v>34</v>
      </c>
      <c r="I1396" s="4">
        <v>22</v>
      </c>
      <c r="J1396" s="5">
        <v>46.1</v>
      </c>
      <c r="K1396" s="6">
        <v>1.58</v>
      </c>
      <c r="L1396" s="4">
        <v>1</v>
      </c>
      <c r="M1396" s="4">
        <v>108</v>
      </c>
      <c r="N1396" s="4">
        <v>101</v>
      </c>
      <c r="O1396" s="4" t="s">
        <v>21</v>
      </c>
      <c r="P1396" s="7" t="s">
        <v>19</v>
      </c>
    </row>
    <row r="1397" spans="2:16" x14ac:dyDescent="0.45">
      <c r="B1397" s="4">
        <v>1396</v>
      </c>
      <c r="C1397" s="4" t="s">
        <v>27</v>
      </c>
      <c r="D1397" s="4" t="s">
        <v>16</v>
      </c>
      <c r="E1397" s="4" t="s">
        <v>35</v>
      </c>
      <c r="F1397" s="4" t="s">
        <v>24</v>
      </c>
      <c r="G1397" s="4" t="s">
        <v>19</v>
      </c>
      <c r="H1397" s="4" t="s">
        <v>20</v>
      </c>
      <c r="I1397" s="4">
        <v>12</v>
      </c>
      <c r="J1397" s="5">
        <v>61</v>
      </c>
      <c r="K1397" s="6">
        <v>1.66</v>
      </c>
      <c r="L1397" s="4">
        <v>1</v>
      </c>
      <c r="M1397" s="4">
        <v>120</v>
      </c>
      <c r="N1397" s="4">
        <v>93</v>
      </c>
      <c r="O1397" s="4" t="s">
        <v>21</v>
      </c>
      <c r="P1397" s="7" t="s">
        <v>30</v>
      </c>
    </row>
    <row r="1398" spans="2:16" x14ac:dyDescent="0.45">
      <c r="B1398" s="4">
        <v>1397</v>
      </c>
      <c r="C1398" s="4" t="s">
        <v>41</v>
      </c>
      <c r="D1398" s="4" t="s">
        <v>16</v>
      </c>
      <c r="E1398" s="4" t="s">
        <v>17</v>
      </c>
      <c r="F1398" s="4" t="s">
        <v>28</v>
      </c>
      <c r="G1398" s="4" t="s">
        <v>19</v>
      </c>
      <c r="H1398" s="4" t="s">
        <v>34</v>
      </c>
      <c r="I1398" s="4">
        <v>21</v>
      </c>
      <c r="J1398" s="5">
        <v>61.9</v>
      </c>
      <c r="K1398" s="6">
        <v>1.73</v>
      </c>
      <c r="L1398" s="4">
        <v>1</v>
      </c>
      <c r="M1398" s="4">
        <v>105</v>
      </c>
      <c r="N1398" s="4">
        <v>76</v>
      </c>
      <c r="O1398" s="4" t="s">
        <v>21</v>
      </c>
      <c r="P1398" s="7" t="s">
        <v>19</v>
      </c>
    </row>
    <row r="1399" spans="2:16" x14ac:dyDescent="0.45">
      <c r="B1399" s="4">
        <v>1398</v>
      </c>
      <c r="C1399" s="4" t="s">
        <v>41</v>
      </c>
      <c r="D1399" s="4" t="s">
        <v>23</v>
      </c>
      <c r="E1399" s="4" t="s">
        <v>35</v>
      </c>
      <c r="F1399" s="4" t="s">
        <v>24</v>
      </c>
      <c r="G1399" s="4" t="s">
        <v>30</v>
      </c>
      <c r="H1399" s="4" t="s">
        <v>32</v>
      </c>
      <c r="I1399" s="4">
        <v>44</v>
      </c>
      <c r="J1399" s="5">
        <v>72.099999999999994</v>
      </c>
      <c r="K1399" s="6">
        <v>1.53</v>
      </c>
      <c r="L1399" s="4">
        <v>4</v>
      </c>
      <c r="M1399" s="4">
        <v>114</v>
      </c>
      <c r="N1399" s="4">
        <v>163</v>
      </c>
      <c r="O1399" s="4" t="s">
        <v>26</v>
      </c>
      <c r="P1399" s="7" t="s">
        <v>19</v>
      </c>
    </row>
    <row r="1400" spans="2:16" x14ac:dyDescent="0.45">
      <c r="B1400" s="4">
        <v>1399</v>
      </c>
      <c r="C1400" s="4" t="s">
        <v>22</v>
      </c>
      <c r="D1400" s="4" t="s">
        <v>16</v>
      </c>
      <c r="E1400" s="4" t="s">
        <v>37</v>
      </c>
      <c r="F1400" s="4" t="s">
        <v>18</v>
      </c>
      <c r="G1400" s="4" t="s">
        <v>30</v>
      </c>
      <c r="H1400" s="4" t="s">
        <v>28</v>
      </c>
      <c r="I1400" s="4">
        <v>45</v>
      </c>
      <c r="J1400" s="5">
        <v>87.7</v>
      </c>
      <c r="K1400" s="6">
        <v>1.74</v>
      </c>
      <c r="L1400" s="4">
        <v>5</v>
      </c>
      <c r="M1400" s="4">
        <v>135</v>
      </c>
      <c r="N1400" s="4">
        <v>71</v>
      </c>
      <c r="O1400" s="4" t="s">
        <v>21</v>
      </c>
      <c r="P1400" s="7" t="s">
        <v>30</v>
      </c>
    </row>
    <row r="1401" spans="2:16" x14ac:dyDescent="0.45">
      <c r="B1401" s="4">
        <v>1400</v>
      </c>
      <c r="C1401" s="4" t="s">
        <v>29</v>
      </c>
      <c r="D1401" s="4" t="s">
        <v>23</v>
      </c>
      <c r="E1401" s="4" t="s">
        <v>17</v>
      </c>
      <c r="F1401" s="4" t="s">
        <v>18</v>
      </c>
      <c r="G1401" s="4" t="s">
        <v>19</v>
      </c>
      <c r="H1401" s="4" t="s">
        <v>20</v>
      </c>
      <c r="I1401" s="4">
        <v>50</v>
      </c>
      <c r="J1401" s="5">
        <v>94.8</v>
      </c>
      <c r="K1401" s="6">
        <v>1.69</v>
      </c>
      <c r="L1401" s="4">
        <v>2</v>
      </c>
      <c r="M1401" s="4">
        <v>138</v>
      </c>
      <c r="N1401" s="4">
        <v>91</v>
      </c>
      <c r="O1401" s="4" t="s">
        <v>26</v>
      </c>
      <c r="P1401" s="7" t="s">
        <v>30</v>
      </c>
    </row>
    <row r="1402" spans="2:16" x14ac:dyDescent="0.45">
      <c r="B1402" s="4">
        <v>1401</v>
      </c>
      <c r="C1402" s="4" t="s">
        <v>43</v>
      </c>
      <c r="D1402" s="4" t="s">
        <v>16</v>
      </c>
      <c r="E1402" s="4" t="s">
        <v>35</v>
      </c>
      <c r="F1402" s="4" t="s">
        <v>18</v>
      </c>
      <c r="G1402" s="4" t="s">
        <v>19</v>
      </c>
      <c r="H1402" s="4" t="s">
        <v>38</v>
      </c>
      <c r="I1402" s="4">
        <v>0</v>
      </c>
      <c r="J1402" s="5">
        <v>15.9</v>
      </c>
      <c r="K1402" s="6">
        <v>0.99</v>
      </c>
      <c r="L1402" s="4">
        <v>1</v>
      </c>
      <c r="M1402" s="4">
        <v>101</v>
      </c>
      <c r="N1402" s="4">
        <v>102</v>
      </c>
      <c r="O1402" s="4" t="s">
        <v>26</v>
      </c>
      <c r="P1402" s="7" t="s">
        <v>19</v>
      </c>
    </row>
    <row r="1403" spans="2:16" x14ac:dyDescent="0.45">
      <c r="B1403" s="4">
        <v>1402</v>
      </c>
      <c r="C1403" s="4" t="s">
        <v>31</v>
      </c>
      <c r="D1403" s="4" t="s">
        <v>16</v>
      </c>
      <c r="E1403" s="4" t="s">
        <v>37</v>
      </c>
      <c r="F1403" s="4" t="s">
        <v>24</v>
      </c>
      <c r="G1403" s="4" t="s">
        <v>19</v>
      </c>
      <c r="H1403" s="4" t="s">
        <v>46</v>
      </c>
      <c r="I1403" s="4">
        <v>3</v>
      </c>
      <c r="J1403" s="5">
        <v>15.2</v>
      </c>
      <c r="K1403" s="6">
        <v>0.93</v>
      </c>
      <c r="L1403" s="4">
        <v>9</v>
      </c>
      <c r="M1403" s="4">
        <v>93</v>
      </c>
      <c r="N1403" s="4">
        <v>98</v>
      </c>
      <c r="O1403" s="4" t="s">
        <v>21</v>
      </c>
      <c r="P1403" s="7" t="s">
        <v>19</v>
      </c>
    </row>
    <row r="1404" spans="2:16" x14ac:dyDescent="0.45">
      <c r="B1404" s="4">
        <v>1403</v>
      </c>
      <c r="C1404" s="4" t="s">
        <v>40</v>
      </c>
      <c r="D1404" s="4" t="s">
        <v>23</v>
      </c>
      <c r="E1404" s="4" t="s">
        <v>17</v>
      </c>
      <c r="F1404" s="4" t="s">
        <v>18</v>
      </c>
      <c r="G1404" s="4" t="s">
        <v>30</v>
      </c>
      <c r="H1404" s="4" t="s">
        <v>38</v>
      </c>
      <c r="I1404" s="4">
        <v>14</v>
      </c>
      <c r="J1404" s="5">
        <v>60.1</v>
      </c>
      <c r="K1404" s="6">
        <v>1.67</v>
      </c>
      <c r="L1404" s="4">
        <v>4</v>
      </c>
      <c r="M1404" s="4">
        <v>107</v>
      </c>
      <c r="N1404" s="4">
        <v>91</v>
      </c>
      <c r="O1404" s="4" t="s">
        <v>26</v>
      </c>
      <c r="P1404" s="7" t="s">
        <v>19</v>
      </c>
    </row>
    <row r="1405" spans="2:16" x14ac:dyDescent="0.45">
      <c r="B1405" s="4">
        <v>1404</v>
      </c>
      <c r="C1405" s="4" t="s">
        <v>31</v>
      </c>
      <c r="D1405" s="4" t="s">
        <v>23</v>
      </c>
      <c r="E1405" s="4" t="s">
        <v>17</v>
      </c>
      <c r="F1405" s="4" t="s">
        <v>24</v>
      </c>
      <c r="G1405" s="4" t="s">
        <v>19</v>
      </c>
      <c r="H1405" s="4" t="s">
        <v>25</v>
      </c>
      <c r="I1405" s="4">
        <v>46</v>
      </c>
      <c r="J1405" s="5">
        <v>51.4</v>
      </c>
      <c r="K1405" s="6">
        <v>1.83</v>
      </c>
      <c r="L1405" s="4">
        <v>2</v>
      </c>
      <c r="M1405" s="4">
        <v>129</v>
      </c>
      <c r="N1405" s="4">
        <v>98</v>
      </c>
      <c r="O1405" s="4" t="s">
        <v>26</v>
      </c>
      <c r="P1405" s="7" t="s">
        <v>30</v>
      </c>
    </row>
    <row r="1406" spans="2:16" x14ac:dyDescent="0.45">
      <c r="B1406" s="4">
        <v>1405</v>
      </c>
      <c r="C1406" s="4" t="s">
        <v>40</v>
      </c>
      <c r="D1406" s="4" t="s">
        <v>16</v>
      </c>
      <c r="E1406" s="4" t="s">
        <v>35</v>
      </c>
      <c r="F1406" s="4" t="s">
        <v>18</v>
      </c>
      <c r="G1406" s="4" t="s">
        <v>19</v>
      </c>
      <c r="H1406" s="4" t="s">
        <v>34</v>
      </c>
      <c r="I1406" s="4">
        <v>11</v>
      </c>
      <c r="J1406" s="5">
        <v>22</v>
      </c>
      <c r="K1406" s="6">
        <v>1.24</v>
      </c>
      <c r="L1406" s="4">
        <v>1</v>
      </c>
      <c r="M1406" s="4">
        <v>101</v>
      </c>
      <c r="N1406" s="4">
        <v>91</v>
      </c>
      <c r="O1406" s="4" t="s">
        <v>21</v>
      </c>
      <c r="P1406" s="7" t="s">
        <v>19</v>
      </c>
    </row>
    <row r="1407" spans="2:16" x14ac:dyDescent="0.45">
      <c r="B1407" s="4">
        <v>1406</v>
      </c>
      <c r="C1407" s="4" t="s">
        <v>29</v>
      </c>
      <c r="D1407" s="4" t="s">
        <v>23</v>
      </c>
      <c r="E1407" s="4" t="s">
        <v>17</v>
      </c>
      <c r="F1407" s="4" t="s">
        <v>24</v>
      </c>
      <c r="G1407" s="4" t="s">
        <v>19</v>
      </c>
      <c r="H1407" s="4" t="s">
        <v>36</v>
      </c>
      <c r="I1407" s="4">
        <v>57</v>
      </c>
      <c r="J1407" s="5">
        <v>48.4</v>
      </c>
      <c r="K1407" s="6">
        <v>1.74</v>
      </c>
      <c r="L1407" s="4">
        <v>6</v>
      </c>
      <c r="M1407" s="4">
        <v>126</v>
      </c>
      <c r="N1407" s="4">
        <v>81</v>
      </c>
      <c r="O1407" s="4" t="s">
        <v>26</v>
      </c>
      <c r="P1407" s="7" t="s">
        <v>19</v>
      </c>
    </row>
    <row r="1408" spans="2:16" x14ac:dyDescent="0.45">
      <c r="B1408" s="4">
        <v>1407</v>
      </c>
      <c r="C1408" s="4" t="s">
        <v>33</v>
      </c>
      <c r="D1408" s="4" t="s">
        <v>16</v>
      </c>
      <c r="E1408" s="4" t="s">
        <v>35</v>
      </c>
      <c r="F1408" s="4" t="s">
        <v>18</v>
      </c>
      <c r="G1408" s="4" t="s">
        <v>19</v>
      </c>
      <c r="H1408" s="4" t="s">
        <v>20</v>
      </c>
      <c r="I1408" s="4">
        <v>7</v>
      </c>
      <c r="J1408" s="5">
        <v>20.7</v>
      </c>
      <c r="K1408" s="6">
        <v>1.21</v>
      </c>
      <c r="L1408" s="4">
        <v>2</v>
      </c>
      <c r="M1408" s="4">
        <v>119</v>
      </c>
      <c r="N1408" s="4">
        <v>99</v>
      </c>
      <c r="O1408" s="4" t="s">
        <v>26</v>
      </c>
      <c r="P1408" s="7" t="s">
        <v>30</v>
      </c>
    </row>
    <row r="1409" spans="2:16" x14ac:dyDescent="0.45">
      <c r="B1409" s="4">
        <v>1408</v>
      </c>
      <c r="C1409" s="4" t="s">
        <v>31</v>
      </c>
      <c r="D1409" s="4" t="s">
        <v>16</v>
      </c>
      <c r="E1409" s="4" t="s">
        <v>35</v>
      </c>
      <c r="F1409" s="4" t="s">
        <v>24</v>
      </c>
      <c r="G1409" s="4" t="s">
        <v>30</v>
      </c>
      <c r="H1409" s="4" t="s">
        <v>20</v>
      </c>
      <c r="I1409" s="4">
        <v>0</v>
      </c>
      <c r="J1409" s="5">
        <v>17.100000000000001</v>
      </c>
      <c r="K1409" s="6">
        <v>1.01</v>
      </c>
      <c r="L1409" s="4">
        <v>0</v>
      </c>
      <c r="M1409" s="4">
        <v>110</v>
      </c>
      <c r="N1409" s="4">
        <v>88</v>
      </c>
      <c r="O1409" s="4" t="s">
        <v>21</v>
      </c>
      <c r="P1409" s="7" t="s">
        <v>19</v>
      </c>
    </row>
    <row r="1410" spans="2:16" x14ac:dyDescent="0.45">
      <c r="B1410" s="4">
        <v>1409</v>
      </c>
      <c r="C1410" s="4" t="s">
        <v>45</v>
      </c>
      <c r="D1410" s="4" t="s">
        <v>23</v>
      </c>
      <c r="E1410" s="4" t="s">
        <v>17</v>
      </c>
      <c r="F1410" s="4" t="s">
        <v>28</v>
      </c>
      <c r="G1410" s="4" t="s">
        <v>19</v>
      </c>
      <c r="H1410" s="4" t="s">
        <v>28</v>
      </c>
      <c r="I1410" s="4">
        <v>37</v>
      </c>
      <c r="J1410" s="5">
        <v>53.5</v>
      </c>
      <c r="K1410" s="6">
        <v>1.69</v>
      </c>
      <c r="L1410" s="4">
        <v>4</v>
      </c>
      <c r="M1410" s="4">
        <v>121</v>
      </c>
      <c r="N1410" s="4">
        <v>73</v>
      </c>
      <c r="O1410" s="4" t="s">
        <v>21</v>
      </c>
      <c r="P1410" s="7" t="s">
        <v>30</v>
      </c>
    </row>
    <row r="1411" spans="2:16" x14ac:dyDescent="0.45">
      <c r="B1411" s="4">
        <v>1410</v>
      </c>
      <c r="C1411" s="4" t="s">
        <v>27</v>
      </c>
      <c r="D1411" s="4" t="s">
        <v>16</v>
      </c>
      <c r="E1411" s="4" t="s">
        <v>35</v>
      </c>
      <c r="F1411" s="4" t="s">
        <v>18</v>
      </c>
      <c r="G1411" s="4" t="s">
        <v>19</v>
      </c>
      <c r="H1411" s="4" t="s">
        <v>20</v>
      </c>
      <c r="I1411" s="4">
        <v>6</v>
      </c>
      <c r="J1411" s="5">
        <v>37.1</v>
      </c>
      <c r="K1411" s="6">
        <v>1.41</v>
      </c>
      <c r="L1411" s="4">
        <v>6</v>
      </c>
      <c r="M1411" s="4">
        <v>113</v>
      </c>
      <c r="N1411" s="4">
        <v>91</v>
      </c>
      <c r="O1411" s="4" t="s">
        <v>26</v>
      </c>
      <c r="P1411" s="7" t="s">
        <v>19</v>
      </c>
    </row>
    <row r="1412" spans="2:16" x14ac:dyDescent="0.45">
      <c r="B1412" s="4">
        <v>1411</v>
      </c>
      <c r="C1412" s="4" t="s">
        <v>41</v>
      </c>
      <c r="D1412" s="4" t="s">
        <v>23</v>
      </c>
      <c r="E1412" s="4" t="s">
        <v>35</v>
      </c>
      <c r="F1412" s="4" t="s">
        <v>18</v>
      </c>
      <c r="G1412" s="4" t="s">
        <v>19</v>
      </c>
      <c r="H1412" s="4" t="s">
        <v>25</v>
      </c>
      <c r="I1412" s="4">
        <v>28</v>
      </c>
      <c r="J1412" s="5">
        <v>64.2</v>
      </c>
      <c r="K1412" s="6">
        <v>1.76</v>
      </c>
      <c r="L1412" s="4">
        <v>3</v>
      </c>
      <c r="M1412" s="4">
        <v>110</v>
      </c>
      <c r="N1412" s="4">
        <v>85</v>
      </c>
      <c r="O1412" s="4" t="s">
        <v>26</v>
      </c>
      <c r="P1412" s="7" t="s">
        <v>19</v>
      </c>
    </row>
    <row r="1413" spans="2:16" x14ac:dyDescent="0.45">
      <c r="B1413" s="4">
        <v>1412</v>
      </c>
      <c r="C1413" s="4" t="s">
        <v>45</v>
      </c>
      <c r="D1413" s="4" t="s">
        <v>16</v>
      </c>
      <c r="E1413" s="4" t="s">
        <v>17</v>
      </c>
      <c r="F1413" s="4" t="s">
        <v>24</v>
      </c>
      <c r="G1413" s="4" t="s">
        <v>19</v>
      </c>
      <c r="H1413" s="4" t="s">
        <v>36</v>
      </c>
      <c r="I1413" s="4">
        <v>22</v>
      </c>
      <c r="J1413" s="5">
        <v>57.7</v>
      </c>
      <c r="K1413" s="6">
        <v>1.62</v>
      </c>
      <c r="L1413" s="4">
        <v>2</v>
      </c>
      <c r="M1413" s="4">
        <v>117</v>
      </c>
      <c r="N1413" s="4">
        <v>87</v>
      </c>
      <c r="O1413" s="4" t="s">
        <v>26</v>
      </c>
      <c r="P1413" s="7" t="s">
        <v>19</v>
      </c>
    </row>
    <row r="1414" spans="2:16" x14ac:dyDescent="0.45">
      <c r="B1414" s="4">
        <v>1413</v>
      </c>
      <c r="C1414" s="4" t="s">
        <v>41</v>
      </c>
      <c r="D1414" s="4" t="s">
        <v>23</v>
      </c>
      <c r="E1414" s="4" t="s">
        <v>35</v>
      </c>
      <c r="F1414" s="4" t="s">
        <v>24</v>
      </c>
      <c r="G1414" s="4" t="s">
        <v>30</v>
      </c>
      <c r="H1414" s="4" t="s">
        <v>20</v>
      </c>
      <c r="I1414" s="4">
        <v>23</v>
      </c>
      <c r="J1414" s="5">
        <v>46.2</v>
      </c>
      <c r="K1414" s="6">
        <v>1.58</v>
      </c>
      <c r="L1414" s="4">
        <v>4</v>
      </c>
      <c r="M1414" s="4">
        <v>129</v>
      </c>
      <c r="N1414" s="4">
        <v>90</v>
      </c>
      <c r="O1414" s="4" t="s">
        <v>26</v>
      </c>
      <c r="P1414" s="7" t="s">
        <v>30</v>
      </c>
    </row>
    <row r="1415" spans="2:16" x14ac:dyDescent="0.45">
      <c r="B1415" s="4">
        <v>1414</v>
      </c>
      <c r="C1415" s="4" t="s">
        <v>29</v>
      </c>
      <c r="D1415" s="4" t="s">
        <v>16</v>
      </c>
      <c r="E1415" s="4" t="s">
        <v>44</v>
      </c>
      <c r="F1415" s="4" t="s">
        <v>24</v>
      </c>
      <c r="G1415" s="4" t="s">
        <v>19</v>
      </c>
      <c r="H1415" s="4" t="s">
        <v>20</v>
      </c>
      <c r="I1415" s="4">
        <v>18</v>
      </c>
      <c r="J1415" s="5">
        <v>75.3</v>
      </c>
      <c r="K1415" s="6">
        <v>1.87</v>
      </c>
      <c r="L1415" s="4">
        <v>1</v>
      </c>
      <c r="M1415" s="4">
        <v>120</v>
      </c>
      <c r="N1415" s="4">
        <v>85</v>
      </c>
      <c r="O1415" s="4" t="s">
        <v>26</v>
      </c>
      <c r="P1415" s="7" t="s">
        <v>19</v>
      </c>
    </row>
    <row r="1416" spans="2:16" x14ac:dyDescent="0.45">
      <c r="B1416" s="4">
        <v>1415</v>
      </c>
      <c r="C1416" s="4" t="s">
        <v>27</v>
      </c>
      <c r="D1416" s="4" t="s">
        <v>23</v>
      </c>
      <c r="E1416" s="4" t="s">
        <v>35</v>
      </c>
      <c r="F1416" s="4" t="s">
        <v>18</v>
      </c>
      <c r="G1416" s="4" t="s">
        <v>30</v>
      </c>
      <c r="H1416" s="4" t="s">
        <v>28</v>
      </c>
      <c r="I1416" s="4">
        <v>33</v>
      </c>
      <c r="J1416" s="5">
        <v>83.2</v>
      </c>
      <c r="K1416" s="6">
        <v>1.61</v>
      </c>
      <c r="L1416" s="4">
        <v>3</v>
      </c>
      <c r="M1416" s="4">
        <v>110</v>
      </c>
      <c r="N1416" s="4">
        <v>94</v>
      </c>
      <c r="O1416" s="4" t="s">
        <v>21</v>
      </c>
      <c r="P1416" s="7" t="s">
        <v>19</v>
      </c>
    </row>
    <row r="1417" spans="2:16" x14ac:dyDescent="0.45">
      <c r="B1417" s="4">
        <v>1416</v>
      </c>
      <c r="C1417" s="4" t="s">
        <v>22</v>
      </c>
      <c r="D1417" s="4" t="s">
        <v>16</v>
      </c>
      <c r="E1417" s="4" t="s">
        <v>35</v>
      </c>
      <c r="F1417" s="4" t="s">
        <v>24</v>
      </c>
      <c r="G1417" s="4" t="s">
        <v>19</v>
      </c>
      <c r="H1417" s="4" t="s">
        <v>34</v>
      </c>
      <c r="I1417" s="4">
        <v>11</v>
      </c>
      <c r="J1417" s="5">
        <v>33.6</v>
      </c>
      <c r="K1417" s="6">
        <v>1.39</v>
      </c>
      <c r="L1417" s="4">
        <v>8</v>
      </c>
      <c r="M1417" s="4">
        <v>117</v>
      </c>
      <c r="N1417" s="4">
        <v>79</v>
      </c>
      <c r="O1417" s="4" t="s">
        <v>26</v>
      </c>
      <c r="P1417" s="7" t="s">
        <v>19</v>
      </c>
    </row>
    <row r="1418" spans="2:16" x14ac:dyDescent="0.45">
      <c r="B1418" s="4">
        <v>1417</v>
      </c>
      <c r="C1418" s="4" t="s">
        <v>27</v>
      </c>
      <c r="D1418" s="4" t="s">
        <v>23</v>
      </c>
      <c r="E1418" s="4" t="s">
        <v>37</v>
      </c>
      <c r="F1418" s="4" t="s">
        <v>24</v>
      </c>
      <c r="G1418" s="4" t="s">
        <v>19</v>
      </c>
      <c r="H1418" s="4" t="s">
        <v>36</v>
      </c>
      <c r="I1418" s="4">
        <v>4</v>
      </c>
      <c r="J1418" s="5">
        <v>8.6</v>
      </c>
      <c r="K1418" s="6">
        <v>0.67</v>
      </c>
      <c r="L1418" s="4">
        <v>1</v>
      </c>
      <c r="M1418" s="4">
        <v>127</v>
      </c>
      <c r="N1418" s="4">
        <v>91</v>
      </c>
      <c r="O1418" s="4" t="s">
        <v>26</v>
      </c>
      <c r="P1418" s="7" t="s">
        <v>19</v>
      </c>
    </row>
    <row r="1419" spans="2:16" x14ac:dyDescent="0.45">
      <c r="B1419" s="4">
        <v>1418</v>
      </c>
      <c r="C1419" s="4" t="s">
        <v>40</v>
      </c>
      <c r="D1419" s="4" t="s">
        <v>23</v>
      </c>
      <c r="E1419" s="4" t="s">
        <v>17</v>
      </c>
      <c r="F1419" s="4" t="s">
        <v>24</v>
      </c>
      <c r="G1419" s="4" t="s">
        <v>19</v>
      </c>
      <c r="H1419" s="4" t="s">
        <v>28</v>
      </c>
      <c r="I1419" s="4">
        <v>74</v>
      </c>
      <c r="J1419" s="5">
        <v>88.9</v>
      </c>
      <c r="K1419" s="6">
        <v>1.84</v>
      </c>
      <c r="L1419" s="4">
        <v>3</v>
      </c>
      <c r="M1419" s="4">
        <v>137</v>
      </c>
      <c r="N1419" s="4">
        <v>102</v>
      </c>
      <c r="O1419" s="4" t="s">
        <v>26</v>
      </c>
      <c r="P1419" s="7" t="s">
        <v>19</v>
      </c>
    </row>
    <row r="1420" spans="2:16" x14ac:dyDescent="0.45">
      <c r="B1420" s="4">
        <v>1419</v>
      </c>
      <c r="C1420" s="4" t="s">
        <v>22</v>
      </c>
      <c r="D1420" s="4" t="s">
        <v>23</v>
      </c>
      <c r="E1420" s="4" t="s">
        <v>37</v>
      </c>
      <c r="F1420" s="4" t="s">
        <v>24</v>
      </c>
      <c r="G1420" s="4" t="s">
        <v>19</v>
      </c>
      <c r="H1420" s="4" t="s">
        <v>32</v>
      </c>
      <c r="I1420" s="4">
        <v>20</v>
      </c>
      <c r="J1420" s="5">
        <v>85.4</v>
      </c>
      <c r="K1420" s="6">
        <v>1.87</v>
      </c>
      <c r="L1420" s="4">
        <v>0</v>
      </c>
      <c r="M1420" s="4">
        <v>116</v>
      </c>
      <c r="N1420" s="4">
        <v>157</v>
      </c>
      <c r="O1420" s="4" t="s">
        <v>26</v>
      </c>
      <c r="P1420" s="7" t="s">
        <v>30</v>
      </c>
    </row>
    <row r="1421" spans="2:16" x14ac:dyDescent="0.45">
      <c r="B1421" s="4">
        <v>1420</v>
      </c>
      <c r="C1421" s="4" t="s">
        <v>22</v>
      </c>
      <c r="D1421" s="4" t="s">
        <v>16</v>
      </c>
      <c r="E1421" s="4" t="s">
        <v>35</v>
      </c>
      <c r="F1421" s="4" t="s">
        <v>28</v>
      </c>
      <c r="G1421" s="4" t="s">
        <v>19</v>
      </c>
      <c r="H1421" s="4" t="s">
        <v>38</v>
      </c>
      <c r="I1421" s="4">
        <v>22</v>
      </c>
      <c r="J1421" s="5">
        <v>72.400000000000006</v>
      </c>
      <c r="K1421" s="6">
        <v>1.53</v>
      </c>
      <c r="L1421" s="4">
        <v>4</v>
      </c>
      <c r="M1421" s="4">
        <v>121</v>
      </c>
      <c r="N1421" s="4">
        <v>99</v>
      </c>
      <c r="O1421" s="4" t="s">
        <v>26</v>
      </c>
      <c r="P1421" s="7" t="s">
        <v>19</v>
      </c>
    </row>
    <row r="1422" spans="2:16" x14ac:dyDescent="0.45">
      <c r="B1422" s="4">
        <v>1421</v>
      </c>
      <c r="C1422" s="4" t="s">
        <v>41</v>
      </c>
      <c r="D1422" s="4" t="s">
        <v>16</v>
      </c>
      <c r="E1422" s="4" t="s">
        <v>35</v>
      </c>
      <c r="F1422" s="4" t="s">
        <v>18</v>
      </c>
      <c r="G1422" s="4" t="s">
        <v>19</v>
      </c>
      <c r="H1422" s="4" t="s">
        <v>34</v>
      </c>
      <c r="I1422" s="4">
        <v>51</v>
      </c>
      <c r="J1422" s="5">
        <v>73.900000000000006</v>
      </c>
      <c r="K1422" s="6">
        <v>1.56</v>
      </c>
      <c r="L1422" s="4">
        <v>2</v>
      </c>
      <c r="M1422" s="4">
        <v>129</v>
      </c>
      <c r="N1422" s="4">
        <v>87</v>
      </c>
      <c r="O1422" s="4" t="s">
        <v>26</v>
      </c>
      <c r="P1422" s="7" t="s">
        <v>19</v>
      </c>
    </row>
    <row r="1423" spans="2:16" x14ac:dyDescent="0.45">
      <c r="B1423" s="4">
        <v>1422</v>
      </c>
      <c r="C1423" s="4" t="s">
        <v>22</v>
      </c>
      <c r="D1423" s="4" t="s">
        <v>16</v>
      </c>
      <c r="E1423" s="4" t="s">
        <v>17</v>
      </c>
      <c r="F1423" s="4" t="s">
        <v>18</v>
      </c>
      <c r="G1423" s="4" t="s">
        <v>19</v>
      </c>
      <c r="H1423" s="4" t="s">
        <v>38</v>
      </c>
      <c r="I1423" s="4">
        <v>7</v>
      </c>
      <c r="J1423" s="5">
        <v>37.299999999999997</v>
      </c>
      <c r="K1423" s="6">
        <v>1.23</v>
      </c>
      <c r="L1423" s="4">
        <v>1</v>
      </c>
      <c r="M1423" s="4">
        <v>98</v>
      </c>
      <c r="N1423" s="4">
        <v>97</v>
      </c>
      <c r="O1423" s="4" t="s">
        <v>26</v>
      </c>
      <c r="P1423" s="7" t="s">
        <v>19</v>
      </c>
    </row>
    <row r="1424" spans="2:16" x14ac:dyDescent="0.45">
      <c r="B1424" s="4">
        <v>1423</v>
      </c>
      <c r="C1424" s="4" t="s">
        <v>33</v>
      </c>
      <c r="D1424" s="4" t="s">
        <v>16</v>
      </c>
      <c r="E1424" s="4" t="s">
        <v>17</v>
      </c>
      <c r="F1424" s="4" t="s">
        <v>28</v>
      </c>
      <c r="G1424" s="4" t="s">
        <v>19</v>
      </c>
      <c r="H1424" s="4" t="s">
        <v>34</v>
      </c>
      <c r="I1424" s="4">
        <v>13</v>
      </c>
      <c r="J1424" s="5">
        <v>46.5</v>
      </c>
      <c r="K1424" s="6">
        <v>1.7</v>
      </c>
      <c r="L1424" s="4">
        <v>3</v>
      </c>
      <c r="M1424" s="4">
        <v>106</v>
      </c>
      <c r="N1424" s="4">
        <v>89</v>
      </c>
      <c r="O1424" s="4" t="s">
        <v>26</v>
      </c>
      <c r="P1424" s="7" t="s">
        <v>19</v>
      </c>
    </row>
    <row r="1425" spans="2:16" x14ac:dyDescent="0.45">
      <c r="B1425" s="4">
        <v>1424</v>
      </c>
      <c r="C1425" s="4" t="s">
        <v>41</v>
      </c>
      <c r="D1425" s="4" t="s">
        <v>23</v>
      </c>
      <c r="E1425" s="4" t="s">
        <v>17</v>
      </c>
      <c r="F1425" s="4" t="s">
        <v>18</v>
      </c>
      <c r="G1425" s="4" t="s">
        <v>19</v>
      </c>
      <c r="H1425" s="4" t="s">
        <v>28</v>
      </c>
      <c r="I1425" s="4">
        <v>37</v>
      </c>
      <c r="J1425" s="5">
        <v>45.3</v>
      </c>
      <c r="K1425" s="6">
        <v>1.57</v>
      </c>
      <c r="L1425" s="4">
        <v>1</v>
      </c>
      <c r="M1425" s="4">
        <v>118</v>
      </c>
      <c r="N1425" s="4">
        <v>101</v>
      </c>
      <c r="O1425" s="4" t="s">
        <v>26</v>
      </c>
      <c r="P1425" s="7" t="s">
        <v>30</v>
      </c>
    </row>
    <row r="1426" spans="2:16" x14ac:dyDescent="0.45">
      <c r="B1426" s="4">
        <v>1425</v>
      </c>
      <c r="C1426" s="4" t="s">
        <v>22</v>
      </c>
      <c r="D1426" s="4" t="s">
        <v>23</v>
      </c>
      <c r="E1426" s="4" t="s">
        <v>35</v>
      </c>
      <c r="F1426" s="4" t="s">
        <v>42</v>
      </c>
      <c r="G1426" s="4" t="s">
        <v>19</v>
      </c>
      <c r="H1426" s="4" t="s">
        <v>25</v>
      </c>
      <c r="I1426" s="4">
        <v>24</v>
      </c>
      <c r="J1426" s="5">
        <v>74.400000000000006</v>
      </c>
      <c r="K1426" s="6">
        <v>1.67</v>
      </c>
      <c r="L1426" s="4">
        <v>7</v>
      </c>
      <c r="M1426" s="4">
        <v>97</v>
      </c>
      <c r="N1426" s="4">
        <v>98</v>
      </c>
      <c r="O1426" s="4" t="s">
        <v>26</v>
      </c>
      <c r="P1426" s="7" t="s">
        <v>19</v>
      </c>
    </row>
    <row r="1427" spans="2:16" x14ac:dyDescent="0.45">
      <c r="B1427" s="4">
        <v>1426</v>
      </c>
      <c r="C1427" s="4" t="s">
        <v>39</v>
      </c>
      <c r="D1427" s="4" t="s">
        <v>16</v>
      </c>
      <c r="E1427" s="4" t="s">
        <v>17</v>
      </c>
      <c r="F1427" s="4" t="s">
        <v>28</v>
      </c>
      <c r="G1427" s="4" t="s">
        <v>19</v>
      </c>
      <c r="H1427" s="4" t="s">
        <v>32</v>
      </c>
      <c r="I1427" s="4">
        <v>5</v>
      </c>
      <c r="J1427" s="5">
        <v>24.1</v>
      </c>
      <c r="K1427" s="6">
        <v>1.07</v>
      </c>
      <c r="L1427" s="4">
        <v>2</v>
      </c>
      <c r="M1427" s="4">
        <v>114</v>
      </c>
      <c r="N1427" s="4">
        <v>152</v>
      </c>
      <c r="O1427" s="4" t="s">
        <v>26</v>
      </c>
      <c r="P1427" s="7" t="s">
        <v>19</v>
      </c>
    </row>
    <row r="1428" spans="2:16" x14ac:dyDescent="0.45">
      <c r="B1428" s="4">
        <v>1427</v>
      </c>
      <c r="C1428" s="4" t="s">
        <v>33</v>
      </c>
      <c r="D1428" s="4" t="s">
        <v>23</v>
      </c>
      <c r="E1428" s="4" t="s">
        <v>35</v>
      </c>
      <c r="F1428" s="4" t="s">
        <v>24</v>
      </c>
      <c r="G1428" s="4" t="s">
        <v>19</v>
      </c>
      <c r="H1428" s="4" t="s">
        <v>32</v>
      </c>
      <c r="I1428" s="4">
        <v>39</v>
      </c>
      <c r="J1428" s="5">
        <v>79.099999999999994</v>
      </c>
      <c r="K1428" s="6">
        <v>1.65</v>
      </c>
      <c r="L1428" s="4">
        <v>2</v>
      </c>
      <c r="M1428" s="4">
        <v>110</v>
      </c>
      <c r="N1428" s="4">
        <v>142</v>
      </c>
      <c r="O1428" s="4" t="s">
        <v>26</v>
      </c>
      <c r="P1428" s="7" t="s">
        <v>19</v>
      </c>
    </row>
    <row r="1429" spans="2:16" x14ac:dyDescent="0.45">
      <c r="B1429" s="4">
        <v>1428</v>
      </c>
      <c r="C1429" s="4" t="s">
        <v>27</v>
      </c>
      <c r="D1429" s="4" t="s">
        <v>16</v>
      </c>
      <c r="E1429" s="4" t="s">
        <v>35</v>
      </c>
      <c r="F1429" s="4" t="s">
        <v>24</v>
      </c>
      <c r="G1429" s="4" t="s">
        <v>19</v>
      </c>
      <c r="H1429" s="4" t="s">
        <v>46</v>
      </c>
      <c r="I1429" s="4">
        <v>14</v>
      </c>
      <c r="J1429" s="5">
        <v>41.8</v>
      </c>
      <c r="K1429" s="6">
        <v>1.47</v>
      </c>
      <c r="L1429" s="4">
        <v>1</v>
      </c>
      <c r="M1429" s="4">
        <v>96</v>
      </c>
      <c r="N1429" s="4">
        <v>93</v>
      </c>
      <c r="O1429" s="4" t="s">
        <v>26</v>
      </c>
      <c r="P1429" s="7" t="s">
        <v>19</v>
      </c>
    </row>
    <row r="1430" spans="2:16" x14ac:dyDescent="0.45">
      <c r="B1430" s="4">
        <v>1429</v>
      </c>
      <c r="C1430" s="4" t="s">
        <v>33</v>
      </c>
      <c r="D1430" s="4" t="s">
        <v>16</v>
      </c>
      <c r="E1430" s="4" t="s">
        <v>17</v>
      </c>
      <c r="F1430" s="4" t="s">
        <v>24</v>
      </c>
      <c r="G1430" s="4" t="s">
        <v>19</v>
      </c>
      <c r="H1430" s="4" t="s">
        <v>20</v>
      </c>
      <c r="I1430" s="4">
        <v>14</v>
      </c>
      <c r="J1430" s="5">
        <v>47.9</v>
      </c>
      <c r="K1430" s="6">
        <v>1.61</v>
      </c>
      <c r="L1430" s="4">
        <v>0</v>
      </c>
      <c r="M1430" s="4">
        <v>103</v>
      </c>
      <c r="N1430" s="4">
        <v>99</v>
      </c>
      <c r="O1430" s="4" t="s">
        <v>26</v>
      </c>
      <c r="P1430" s="7" t="s">
        <v>19</v>
      </c>
    </row>
    <row r="1431" spans="2:16" x14ac:dyDescent="0.45">
      <c r="B1431" s="4">
        <v>1430</v>
      </c>
      <c r="C1431" s="4" t="s">
        <v>22</v>
      </c>
      <c r="D1431" s="4" t="s">
        <v>16</v>
      </c>
      <c r="E1431" s="4" t="s">
        <v>35</v>
      </c>
      <c r="F1431" s="4" t="s">
        <v>24</v>
      </c>
      <c r="G1431" s="4" t="s">
        <v>30</v>
      </c>
      <c r="H1431" s="4" t="s">
        <v>38</v>
      </c>
      <c r="I1431" s="4">
        <v>90</v>
      </c>
      <c r="J1431" s="5">
        <v>69.5</v>
      </c>
      <c r="K1431" s="6">
        <v>1.58</v>
      </c>
      <c r="L1431" s="4">
        <v>2</v>
      </c>
      <c r="M1431" s="4">
        <v>126</v>
      </c>
      <c r="N1431" s="4">
        <v>80</v>
      </c>
      <c r="O1431" s="4" t="s">
        <v>21</v>
      </c>
      <c r="P1431" s="7" t="s">
        <v>19</v>
      </c>
    </row>
    <row r="1432" spans="2:16" x14ac:dyDescent="0.45">
      <c r="B1432" s="4">
        <v>1431</v>
      </c>
      <c r="C1432" s="4" t="s">
        <v>43</v>
      </c>
      <c r="D1432" s="4" t="s">
        <v>23</v>
      </c>
      <c r="E1432" s="4" t="s">
        <v>44</v>
      </c>
      <c r="F1432" s="4" t="s">
        <v>42</v>
      </c>
      <c r="G1432" s="4" t="s">
        <v>19</v>
      </c>
      <c r="H1432" s="4" t="s">
        <v>32</v>
      </c>
      <c r="I1432" s="4">
        <v>36</v>
      </c>
      <c r="J1432" s="5">
        <v>75</v>
      </c>
      <c r="K1432" s="6">
        <v>1.63</v>
      </c>
      <c r="L1432" s="4">
        <v>5</v>
      </c>
      <c r="M1432" s="4">
        <v>122</v>
      </c>
      <c r="N1432" s="4">
        <v>159</v>
      </c>
      <c r="O1432" s="4" t="s">
        <v>26</v>
      </c>
      <c r="P1432" s="7" t="s">
        <v>30</v>
      </c>
    </row>
    <row r="1433" spans="2:16" x14ac:dyDescent="0.45">
      <c r="B1433" s="4">
        <v>1432</v>
      </c>
      <c r="C1433" s="4" t="s">
        <v>33</v>
      </c>
      <c r="D1433" s="4" t="s">
        <v>23</v>
      </c>
      <c r="E1433" s="4" t="s">
        <v>17</v>
      </c>
      <c r="F1433" s="4" t="s">
        <v>24</v>
      </c>
      <c r="G1433" s="4" t="s">
        <v>19</v>
      </c>
      <c r="H1433" s="4" t="s">
        <v>34</v>
      </c>
      <c r="I1433" s="4">
        <v>44</v>
      </c>
      <c r="J1433" s="5">
        <v>93.9</v>
      </c>
      <c r="K1433" s="6">
        <v>1.48</v>
      </c>
      <c r="L1433" s="4">
        <v>9</v>
      </c>
      <c r="M1433" s="4">
        <v>119</v>
      </c>
      <c r="N1433" s="4">
        <v>97</v>
      </c>
      <c r="O1433" s="4" t="s">
        <v>21</v>
      </c>
      <c r="P1433" s="7" t="s">
        <v>30</v>
      </c>
    </row>
    <row r="1434" spans="2:16" x14ac:dyDescent="0.45">
      <c r="B1434" s="4">
        <v>1433</v>
      </c>
      <c r="C1434" s="4" t="s">
        <v>40</v>
      </c>
      <c r="D1434" s="4" t="s">
        <v>16</v>
      </c>
      <c r="E1434" s="4" t="s">
        <v>44</v>
      </c>
      <c r="F1434" s="4" t="s">
        <v>28</v>
      </c>
      <c r="G1434" s="4" t="s">
        <v>19</v>
      </c>
      <c r="H1434" s="4" t="s">
        <v>34</v>
      </c>
      <c r="I1434" s="4">
        <v>7</v>
      </c>
      <c r="J1434" s="5">
        <v>34</v>
      </c>
      <c r="K1434" s="6">
        <v>1.07</v>
      </c>
      <c r="L1434" s="4">
        <v>2</v>
      </c>
      <c r="M1434" s="4">
        <v>112</v>
      </c>
      <c r="N1434" s="4">
        <v>102</v>
      </c>
      <c r="O1434" s="4" t="s">
        <v>26</v>
      </c>
      <c r="P1434" s="7" t="s">
        <v>19</v>
      </c>
    </row>
    <row r="1435" spans="2:16" x14ac:dyDescent="0.45">
      <c r="B1435" s="4">
        <v>1434</v>
      </c>
      <c r="C1435" s="4" t="s">
        <v>41</v>
      </c>
      <c r="D1435" s="4" t="s">
        <v>23</v>
      </c>
      <c r="E1435" s="4" t="s">
        <v>17</v>
      </c>
      <c r="F1435" s="4" t="s">
        <v>24</v>
      </c>
      <c r="G1435" s="4" t="s">
        <v>19</v>
      </c>
      <c r="H1435" s="4" t="s">
        <v>20</v>
      </c>
      <c r="I1435" s="4">
        <v>37</v>
      </c>
      <c r="J1435" s="5">
        <v>45.4</v>
      </c>
      <c r="K1435" s="6">
        <v>1.76</v>
      </c>
      <c r="L1435" s="4">
        <v>5</v>
      </c>
      <c r="M1435" s="4">
        <v>102</v>
      </c>
      <c r="N1435" s="4">
        <v>75</v>
      </c>
      <c r="O1435" s="4" t="s">
        <v>21</v>
      </c>
      <c r="P1435" s="7" t="s">
        <v>19</v>
      </c>
    </row>
    <row r="1436" spans="2:16" x14ac:dyDescent="0.45">
      <c r="B1436" s="4">
        <v>1435</v>
      </c>
      <c r="C1436" s="4" t="s">
        <v>33</v>
      </c>
      <c r="D1436" s="4" t="s">
        <v>23</v>
      </c>
      <c r="E1436" s="4" t="s">
        <v>17</v>
      </c>
      <c r="F1436" s="4" t="s">
        <v>42</v>
      </c>
      <c r="G1436" s="4" t="s">
        <v>19</v>
      </c>
      <c r="H1436" s="4" t="s">
        <v>32</v>
      </c>
      <c r="I1436" s="4">
        <v>33</v>
      </c>
      <c r="J1436" s="5">
        <v>46.4</v>
      </c>
      <c r="K1436" s="6">
        <v>1.87</v>
      </c>
      <c r="L1436" s="4">
        <v>1</v>
      </c>
      <c r="M1436" s="4">
        <v>117</v>
      </c>
      <c r="N1436" s="4">
        <v>141</v>
      </c>
      <c r="O1436" s="4" t="s">
        <v>26</v>
      </c>
      <c r="P1436" s="7" t="s">
        <v>30</v>
      </c>
    </row>
    <row r="1437" spans="2:16" x14ac:dyDescent="0.45">
      <c r="B1437" s="4">
        <v>1436</v>
      </c>
      <c r="C1437" s="4" t="s">
        <v>43</v>
      </c>
      <c r="D1437" s="4" t="s">
        <v>23</v>
      </c>
      <c r="E1437" s="4" t="s">
        <v>17</v>
      </c>
      <c r="F1437" s="4" t="s">
        <v>24</v>
      </c>
      <c r="G1437" s="4" t="s">
        <v>19</v>
      </c>
      <c r="H1437" s="4" t="s">
        <v>38</v>
      </c>
      <c r="I1437" s="4">
        <v>0</v>
      </c>
      <c r="J1437" s="5">
        <v>14.4</v>
      </c>
      <c r="K1437" s="6">
        <v>0.9</v>
      </c>
      <c r="L1437" s="4">
        <v>0</v>
      </c>
      <c r="M1437" s="4">
        <v>108</v>
      </c>
      <c r="N1437" s="4">
        <v>84</v>
      </c>
      <c r="O1437" s="4" t="s">
        <v>26</v>
      </c>
      <c r="P1437" s="7" t="s">
        <v>19</v>
      </c>
    </row>
    <row r="1438" spans="2:16" x14ac:dyDescent="0.45">
      <c r="B1438" s="4">
        <v>1437</v>
      </c>
      <c r="C1438" s="4" t="s">
        <v>31</v>
      </c>
      <c r="D1438" s="4" t="s">
        <v>23</v>
      </c>
      <c r="E1438" s="4" t="s">
        <v>17</v>
      </c>
      <c r="F1438" s="4" t="s">
        <v>18</v>
      </c>
      <c r="G1438" s="4" t="s">
        <v>19</v>
      </c>
      <c r="H1438" s="4" t="s">
        <v>38</v>
      </c>
      <c r="I1438" s="4">
        <v>1</v>
      </c>
      <c r="J1438" s="5">
        <v>8.4</v>
      </c>
      <c r="K1438" s="6">
        <v>0.99</v>
      </c>
      <c r="L1438" s="4">
        <v>5</v>
      </c>
      <c r="M1438" s="4">
        <v>108</v>
      </c>
      <c r="N1438" s="4">
        <v>87</v>
      </c>
      <c r="O1438" s="4" t="s">
        <v>26</v>
      </c>
      <c r="P1438" s="7" t="s">
        <v>19</v>
      </c>
    </row>
    <row r="1439" spans="2:16" x14ac:dyDescent="0.45">
      <c r="B1439" s="4">
        <v>1438</v>
      </c>
      <c r="C1439" s="4" t="s">
        <v>40</v>
      </c>
      <c r="D1439" s="4" t="s">
        <v>23</v>
      </c>
      <c r="E1439" s="4" t="s">
        <v>17</v>
      </c>
      <c r="F1439" s="4" t="s">
        <v>24</v>
      </c>
      <c r="G1439" s="4" t="s">
        <v>19</v>
      </c>
      <c r="H1439" s="4" t="s">
        <v>34</v>
      </c>
      <c r="I1439" s="4">
        <v>26</v>
      </c>
      <c r="J1439" s="5">
        <v>71.5</v>
      </c>
      <c r="K1439" s="6">
        <v>1.5</v>
      </c>
      <c r="L1439" s="4">
        <v>6</v>
      </c>
      <c r="M1439" s="4">
        <v>108</v>
      </c>
      <c r="N1439" s="4">
        <v>76</v>
      </c>
      <c r="O1439" s="4" t="s">
        <v>21</v>
      </c>
      <c r="P1439" s="7" t="s">
        <v>19</v>
      </c>
    </row>
    <row r="1440" spans="2:16" x14ac:dyDescent="0.45">
      <c r="B1440" s="4">
        <v>1439</v>
      </c>
      <c r="C1440" s="4" t="s">
        <v>27</v>
      </c>
      <c r="D1440" s="4" t="s">
        <v>23</v>
      </c>
      <c r="E1440" s="4" t="s">
        <v>17</v>
      </c>
      <c r="F1440" s="4" t="s">
        <v>24</v>
      </c>
      <c r="G1440" s="4" t="s">
        <v>30</v>
      </c>
      <c r="H1440" s="4" t="s">
        <v>34</v>
      </c>
      <c r="I1440" s="4">
        <v>82</v>
      </c>
      <c r="J1440" s="5">
        <v>82.4</v>
      </c>
      <c r="K1440" s="6">
        <v>1.75</v>
      </c>
      <c r="L1440" s="4">
        <v>3</v>
      </c>
      <c r="M1440" s="4">
        <v>130</v>
      </c>
      <c r="N1440" s="4">
        <v>88</v>
      </c>
      <c r="O1440" s="4" t="s">
        <v>26</v>
      </c>
      <c r="P1440" s="7" t="s">
        <v>19</v>
      </c>
    </row>
    <row r="1441" spans="2:16" x14ac:dyDescent="0.45">
      <c r="B1441" s="4">
        <v>1440</v>
      </c>
      <c r="C1441" s="4" t="s">
        <v>45</v>
      </c>
      <c r="D1441" s="4" t="s">
        <v>23</v>
      </c>
      <c r="E1441" s="4" t="s">
        <v>35</v>
      </c>
      <c r="F1441" s="4" t="s">
        <v>24</v>
      </c>
      <c r="G1441" s="4" t="s">
        <v>19</v>
      </c>
      <c r="H1441" s="4" t="s">
        <v>32</v>
      </c>
      <c r="I1441" s="4">
        <v>45</v>
      </c>
      <c r="J1441" s="5">
        <v>77</v>
      </c>
      <c r="K1441" s="6">
        <v>1.75</v>
      </c>
      <c r="L1441" s="4">
        <v>6</v>
      </c>
      <c r="M1441" s="4">
        <v>110</v>
      </c>
      <c r="N1441" s="4">
        <v>131</v>
      </c>
      <c r="O1441" s="4" t="s">
        <v>26</v>
      </c>
      <c r="P1441" s="7" t="s">
        <v>19</v>
      </c>
    </row>
    <row r="1442" spans="2:16" x14ac:dyDescent="0.45">
      <c r="B1442" s="4">
        <v>1441</v>
      </c>
      <c r="C1442" s="4" t="s">
        <v>15</v>
      </c>
      <c r="D1442" s="4" t="s">
        <v>16</v>
      </c>
      <c r="E1442" s="4" t="s">
        <v>35</v>
      </c>
      <c r="F1442" s="4" t="s">
        <v>24</v>
      </c>
      <c r="G1442" s="4" t="s">
        <v>19</v>
      </c>
      <c r="H1442" s="4" t="s">
        <v>20</v>
      </c>
      <c r="I1442" s="4">
        <v>14</v>
      </c>
      <c r="J1442" s="5">
        <v>40.700000000000003</v>
      </c>
      <c r="K1442" s="6">
        <v>1.63</v>
      </c>
      <c r="L1442" s="4">
        <v>1</v>
      </c>
      <c r="M1442" s="4">
        <v>111</v>
      </c>
      <c r="N1442" s="4">
        <v>92</v>
      </c>
      <c r="O1442" s="4" t="s">
        <v>26</v>
      </c>
      <c r="P1442" s="7" t="s">
        <v>19</v>
      </c>
    </row>
    <row r="1443" spans="2:16" x14ac:dyDescent="0.45">
      <c r="B1443" s="4">
        <v>1442</v>
      </c>
      <c r="C1443" s="4" t="s">
        <v>27</v>
      </c>
      <c r="D1443" s="4" t="s">
        <v>16</v>
      </c>
      <c r="E1443" s="4" t="s">
        <v>44</v>
      </c>
      <c r="F1443" s="4" t="s">
        <v>18</v>
      </c>
      <c r="G1443" s="4" t="s">
        <v>19</v>
      </c>
      <c r="H1443" s="4" t="s">
        <v>20</v>
      </c>
      <c r="I1443" s="4">
        <v>22</v>
      </c>
      <c r="J1443" s="5">
        <v>47.9</v>
      </c>
      <c r="K1443" s="6">
        <v>1.5</v>
      </c>
      <c r="L1443" s="4">
        <v>2</v>
      </c>
      <c r="M1443" s="4">
        <v>104</v>
      </c>
      <c r="N1443" s="4">
        <v>93</v>
      </c>
      <c r="O1443" s="4" t="s">
        <v>21</v>
      </c>
      <c r="P1443" s="7" t="s">
        <v>19</v>
      </c>
    </row>
    <row r="1444" spans="2:16" x14ac:dyDescent="0.45">
      <c r="B1444" s="4">
        <v>1443</v>
      </c>
      <c r="C1444" s="4" t="s">
        <v>41</v>
      </c>
      <c r="D1444" s="4" t="s">
        <v>23</v>
      </c>
      <c r="E1444" s="4" t="s">
        <v>35</v>
      </c>
      <c r="F1444" s="4" t="s">
        <v>18</v>
      </c>
      <c r="G1444" s="4" t="s">
        <v>19</v>
      </c>
      <c r="H1444" s="4" t="s">
        <v>20</v>
      </c>
      <c r="I1444" s="4">
        <v>18</v>
      </c>
      <c r="J1444" s="5">
        <v>62.6</v>
      </c>
      <c r="K1444" s="6">
        <v>1.5</v>
      </c>
      <c r="L1444" s="4">
        <v>1</v>
      </c>
      <c r="M1444" s="4">
        <v>119</v>
      </c>
      <c r="N1444" s="4">
        <v>80</v>
      </c>
      <c r="O1444" s="4" t="s">
        <v>26</v>
      </c>
      <c r="P1444" s="7" t="s">
        <v>19</v>
      </c>
    </row>
    <row r="1445" spans="2:16" x14ac:dyDescent="0.45">
      <c r="B1445" s="4">
        <v>1444</v>
      </c>
      <c r="C1445" s="4" t="s">
        <v>43</v>
      </c>
      <c r="D1445" s="4" t="s">
        <v>16</v>
      </c>
      <c r="E1445" s="4" t="s">
        <v>35</v>
      </c>
      <c r="F1445" s="4" t="s">
        <v>24</v>
      </c>
      <c r="G1445" s="4" t="s">
        <v>19</v>
      </c>
      <c r="H1445" s="4" t="s">
        <v>28</v>
      </c>
      <c r="I1445" s="4">
        <v>75</v>
      </c>
      <c r="J1445" s="5">
        <v>81</v>
      </c>
      <c r="K1445" s="6">
        <v>1.75</v>
      </c>
      <c r="L1445" s="4">
        <v>6</v>
      </c>
      <c r="M1445" s="4">
        <v>136</v>
      </c>
      <c r="N1445" s="4">
        <v>91</v>
      </c>
      <c r="O1445" s="4" t="s">
        <v>26</v>
      </c>
      <c r="P1445" s="7" t="s">
        <v>19</v>
      </c>
    </row>
    <row r="1446" spans="2:16" x14ac:dyDescent="0.45">
      <c r="B1446" s="4">
        <v>1445</v>
      </c>
      <c r="C1446" s="4" t="s">
        <v>41</v>
      </c>
      <c r="D1446" s="4" t="s">
        <v>23</v>
      </c>
      <c r="E1446" s="4" t="s">
        <v>44</v>
      </c>
      <c r="F1446" s="4" t="s">
        <v>18</v>
      </c>
      <c r="G1446" s="4" t="s">
        <v>30</v>
      </c>
      <c r="H1446" s="4" t="s">
        <v>28</v>
      </c>
      <c r="I1446" s="4">
        <v>10</v>
      </c>
      <c r="J1446" s="5">
        <v>21.4</v>
      </c>
      <c r="K1446" s="6">
        <v>1.1399999999999999</v>
      </c>
      <c r="L1446" s="4">
        <v>0</v>
      </c>
      <c r="M1446" s="4">
        <v>112</v>
      </c>
      <c r="N1446" s="4">
        <v>101</v>
      </c>
      <c r="O1446" s="4" t="s">
        <v>21</v>
      </c>
      <c r="P1446" s="7" t="s">
        <v>19</v>
      </c>
    </row>
    <row r="1447" spans="2:16" x14ac:dyDescent="0.45">
      <c r="B1447" s="4">
        <v>1446</v>
      </c>
      <c r="C1447" s="4" t="s">
        <v>41</v>
      </c>
      <c r="D1447" s="4" t="s">
        <v>16</v>
      </c>
      <c r="E1447" s="4" t="s">
        <v>35</v>
      </c>
      <c r="F1447" s="4" t="s">
        <v>24</v>
      </c>
      <c r="G1447" s="4" t="s">
        <v>30</v>
      </c>
      <c r="H1447" s="4" t="s">
        <v>46</v>
      </c>
      <c r="I1447" s="4">
        <v>19</v>
      </c>
      <c r="J1447" s="5">
        <v>62</v>
      </c>
      <c r="K1447" s="6">
        <v>1.67</v>
      </c>
      <c r="L1447" s="4">
        <v>3</v>
      </c>
      <c r="M1447" s="4">
        <v>108</v>
      </c>
      <c r="N1447" s="4">
        <v>97</v>
      </c>
      <c r="O1447" s="4" t="s">
        <v>26</v>
      </c>
      <c r="P1447" s="7" t="s">
        <v>19</v>
      </c>
    </row>
    <row r="1448" spans="2:16" x14ac:dyDescent="0.45">
      <c r="B1448" s="4">
        <v>1447</v>
      </c>
      <c r="C1448" s="4" t="s">
        <v>41</v>
      </c>
      <c r="D1448" s="4" t="s">
        <v>23</v>
      </c>
      <c r="E1448" s="4" t="s">
        <v>35</v>
      </c>
      <c r="F1448" s="4" t="s">
        <v>18</v>
      </c>
      <c r="G1448" s="4" t="s">
        <v>19</v>
      </c>
      <c r="H1448" s="4" t="s">
        <v>36</v>
      </c>
      <c r="I1448" s="4">
        <v>4</v>
      </c>
      <c r="J1448" s="5">
        <v>11.6</v>
      </c>
      <c r="K1448" s="6">
        <v>0.79</v>
      </c>
      <c r="L1448" s="4">
        <v>1</v>
      </c>
      <c r="M1448" s="4">
        <v>127</v>
      </c>
      <c r="N1448" s="4">
        <v>95</v>
      </c>
      <c r="O1448" s="4" t="s">
        <v>21</v>
      </c>
      <c r="P1448" s="7" t="s">
        <v>19</v>
      </c>
    </row>
    <row r="1449" spans="2:16" x14ac:dyDescent="0.45">
      <c r="B1449" s="4">
        <v>1448</v>
      </c>
      <c r="C1449" s="4" t="s">
        <v>15</v>
      </c>
      <c r="D1449" s="4" t="s">
        <v>16</v>
      </c>
      <c r="E1449" s="4" t="s">
        <v>17</v>
      </c>
      <c r="F1449" s="4" t="s">
        <v>24</v>
      </c>
      <c r="G1449" s="4" t="s">
        <v>19</v>
      </c>
      <c r="H1449" s="4" t="s">
        <v>20</v>
      </c>
      <c r="I1449" s="4">
        <v>74</v>
      </c>
      <c r="J1449" s="5">
        <v>91.3</v>
      </c>
      <c r="K1449" s="6">
        <v>1.68</v>
      </c>
      <c r="L1449" s="4">
        <v>1</v>
      </c>
      <c r="M1449" s="4">
        <v>113</v>
      </c>
      <c r="N1449" s="4">
        <v>84</v>
      </c>
      <c r="O1449" s="4" t="s">
        <v>26</v>
      </c>
      <c r="P1449" s="7" t="s">
        <v>19</v>
      </c>
    </row>
    <row r="1450" spans="2:16" x14ac:dyDescent="0.45">
      <c r="B1450" s="4">
        <v>1449</v>
      </c>
      <c r="C1450" s="4" t="s">
        <v>39</v>
      </c>
      <c r="D1450" s="4" t="s">
        <v>23</v>
      </c>
      <c r="E1450" s="4" t="s">
        <v>35</v>
      </c>
      <c r="F1450" s="4" t="s">
        <v>18</v>
      </c>
      <c r="G1450" s="4" t="s">
        <v>19</v>
      </c>
      <c r="H1450" s="4" t="s">
        <v>28</v>
      </c>
      <c r="I1450" s="4">
        <v>34</v>
      </c>
      <c r="J1450" s="5">
        <v>58.6</v>
      </c>
      <c r="K1450" s="6">
        <v>1.79</v>
      </c>
      <c r="L1450" s="4">
        <v>4</v>
      </c>
      <c r="M1450" s="4">
        <v>104</v>
      </c>
      <c r="N1450" s="4">
        <v>73</v>
      </c>
      <c r="O1450" s="4" t="s">
        <v>26</v>
      </c>
      <c r="P1450" s="7" t="s">
        <v>19</v>
      </c>
    </row>
    <row r="1451" spans="2:16" x14ac:dyDescent="0.45">
      <c r="B1451" s="4">
        <v>1450</v>
      </c>
      <c r="C1451" s="4" t="s">
        <v>15</v>
      </c>
      <c r="D1451" s="4" t="s">
        <v>23</v>
      </c>
      <c r="E1451" s="4" t="s">
        <v>17</v>
      </c>
      <c r="F1451" s="4" t="s">
        <v>24</v>
      </c>
      <c r="G1451" s="4" t="s">
        <v>19</v>
      </c>
      <c r="H1451" s="4" t="s">
        <v>25</v>
      </c>
      <c r="I1451" s="4">
        <v>58</v>
      </c>
      <c r="J1451" s="5">
        <v>59</v>
      </c>
      <c r="K1451" s="6">
        <v>1.89</v>
      </c>
      <c r="L1451" s="4">
        <v>2</v>
      </c>
      <c r="M1451" s="4">
        <v>114</v>
      </c>
      <c r="N1451" s="4">
        <v>73</v>
      </c>
      <c r="O1451" s="4" t="s">
        <v>26</v>
      </c>
      <c r="P1451" s="7" t="s">
        <v>19</v>
      </c>
    </row>
    <row r="1452" spans="2:16" x14ac:dyDescent="0.45">
      <c r="B1452" s="4">
        <v>1451</v>
      </c>
      <c r="C1452" s="4" t="s">
        <v>40</v>
      </c>
      <c r="D1452" s="4" t="s">
        <v>23</v>
      </c>
      <c r="E1452" s="4" t="s">
        <v>17</v>
      </c>
      <c r="F1452" s="4" t="s">
        <v>24</v>
      </c>
      <c r="G1452" s="4" t="s">
        <v>19</v>
      </c>
      <c r="H1452" s="4" t="s">
        <v>32</v>
      </c>
      <c r="I1452" s="4">
        <v>14</v>
      </c>
      <c r="J1452" s="5">
        <v>49</v>
      </c>
      <c r="K1452" s="6">
        <v>1.47</v>
      </c>
      <c r="L1452" s="4">
        <v>10</v>
      </c>
      <c r="M1452" s="4">
        <v>107</v>
      </c>
      <c r="N1452" s="4">
        <v>155</v>
      </c>
      <c r="O1452" s="4" t="s">
        <v>26</v>
      </c>
      <c r="P1452" s="7" t="s">
        <v>19</v>
      </c>
    </row>
    <row r="1453" spans="2:16" x14ac:dyDescent="0.45">
      <c r="B1453" s="4">
        <v>1452</v>
      </c>
      <c r="C1453" s="4" t="s">
        <v>22</v>
      </c>
      <c r="D1453" s="4" t="s">
        <v>16</v>
      </c>
      <c r="E1453" s="4" t="s">
        <v>17</v>
      </c>
      <c r="F1453" s="4" t="s">
        <v>18</v>
      </c>
      <c r="G1453" s="4" t="s">
        <v>19</v>
      </c>
      <c r="H1453" s="4" t="s">
        <v>20</v>
      </c>
      <c r="I1453" s="4">
        <v>17</v>
      </c>
      <c r="J1453" s="5">
        <v>52</v>
      </c>
      <c r="K1453" s="6">
        <v>1.48</v>
      </c>
      <c r="L1453" s="4">
        <v>2</v>
      </c>
      <c r="M1453" s="4">
        <v>116</v>
      </c>
      <c r="N1453" s="4">
        <v>99</v>
      </c>
      <c r="O1453" s="4" t="s">
        <v>21</v>
      </c>
      <c r="P1453" s="7" t="s">
        <v>19</v>
      </c>
    </row>
    <row r="1454" spans="2:16" x14ac:dyDescent="0.45">
      <c r="B1454" s="4">
        <v>1453</v>
      </c>
      <c r="C1454" s="4" t="s">
        <v>27</v>
      </c>
      <c r="D1454" s="4" t="s">
        <v>16</v>
      </c>
      <c r="E1454" s="4" t="s">
        <v>17</v>
      </c>
      <c r="F1454" s="4" t="s">
        <v>24</v>
      </c>
      <c r="G1454" s="4" t="s">
        <v>19</v>
      </c>
      <c r="H1454" s="4" t="s">
        <v>36</v>
      </c>
      <c r="I1454" s="4">
        <v>17</v>
      </c>
      <c r="J1454" s="5">
        <v>40.200000000000003</v>
      </c>
      <c r="K1454" s="6">
        <v>1.72</v>
      </c>
      <c r="L1454" s="4">
        <v>3</v>
      </c>
      <c r="M1454" s="4">
        <v>130</v>
      </c>
      <c r="N1454" s="4">
        <v>100</v>
      </c>
      <c r="O1454" s="4" t="s">
        <v>21</v>
      </c>
      <c r="P1454" s="7" t="s">
        <v>30</v>
      </c>
    </row>
    <row r="1455" spans="2:16" x14ac:dyDescent="0.45">
      <c r="B1455" s="4">
        <v>1454</v>
      </c>
      <c r="C1455" s="4" t="s">
        <v>40</v>
      </c>
      <c r="D1455" s="4" t="s">
        <v>23</v>
      </c>
      <c r="E1455" s="4" t="s">
        <v>35</v>
      </c>
      <c r="F1455" s="4" t="s">
        <v>18</v>
      </c>
      <c r="G1455" s="4" t="s">
        <v>30</v>
      </c>
      <c r="H1455" s="4" t="s">
        <v>28</v>
      </c>
      <c r="I1455" s="4">
        <v>23</v>
      </c>
      <c r="J1455" s="5">
        <v>61.4</v>
      </c>
      <c r="K1455" s="6">
        <v>1.88</v>
      </c>
      <c r="L1455" s="4">
        <v>9</v>
      </c>
      <c r="M1455" s="4">
        <v>120</v>
      </c>
      <c r="N1455" s="4">
        <v>98</v>
      </c>
      <c r="O1455" s="4" t="s">
        <v>26</v>
      </c>
      <c r="P1455" s="7" t="s">
        <v>19</v>
      </c>
    </row>
    <row r="1456" spans="2:16" x14ac:dyDescent="0.45">
      <c r="B1456" s="4">
        <v>1455</v>
      </c>
      <c r="C1456" s="4" t="s">
        <v>39</v>
      </c>
      <c r="D1456" s="4" t="s">
        <v>23</v>
      </c>
      <c r="E1456" s="4" t="s">
        <v>35</v>
      </c>
      <c r="F1456" s="4" t="s">
        <v>24</v>
      </c>
      <c r="G1456" s="4" t="s">
        <v>19</v>
      </c>
      <c r="H1456" s="4" t="s">
        <v>20</v>
      </c>
      <c r="I1456" s="4">
        <v>0</v>
      </c>
      <c r="J1456" s="5">
        <v>6.7</v>
      </c>
      <c r="K1456" s="6">
        <v>0.85</v>
      </c>
      <c r="L1456" s="4">
        <v>4</v>
      </c>
      <c r="M1456" s="4">
        <v>103</v>
      </c>
      <c r="N1456" s="4">
        <v>93</v>
      </c>
      <c r="O1456" s="4" t="s">
        <v>26</v>
      </c>
      <c r="P1456" s="7" t="s">
        <v>19</v>
      </c>
    </row>
    <row r="1457" spans="2:16" x14ac:dyDescent="0.45">
      <c r="B1457" s="4">
        <v>1456</v>
      </c>
      <c r="C1457" s="4" t="s">
        <v>45</v>
      </c>
      <c r="D1457" s="4" t="s">
        <v>16</v>
      </c>
      <c r="E1457" s="4" t="s">
        <v>35</v>
      </c>
      <c r="F1457" s="4" t="s">
        <v>18</v>
      </c>
      <c r="G1457" s="4" t="s">
        <v>19</v>
      </c>
      <c r="H1457" s="4" t="s">
        <v>36</v>
      </c>
      <c r="I1457" s="4">
        <v>29</v>
      </c>
      <c r="J1457" s="5">
        <v>85.2</v>
      </c>
      <c r="K1457" s="6">
        <v>1.5</v>
      </c>
      <c r="L1457" s="4">
        <v>3</v>
      </c>
      <c r="M1457" s="4">
        <v>130</v>
      </c>
      <c r="N1457" s="4">
        <v>71</v>
      </c>
      <c r="O1457" s="4" t="s">
        <v>21</v>
      </c>
      <c r="P1457" s="7" t="s">
        <v>30</v>
      </c>
    </row>
    <row r="1458" spans="2:16" x14ac:dyDescent="0.45">
      <c r="B1458" s="4">
        <v>1457</v>
      </c>
      <c r="C1458" s="4" t="s">
        <v>33</v>
      </c>
      <c r="D1458" s="4" t="s">
        <v>16</v>
      </c>
      <c r="E1458" s="4" t="s">
        <v>35</v>
      </c>
      <c r="F1458" s="4" t="s">
        <v>28</v>
      </c>
      <c r="G1458" s="4" t="s">
        <v>30</v>
      </c>
      <c r="H1458" s="4" t="s">
        <v>20</v>
      </c>
      <c r="I1458" s="4">
        <v>11</v>
      </c>
      <c r="J1458" s="5">
        <v>19.7</v>
      </c>
      <c r="K1458" s="6">
        <v>1.36</v>
      </c>
      <c r="L1458" s="4">
        <v>1</v>
      </c>
      <c r="M1458" s="4">
        <v>103</v>
      </c>
      <c r="N1458" s="4">
        <v>100</v>
      </c>
      <c r="O1458" s="4" t="s">
        <v>21</v>
      </c>
      <c r="P1458" s="7" t="s">
        <v>19</v>
      </c>
    </row>
    <row r="1459" spans="2:16" x14ac:dyDescent="0.45">
      <c r="B1459" s="4">
        <v>1458</v>
      </c>
      <c r="C1459" s="4" t="s">
        <v>22</v>
      </c>
      <c r="D1459" s="4" t="s">
        <v>23</v>
      </c>
      <c r="E1459" s="4" t="s">
        <v>17</v>
      </c>
      <c r="F1459" s="4" t="s">
        <v>24</v>
      </c>
      <c r="G1459" s="4" t="s">
        <v>19</v>
      </c>
      <c r="H1459" s="4" t="s">
        <v>28</v>
      </c>
      <c r="I1459" s="4">
        <v>13</v>
      </c>
      <c r="J1459" s="5">
        <v>53.1</v>
      </c>
      <c r="K1459" s="6">
        <v>1.58</v>
      </c>
      <c r="L1459" s="4">
        <v>2</v>
      </c>
      <c r="M1459" s="4">
        <v>104</v>
      </c>
      <c r="N1459" s="4">
        <v>80</v>
      </c>
      <c r="O1459" s="4" t="s">
        <v>26</v>
      </c>
      <c r="P1459" s="7" t="s">
        <v>19</v>
      </c>
    </row>
    <row r="1460" spans="2:16" x14ac:dyDescent="0.45">
      <c r="B1460" s="4">
        <v>1459</v>
      </c>
      <c r="C1460" s="4" t="s">
        <v>45</v>
      </c>
      <c r="D1460" s="4" t="s">
        <v>23</v>
      </c>
      <c r="E1460" s="4" t="s">
        <v>17</v>
      </c>
      <c r="F1460" s="4" t="s">
        <v>18</v>
      </c>
      <c r="G1460" s="4" t="s">
        <v>19</v>
      </c>
      <c r="H1460" s="4" t="s">
        <v>28</v>
      </c>
      <c r="I1460" s="4">
        <v>17</v>
      </c>
      <c r="J1460" s="5">
        <v>38.5</v>
      </c>
      <c r="K1460" s="6">
        <v>1.61</v>
      </c>
      <c r="L1460" s="4">
        <v>3</v>
      </c>
      <c r="M1460" s="4">
        <v>116</v>
      </c>
      <c r="N1460" s="4">
        <v>103</v>
      </c>
      <c r="O1460" s="4" t="s">
        <v>26</v>
      </c>
      <c r="P1460" s="7" t="s">
        <v>30</v>
      </c>
    </row>
    <row r="1461" spans="2:16" x14ac:dyDescent="0.45">
      <c r="B1461" s="4">
        <v>1460</v>
      </c>
      <c r="C1461" s="4" t="s">
        <v>40</v>
      </c>
      <c r="D1461" s="4" t="s">
        <v>23</v>
      </c>
      <c r="E1461" s="4" t="s">
        <v>35</v>
      </c>
      <c r="F1461" s="4" t="s">
        <v>24</v>
      </c>
      <c r="G1461" s="4" t="s">
        <v>19</v>
      </c>
      <c r="H1461" s="4" t="s">
        <v>28</v>
      </c>
      <c r="I1461" s="4">
        <v>51</v>
      </c>
      <c r="J1461" s="5">
        <v>61.4</v>
      </c>
      <c r="K1461" s="6">
        <v>1.68</v>
      </c>
      <c r="L1461" s="4">
        <v>5</v>
      </c>
      <c r="M1461" s="4">
        <v>130</v>
      </c>
      <c r="N1461" s="4">
        <v>75</v>
      </c>
      <c r="O1461" s="4" t="s">
        <v>26</v>
      </c>
      <c r="P1461" s="7" t="s">
        <v>19</v>
      </c>
    </row>
    <row r="1462" spans="2:16" x14ac:dyDescent="0.45">
      <c r="B1462" s="4">
        <v>1461</v>
      </c>
      <c r="C1462" s="4" t="s">
        <v>15</v>
      </c>
      <c r="D1462" s="4" t="s">
        <v>23</v>
      </c>
      <c r="E1462" s="4" t="s">
        <v>17</v>
      </c>
      <c r="F1462" s="4" t="s">
        <v>28</v>
      </c>
      <c r="G1462" s="4" t="s">
        <v>30</v>
      </c>
      <c r="H1462" s="4" t="s">
        <v>20</v>
      </c>
      <c r="I1462" s="4">
        <v>9</v>
      </c>
      <c r="J1462" s="5">
        <v>19.5</v>
      </c>
      <c r="K1462" s="6">
        <v>1.36</v>
      </c>
      <c r="L1462" s="4">
        <v>4</v>
      </c>
      <c r="M1462" s="4">
        <v>94</v>
      </c>
      <c r="N1462" s="4">
        <v>98</v>
      </c>
      <c r="O1462" s="4" t="s">
        <v>21</v>
      </c>
      <c r="P1462" s="7" t="s">
        <v>19</v>
      </c>
    </row>
    <row r="1463" spans="2:16" x14ac:dyDescent="0.45">
      <c r="B1463" s="4">
        <v>1462</v>
      </c>
      <c r="C1463" s="4" t="s">
        <v>27</v>
      </c>
      <c r="D1463" s="4" t="s">
        <v>23</v>
      </c>
      <c r="E1463" s="4" t="s">
        <v>17</v>
      </c>
      <c r="F1463" s="4" t="s">
        <v>24</v>
      </c>
      <c r="G1463" s="4" t="s">
        <v>19</v>
      </c>
      <c r="H1463" s="4" t="s">
        <v>34</v>
      </c>
      <c r="I1463" s="4">
        <v>39</v>
      </c>
      <c r="J1463" s="5">
        <v>64.7</v>
      </c>
      <c r="K1463" s="6">
        <v>1.77</v>
      </c>
      <c r="L1463" s="4">
        <v>7</v>
      </c>
      <c r="M1463" s="4">
        <v>125</v>
      </c>
      <c r="N1463" s="4">
        <v>98</v>
      </c>
      <c r="O1463" s="4" t="s">
        <v>26</v>
      </c>
      <c r="P1463" s="7" t="s">
        <v>19</v>
      </c>
    </row>
    <row r="1464" spans="2:16" x14ac:dyDescent="0.45">
      <c r="B1464" s="4">
        <v>1463</v>
      </c>
      <c r="C1464" s="4" t="s">
        <v>41</v>
      </c>
      <c r="D1464" s="4" t="s">
        <v>23</v>
      </c>
      <c r="E1464" s="4" t="s">
        <v>35</v>
      </c>
      <c r="F1464" s="4" t="s">
        <v>28</v>
      </c>
      <c r="G1464" s="4" t="s">
        <v>19</v>
      </c>
      <c r="H1464" s="4" t="s">
        <v>34</v>
      </c>
      <c r="I1464" s="4">
        <v>44</v>
      </c>
      <c r="J1464" s="5">
        <v>56.3</v>
      </c>
      <c r="K1464" s="6">
        <v>1.52</v>
      </c>
      <c r="L1464" s="4">
        <v>2</v>
      </c>
      <c r="M1464" s="4">
        <v>113</v>
      </c>
      <c r="N1464" s="4">
        <v>96</v>
      </c>
      <c r="O1464" s="4" t="s">
        <v>21</v>
      </c>
      <c r="P1464" s="7" t="s">
        <v>19</v>
      </c>
    </row>
    <row r="1465" spans="2:16" x14ac:dyDescent="0.45">
      <c r="B1465" s="4">
        <v>1464</v>
      </c>
      <c r="C1465" s="4" t="s">
        <v>40</v>
      </c>
      <c r="D1465" s="4" t="s">
        <v>16</v>
      </c>
      <c r="E1465" s="4" t="s">
        <v>17</v>
      </c>
      <c r="F1465" s="4" t="s">
        <v>24</v>
      </c>
      <c r="G1465" s="4" t="s">
        <v>30</v>
      </c>
      <c r="H1465" s="4" t="s">
        <v>20</v>
      </c>
      <c r="I1465" s="4">
        <v>22</v>
      </c>
      <c r="J1465" s="5">
        <v>50.6</v>
      </c>
      <c r="K1465" s="6">
        <v>1.74</v>
      </c>
      <c r="L1465" s="4">
        <v>5</v>
      </c>
      <c r="M1465" s="4">
        <v>121</v>
      </c>
      <c r="N1465" s="4">
        <v>90</v>
      </c>
      <c r="O1465" s="4" t="s">
        <v>21</v>
      </c>
      <c r="P1465" s="7" t="s">
        <v>30</v>
      </c>
    </row>
    <row r="1466" spans="2:16" x14ac:dyDescent="0.45">
      <c r="B1466" s="4">
        <v>1465</v>
      </c>
      <c r="C1466" s="4" t="s">
        <v>29</v>
      </c>
      <c r="D1466" s="4" t="s">
        <v>16</v>
      </c>
      <c r="E1466" s="4" t="s">
        <v>17</v>
      </c>
      <c r="F1466" s="4" t="s">
        <v>24</v>
      </c>
      <c r="G1466" s="4" t="s">
        <v>19</v>
      </c>
      <c r="H1466" s="4" t="s">
        <v>20</v>
      </c>
      <c r="I1466" s="4">
        <v>55</v>
      </c>
      <c r="J1466" s="5">
        <v>62.4</v>
      </c>
      <c r="K1466" s="6">
        <v>1.89</v>
      </c>
      <c r="L1466" s="4">
        <v>1</v>
      </c>
      <c r="M1466" s="4">
        <v>111</v>
      </c>
      <c r="N1466" s="4">
        <v>75</v>
      </c>
      <c r="O1466" s="4" t="s">
        <v>21</v>
      </c>
      <c r="P1466" s="7" t="s">
        <v>19</v>
      </c>
    </row>
    <row r="1467" spans="2:16" x14ac:dyDescent="0.45">
      <c r="B1467" s="4">
        <v>1466</v>
      </c>
      <c r="C1467" s="4" t="s">
        <v>41</v>
      </c>
      <c r="D1467" s="4" t="s">
        <v>23</v>
      </c>
      <c r="E1467" s="4" t="s">
        <v>35</v>
      </c>
      <c r="F1467" s="4" t="s">
        <v>24</v>
      </c>
      <c r="G1467" s="4" t="s">
        <v>19</v>
      </c>
      <c r="H1467" s="4" t="s">
        <v>20</v>
      </c>
      <c r="I1467" s="4">
        <v>35</v>
      </c>
      <c r="J1467" s="5">
        <v>48.7</v>
      </c>
      <c r="K1467" s="6">
        <v>1.89</v>
      </c>
      <c r="L1467" s="4">
        <v>0</v>
      </c>
      <c r="M1467" s="4">
        <v>107</v>
      </c>
      <c r="N1467" s="4">
        <v>83</v>
      </c>
      <c r="O1467" s="4" t="s">
        <v>21</v>
      </c>
      <c r="P1467" s="7" t="s">
        <v>19</v>
      </c>
    </row>
    <row r="1468" spans="2:16" x14ac:dyDescent="0.45">
      <c r="B1468" s="4">
        <v>1467</v>
      </c>
      <c r="C1468" s="4" t="s">
        <v>41</v>
      </c>
      <c r="D1468" s="4" t="s">
        <v>16</v>
      </c>
      <c r="E1468" s="4" t="s">
        <v>17</v>
      </c>
      <c r="F1468" s="4" t="s">
        <v>42</v>
      </c>
      <c r="G1468" s="4" t="s">
        <v>19</v>
      </c>
      <c r="H1468" s="4" t="s">
        <v>38</v>
      </c>
      <c r="I1468" s="4">
        <v>21</v>
      </c>
      <c r="J1468" s="5">
        <v>80.599999999999994</v>
      </c>
      <c r="K1468" s="6">
        <v>1.72</v>
      </c>
      <c r="L1468" s="4">
        <v>0</v>
      </c>
      <c r="M1468" s="4">
        <v>97</v>
      </c>
      <c r="N1468" s="4">
        <v>86</v>
      </c>
      <c r="O1468" s="4" t="s">
        <v>21</v>
      </c>
      <c r="P1468" s="7" t="s">
        <v>19</v>
      </c>
    </row>
    <row r="1469" spans="2:16" x14ac:dyDescent="0.45">
      <c r="B1469" s="4">
        <v>1468</v>
      </c>
      <c r="C1469" s="4" t="s">
        <v>33</v>
      </c>
      <c r="D1469" s="4" t="s">
        <v>23</v>
      </c>
      <c r="E1469" s="4" t="s">
        <v>35</v>
      </c>
      <c r="F1469" s="4" t="s">
        <v>24</v>
      </c>
      <c r="G1469" s="4" t="s">
        <v>19</v>
      </c>
      <c r="H1469" s="4" t="s">
        <v>36</v>
      </c>
      <c r="I1469" s="4">
        <v>6</v>
      </c>
      <c r="J1469" s="5">
        <v>21.7</v>
      </c>
      <c r="K1469" s="6">
        <v>1.32</v>
      </c>
      <c r="L1469" s="4">
        <v>0</v>
      </c>
      <c r="M1469" s="4">
        <v>116</v>
      </c>
      <c r="N1469" s="4">
        <v>70</v>
      </c>
      <c r="O1469" s="4" t="s">
        <v>21</v>
      </c>
      <c r="P1469" s="7" t="s">
        <v>19</v>
      </c>
    </row>
    <row r="1470" spans="2:16" x14ac:dyDescent="0.45">
      <c r="B1470" s="4">
        <v>1469</v>
      </c>
      <c r="C1470" s="4" t="s">
        <v>43</v>
      </c>
      <c r="D1470" s="4" t="s">
        <v>23</v>
      </c>
      <c r="E1470" s="4" t="s">
        <v>17</v>
      </c>
      <c r="F1470" s="4" t="s">
        <v>18</v>
      </c>
      <c r="G1470" s="4" t="s">
        <v>19</v>
      </c>
      <c r="H1470" s="4" t="s">
        <v>28</v>
      </c>
      <c r="I1470" s="4">
        <v>81</v>
      </c>
      <c r="J1470" s="5">
        <v>71.900000000000006</v>
      </c>
      <c r="K1470" s="6">
        <v>1.66</v>
      </c>
      <c r="L1470" s="4">
        <v>2</v>
      </c>
      <c r="M1470" s="4">
        <v>127</v>
      </c>
      <c r="N1470" s="4">
        <v>101</v>
      </c>
      <c r="O1470" s="4" t="s">
        <v>26</v>
      </c>
      <c r="P1470" s="7" t="s">
        <v>19</v>
      </c>
    </row>
    <row r="1471" spans="2:16" x14ac:dyDescent="0.45">
      <c r="B1471" s="4">
        <v>1470</v>
      </c>
      <c r="C1471" s="4" t="s">
        <v>45</v>
      </c>
      <c r="D1471" s="4" t="s">
        <v>16</v>
      </c>
      <c r="E1471" s="4" t="s">
        <v>35</v>
      </c>
      <c r="F1471" s="4" t="s">
        <v>18</v>
      </c>
      <c r="G1471" s="4" t="s">
        <v>30</v>
      </c>
      <c r="H1471" s="4" t="s">
        <v>28</v>
      </c>
      <c r="I1471" s="4">
        <v>25</v>
      </c>
      <c r="J1471" s="5">
        <v>62.7</v>
      </c>
      <c r="K1471" s="6">
        <v>1.73</v>
      </c>
      <c r="L1471" s="4">
        <v>1</v>
      </c>
      <c r="M1471" s="4">
        <v>121</v>
      </c>
      <c r="N1471" s="4">
        <v>96</v>
      </c>
      <c r="O1471" s="4" t="s">
        <v>21</v>
      </c>
      <c r="P1471" s="7" t="s">
        <v>19</v>
      </c>
    </row>
    <row r="1472" spans="2:16" x14ac:dyDescent="0.45">
      <c r="B1472" s="4">
        <v>1471</v>
      </c>
      <c r="C1472" s="4" t="s">
        <v>40</v>
      </c>
      <c r="D1472" s="4" t="s">
        <v>23</v>
      </c>
      <c r="E1472" s="4" t="s">
        <v>17</v>
      </c>
      <c r="F1472" s="4" t="s">
        <v>18</v>
      </c>
      <c r="G1472" s="4" t="s">
        <v>19</v>
      </c>
      <c r="H1472" s="4" t="s">
        <v>28</v>
      </c>
      <c r="I1472" s="4">
        <v>40</v>
      </c>
      <c r="J1472" s="5">
        <v>54.4</v>
      </c>
      <c r="K1472" s="6">
        <v>1.55</v>
      </c>
      <c r="L1472" s="4">
        <v>3</v>
      </c>
      <c r="M1472" s="4">
        <v>108</v>
      </c>
      <c r="N1472" s="4">
        <v>98</v>
      </c>
      <c r="O1472" s="4" t="s">
        <v>21</v>
      </c>
      <c r="P1472" s="7" t="s">
        <v>19</v>
      </c>
    </row>
    <row r="1473" spans="2:16" x14ac:dyDescent="0.45">
      <c r="B1473" s="4">
        <v>1472</v>
      </c>
      <c r="C1473" s="4" t="s">
        <v>22</v>
      </c>
      <c r="D1473" s="4" t="s">
        <v>16</v>
      </c>
      <c r="E1473" s="4" t="s">
        <v>17</v>
      </c>
      <c r="F1473" s="4" t="s">
        <v>18</v>
      </c>
      <c r="G1473" s="4" t="s">
        <v>19</v>
      </c>
      <c r="H1473" s="4" t="s">
        <v>20</v>
      </c>
      <c r="I1473" s="4">
        <v>10</v>
      </c>
      <c r="J1473" s="5">
        <v>36.4</v>
      </c>
      <c r="K1473" s="6">
        <v>1.08</v>
      </c>
      <c r="L1473" s="4">
        <v>5</v>
      </c>
      <c r="M1473" s="4">
        <v>102</v>
      </c>
      <c r="N1473" s="4">
        <v>71</v>
      </c>
      <c r="O1473" s="4" t="s">
        <v>26</v>
      </c>
      <c r="P1473" s="7" t="s">
        <v>19</v>
      </c>
    </row>
    <row r="1474" spans="2:16" x14ac:dyDescent="0.45">
      <c r="B1474" s="4">
        <v>1473</v>
      </c>
      <c r="C1474" s="4" t="s">
        <v>41</v>
      </c>
      <c r="D1474" s="4" t="s">
        <v>16</v>
      </c>
      <c r="E1474" s="4" t="s">
        <v>35</v>
      </c>
      <c r="F1474" s="4" t="s">
        <v>28</v>
      </c>
      <c r="G1474" s="4" t="s">
        <v>19</v>
      </c>
      <c r="H1474" s="4" t="s">
        <v>20</v>
      </c>
      <c r="I1474" s="4">
        <v>13</v>
      </c>
      <c r="J1474" s="5">
        <v>43.5</v>
      </c>
      <c r="K1474" s="6">
        <v>1.67</v>
      </c>
      <c r="L1474" s="4">
        <v>4</v>
      </c>
      <c r="M1474" s="4">
        <v>97</v>
      </c>
      <c r="N1474" s="4">
        <v>104</v>
      </c>
      <c r="O1474" s="4" t="s">
        <v>26</v>
      </c>
      <c r="P1474" s="7" t="s">
        <v>19</v>
      </c>
    </row>
    <row r="1475" spans="2:16" x14ac:dyDescent="0.45">
      <c r="B1475" s="4">
        <v>1474</v>
      </c>
      <c r="C1475" s="4" t="s">
        <v>27</v>
      </c>
      <c r="D1475" s="4" t="s">
        <v>23</v>
      </c>
      <c r="E1475" s="4" t="s">
        <v>17</v>
      </c>
      <c r="F1475" s="4" t="s">
        <v>28</v>
      </c>
      <c r="G1475" s="4" t="s">
        <v>19</v>
      </c>
      <c r="H1475" s="4" t="s">
        <v>28</v>
      </c>
      <c r="I1475" s="4">
        <v>21</v>
      </c>
      <c r="J1475" s="5">
        <v>63.2</v>
      </c>
      <c r="K1475" s="6">
        <v>1.87</v>
      </c>
      <c r="L1475" s="4">
        <v>0</v>
      </c>
      <c r="M1475" s="4">
        <v>113</v>
      </c>
      <c r="N1475" s="4">
        <v>71</v>
      </c>
      <c r="O1475" s="4" t="s">
        <v>21</v>
      </c>
      <c r="P1475" s="7" t="s">
        <v>30</v>
      </c>
    </row>
    <row r="1476" spans="2:16" x14ac:dyDescent="0.45">
      <c r="B1476" s="4">
        <v>1475</v>
      </c>
      <c r="C1476" s="4" t="s">
        <v>39</v>
      </c>
      <c r="D1476" s="4" t="s">
        <v>23</v>
      </c>
      <c r="E1476" s="4" t="s">
        <v>17</v>
      </c>
      <c r="F1476" s="4" t="s">
        <v>18</v>
      </c>
      <c r="G1476" s="4" t="s">
        <v>30</v>
      </c>
      <c r="H1476" s="4" t="s">
        <v>20</v>
      </c>
      <c r="I1476" s="4">
        <v>16</v>
      </c>
      <c r="J1476" s="5">
        <v>41.6</v>
      </c>
      <c r="K1476" s="6">
        <v>1.74</v>
      </c>
      <c r="L1476" s="4">
        <v>3</v>
      </c>
      <c r="M1476" s="4">
        <v>113</v>
      </c>
      <c r="N1476" s="4">
        <v>105</v>
      </c>
      <c r="O1476" s="4" t="s">
        <v>21</v>
      </c>
      <c r="P1476" s="7" t="s">
        <v>19</v>
      </c>
    </row>
    <row r="1477" spans="2:16" x14ac:dyDescent="0.45">
      <c r="B1477" s="4">
        <v>1476</v>
      </c>
      <c r="C1477" s="4" t="s">
        <v>22</v>
      </c>
      <c r="D1477" s="4" t="s">
        <v>23</v>
      </c>
      <c r="E1477" s="4" t="s">
        <v>17</v>
      </c>
      <c r="F1477" s="4" t="s">
        <v>42</v>
      </c>
      <c r="G1477" s="4" t="s">
        <v>19</v>
      </c>
      <c r="H1477" s="4" t="s">
        <v>36</v>
      </c>
      <c r="I1477" s="4">
        <v>15</v>
      </c>
      <c r="J1477" s="5">
        <v>51.5</v>
      </c>
      <c r="K1477" s="6">
        <v>1.63</v>
      </c>
      <c r="L1477" s="4">
        <v>3</v>
      </c>
      <c r="M1477" s="4">
        <v>131</v>
      </c>
      <c r="N1477" s="4">
        <v>96</v>
      </c>
      <c r="O1477" s="4" t="s">
        <v>21</v>
      </c>
      <c r="P1477" s="7" t="s">
        <v>19</v>
      </c>
    </row>
    <row r="1478" spans="2:16" x14ac:dyDescent="0.45">
      <c r="B1478" s="4">
        <v>1477</v>
      </c>
      <c r="C1478" s="4" t="s">
        <v>29</v>
      </c>
      <c r="D1478" s="4" t="s">
        <v>16</v>
      </c>
      <c r="E1478" s="4" t="s">
        <v>37</v>
      </c>
      <c r="F1478" s="4" t="s">
        <v>18</v>
      </c>
      <c r="G1478" s="4" t="s">
        <v>19</v>
      </c>
      <c r="H1478" s="4" t="s">
        <v>38</v>
      </c>
      <c r="I1478" s="4">
        <v>5</v>
      </c>
      <c r="J1478" s="5">
        <v>36.4</v>
      </c>
      <c r="K1478" s="6">
        <v>1.1399999999999999</v>
      </c>
      <c r="L1478" s="4">
        <v>1</v>
      </c>
      <c r="M1478" s="4">
        <v>109</v>
      </c>
      <c r="N1478" s="4">
        <v>95</v>
      </c>
      <c r="O1478" s="4" t="s">
        <v>21</v>
      </c>
      <c r="P1478" s="7" t="s">
        <v>19</v>
      </c>
    </row>
    <row r="1479" spans="2:16" x14ac:dyDescent="0.45">
      <c r="B1479" s="4">
        <v>1478</v>
      </c>
      <c r="C1479" s="4" t="s">
        <v>22</v>
      </c>
      <c r="D1479" s="4" t="s">
        <v>23</v>
      </c>
      <c r="E1479" s="4" t="s">
        <v>17</v>
      </c>
      <c r="F1479" s="4" t="s">
        <v>18</v>
      </c>
      <c r="G1479" s="4" t="s">
        <v>19</v>
      </c>
      <c r="H1479" s="4" t="s">
        <v>20</v>
      </c>
      <c r="I1479" s="4">
        <v>28</v>
      </c>
      <c r="J1479" s="5">
        <v>73.599999999999994</v>
      </c>
      <c r="K1479" s="6">
        <v>1.87</v>
      </c>
      <c r="L1479" s="4">
        <v>0</v>
      </c>
      <c r="M1479" s="4">
        <v>115</v>
      </c>
      <c r="N1479" s="4">
        <v>85</v>
      </c>
      <c r="O1479" s="4" t="s">
        <v>26</v>
      </c>
      <c r="P1479" s="7" t="s">
        <v>19</v>
      </c>
    </row>
    <row r="1480" spans="2:16" x14ac:dyDescent="0.45">
      <c r="B1480" s="4">
        <v>1479</v>
      </c>
      <c r="C1480" s="4" t="s">
        <v>15</v>
      </c>
      <c r="D1480" s="4" t="s">
        <v>16</v>
      </c>
      <c r="E1480" s="4" t="s">
        <v>17</v>
      </c>
      <c r="F1480" s="4" t="s">
        <v>24</v>
      </c>
      <c r="G1480" s="4" t="s">
        <v>19</v>
      </c>
      <c r="H1480" s="4" t="s">
        <v>34</v>
      </c>
      <c r="I1480" s="4">
        <v>1</v>
      </c>
      <c r="J1480" s="5">
        <v>7.1</v>
      </c>
      <c r="K1480" s="6">
        <v>0.78</v>
      </c>
      <c r="L1480" s="4">
        <v>5</v>
      </c>
      <c r="M1480" s="4">
        <v>115</v>
      </c>
      <c r="N1480" s="4">
        <v>71</v>
      </c>
      <c r="O1480" s="4" t="s">
        <v>26</v>
      </c>
      <c r="P1480" s="7" t="s">
        <v>19</v>
      </c>
    </row>
    <row r="1481" spans="2:16" x14ac:dyDescent="0.45">
      <c r="B1481" s="4">
        <v>1480</v>
      </c>
      <c r="C1481" s="4" t="s">
        <v>29</v>
      </c>
      <c r="D1481" s="4" t="s">
        <v>16</v>
      </c>
      <c r="E1481" s="4" t="s">
        <v>17</v>
      </c>
      <c r="F1481" s="4" t="s">
        <v>28</v>
      </c>
      <c r="G1481" s="4" t="s">
        <v>19</v>
      </c>
      <c r="H1481" s="4" t="s">
        <v>46</v>
      </c>
      <c r="I1481" s="4">
        <v>20</v>
      </c>
      <c r="J1481" s="5">
        <v>59.2</v>
      </c>
      <c r="K1481" s="6">
        <v>1.66</v>
      </c>
      <c r="L1481" s="4">
        <v>1</v>
      </c>
      <c r="M1481" s="4">
        <v>114</v>
      </c>
      <c r="N1481" s="4">
        <v>82</v>
      </c>
      <c r="O1481" s="4" t="s">
        <v>26</v>
      </c>
      <c r="P1481" s="7" t="s">
        <v>19</v>
      </c>
    </row>
    <row r="1482" spans="2:16" x14ac:dyDescent="0.45">
      <c r="B1482" s="4">
        <v>1481</v>
      </c>
      <c r="C1482" s="4" t="s">
        <v>39</v>
      </c>
      <c r="D1482" s="4" t="s">
        <v>23</v>
      </c>
      <c r="E1482" s="4" t="s">
        <v>35</v>
      </c>
      <c r="F1482" s="4" t="s">
        <v>24</v>
      </c>
      <c r="G1482" s="4" t="s">
        <v>19</v>
      </c>
      <c r="H1482" s="4" t="s">
        <v>46</v>
      </c>
      <c r="I1482" s="4">
        <v>23</v>
      </c>
      <c r="J1482" s="5">
        <v>62.3</v>
      </c>
      <c r="K1482" s="6">
        <v>1.6</v>
      </c>
      <c r="L1482" s="4">
        <v>4</v>
      </c>
      <c r="M1482" s="4">
        <v>109</v>
      </c>
      <c r="N1482" s="4">
        <v>97</v>
      </c>
      <c r="O1482" s="4" t="s">
        <v>26</v>
      </c>
      <c r="P1482" s="7" t="s">
        <v>19</v>
      </c>
    </row>
    <row r="1483" spans="2:16" x14ac:dyDescent="0.45">
      <c r="B1483" s="4">
        <v>1482</v>
      </c>
      <c r="C1483" s="4" t="s">
        <v>29</v>
      </c>
      <c r="D1483" s="4" t="s">
        <v>16</v>
      </c>
      <c r="E1483" s="4" t="s">
        <v>35</v>
      </c>
      <c r="F1483" s="4" t="s">
        <v>18</v>
      </c>
      <c r="G1483" s="4" t="s">
        <v>19</v>
      </c>
      <c r="H1483" s="4" t="s">
        <v>25</v>
      </c>
      <c r="I1483" s="4">
        <v>3</v>
      </c>
      <c r="J1483" s="5">
        <v>11.6</v>
      </c>
      <c r="K1483" s="6">
        <v>0.72</v>
      </c>
      <c r="L1483" s="4">
        <v>4</v>
      </c>
      <c r="M1483" s="4">
        <v>95</v>
      </c>
      <c r="N1483" s="4">
        <v>73</v>
      </c>
      <c r="O1483" s="4" t="s">
        <v>21</v>
      </c>
      <c r="P1483" s="7" t="s">
        <v>19</v>
      </c>
    </row>
    <row r="1484" spans="2:16" x14ac:dyDescent="0.45">
      <c r="B1484" s="4">
        <v>1483</v>
      </c>
      <c r="C1484" s="4" t="s">
        <v>15</v>
      </c>
      <c r="D1484" s="4" t="s">
        <v>16</v>
      </c>
      <c r="E1484" s="4" t="s">
        <v>17</v>
      </c>
      <c r="F1484" s="4" t="s">
        <v>24</v>
      </c>
      <c r="G1484" s="4" t="s">
        <v>19</v>
      </c>
      <c r="H1484" s="4" t="s">
        <v>28</v>
      </c>
      <c r="I1484" s="4">
        <v>41</v>
      </c>
      <c r="J1484" s="5">
        <v>74.400000000000006</v>
      </c>
      <c r="K1484" s="6">
        <v>1.77</v>
      </c>
      <c r="L1484" s="4">
        <v>5</v>
      </c>
      <c r="M1484" s="4">
        <v>117</v>
      </c>
      <c r="N1484" s="4">
        <v>78</v>
      </c>
      <c r="O1484" s="4" t="s">
        <v>21</v>
      </c>
      <c r="P1484" s="7" t="s">
        <v>19</v>
      </c>
    </row>
    <row r="1485" spans="2:16" x14ac:dyDescent="0.45">
      <c r="B1485" s="4">
        <v>1484</v>
      </c>
      <c r="C1485" s="4" t="s">
        <v>22</v>
      </c>
      <c r="D1485" s="4" t="s">
        <v>16</v>
      </c>
      <c r="E1485" s="4" t="s">
        <v>35</v>
      </c>
      <c r="F1485" s="4" t="s">
        <v>24</v>
      </c>
      <c r="G1485" s="4" t="s">
        <v>19</v>
      </c>
      <c r="H1485" s="4" t="s">
        <v>36</v>
      </c>
      <c r="I1485" s="4">
        <v>25</v>
      </c>
      <c r="J1485" s="5">
        <v>93.8</v>
      </c>
      <c r="K1485" s="6">
        <v>1.62</v>
      </c>
      <c r="L1485" s="4">
        <v>5</v>
      </c>
      <c r="M1485" s="4">
        <v>145</v>
      </c>
      <c r="N1485" s="4">
        <v>99</v>
      </c>
      <c r="O1485" s="4" t="s">
        <v>26</v>
      </c>
      <c r="P1485" s="7" t="s">
        <v>19</v>
      </c>
    </row>
    <row r="1486" spans="2:16" x14ac:dyDescent="0.45">
      <c r="B1486" s="4">
        <v>1485</v>
      </c>
      <c r="C1486" s="4" t="s">
        <v>39</v>
      </c>
      <c r="D1486" s="4" t="s">
        <v>16</v>
      </c>
      <c r="E1486" s="4" t="s">
        <v>44</v>
      </c>
      <c r="F1486" s="4" t="s">
        <v>24</v>
      </c>
      <c r="G1486" s="4" t="s">
        <v>30</v>
      </c>
      <c r="H1486" s="4" t="s">
        <v>25</v>
      </c>
      <c r="I1486" s="4">
        <v>54</v>
      </c>
      <c r="J1486" s="5">
        <v>66.099999999999994</v>
      </c>
      <c r="K1486" s="6">
        <v>1.49</v>
      </c>
      <c r="L1486" s="4">
        <v>3</v>
      </c>
      <c r="M1486" s="4">
        <v>111</v>
      </c>
      <c r="N1486" s="4">
        <v>91</v>
      </c>
      <c r="O1486" s="4" t="s">
        <v>21</v>
      </c>
      <c r="P1486" s="7" t="s">
        <v>19</v>
      </c>
    </row>
    <row r="1487" spans="2:16" x14ac:dyDescent="0.45">
      <c r="B1487" s="4">
        <v>1486</v>
      </c>
      <c r="C1487" s="4" t="s">
        <v>27</v>
      </c>
      <c r="D1487" s="4" t="s">
        <v>16</v>
      </c>
      <c r="E1487" s="4" t="s">
        <v>35</v>
      </c>
      <c r="F1487" s="4" t="s">
        <v>24</v>
      </c>
      <c r="G1487" s="4" t="s">
        <v>30</v>
      </c>
      <c r="H1487" s="4" t="s">
        <v>20</v>
      </c>
      <c r="I1487" s="4">
        <v>8</v>
      </c>
      <c r="J1487" s="5">
        <v>21.4</v>
      </c>
      <c r="K1487" s="6">
        <v>1.2</v>
      </c>
      <c r="L1487" s="4">
        <v>1</v>
      </c>
      <c r="M1487" s="4">
        <v>104</v>
      </c>
      <c r="N1487" s="4">
        <v>84</v>
      </c>
      <c r="O1487" s="4" t="s">
        <v>21</v>
      </c>
      <c r="P1487" s="7" t="s">
        <v>19</v>
      </c>
    </row>
    <row r="1488" spans="2:16" x14ac:dyDescent="0.45">
      <c r="B1488" s="4">
        <v>1487</v>
      </c>
      <c r="C1488" s="4" t="s">
        <v>40</v>
      </c>
      <c r="D1488" s="4" t="s">
        <v>23</v>
      </c>
      <c r="E1488" s="4" t="s">
        <v>17</v>
      </c>
      <c r="F1488" s="4" t="s">
        <v>24</v>
      </c>
      <c r="G1488" s="4" t="s">
        <v>19</v>
      </c>
      <c r="H1488" s="4" t="s">
        <v>46</v>
      </c>
      <c r="I1488" s="4">
        <v>38</v>
      </c>
      <c r="J1488" s="5">
        <v>85</v>
      </c>
      <c r="K1488" s="6">
        <v>1.88</v>
      </c>
      <c r="L1488" s="4">
        <v>2</v>
      </c>
      <c r="M1488" s="4">
        <v>126</v>
      </c>
      <c r="N1488" s="4">
        <v>91</v>
      </c>
      <c r="O1488" s="4" t="s">
        <v>21</v>
      </c>
      <c r="P1488" s="7" t="s">
        <v>19</v>
      </c>
    </row>
    <row r="1489" spans="2:16" x14ac:dyDescent="0.45">
      <c r="B1489" s="4">
        <v>1488</v>
      </c>
      <c r="C1489" s="4" t="s">
        <v>39</v>
      </c>
      <c r="D1489" s="4" t="s">
        <v>23</v>
      </c>
      <c r="E1489" s="4" t="s">
        <v>35</v>
      </c>
      <c r="F1489" s="4" t="s">
        <v>24</v>
      </c>
      <c r="G1489" s="4" t="s">
        <v>30</v>
      </c>
      <c r="H1489" s="4" t="s">
        <v>20</v>
      </c>
      <c r="I1489" s="4">
        <v>62</v>
      </c>
      <c r="J1489" s="5">
        <v>69</v>
      </c>
      <c r="K1489" s="6">
        <v>1.66</v>
      </c>
      <c r="L1489" s="4">
        <v>2</v>
      </c>
      <c r="M1489" s="4">
        <v>118</v>
      </c>
      <c r="N1489" s="4">
        <v>92</v>
      </c>
      <c r="O1489" s="4" t="s">
        <v>21</v>
      </c>
      <c r="P1489" s="7" t="s">
        <v>19</v>
      </c>
    </row>
    <row r="1490" spans="2:16" x14ac:dyDescent="0.45">
      <c r="B1490" s="4">
        <v>1489</v>
      </c>
      <c r="C1490" s="4" t="s">
        <v>43</v>
      </c>
      <c r="D1490" s="4" t="s">
        <v>16</v>
      </c>
      <c r="E1490" s="4" t="s">
        <v>17</v>
      </c>
      <c r="F1490" s="4" t="s">
        <v>28</v>
      </c>
      <c r="G1490" s="4" t="s">
        <v>19</v>
      </c>
      <c r="H1490" s="4" t="s">
        <v>36</v>
      </c>
      <c r="I1490" s="4">
        <v>1</v>
      </c>
      <c r="J1490" s="5">
        <v>15</v>
      </c>
      <c r="K1490" s="6">
        <v>0.99</v>
      </c>
      <c r="L1490" s="4">
        <v>0</v>
      </c>
      <c r="M1490" s="4">
        <v>127</v>
      </c>
      <c r="N1490" s="4">
        <v>73</v>
      </c>
      <c r="O1490" s="4" t="s">
        <v>26</v>
      </c>
      <c r="P1490" s="7" t="s">
        <v>19</v>
      </c>
    </row>
    <row r="1491" spans="2:16" x14ac:dyDescent="0.45">
      <c r="B1491" s="4">
        <v>1490</v>
      </c>
      <c r="C1491" s="4" t="s">
        <v>40</v>
      </c>
      <c r="D1491" s="4" t="s">
        <v>16</v>
      </c>
      <c r="E1491" s="4" t="s">
        <v>37</v>
      </c>
      <c r="F1491" s="4" t="s">
        <v>24</v>
      </c>
      <c r="G1491" s="4" t="s">
        <v>19</v>
      </c>
      <c r="H1491" s="4" t="s">
        <v>25</v>
      </c>
      <c r="I1491" s="4">
        <v>13</v>
      </c>
      <c r="J1491" s="5">
        <v>62.5</v>
      </c>
      <c r="K1491" s="6">
        <v>1.48</v>
      </c>
      <c r="L1491" s="4">
        <v>7</v>
      </c>
      <c r="M1491" s="4">
        <v>112</v>
      </c>
      <c r="N1491" s="4">
        <v>80</v>
      </c>
      <c r="O1491" s="4" t="s">
        <v>21</v>
      </c>
      <c r="P1491" s="7" t="s">
        <v>19</v>
      </c>
    </row>
    <row r="1492" spans="2:16" x14ac:dyDescent="0.45">
      <c r="B1492" s="4">
        <v>1491</v>
      </c>
      <c r="C1492" s="4" t="s">
        <v>27</v>
      </c>
      <c r="D1492" s="4" t="s">
        <v>16</v>
      </c>
      <c r="E1492" s="4" t="s">
        <v>35</v>
      </c>
      <c r="F1492" s="4" t="s">
        <v>28</v>
      </c>
      <c r="G1492" s="4" t="s">
        <v>19</v>
      </c>
      <c r="H1492" s="4" t="s">
        <v>20</v>
      </c>
      <c r="I1492" s="4">
        <v>14</v>
      </c>
      <c r="J1492" s="5">
        <v>49.9</v>
      </c>
      <c r="K1492" s="6">
        <v>1.66</v>
      </c>
      <c r="L1492" s="4">
        <v>1</v>
      </c>
      <c r="M1492" s="4">
        <v>104</v>
      </c>
      <c r="N1492" s="4">
        <v>84</v>
      </c>
      <c r="O1492" s="4" t="s">
        <v>26</v>
      </c>
      <c r="P1492" s="7" t="s">
        <v>30</v>
      </c>
    </row>
    <row r="1493" spans="2:16" x14ac:dyDescent="0.45">
      <c r="B1493" s="4">
        <v>1492</v>
      </c>
      <c r="C1493" s="4" t="s">
        <v>22</v>
      </c>
      <c r="D1493" s="4" t="s">
        <v>16</v>
      </c>
      <c r="E1493" s="4" t="s">
        <v>35</v>
      </c>
      <c r="F1493" s="4" t="s">
        <v>18</v>
      </c>
      <c r="G1493" s="4" t="s">
        <v>19</v>
      </c>
      <c r="H1493" s="4" t="s">
        <v>28</v>
      </c>
      <c r="I1493" s="4">
        <v>43</v>
      </c>
      <c r="J1493" s="5">
        <v>68.7</v>
      </c>
      <c r="K1493" s="6">
        <v>1.48</v>
      </c>
      <c r="L1493" s="4">
        <v>2</v>
      </c>
      <c r="M1493" s="4">
        <v>127</v>
      </c>
      <c r="N1493" s="4">
        <v>103</v>
      </c>
      <c r="O1493" s="4" t="s">
        <v>21</v>
      </c>
      <c r="P1493" s="7" t="s">
        <v>19</v>
      </c>
    </row>
    <row r="1494" spans="2:16" x14ac:dyDescent="0.45">
      <c r="B1494" s="4">
        <v>1493</v>
      </c>
      <c r="C1494" s="4" t="s">
        <v>31</v>
      </c>
      <c r="D1494" s="4" t="s">
        <v>16</v>
      </c>
      <c r="E1494" s="4" t="s">
        <v>35</v>
      </c>
      <c r="F1494" s="4" t="s">
        <v>18</v>
      </c>
      <c r="G1494" s="4" t="s">
        <v>19</v>
      </c>
      <c r="H1494" s="4" t="s">
        <v>36</v>
      </c>
      <c r="I1494" s="4">
        <v>31</v>
      </c>
      <c r="J1494" s="5">
        <v>90.5</v>
      </c>
      <c r="K1494" s="6">
        <v>1.89</v>
      </c>
      <c r="L1494" s="4">
        <v>5</v>
      </c>
      <c r="M1494" s="4">
        <v>139</v>
      </c>
      <c r="N1494" s="4">
        <v>88</v>
      </c>
      <c r="O1494" s="4" t="s">
        <v>21</v>
      </c>
      <c r="P1494" s="7" t="s">
        <v>19</v>
      </c>
    </row>
    <row r="1495" spans="2:16" x14ac:dyDescent="0.45">
      <c r="B1495" s="4">
        <v>1494</v>
      </c>
      <c r="C1495" s="4" t="s">
        <v>22</v>
      </c>
      <c r="D1495" s="4" t="s">
        <v>16</v>
      </c>
      <c r="E1495" s="4" t="s">
        <v>17</v>
      </c>
      <c r="F1495" s="4" t="s">
        <v>18</v>
      </c>
      <c r="G1495" s="4" t="s">
        <v>30</v>
      </c>
      <c r="H1495" s="4" t="s">
        <v>28</v>
      </c>
      <c r="I1495" s="4">
        <v>28</v>
      </c>
      <c r="J1495" s="5">
        <v>71.900000000000006</v>
      </c>
      <c r="K1495" s="6">
        <v>1.58</v>
      </c>
      <c r="L1495" s="4">
        <v>5</v>
      </c>
      <c r="M1495" s="4">
        <v>114</v>
      </c>
      <c r="N1495" s="4">
        <v>102</v>
      </c>
      <c r="O1495" s="4" t="s">
        <v>21</v>
      </c>
      <c r="P1495" s="7" t="s">
        <v>19</v>
      </c>
    </row>
    <row r="1496" spans="2:16" x14ac:dyDescent="0.45">
      <c r="B1496" s="4">
        <v>1495</v>
      </c>
      <c r="C1496" s="4" t="s">
        <v>40</v>
      </c>
      <c r="D1496" s="4" t="s">
        <v>23</v>
      </c>
      <c r="E1496" s="4" t="s">
        <v>35</v>
      </c>
      <c r="F1496" s="4" t="s">
        <v>18</v>
      </c>
      <c r="G1496" s="4" t="s">
        <v>30</v>
      </c>
      <c r="H1496" s="4" t="s">
        <v>36</v>
      </c>
      <c r="I1496" s="4">
        <v>5</v>
      </c>
      <c r="J1496" s="5">
        <v>24.1</v>
      </c>
      <c r="K1496" s="6">
        <v>1.1299999999999999</v>
      </c>
      <c r="L1496" s="4">
        <v>3</v>
      </c>
      <c r="M1496" s="4">
        <v>123</v>
      </c>
      <c r="N1496" s="4">
        <v>96</v>
      </c>
      <c r="O1496" s="4" t="s">
        <v>26</v>
      </c>
      <c r="P1496" s="7" t="s">
        <v>19</v>
      </c>
    </row>
    <row r="1497" spans="2:16" x14ac:dyDescent="0.45">
      <c r="B1497" s="4">
        <v>1496</v>
      </c>
      <c r="C1497" s="4" t="s">
        <v>15</v>
      </c>
      <c r="D1497" s="4" t="s">
        <v>23</v>
      </c>
      <c r="E1497" s="4" t="s">
        <v>37</v>
      </c>
      <c r="F1497" s="4" t="s">
        <v>28</v>
      </c>
      <c r="G1497" s="4" t="s">
        <v>30</v>
      </c>
      <c r="H1497" s="4" t="s">
        <v>25</v>
      </c>
      <c r="I1497" s="4">
        <v>34</v>
      </c>
      <c r="J1497" s="5">
        <v>77.599999999999994</v>
      </c>
      <c r="K1497" s="6">
        <v>1.56</v>
      </c>
      <c r="L1497" s="4">
        <v>0</v>
      </c>
      <c r="M1497" s="4">
        <v>109</v>
      </c>
      <c r="N1497" s="4">
        <v>79</v>
      </c>
      <c r="O1497" s="4" t="s">
        <v>26</v>
      </c>
      <c r="P1497" s="7" t="s">
        <v>19</v>
      </c>
    </row>
    <row r="1498" spans="2:16" x14ac:dyDescent="0.45">
      <c r="B1498" s="4">
        <v>1497</v>
      </c>
      <c r="C1498" s="4" t="s">
        <v>29</v>
      </c>
      <c r="D1498" s="4" t="s">
        <v>23</v>
      </c>
      <c r="E1498" s="4" t="s">
        <v>35</v>
      </c>
      <c r="F1498" s="4" t="s">
        <v>42</v>
      </c>
      <c r="G1498" s="4" t="s">
        <v>19</v>
      </c>
      <c r="H1498" s="4" t="s">
        <v>25</v>
      </c>
      <c r="I1498" s="4">
        <v>14</v>
      </c>
      <c r="J1498" s="5">
        <v>64.2</v>
      </c>
      <c r="K1498" s="6">
        <v>1.5</v>
      </c>
      <c r="L1498" s="4">
        <v>0</v>
      </c>
      <c r="M1498" s="4">
        <v>111</v>
      </c>
      <c r="N1498" s="4">
        <v>89</v>
      </c>
      <c r="O1498" s="4" t="s">
        <v>26</v>
      </c>
      <c r="P1498" s="7" t="s">
        <v>19</v>
      </c>
    </row>
    <row r="1499" spans="2:16" x14ac:dyDescent="0.45">
      <c r="B1499" s="4">
        <v>1498</v>
      </c>
      <c r="C1499" s="4" t="s">
        <v>22</v>
      </c>
      <c r="D1499" s="4" t="s">
        <v>16</v>
      </c>
      <c r="E1499" s="4" t="s">
        <v>17</v>
      </c>
      <c r="F1499" s="4" t="s">
        <v>24</v>
      </c>
      <c r="G1499" s="4" t="s">
        <v>19</v>
      </c>
      <c r="H1499" s="4" t="s">
        <v>20</v>
      </c>
      <c r="I1499" s="4">
        <v>32</v>
      </c>
      <c r="J1499" s="5">
        <v>46.9</v>
      </c>
      <c r="K1499" s="6">
        <v>1.81</v>
      </c>
      <c r="L1499" s="4">
        <v>1</v>
      </c>
      <c r="M1499" s="4">
        <v>103</v>
      </c>
      <c r="N1499" s="4">
        <v>89</v>
      </c>
      <c r="O1499" s="4" t="s">
        <v>26</v>
      </c>
      <c r="P1499" s="7" t="s">
        <v>19</v>
      </c>
    </row>
    <row r="1500" spans="2:16" x14ac:dyDescent="0.45">
      <c r="B1500" s="4">
        <v>1499</v>
      </c>
      <c r="C1500" s="4" t="s">
        <v>41</v>
      </c>
      <c r="D1500" s="4" t="s">
        <v>23</v>
      </c>
      <c r="E1500" s="4" t="s">
        <v>35</v>
      </c>
      <c r="F1500" s="4" t="s">
        <v>24</v>
      </c>
      <c r="G1500" s="4" t="s">
        <v>19</v>
      </c>
      <c r="H1500" s="4" t="s">
        <v>20</v>
      </c>
      <c r="I1500" s="4">
        <v>24</v>
      </c>
      <c r="J1500" s="5">
        <v>52.7</v>
      </c>
      <c r="K1500" s="6">
        <v>1.54</v>
      </c>
      <c r="L1500" s="4">
        <v>6</v>
      </c>
      <c r="M1500" s="4">
        <v>114</v>
      </c>
      <c r="N1500" s="4">
        <v>76</v>
      </c>
      <c r="O1500" s="4" t="s">
        <v>26</v>
      </c>
      <c r="P1500" s="7" t="s">
        <v>19</v>
      </c>
    </row>
    <row r="1501" spans="2:16" x14ac:dyDescent="0.45">
      <c r="B1501" s="4">
        <v>1500</v>
      </c>
      <c r="C1501" s="4" t="s">
        <v>43</v>
      </c>
      <c r="D1501" s="4" t="s">
        <v>16</v>
      </c>
      <c r="E1501" s="4" t="s">
        <v>35</v>
      </c>
      <c r="F1501" s="4" t="s">
        <v>24</v>
      </c>
      <c r="G1501" s="4" t="s">
        <v>19</v>
      </c>
      <c r="H1501" s="4" t="s">
        <v>36</v>
      </c>
      <c r="I1501" s="4">
        <v>25</v>
      </c>
      <c r="J1501" s="5">
        <v>57.3</v>
      </c>
      <c r="K1501" s="6">
        <v>1.72</v>
      </c>
      <c r="L1501" s="4">
        <v>1</v>
      </c>
      <c r="M1501" s="4">
        <v>129</v>
      </c>
      <c r="N1501" s="4">
        <v>72</v>
      </c>
      <c r="O1501" s="4" t="s">
        <v>21</v>
      </c>
      <c r="P1501" s="7" t="s">
        <v>19</v>
      </c>
    </row>
    <row r="1502" spans="2:16" x14ac:dyDescent="0.45">
      <c r="B1502" s="4">
        <v>1501</v>
      </c>
      <c r="C1502" s="4" t="s">
        <v>15</v>
      </c>
      <c r="D1502" s="4" t="s">
        <v>16</v>
      </c>
      <c r="E1502" s="4" t="s">
        <v>35</v>
      </c>
      <c r="F1502" s="4" t="s">
        <v>24</v>
      </c>
      <c r="G1502" s="4" t="s">
        <v>19</v>
      </c>
      <c r="H1502" s="4" t="s">
        <v>36</v>
      </c>
      <c r="I1502" s="4">
        <v>2</v>
      </c>
      <c r="J1502" s="5">
        <v>10.5</v>
      </c>
      <c r="K1502" s="6">
        <v>0.61</v>
      </c>
      <c r="L1502" s="4">
        <v>5</v>
      </c>
      <c r="M1502" s="4">
        <v>116</v>
      </c>
      <c r="N1502" s="4">
        <v>86</v>
      </c>
      <c r="O1502" s="4" t="s">
        <v>21</v>
      </c>
      <c r="P1502" s="7" t="s">
        <v>19</v>
      </c>
    </row>
    <row r="1503" spans="2:16" x14ac:dyDescent="0.45">
      <c r="B1503" s="4">
        <v>1502</v>
      </c>
      <c r="C1503" s="4" t="s">
        <v>39</v>
      </c>
      <c r="D1503" s="4" t="s">
        <v>16</v>
      </c>
      <c r="E1503" s="4" t="s">
        <v>17</v>
      </c>
      <c r="F1503" s="4" t="s">
        <v>42</v>
      </c>
      <c r="G1503" s="4" t="s">
        <v>19</v>
      </c>
      <c r="H1503" s="4" t="s">
        <v>20</v>
      </c>
      <c r="I1503" s="4">
        <v>9</v>
      </c>
      <c r="J1503" s="5">
        <v>33.799999999999997</v>
      </c>
      <c r="K1503" s="6">
        <v>1.34</v>
      </c>
      <c r="L1503" s="4">
        <v>5</v>
      </c>
      <c r="M1503" s="4">
        <v>107</v>
      </c>
      <c r="N1503" s="4">
        <v>99</v>
      </c>
      <c r="O1503" s="4" t="s">
        <v>26</v>
      </c>
      <c r="P1503" s="7" t="s">
        <v>19</v>
      </c>
    </row>
    <row r="1504" spans="2:16" x14ac:dyDescent="0.45">
      <c r="B1504" s="4">
        <v>1503</v>
      </c>
      <c r="C1504" s="4" t="s">
        <v>27</v>
      </c>
      <c r="D1504" s="4" t="s">
        <v>16</v>
      </c>
      <c r="E1504" s="4" t="s">
        <v>44</v>
      </c>
      <c r="F1504" s="4" t="s">
        <v>24</v>
      </c>
      <c r="G1504" s="4" t="s">
        <v>19</v>
      </c>
      <c r="H1504" s="4" t="s">
        <v>28</v>
      </c>
      <c r="I1504" s="4">
        <v>55</v>
      </c>
      <c r="J1504" s="5">
        <v>64.400000000000006</v>
      </c>
      <c r="K1504" s="6">
        <v>1.88</v>
      </c>
      <c r="L1504" s="4">
        <v>5</v>
      </c>
      <c r="M1504" s="4">
        <v>126</v>
      </c>
      <c r="N1504" s="4">
        <v>72</v>
      </c>
      <c r="O1504" s="4" t="s">
        <v>26</v>
      </c>
      <c r="P1504" s="7" t="s">
        <v>19</v>
      </c>
    </row>
    <row r="1505" spans="2:16" x14ac:dyDescent="0.45">
      <c r="B1505" s="4">
        <v>1504</v>
      </c>
      <c r="C1505" s="4" t="s">
        <v>43</v>
      </c>
      <c r="D1505" s="4" t="s">
        <v>16</v>
      </c>
      <c r="E1505" s="4" t="s">
        <v>37</v>
      </c>
      <c r="F1505" s="4" t="s">
        <v>24</v>
      </c>
      <c r="G1505" s="4" t="s">
        <v>19</v>
      </c>
      <c r="H1505" s="4" t="s">
        <v>28</v>
      </c>
      <c r="I1505" s="4">
        <v>24</v>
      </c>
      <c r="J1505" s="5">
        <v>49.2</v>
      </c>
      <c r="K1505" s="6">
        <v>1.51</v>
      </c>
      <c r="L1505" s="4">
        <v>3</v>
      </c>
      <c r="M1505" s="4">
        <v>98</v>
      </c>
      <c r="N1505" s="4">
        <v>81</v>
      </c>
      <c r="O1505" s="4" t="s">
        <v>26</v>
      </c>
      <c r="P1505" s="7" t="s">
        <v>19</v>
      </c>
    </row>
    <row r="1506" spans="2:16" x14ac:dyDescent="0.45">
      <c r="B1506" s="4">
        <v>1505</v>
      </c>
      <c r="C1506" s="4" t="s">
        <v>39</v>
      </c>
      <c r="D1506" s="4" t="s">
        <v>23</v>
      </c>
      <c r="E1506" s="4" t="s">
        <v>37</v>
      </c>
      <c r="F1506" s="4" t="s">
        <v>42</v>
      </c>
      <c r="G1506" s="4" t="s">
        <v>30</v>
      </c>
      <c r="H1506" s="4" t="s">
        <v>28</v>
      </c>
      <c r="I1506" s="4">
        <v>47</v>
      </c>
      <c r="J1506" s="5">
        <v>88.4</v>
      </c>
      <c r="K1506" s="6">
        <v>1.81</v>
      </c>
      <c r="L1506" s="4">
        <v>2</v>
      </c>
      <c r="M1506" s="4">
        <v>127</v>
      </c>
      <c r="N1506" s="4">
        <v>75</v>
      </c>
      <c r="O1506" s="4" t="s">
        <v>26</v>
      </c>
      <c r="P1506" s="7" t="s">
        <v>30</v>
      </c>
    </row>
    <row r="1507" spans="2:16" x14ac:dyDescent="0.45">
      <c r="B1507" s="4">
        <v>1506</v>
      </c>
      <c r="C1507" s="4" t="s">
        <v>31</v>
      </c>
      <c r="D1507" s="4" t="s">
        <v>16</v>
      </c>
      <c r="E1507" s="4" t="s">
        <v>35</v>
      </c>
      <c r="F1507" s="4" t="s">
        <v>18</v>
      </c>
      <c r="G1507" s="4" t="s">
        <v>30</v>
      </c>
      <c r="H1507" s="4" t="s">
        <v>34</v>
      </c>
      <c r="I1507" s="4">
        <v>22</v>
      </c>
      <c r="J1507" s="5">
        <v>56.3</v>
      </c>
      <c r="K1507" s="6">
        <v>1.84</v>
      </c>
      <c r="L1507" s="4">
        <v>3</v>
      </c>
      <c r="M1507" s="4">
        <v>106</v>
      </c>
      <c r="N1507" s="4">
        <v>84</v>
      </c>
      <c r="O1507" s="4" t="s">
        <v>21</v>
      </c>
      <c r="P1507" s="7" t="s">
        <v>19</v>
      </c>
    </row>
    <row r="1508" spans="2:16" x14ac:dyDescent="0.45">
      <c r="B1508" s="4">
        <v>1507</v>
      </c>
      <c r="C1508" s="4" t="s">
        <v>15</v>
      </c>
      <c r="D1508" s="4" t="s">
        <v>16</v>
      </c>
      <c r="E1508" s="4" t="s">
        <v>17</v>
      </c>
      <c r="F1508" s="4" t="s">
        <v>24</v>
      </c>
      <c r="G1508" s="4" t="s">
        <v>19</v>
      </c>
      <c r="H1508" s="4" t="s">
        <v>28</v>
      </c>
      <c r="I1508" s="4">
        <v>30</v>
      </c>
      <c r="J1508" s="5">
        <v>50.7</v>
      </c>
      <c r="K1508" s="6">
        <v>1.6</v>
      </c>
      <c r="L1508" s="4">
        <v>1</v>
      </c>
      <c r="M1508" s="4">
        <v>109</v>
      </c>
      <c r="N1508" s="4">
        <v>103</v>
      </c>
      <c r="O1508" s="4" t="s">
        <v>26</v>
      </c>
      <c r="P1508" s="7" t="s">
        <v>19</v>
      </c>
    </row>
    <row r="1509" spans="2:16" x14ac:dyDescent="0.45">
      <c r="B1509" s="4">
        <v>1508</v>
      </c>
      <c r="C1509" s="4" t="s">
        <v>22</v>
      </c>
      <c r="D1509" s="4" t="s">
        <v>16</v>
      </c>
      <c r="E1509" s="4" t="s">
        <v>37</v>
      </c>
      <c r="F1509" s="4" t="s">
        <v>24</v>
      </c>
      <c r="G1509" s="4" t="s">
        <v>19</v>
      </c>
      <c r="H1509" s="4" t="s">
        <v>32</v>
      </c>
      <c r="I1509" s="4">
        <v>18</v>
      </c>
      <c r="J1509" s="5">
        <v>47.6</v>
      </c>
      <c r="K1509" s="6">
        <v>1.66</v>
      </c>
      <c r="L1509" s="4">
        <v>1</v>
      </c>
      <c r="M1509" s="4">
        <v>100</v>
      </c>
      <c r="N1509" s="4">
        <v>176</v>
      </c>
      <c r="O1509" s="4" t="s">
        <v>26</v>
      </c>
      <c r="P1509" s="7" t="s">
        <v>19</v>
      </c>
    </row>
    <row r="1510" spans="2:16" x14ac:dyDescent="0.45">
      <c r="B1510" s="4">
        <v>1509</v>
      </c>
      <c r="C1510" s="4" t="s">
        <v>22</v>
      </c>
      <c r="D1510" s="4" t="s">
        <v>23</v>
      </c>
      <c r="E1510" s="4" t="s">
        <v>17</v>
      </c>
      <c r="F1510" s="4" t="s">
        <v>18</v>
      </c>
      <c r="G1510" s="4" t="s">
        <v>19</v>
      </c>
      <c r="H1510" s="4" t="s">
        <v>32</v>
      </c>
      <c r="I1510" s="4">
        <v>38</v>
      </c>
      <c r="J1510" s="5">
        <v>73.5</v>
      </c>
      <c r="K1510" s="6">
        <v>1.74</v>
      </c>
      <c r="L1510" s="4">
        <v>5</v>
      </c>
      <c r="M1510" s="4">
        <v>128</v>
      </c>
      <c r="N1510" s="4">
        <v>147</v>
      </c>
      <c r="O1510" s="4" t="s">
        <v>21</v>
      </c>
      <c r="P1510" s="7" t="s">
        <v>30</v>
      </c>
    </row>
    <row r="1511" spans="2:16" x14ac:dyDescent="0.45">
      <c r="B1511" s="4">
        <v>1510</v>
      </c>
      <c r="C1511" s="4" t="s">
        <v>40</v>
      </c>
      <c r="D1511" s="4" t="s">
        <v>16</v>
      </c>
      <c r="E1511" s="4" t="s">
        <v>17</v>
      </c>
      <c r="F1511" s="4" t="s">
        <v>24</v>
      </c>
      <c r="G1511" s="4" t="s">
        <v>19</v>
      </c>
      <c r="H1511" s="4" t="s">
        <v>36</v>
      </c>
      <c r="I1511" s="4">
        <v>64</v>
      </c>
      <c r="J1511" s="5">
        <v>68.599999999999994</v>
      </c>
      <c r="K1511" s="6">
        <v>1.62</v>
      </c>
      <c r="L1511" s="4">
        <v>1</v>
      </c>
      <c r="M1511" s="4">
        <v>135</v>
      </c>
      <c r="N1511" s="4">
        <v>104</v>
      </c>
      <c r="O1511" s="4" t="s">
        <v>26</v>
      </c>
      <c r="P1511" s="7" t="s">
        <v>19</v>
      </c>
    </row>
    <row r="1512" spans="2:16" x14ac:dyDescent="0.45">
      <c r="B1512" s="4">
        <v>1511</v>
      </c>
      <c r="C1512" s="4" t="s">
        <v>45</v>
      </c>
      <c r="D1512" s="4" t="s">
        <v>23</v>
      </c>
      <c r="E1512" s="4" t="s">
        <v>35</v>
      </c>
      <c r="F1512" s="4" t="s">
        <v>42</v>
      </c>
      <c r="G1512" s="4" t="s">
        <v>30</v>
      </c>
      <c r="H1512" s="4" t="s">
        <v>25</v>
      </c>
      <c r="I1512" s="4">
        <v>13</v>
      </c>
      <c r="J1512" s="5">
        <v>38.700000000000003</v>
      </c>
      <c r="K1512" s="6">
        <v>1.46</v>
      </c>
      <c r="L1512" s="4">
        <v>1</v>
      </c>
      <c r="M1512" s="4">
        <v>95</v>
      </c>
      <c r="N1512" s="4">
        <v>91</v>
      </c>
      <c r="O1512" s="4" t="s">
        <v>26</v>
      </c>
      <c r="P1512" s="7" t="s">
        <v>19</v>
      </c>
    </row>
    <row r="1513" spans="2:16" x14ac:dyDescent="0.45">
      <c r="B1513" s="4">
        <v>1512</v>
      </c>
      <c r="C1513" s="4" t="s">
        <v>39</v>
      </c>
      <c r="D1513" s="4" t="s">
        <v>23</v>
      </c>
      <c r="E1513" s="4" t="s">
        <v>35</v>
      </c>
      <c r="F1513" s="4" t="s">
        <v>28</v>
      </c>
      <c r="G1513" s="4" t="s">
        <v>19</v>
      </c>
      <c r="H1513" s="4" t="s">
        <v>25</v>
      </c>
      <c r="I1513" s="4">
        <v>4</v>
      </c>
      <c r="J1513" s="5">
        <v>6.1</v>
      </c>
      <c r="K1513" s="6">
        <v>0.9</v>
      </c>
      <c r="L1513" s="4">
        <v>4</v>
      </c>
      <c r="M1513" s="4">
        <v>105</v>
      </c>
      <c r="N1513" s="4">
        <v>99</v>
      </c>
      <c r="O1513" s="4" t="s">
        <v>26</v>
      </c>
      <c r="P1513" s="7" t="s">
        <v>19</v>
      </c>
    </row>
    <row r="1514" spans="2:16" x14ac:dyDescent="0.45">
      <c r="B1514" s="4">
        <v>1513</v>
      </c>
      <c r="C1514" s="4" t="s">
        <v>29</v>
      </c>
      <c r="D1514" s="4" t="s">
        <v>16</v>
      </c>
      <c r="E1514" s="4" t="s">
        <v>17</v>
      </c>
      <c r="F1514" s="4" t="s">
        <v>28</v>
      </c>
      <c r="G1514" s="4" t="s">
        <v>19</v>
      </c>
      <c r="H1514" s="4" t="s">
        <v>20</v>
      </c>
      <c r="I1514" s="4">
        <v>0</v>
      </c>
      <c r="J1514" s="5">
        <v>17.100000000000001</v>
      </c>
      <c r="K1514" s="6">
        <v>0.62</v>
      </c>
      <c r="L1514" s="4">
        <v>7</v>
      </c>
      <c r="M1514" s="4">
        <v>97</v>
      </c>
      <c r="N1514" s="4">
        <v>75</v>
      </c>
      <c r="O1514" s="4" t="s">
        <v>26</v>
      </c>
      <c r="P1514" s="7" t="s">
        <v>19</v>
      </c>
    </row>
    <row r="1515" spans="2:16" x14ac:dyDescent="0.45">
      <c r="B1515" s="4">
        <v>1514</v>
      </c>
      <c r="C1515" s="4" t="s">
        <v>22</v>
      </c>
      <c r="D1515" s="4" t="s">
        <v>16</v>
      </c>
      <c r="E1515" s="4" t="s">
        <v>44</v>
      </c>
      <c r="F1515" s="4" t="s">
        <v>18</v>
      </c>
      <c r="G1515" s="4" t="s">
        <v>30</v>
      </c>
      <c r="H1515" s="4" t="s">
        <v>28</v>
      </c>
      <c r="I1515" s="4">
        <v>2</v>
      </c>
      <c r="J1515" s="5">
        <v>16</v>
      </c>
      <c r="K1515" s="6">
        <v>0.61</v>
      </c>
      <c r="L1515" s="4">
        <v>0</v>
      </c>
      <c r="M1515" s="4">
        <v>99</v>
      </c>
      <c r="N1515" s="4">
        <v>98</v>
      </c>
      <c r="O1515" s="4" t="s">
        <v>21</v>
      </c>
      <c r="P1515" s="7" t="s">
        <v>19</v>
      </c>
    </row>
    <row r="1516" spans="2:16" x14ac:dyDescent="0.45">
      <c r="B1516" s="4">
        <v>1515</v>
      </c>
      <c r="C1516" s="4" t="s">
        <v>27</v>
      </c>
      <c r="D1516" s="4" t="s">
        <v>16</v>
      </c>
      <c r="E1516" s="4" t="s">
        <v>44</v>
      </c>
      <c r="F1516" s="4" t="s">
        <v>42</v>
      </c>
      <c r="G1516" s="4" t="s">
        <v>19</v>
      </c>
      <c r="H1516" s="4" t="s">
        <v>36</v>
      </c>
      <c r="I1516" s="4">
        <v>7</v>
      </c>
      <c r="J1516" s="5">
        <v>20.9</v>
      </c>
      <c r="K1516" s="6">
        <v>1.3</v>
      </c>
      <c r="L1516" s="4">
        <v>7</v>
      </c>
      <c r="M1516" s="4">
        <v>131</v>
      </c>
      <c r="N1516" s="4">
        <v>99</v>
      </c>
      <c r="O1516" s="4" t="s">
        <v>26</v>
      </c>
      <c r="P1516" s="7" t="s">
        <v>30</v>
      </c>
    </row>
    <row r="1517" spans="2:16" x14ac:dyDescent="0.45">
      <c r="B1517" s="4">
        <v>1516</v>
      </c>
      <c r="C1517" s="4" t="s">
        <v>27</v>
      </c>
      <c r="D1517" s="4" t="s">
        <v>23</v>
      </c>
      <c r="E1517" s="4" t="s">
        <v>17</v>
      </c>
      <c r="F1517" s="4" t="s">
        <v>24</v>
      </c>
      <c r="G1517" s="4" t="s">
        <v>19</v>
      </c>
      <c r="H1517" s="4" t="s">
        <v>28</v>
      </c>
      <c r="I1517" s="4">
        <v>42</v>
      </c>
      <c r="J1517" s="5">
        <v>56</v>
      </c>
      <c r="K1517" s="6">
        <v>1.58</v>
      </c>
      <c r="L1517" s="4">
        <v>3</v>
      </c>
      <c r="M1517" s="4">
        <v>126</v>
      </c>
      <c r="N1517" s="4">
        <v>93</v>
      </c>
      <c r="O1517" s="4" t="s">
        <v>26</v>
      </c>
      <c r="P1517" s="7" t="s">
        <v>30</v>
      </c>
    </row>
    <row r="1518" spans="2:16" x14ac:dyDescent="0.45">
      <c r="B1518" s="4">
        <v>1517</v>
      </c>
      <c r="C1518" s="4" t="s">
        <v>22</v>
      </c>
      <c r="D1518" s="4" t="s">
        <v>23</v>
      </c>
      <c r="E1518" s="4" t="s">
        <v>35</v>
      </c>
      <c r="F1518" s="4" t="s">
        <v>24</v>
      </c>
      <c r="G1518" s="4" t="s">
        <v>30</v>
      </c>
      <c r="H1518" s="4" t="s">
        <v>46</v>
      </c>
      <c r="I1518" s="4">
        <v>9</v>
      </c>
      <c r="J1518" s="5">
        <v>21.8</v>
      </c>
      <c r="K1518" s="6">
        <v>1.1299999999999999</v>
      </c>
      <c r="L1518" s="4">
        <v>8</v>
      </c>
      <c r="M1518" s="4">
        <v>100</v>
      </c>
      <c r="N1518" s="4">
        <v>93</v>
      </c>
      <c r="O1518" s="4" t="s">
        <v>21</v>
      </c>
      <c r="P1518" s="7" t="s">
        <v>19</v>
      </c>
    </row>
    <row r="1519" spans="2:16" x14ac:dyDescent="0.45">
      <c r="B1519" s="4">
        <v>1518</v>
      </c>
      <c r="C1519" s="4" t="s">
        <v>27</v>
      </c>
      <c r="D1519" s="4" t="s">
        <v>23</v>
      </c>
      <c r="E1519" s="4" t="s">
        <v>17</v>
      </c>
      <c r="F1519" s="4" t="s">
        <v>24</v>
      </c>
      <c r="G1519" s="4" t="s">
        <v>19</v>
      </c>
      <c r="H1519" s="4" t="s">
        <v>20</v>
      </c>
      <c r="I1519" s="4">
        <v>0</v>
      </c>
      <c r="J1519" s="5">
        <v>12.1</v>
      </c>
      <c r="K1519" s="6">
        <v>0.85</v>
      </c>
      <c r="L1519" s="4">
        <v>2</v>
      </c>
      <c r="M1519" s="4">
        <v>109</v>
      </c>
      <c r="N1519" s="4">
        <v>90</v>
      </c>
      <c r="O1519" s="4" t="s">
        <v>21</v>
      </c>
      <c r="P1519" s="7" t="s">
        <v>19</v>
      </c>
    </row>
    <row r="1520" spans="2:16" x14ac:dyDescent="0.45">
      <c r="B1520" s="4">
        <v>1519</v>
      </c>
      <c r="C1520" s="4" t="s">
        <v>29</v>
      </c>
      <c r="D1520" s="4" t="s">
        <v>23</v>
      </c>
      <c r="E1520" s="4" t="s">
        <v>35</v>
      </c>
      <c r="F1520" s="4" t="s">
        <v>18</v>
      </c>
      <c r="G1520" s="4" t="s">
        <v>30</v>
      </c>
      <c r="H1520" s="4" t="s">
        <v>20</v>
      </c>
      <c r="I1520" s="4">
        <v>2</v>
      </c>
      <c r="J1520" s="5">
        <v>7</v>
      </c>
      <c r="K1520" s="6">
        <v>1.03</v>
      </c>
      <c r="L1520" s="4">
        <v>1</v>
      </c>
      <c r="M1520" s="4">
        <v>107</v>
      </c>
      <c r="N1520" s="4">
        <v>81</v>
      </c>
      <c r="O1520" s="4" t="s">
        <v>26</v>
      </c>
      <c r="P1520" s="7" t="s">
        <v>19</v>
      </c>
    </row>
    <row r="1521" spans="2:16" x14ac:dyDescent="0.45">
      <c r="B1521" s="4">
        <v>1520</v>
      </c>
      <c r="C1521" s="4" t="s">
        <v>22</v>
      </c>
      <c r="D1521" s="4" t="s">
        <v>16</v>
      </c>
      <c r="E1521" s="4" t="s">
        <v>35</v>
      </c>
      <c r="F1521" s="4" t="s">
        <v>28</v>
      </c>
      <c r="G1521" s="4" t="s">
        <v>30</v>
      </c>
      <c r="H1521" s="4" t="s">
        <v>38</v>
      </c>
      <c r="I1521" s="4">
        <v>16</v>
      </c>
      <c r="J1521" s="5">
        <v>50.7</v>
      </c>
      <c r="K1521" s="6">
        <v>1.71</v>
      </c>
      <c r="L1521" s="4">
        <v>3</v>
      </c>
      <c r="M1521" s="4">
        <v>110</v>
      </c>
      <c r="N1521" s="4">
        <v>75</v>
      </c>
      <c r="O1521" s="4" t="s">
        <v>21</v>
      </c>
      <c r="P1521" s="7" t="s">
        <v>19</v>
      </c>
    </row>
    <row r="1522" spans="2:16" x14ac:dyDescent="0.45">
      <c r="B1522" s="4">
        <v>1521</v>
      </c>
      <c r="C1522" s="4" t="s">
        <v>41</v>
      </c>
      <c r="D1522" s="4" t="s">
        <v>16</v>
      </c>
      <c r="E1522" s="4" t="s">
        <v>17</v>
      </c>
      <c r="F1522" s="4" t="s">
        <v>24</v>
      </c>
      <c r="G1522" s="4" t="s">
        <v>19</v>
      </c>
      <c r="H1522" s="4" t="s">
        <v>28</v>
      </c>
      <c r="I1522" s="4">
        <v>3</v>
      </c>
      <c r="J1522" s="5">
        <v>16.899999999999999</v>
      </c>
      <c r="K1522" s="6">
        <v>1.03</v>
      </c>
      <c r="L1522" s="4">
        <v>2</v>
      </c>
      <c r="M1522" s="4">
        <v>116</v>
      </c>
      <c r="N1522" s="4">
        <v>76</v>
      </c>
      <c r="O1522" s="4" t="s">
        <v>21</v>
      </c>
      <c r="P1522" s="7" t="s">
        <v>19</v>
      </c>
    </row>
    <row r="1523" spans="2:16" x14ac:dyDescent="0.45">
      <c r="B1523" s="4">
        <v>1522</v>
      </c>
      <c r="C1523" s="4" t="s">
        <v>45</v>
      </c>
      <c r="D1523" s="4" t="s">
        <v>23</v>
      </c>
      <c r="E1523" s="4" t="s">
        <v>35</v>
      </c>
      <c r="F1523" s="4" t="s">
        <v>24</v>
      </c>
      <c r="G1523" s="4" t="s">
        <v>19</v>
      </c>
      <c r="H1523" s="4" t="s">
        <v>34</v>
      </c>
      <c r="I1523" s="4">
        <v>21</v>
      </c>
      <c r="J1523" s="5">
        <v>51.2</v>
      </c>
      <c r="K1523" s="6">
        <v>1.77</v>
      </c>
      <c r="L1523" s="4">
        <v>6</v>
      </c>
      <c r="M1523" s="4">
        <v>115</v>
      </c>
      <c r="N1523" s="4">
        <v>86</v>
      </c>
      <c r="O1523" s="4" t="s">
        <v>26</v>
      </c>
      <c r="P1523" s="7" t="s">
        <v>30</v>
      </c>
    </row>
    <row r="1524" spans="2:16" x14ac:dyDescent="0.45">
      <c r="B1524" s="4">
        <v>1523</v>
      </c>
      <c r="C1524" s="4" t="s">
        <v>40</v>
      </c>
      <c r="D1524" s="4" t="s">
        <v>16</v>
      </c>
      <c r="E1524" s="4" t="s">
        <v>35</v>
      </c>
      <c r="F1524" s="4" t="s">
        <v>18</v>
      </c>
      <c r="G1524" s="4" t="s">
        <v>30</v>
      </c>
      <c r="H1524" s="4" t="s">
        <v>36</v>
      </c>
      <c r="I1524" s="4">
        <v>15</v>
      </c>
      <c r="J1524" s="5">
        <v>47.9</v>
      </c>
      <c r="K1524" s="6">
        <v>1.65</v>
      </c>
      <c r="L1524" s="4">
        <v>3</v>
      </c>
      <c r="M1524" s="4">
        <v>123</v>
      </c>
      <c r="N1524" s="4">
        <v>105</v>
      </c>
      <c r="O1524" s="4" t="s">
        <v>21</v>
      </c>
      <c r="P1524" s="7" t="s">
        <v>19</v>
      </c>
    </row>
    <row r="1525" spans="2:16" x14ac:dyDescent="0.45">
      <c r="B1525" s="4">
        <v>1524</v>
      </c>
      <c r="C1525" s="4" t="s">
        <v>45</v>
      </c>
      <c r="D1525" s="4" t="s">
        <v>16</v>
      </c>
      <c r="E1525" s="4" t="s">
        <v>44</v>
      </c>
      <c r="F1525" s="4" t="s">
        <v>28</v>
      </c>
      <c r="G1525" s="4" t="s">
        <v>30</v>
      </c>
      <c r="H1525" s="4" t="s">
        <v>25</v>
      </c>
      <c r="I1525" s="4">
        <v>25</v>
      </c>
      <c r="J1525" s="5">
        <v>87.2</v>
      </c>
      <c r="K1525" s="6">
        <v>1.58</v>
      </c>
      <c r="L1525" s="4">
        <v>2</v>
      </c>
      <c r="M1525" s="4">
        <v>109</v>
      </c>
      <c r="N1525" s="4">
        <v>103</v>
      </c>
      <c r="O1525" s="4" t="s">
        <v>21</v>
      </c>
      <c r="P1525" s="7" t="s">
        <v>19</v>
      </c>
    </row>
    <row r="1526" spans="2:16" x14ac:dyDescent="0.45">
      <c r="B1526" s="4">
        <v>1525</v>
      </c>
      <c r="C1526" s="4" t="s">
        <v>29</v>
      </c>
      <c r="D1526" s="4" t="s">
        <v>16</v>
      </c>
      <c r="E1526" s="4" t="s">
        <v>37</v>
      </c>
      <c r="F1526" s="4" t="s">
        <v>28</v>
      </c>
      <c r="G1526" s="4" t="s">
        <v>30</v>
      </c>
      <c r="H1526" s="4" t="s">
        <v>36</v>
      </c>
      <c r="I1526" s="4">
        <v>6</v>
      </c>
      <c r="J1526" s="5">
        <v>34.9</v>
      </c>
      <c r="K1526" s="6">
        <v>1.4</v>
      </c>
      <c r="L1526" s="4">
        <v>4</v>
      </c>
      <c r="M1526" s="4">
        <v>122</v>
      </c>
      <c r="N1526" s="4">
        <v>102</v>
      </c>
      <c r="O1526" s="4" t="s">
        <v>21</v>
      </c>
      <c r="P1526" s="7" t="s">
        <v>19</v>
      </c>
    </row>
    <row r="1527" spans="2:16" x14ac:dyDescent="0.45">
      <c r="B1527" s="4">
        <v>1526</v>
      </c>
      <c r="C1527" s="4" t="s">
        <v>40</v>
      </c>
      <c r="D1527" s="4" t="s">
        <v>23</v>
      </c>
      <c r="E1527" s="4" t="s">
        <v>17</v>
      </c>
      <c r="F1527" s="4" t="s">
        <v>18</v>
      </c>
      <c r="G1527" s="4" t="s">
        <v>30</v>
      </c>
      <c r="H1527" s="4" t="s">
        <v>34</v>
      </c>
      <c r="I1527" s="4">
        <v>34</v>
      </c>
      <c r="J1527" s="5">
        <v>69.3</v>
      </c>
      <c r="K1527" s="6">
        <v>1.8</v>
      </c>
      <c r="L1527" s="4">
        <v>6</v>
      </c>
      <c r="M1527" s="4">
        <v>125</v>
      </c>
      <c r="N1527" s="4">
        <v>94</v>
      </c>
      <c r="O1527" s="4" t="s">
        <v>26</v>
      </c>
      <c r="P1527" s="7" t="s">
        <v>19</v>
      </c>
    </row>
    <row r="1528" spans="2:16" x14ac:dyDescent="0.45">
      <c r="B1528" s="4">
        <v>1527</v>
      </c>
      <c r="C1528" s="4" t="s">
        <v>40</v>
      </c>
      <c r="D1528" s="4" t="s">
        <v>23</v>
      </c>
      <c r="E1528" s="4" t="s">
        <v>17</v>
      </c>
      <c r="F1528" s="4" t="s">
        <v>28</v>
      </c>
      <c r="G1528" s="4" t="s">
        <v>19</v>
      </c>
      <c r="H1528" s="4" t="s">
        <v>25</v>
      </c>
      <c r="I1528" s="4">
        <v>33</v>
      </c>
      <c r="J1528" s="5">
        <v>74.8</v>
      </c>
      <c r="K1528" s="6">
        <v>1.78</v>
      </c>
      <c r="L1528" s="4">
        <v>3</v>
      </c>
      <c r="M1528" s="4">
        <v>113</v>
      </c>
      <c r="N1528" s="4">
        <v>104</v>
      </c>
      <c r="O1528" s="4" t="s">
        <v>26</v>
      </c>
      <c r="P1528" s="7" t="s">
        <v>19</v>
      </c>
    </row>
    <row r="1529" spans="2:16" x14ac:dyDescent="0.45">
      <c r="B1529" s="4">
        <v>1528</v>
      </c>
      <c r="C1529" s="4" t="s">
        <v>27</v>
      </c>
      <c r="D1529" s="4" t="s">
        <v>16</v>
      </c>
      <c r="E1529" s="4" t="s">
        <v>37</v>
      </c>
      <c r="F1529" s="4" t="s">
        <v>24</v>
      </c>
      <c r="G1529" s="4" t="s">
        <v>19</v>
      </c>
      <c r="H1529" s="4" t="s">
        <v>25</v>
      </c>
      <c r="I1529" s="4">
        <v>56</v>
      </c>
      <c r="J1529" s="5">
        <v>77.400000000000006</v>
      </c>
      <c r="K1529" s="6">
        <v>1.69</v>
      </c>
      <c r="L1529" s="4">
        <v>3</v>
      </c>
      <c r="M1529" s="4">
        <v>125</v>
      </c>
      <c r="N1529" s="4">
        <v>101</v>
      </c>
      <c r="O1529" s="4" t="s">
        <v>21</v>
      </c>
      <c r="P1529" s="7" t="s">
        <v>19</v>
      </c>
    </row>
    <row r="1530" spans="2:16" x14ac:dyDescent="0.45">
      <c r="B1530" s="4">
        <v>1529</v>
      </c>
      <c r="C1530" s="4" t="s">
        <v>45</v>
      </c>
      <c r="D1530" s="4" t="s">
        <v>16</v>
      </c>
      <c r="E1530" s="4" t="s">
        <v>17</v>
      </c>
      <c r="F1530" s="4" t="s">
        <v>24</v>
      </c>
      <c r="G1530" s="4" t="s">
        <v>19</v>
      </c>
      <c r="H1530" s="4" t="s">
        <v>20</v>
      </c>
      <c r="I1530" s="4">
        <v>27</v>
      </c>
      <c r="J1530" s="5">
        <v>75</v>
      </c>
      <c r="K1530" s="6">
        <v>1.78</v>
      </c>
      <c r="L1530" s="4">
        <v>1</v>
      </c>
      <c r="M1530" s="4">
        <v>101</v>
      </c>
      <c r="N1530" s="4">
        <v>85</v>
      </c>
      <c r="O1530" s="4" t="s">
        <v>26</v>
      </c>
      <c r="P1530" s="7" t="s">
        <v>19</v>
      </c>
    </row>
    <row r="1531" spans="2:16" x14ac:dyDescent="0.45">
      <c r="B1531" s="4">
        <v>1530</v>
      </c>
      <c r="C1531" s="4" t="s">
        <v>22</v>
      </c>
      <c r="D1531" s="4" t="s">
        <v>16</v>
      </c>
      <c r="E1531" s="4" t="s">
        <v>17</v>
      </c>
      <c r="F1531" s="4" t="s">
        <v>28</v>
      </c>
      <c r="G1531" s="4" t="s">
        <v>19</v>
      </c>
      <c r="H1531" s="4" t="s">
        <v>32</v>
      </c>
      <c r="I1531" s="4">
        <v>18</v>
      </c>
      <c r="J1531" s="5">
        <v>77.8</v>
      </c>
      <c r="K1531" s="6">
        <v>1.87</v>
      </c>
      <c r="L1531" s="4">
        <v>1</v>
      </c>
      <c r="M1531" s="4">
        <v>118</v>
      </c>
      <c r="N1531" s="4">
        <v>147</v>
      </c>
      <c r="O1531" s="4" t="s">
        <v>26</v>
      </c>
      <c r="P1531" s="7" t="s">
        <v>30</v>
      </c>
    </row>
    <row r="1532" spans="2:16" x14ac:dyDescent="0.45">
      <c r="B1532" s="4">
        <v>1531</v>
      </c>
      <c r="C1532" s="4" t="s">
        <v>40</v>
      </c>
      <c r="D1532" s="4" t="s">
        <v>23</v>
      </c>
      <c r="E1532" s="4" t="s">
        <v>17</v>
      </c>
      <c r="F1532" s="4" t="s">
        <v>28</v>
      </c>
      <c r="G1532" s="4" t="s">
        <v>19</v>
      </c>
      <c r="H1532" s="4" t="s">
        <v>32</v>
      </c>
      <c r="I1532" s="4">
        <v>0</v>
      </c>
      <c r="J1532" s="5">
        <v>17.5</v>
      </c>
      <c r="K1532" s="6">
        <v>0.81</v>
      </c>
      <c r="L1532" s="4">
        <v>0</v>
      </c>
      <c r="M1532" s="4">
        <v>107</v>
      </c>
      <c r="N1532" s="4">
        <v>142</v>
      </c>
      <c r="O1532" s="4" t="s">
        <v>26</v>
      </c>
      <c r="P1532" s="7" t="s">
        <v>19</v>
      </c>
    </row>
    <row r="1533" spans="2:16" x14ac:dyDescent="0.45">
      <c r="B1533" s="4">
        <v>1532</v>
      </c>
      <c r="C1533" s="4" t="s">
        <v>27</v>
      </c>
      <c r="D1533" s="4" t="s">
        <v>16</v>
      </c>
      <c r="E1533" s="4" t="s">
        <v>35</v>
      </c>
      <c r="F1533" s="4" t="s">
        <v>18</v>
      </c>
      <c r="G1533" s="4" t="s">
        <v>19</v>
      </c>
      <c r="H1533" s="4" t="s">
        <v>25</v>
      </c>
      <c r="I1533" s="4">
        <v>26</v>
      </c>
      <c r="J1533" s="5">
        <v>55.4</v>
      </c>
      <c r="K1533" s="6">
        <v>1.64</v>
      </c>
      <c r="L1533" s="4">
        <v>3</v>
      </c>
      <c r="M1533" s="4">
        <v>110</v>
      </c>
      <c r="N1533" s="4">
        <v>76</v>
      </c>
      <c r="O1533" s="4" t="s">
        <v>26</v>
      </c>
      <c r="P1533" s="7" t="s">
        <v>19</v>
      </c>
    </row>
    <row r="1534" spans="2:16" x14ac:dyDescent="0.45">
      <c r="B1534" s="4">
        <v>1533</v>
      </c>
      <c r="C1534" s="4" t="s">
        <v>22</v>
      </c>
      <c r="D1534" s="4" t="s">
        <v>23</v>
      </c>
      <c r="E1534" s="4" t="s">
        <v>17</v>
      </c>
      <c r="F1534" s="4" t="s">
        <v>18</v>
      </c>
      <c r="G1534" s="4" t="s">
        <v>30</v>
      </c>
      <c r="H1534" s="4" t="s">
        <v>20</v>
      </c>
      <c r="I1534" s="4">
        <v>0</v>
      </c>
      <c r="J1534" s="5">
        <v>15.7</v>
      </c>
      <c r="K1534" s="6">
        <v>0.67</v>
      </c>
      <c r="L1534" s="4">
        <v>1</v>
      </c>
      <c r="M1534" s="4">
        <v>105</v>
      </c>
      <c r="N1534" s="4">
        <v>88</v>
      </c>
      <c r="O1534" s="4" t="s">
        <v>21</v>
      </c>
      <c r="P1534" s="7" t="s">
        <v>19</v>
      </c>
    </row>
    <row r="1535" spans="2:16" x14ac:dyDescent="0.45">
      <c r="B1535" s="4">
        <v>1534</v>
      </c>
      <c r="C1535" s="4" t="s">
        <v>41</v>
      </c>
      <c r="D1535" s="4" t="s">
        <v>16</v>
      </c>
      <c r="E1535" s="4" t="s">
        <v>37</v>
      </c>
      <c r="F1535" s="4" t="s">
        <v>18</v>
      </c>
      <c r="G1535" s="4" t="s">
        <v>19</v>
      </c>
      <c r="H1535" s="4" t="s">
        <v>28</v>
      </c>
      <c r="I1535" s="4">
        <v>33</v>
      </c>
      <c r="J1535" s="5">
        <v>90.5</v>
      </c>
      <c r="K1535" s="6">
        <v>1.74</v>
      </c>
      <c r="L1535" s="4">
        <v>4</v>
      </c>
      <c r="M1535" s="4">
        <v>112</v>
      </c>
      <c r="N1535" s="4">
        <v>89</v>
      </c>
      <c r="O1535" s="4" t="s">
        <v>26</v>
      </c>
      <c r="P1535" s="7" t="s">
        <v>19</v>
      </c>
    </row>
    <row r="1536" spans="2:16" x14ac:dyDescent="0.45">
      <c r="B1536" s="4">
        <v>1535</v>
      </c>
      <c r="C1536" s="4" t="s">
        <v>39</v>
      </c>
      <c r="D1536" s="4" t="s">
        <v>23</v>
      </c>
      <c r="E1536" s="4" t="s">
        <v>17</v>
      </c>
      <c r="F1536" s="4" t="s">
        <v>24</v>
      </c>
      <c r="G1536" s="4" t="s">
        <v>19</v>
      </c>
      <c r="H1536" s="4" t="s">
        <v>34</v>
      </c>
      <c r="I1536" s="4">
        <v>54</v>
      </c>
      <c r="J1536" s="5">
        <v>87.4</v>
      </c>
      <c r="K1536" s="6">
        <v>1.74</v>
      </c>
      <c r="L1536" s="4">
        <v>2</v>
      </c>
      <c r="M1536" s="4">
        <v>128</v>
      </c>
      <c r="N1536" s="4">
        <v>93</v>
      </c>
      <c r="O1536" s="4" t="s">
        <v>26</v>
      </c>
      <c r="P1536" s="7" t="s">
        <v>19</v>
      </c>
    </row>
    <row r="1537" spans="2:16" x14ac:dyDescent="0.45">
      <c r="B1537" s="4">
        <v>1536</v>
      </c>
      <c r="C1537" s="4" t="s">
        <v>39</v>
      </c>
      <c r="D1537" s="4" t="s">
        <v>16</v>
      </c>
      <c r="E1537" s="4" t="s">
        <v>17</v>
      </c>
      <c r="F1537" s="4" t="s">
        <v>18</v>
      </c>
      <c r="G1537" s="4" t="s">
        <v>30</v>
      </c>
      <c r="H1537" s="4" t="s">
        <v>25</v>
      </c>
      <c r="I1537" s="4">
        <v>27</v>
      </c>
      <c r="J1537" s="5">
        <v>81.099999999999994</v>
      </c>
      <c r="K1537" s="6">
        <v>1.55</v>
      </c>
      <c r="L1537" s="4">
        <v>3</v>
      </c>
      <c r="M1537" s="4">
        <v>113</v>
      </c>
      <c r="N1537" s="4">
        <v>90</v>
      </c>
      <c r="O1537" s="4" t="s">
        <v>21</v>
      </c>
      <c r="P1537" s="7" t="s">
        <v>19</v>
      </c>
    </row>
    <row r="1538" spans="2:16" x14ac:dyDescent="0.45">
      <c r="B1538" s="4">
        <v>1537</v>
      </c>
      <c r="C1538" s="4" t="s">
        <v>41</v>
      </c>
      <c r="D1538" s="4" t="s">
        <v>23</v>
      </c>
      <c r="E1538" s="4" t="s">
        <v>35</v>
      </c>
      <c r="F1538" s="4" t="s">
        <v>28</v>
      </c>
      <c r="G1538" s="4" t="s">
        <v>19</v>
      </c>
      <c r="H1538" s="4" t="s">
        <v>34</v>
      </c>
      <c r="I1538" s="4">
        <v>17</v>
      </c>
      <c r="J1538" s="5">
        <v>39.4</v>
      </c>
      <c r="K1538" s="6">
        <v>1.68</v>
      </c>
      <c r="L1538" s="4">
        <v>3</v>
      </c>
      <c r="M1538" s="4">
        <v>119</v>
      </c>
      <c r="N1538" s="4">
        <v>102</v>
      </c>
      <c r="O1538" s="4" t="s">
        <v>26</v>
      </c>
      <c r="P1538" s="7" t="s">
        <v>19</v>
      </c>
    </row>
    <row r="1539" spans="2:16" x14ac:dyDescent="0.45">
      <c r="B1539" s="4">
        <v>1538</v>
      </c>
      <c r="C1539" s="4" t="s">
        <v>45</v>
      </c>
      <c r="D1539" s="4" t="s">
        <v>23</v>
      </c>
      <c r="E1539" s="4" t="s">
        <v>17</v>
      </c>
      <c r="F1539" s="4" t="s">
        <v>24</v>
      </c>
      <c r="G1539" s="4" t="s">
        <v>19</v>
      </c>
      <c r="H1539" s="4" t="s">
        <v>25</v>
      </c>
      <c r="I1539" s="4">
        <v>13</v>
      </c>
      <c r="J1539" s="5">
        <v>57.6</v>
      </c>
      <c r="K1539" s="6">
        <v>1.68</v>
      </c>
      <c r="L1539" s="4">
        <v>2</v>
      </c>
      <c r="M1539" s="4">
        <v>111</v>
      </c>
      <c r="N1539" s="4">
        <v>76</v>
      </c>
      <c r="O1539" s="4" t="s">
        <v>26</v>
      </c>
      <c r="P1539" s="7" t="s">
        <v>19</v>
      </c>
    </row>
    <row r="1540" spans="2:16" x14ac:dyDescent="0.45">
      <c r="B1540" s="4">
        <v>1539</v>
      </c>
      <c r="C1540" s="4" t="s">
        <v>27</v>
      </c>
      <c r="D1540" s="4" t="s">
        <v>23</v>
      </c>
      <c r="E1540" s="4" t="s">
        <v>35</v>
      </c>
      <c r="F1540" s="4" t="s">
        <v>28</v>
      </c>
      <c r="G1540" s="4" t="s">
        <v>19</v>
      </c>
      <c r="H1540" s="4" t="s">
        <v>28</v>
      </c>
      <c r="I1540" s="4">
        <v>11</v>
      </c>
      <c r="J1540" s="5">
        <v>19.3</v>
      </c>
      <c r="K1540" s="6">
        <v>1.1399999999999999</v>
      </c>
      <c r="L1540" s="4">
        <v>1</v>
      </c>
      <c r="M1540" s="4">
        <v>100</v>
      </c>
      <c r="N1540" s="4">
        <v>85</v>
      </c>
      <c r="O1540" s="4" t="s">
        <v>26</v>
      </c>
      <c r="P1540" s="7" t="s">
        <v>19</v>
      </c>
    </row>
    <row r="1541" spans="2:16" x14ac:dyDescent="0.45">
      <c r="B1541" s="4">
        <v>1540</v>
      </c>
      <c r="C1541" s="4" t="s">
        <v>27</v>
      </c>
      <c r="D1541" s="4" t="s">
        <v>23</v>
      </c>
      <c r="E1541" s="4" t="s">
        <v>35</v>
      </c>
      <c r="F1541" s="4" t="s">
        <v>24</v>
      </c>
      <c r="G1541" s="4" t="s">
        <v>19</v>
      </c>
      <c r="H1541" s="4" t="s">
        <v>38</v>
      </c>
      <c r="I1541" s="4">
        <v>12</v>
      </c>
      <c r="J1541" s="5">
        <v>59.7</v>
      </c>
      <c r="K1541" s="6">
        <v>1.66</v>
      </c>
      <c r="L1541" s="4">
        <v>2</v>
      </c>
      <c r="M1541" s="4">
        <v>109</v>
      </c>
      <c r="N1541" s="4">
        <v>89</v>
      </c>
      <c r="O1541" s="4" t="s">
        <v>21</v>
      </c>
      <c r="P1541" s="7" t="s">
        <v>30</v>
      </c>
    </row>
    <row r="1542" spans="2:16" x14ac:dyDescent="0.45">
      <c r="B1542" s="4">
        <v>1541</v>
      </c>
      <c r="C1542" s="4" t="s">
        <v>31</v>
      </c>
      <c r="D1542" s="4" t="s">
        <v>23</v>
      </c>
      <c r="E1542" s="4" t="s">
        <v>17</v>
      </c>
      <c r="F1542" s="4" t="s">
        <v>18</v>
      </c>
      <c r="G1542" s="4" t="s">
        <v>19</v>
      </c>
      <c r="H1542" s="4" t="s">
        <v>20</v>
      </c>
      <c r="I1542" s="4">
        <v>47</v>
      </c>
      <c r="J1542" s="5">
        <v>48.7</v>
      </c>
      <c r="K1542" s="6">
        <v>1.7</v>
      </c>
      <c r="L1542" s="4">
        <v>9</v>
      </c>
      <c r="M1542" s="4">
        <v>114</v>
      </c>
      <c r="N1542" s="4">
        <v>98</v>
      </c>
      <c r="O1542" s="4" t="s">
        <v>26</v>
      </c>
      <c r="P1542" s="7" t="s">
        <v>19</v>
      </c>
    </row>
    <row r="1543" spans="2:16" x14ac:dyDescent="0.45">
      <c r="B1543" s="4">
        <v>1542</v>
      </c>
      <c r="C1543" s="4" t="s">
        <v>41</v>
      </c>
      <c r="D1543" s="4" t="s">
        <v>23</v>
      </c>
      <c r="E1543" s="4" t="s">
        <v>17</v>
      </c>
      <c r="F1543" s="4" t="s">
        <v>24</v>
      </c>
      <c r="G1543" s="4" t="s">
        <v>19</v>
      </c>
      <c r="H1543" s="4" t="s">
        <v>32</v>
      </c>
      <c r="I1543" s="4">
        <v>7</v>
      </c>
      <c r="J1543" s="5">
        <v>35.1</v>
      </c>
      <c r="K1543" s="6">
        <v>1.18</v>
      </c>
      <c r="L1543" s="4">
        <v>4</v>
      </c>
      <c r="M1543" s="4">
        <v>117</v>
      </c>
      <c r="N1543" s="4">
        <v>130</v>
      </c>
      <c r="O1543" s="4" t="s">
        <v>21</v>
      </c>
      <c r="P1543" s="7" t="s">
        <v>30</v>
      </c>
    </row>
    <row r="1544" spans="2:16" x14ac:dyDescent="0.45">
      <c r="B1544" s="4">
        <v>1543</v>
      </c>
      <c r="C1544" s="4" t="s">
        <v>43</v>
      </c>
      <c r="D1544" s="4" t="s">
        <v>16</v>
      </c>
      <c r="E1544" s="4" t="s">
        <v>17</v>
      </c>
      <c r="F1544" s="4" t="s">
        <v>24</v>
      </c>
      <c r="G1544" s="4" t="s">
        <v>19</v>
      </c>
      <c r="H1544" s="4" t="s">
        <v>34</v>
      </c>
      <c r="I1544" s="4">
        <v>44</v>
      </c>
      <c r="J1544" s="5">
        <v>87.4</v>
      </c>
      <c r="K1544" s="6">
        <v>1.7</v>
      </c>
      <c r="L1544" s="4">
        <v>1</v>
      </c>
      <c r="M1544" s="4">
        <v>114</v>
      </c>
      <c r="N1544" s="4">
        <v>103</v>
      </c>
      <c r="O1544" s="4" t="s">
        <v>26</v>
      </c>
      <c r="P1544" s="7" t="s">
        <v>19</v>
      </c>
    </row>
    <row r="1545" spans="2:16" x14ac:dyDescent="0.45">
      <c r="B1545" s="4">
        <v>1544</v>
      </c>
      <c r="C1545" s="4" t="s">
        <v>22</v>
      </c>
      <c r="D1545" s="4" t="s">
        <v>23</v>
      </c>
      <c r="E1545" s="4" t="s">
        <v>35</v>
      </c>
      <c r="F1545" s="4" t="s">
        <v>24</v>
      </c>
      <c r="G1545" s="4" t="s">
        <v>19</v>
      </c>
      <c r="H1545" s="4" t="s">
        <v>38</v>
      </c>
      <c r="I1545" s="4">
        <v>23</v>
      </c>
      <c r="J1545" s="5">
        <v>88.4</v>
      </c>
      <c r="K1545" s="6">
        <v>1.5</v>
      </c>
      <c r="L1545" s="4">
        <v>3</v>
      </c>
      <c r="M1545" s="4">
        <v>110</v>
      </c>
      <c r="N1545" s="4">
        <v>85</v>
      </c>
      <c r="O1545" s="4" t="s">
        <v>21</v>
      </c>
      <c r="P1545" s="7" t="s">
        <v>19</v>
      </c>
    </row>
    <row r="1546" spans="2:16" x14ac:dyDescent="0.45">
      <c r="B1546" s="4">
        <v>1545</v>
      </c>
      <c r="C1546" s="4" t="s">
        <v>43</v>
      </c>
      <c r="D1546" s="4" t="s">
        <v>16</v>
      </c>
      <c r="E1546" s="4" t="s">
        <v>17</v>
      </c>
      <c r="F1546" s="4" t="s">
        <v>24</v>
      </c>
      <c r="G1546" s="4" t="s">
        <v>30</v>
      </c>
      <c r="H1546" s="4" t="s">
        <v>20</v>
      </c>
      <c r="I1546" s="4">
        <v>53</v>
      </c>
      <c r="J1546" s="5">
        <v>58.2</v>
      </c>
      <c r="K1546" s="6">
        <v>1.57</v>
      </c>
      <c r="L1546" s="4">
        <v>3</v>
      </c>
      <c r="M1546" s="4">
        <v>120</v>
      </c>
      <c r="N1546" s="4">
        <v>84</v>
      </c>
      <c r="O1546" s="4" t="s">
        <v>26</v>
      </c>
      <c r="P1546" s="7" t="s">
        <v>30</v>
      </c>
    </row>
    <row r="1547" spans="2:16" x14ac:dyDescent="0.45">
      <c r="B1547" s="4">
        <v>1546</v>
      </c>
      <c r="C1547" s="4" t="s">
        <v>40</v>
      </c>
      <c r="D1547" s="4" t="s">
        <v>16</v>
      </c>
      <c r="E1547" s="4" t="s">
        <v>35</v>
      </c>
      <c r="F1547" s="4" t="s">
        <v>28</v>
      </c>
      <c r="G1547" s="4" t="s">
        <v>19</v>
      </c>
      <c r="H1547" s="4" t="s">
        <v>34</v>
      </c>
      <c r="I1547" s="4">
        <v>20</v>
      </c>
      <c r="J1547" s="5">
        <v>74.2</v>
      </c>
      <c r="K1547" s="6">
        <v>1.59</v>
      </c>
      <c r="L1547" s="4">
        <v>0</v>
      </c>
      <c r="M1547" s="4">
        <v>103</v>
      </c>
      <c r="N1547" s="4">
        <v>73</v>
      </c>
      <c r="O1547" s="4" t="s">
        <v>21</v>
      </c>
      <c r="P1547" s="7" t="s">
        <v>19</v>
      </c>
    </row>
    <row r="1548" spans="2:16" x14ac:dyDescent="0.45">
      <c r="B1548" s="4">
        <v>1547</v>
      </c>
      <c r="C1548" s="4" t="s">
        <v>43</v>
      </c>
      <c r="D1548" s="4" t="s">
        <v>23</v>
      </c>
      <c r="E1548" s="4" t="s">
        <v>35</v>
      </c>
      <c r="F1548" s="4" t="s">
        <v>18</v>
      </c>
      <c r="G1548" s="4" t="s">
        <v>19</v>
      </c>
      <c r="H1548" s="4" t="s">
        <v>32</v>
      </c>
      <c r="I1548" s="4">
        <v>44</v>
      </c>
      <c r="J1548" s="5">
        <v>93.9</v>
      </c>
      <c r="K1548" s="6">
        <v>1.89</v>
      </c>
      <c r="L1548" s="4">
        <v>4</v>
      </c>
      <c r="M1548" s="4">
        <v>124</v>
      </c>
      <c r="N1548" s="4">
        <v>165</v>
      </c>
      <c r="O1548" s="4" t="s">
        <v>26</v>
      </c>
      <c r="P1548" s="7" t="s">
        <v>30</v>
      </c>
    </row>
    <row r="1549" spans="2:16" x14ac:dyDescent="0.45">
      <c r="B1549" s="4">
        <v>1548</v>
      </c>
      <c r="C1549" s="4" t="s">
        <v>27</v>
      </c>
      <c r="D1549" s="4" t="s">
        <v>23</v>
      </c>
      <c r="E1549" s="4" t="s">
        <v>35</v>
      </c>
      <c r="F1549" s="4" t="s">
        <v>18</v>
      </c>
      <c r="G1549" s="4" t="s">
        <v>19</v>
      </c>
      <c r="H1549" s="4" t="s">
        <v>36</v>
      </c>
      <c r="I1549" s="4">
        <v>7</v>
      </c>
      <c r="J1549" s="5">
        <v>30.2</v>
      </c>
      <c r="K1549" s="6">
        <v>1.24</v>
      </c>
      <c r="L1549" s="4">
        <v>1</v>
      </c>
      <c r="M1549" s="4">
        <v>136</v>
      </c>
      <c r="N1549" s="4">
        <v>94</v>
      </c>
      <c r="O1549" s="4" t="s">
        <v>21</v>
      </c>
      <c r="P1549" s="7" t="s">
        <v>19</v>
      </c>
    </row>
    <row r="1550" spans="2:16" x14ac:dyDescent="0.45">
      <c r="B1550" s="4">
        <v>1549</v>
      </c>
      <c r="C1550" s="4" t="s">
        <v>22</v>
      </c>
      <c r="D1550" s="4" t="s">
        <v>16</v>
      </c>
      <c r="E1550" s="4" t="s">
        <v>35</v>
      </c>
      <c r="F1550" s="4" t="s">
        <v>42</v>
      </c>
      <c r="G1550" s="4" t="s">
        <v>19</v>
      </c>
      <c r="H1550" s="4" t="s">
        <v>36</v>
      </c>
      <c r="I1550" s="4">
        <v>57</v>
      </c>
      <c r="J1550" s="5">
        <v>82.4</v>
      </c>
      <c r="K1550" s="6">
        <v>1.72</v>
      </c>
      <c r="L1550" s="4">
        <v>4</v>
      </c>
      <c r="M1550" s="4">
        <v>125</v>
      </c>
      <c r="N1550" s="4">
        <v>101</v>
      </c>
      <c r="O1550" s="4" t="s">
        <v>26</v>
      </c>
      <c r="P1550" s="7" t="s">
        <v>19</v>
      </c>
    </row>
    <row r="1551" spans="2:16" x14ac:dyDescent="0.45">
      <c r="B1551" s="4">
        <v>1550</v>
      </c>
      <c r="C1551" s="4" t="s">
        <v>41</v>
      </c>
      <c r="D1551" s="4" t="s">
        <v>23</v>
      </c>
      <c r="E1551" s="4" t="s">
        <v>17</v>
      </c>
      <c r="F1551" s="4" t="s">
        <v>24</v>
      </c>
      <c r="G1551" s="4" t="s">
        <v>19</v>
      </c>
      <c r="H1551" s="4" t="s">
        <v>20</v>
      </c>
      <c r="I1551" s="4">
        <v>0</v>
      </c>
      <c r="J1551" s="5">
        <v>17.8</v>
      </c>
      <c r="K1551" s="6">
        <v>0.89</v>
      </c>
      <c r="L1551" s="4">
        <v>0</v>
      </c>
      <c r="M1551" s="4">
        <v>115</v>
      </c>
      <c r="N1551" s="4">
        <v>75</v>
      </c>
      <c r="O1551" s="4" t="s">
        <v>26</v>
      </c>
      <c r="P1551" s="7" t="s">
        <v>30</v>
      </c>
    </row>
    <row r="1552" spans="2:16" x14ac:dyDescent="0.45">
      <c r="B1552" s="4">
        <v>1551</v>
      </c>
      <c r="C1552" s="4" t="s">
        <v>40</v>
      </c>
      <c r="D1552" s="4" t="s">
        <v>23</v>
      </c>
      <c r="E1552" s="4" t="s">
        <v>17</v>
      </c>
      <c r="F1552" s="4" t="s">
        <v>18</v>
      </c>
      <c r="G1552" s="4" t="s">
        <v>19</v>
      </c>
      <c r="H1552" s="4" t="s">
        <v>36</v>
      </c>
      <c r="I1552" s="4">
        <v>33</v>
      </c>
      <c r="J1552" s="5">
        <v>62.7</v>
      </c>
      <c r="K1552" s="6">
        <v>1.67</v>
      </c>
      <c r="L1552" s="4">
        <v>7</v>
      </c>
      <c r="M1552" s="4">
        <v>136</v>
      </c>
      <c r="N1552" s="4">
        <v>88</v>
      </c>
      <c r="O1552" s="4" t="s">
        <v>26</v>
      </c>
      <c r="P1552" s="7" t="s">
        <v>19</v>
      </c>
    </row>
    <row r="1553" spans="2:16" x14ac:dyDescent="0.45">
      <c r="B1553" s="4">
        <v>1552</v>
      </c>
      <c r="C1553" s="4" t="s">
        <v>33</v>
      </c>
      <c r="D1553" s="4" t="s">
        <v>16</v>
      </c>
      <c r="E1553" s="4" t="s">
        <v>35</v>
      </c>
      <c r="F1553" s="4" t="s">
        <v>18</v>
      </c>
      <c r="G1553" s="4" t="s">
        <v>19</v>
      </c>
      <c r="H1553" s="4" t="s">
        <v>20</v>
      </c>
      <c r="I1553" s="4">
        <v>12</v>
      </c>
      <c r="J1553" s="5">
        <v>47.9</v>
      </c>
      <c r="K1553" s="6">
        <v>1.7</v>
      </c>
      <c r="L1553" s="4">
        <v>5</v>
      </c>
      <c r="M1553" s="4">
        <v>105</v>
      </c>
      <c r="N1553" s="4">
        <v>78</v>
      </c>
      <c r="O1553" s="4" t="s">
        <v>21</v>
      </c>
      <c r="P1553" s="7" t="s">
        <v>19</v>
      </c>
    </row>
    <row r="1554" spans="2:16" x14ac:dyDescent="0.45">
      <c r="B1554" s="4">
        <v>1553</v>
      </c>
      <c r="C1554" s="4" t="s">
        <v>43</v>
      </c>
      <c r="D1554" s="4" t="s">
        <v>23</v>
      </c>
      <c r="E1554" s="4" t="s">
        <v>17</v>
      </c>
      <c r="F1554" s="4" t="s">
        <v>18</v>
      </c>
      <c r="G1554" s="4" t="s">
        <v>19</v>
      </c>
      <c r="H1554" s="4" t="s">
        <v>20</v>
      </c>
      <c r="I1554" s="4">
        <v>49</v>
      </c>
      <c r="J1554" s="5">
        <v>85</v>
      </c>
      <c r="K1554" s="6">
        <v>1.59</v>
      </c>
      <c r="L1554" s="4">
        <v>3</v>
      </c>
      <c r="M1554" s="4">
        <v>113</v>
      </c>
      <c r="N1554" s="4">
        <v>80</v>
      </c>
      <c r="O1554" s="4" t="s">
        <v>26</v>
      </c>
      <c r="P1554" s="7" t="s">
        <v>30</v>
      </c>
    </row>
    <row r="1555" spans="2:16" x14ac:dyDescent="0.45">
      <c r="B1555" s="4">
        <v>1554</v>
      </c>
      <c r="C1555" s="4" t="s">
        <v>40</v>
      </c>
      <c r="D1555" s="4" t="s">
        <v>16</v>
      </c>
      <c r="E1555" s="4" t="s">
        <v>17</v>
      </c>
      <c r="F1555" s="4" t="s">
        <v>28</v>
      </c>
      <c r="G1555" s="4" t="s">
        <v>19</v>
      </c>
      <c r="H1555" s="4" t="s">
        <v>25</v>
      </c>
      <c r="I1555" s="4">
        <v>4</v>
      </c>
      <c r="J1555" s="5">
        <v>17</v>
      </c>
      <c r="K1555" s="6">
        <v>0.61</v>
      </c>
      <c r="L1555" s="4">
        <v>0</v>
      </c>
      <c r="M1555" s="4">
        <v>101</v>
      </c>
      <c r="N1555" s="4">
        <v>101</v>
      </c>
      <c r="O1555" s="4" t="s">
        <v>26</v>
      </c>
      <c r="P1555" s="7" t="s">
        <v>19</v>
      </c>
    </row>
    <row r="1556" spans="2:16" x14ac:dyDescent="0.45">
      <c r="B1556" s="4">
        <v>1555</v>
      </c>
      <c r="C1556" s="4" t="s">
        <v>22</v>
      </c>
      <c r="D1556" s="4" t="s">
        <v>23</v>
      </c>
      <c r="E1556" s="4" t="s">
        <v>44</v>
      </c>
      <c r="F1556" s="4" t="s">
        <v>28</v>
      </c>
      <c r="G1556" s="4" t="s">
        <v>19</v>
      </c>
      <c r="H1556" s="4" t="s">
        <v>20</v>
      </c>
      <c r="I1556" s="4">
        <v>23</v>
      </c>
      <c r="J1556" s="5">
        <v>64</v>
      </c>
      <c r="K1556" s="6">
        <v>1.68</v>
      </c>
      <c r="L1556" s="4">
        <v>4</v>
      </c>
      <c r="M1556" s="4">
        <v>104</v>
      </c>
      <c r="N1556" s="4">
        <v>94</v>
      </c>
      <c r="O1556" s="4" t="s">
        <v>26</v>
      </c>
      <c r="P1556" s="7" t="s">
        <v>30</v>
      </c>
    </row>
    <row r="1557" spans="2:16" x14ac:dyDescent="0.45">
      <c r="B1557" s="4">
        <v>1556</v>
      </c>
      <c r="C1557" s="4" t="s">
        <v>15</v>
      </c>
      <c r="D1557" s="4" t="s">
        <v>16</v>
      </c>
      <c r="E1557" s="4" t="s">
        <v>35</v>
      </c>
      <c r="F1557" s="4" t="s">
        <v>28</v>
      </c>
      <c r="G1557" s="4" t="s">
        <v>30</v>
      </c>
      <c r="H1557" s="4" t="s">
        <v>25</v>
      </c>
      <c r="I1557" s="4">
        <v>32</v>
      </c>
      <c r="J1557" s="5">
        <v>63.9</v>
      </c>
      <c r="K1557" s="6">
        <v>1.56</v>
      </c>
      <c r="L1557" s="4">
        <v>1</v>
      </c>
      <c r="M1557" s="4">
        <v>105</v>
      </c>
      <c r="N1557" s="4">
        <v>99</v>
      </c>
      <c r="O1557" s="4" t="s">
        <v>21</v>
      </c>
      <c r="P1557" s="7" t="s">
        <v>19</v>
      </c>
    </row>
    <row r="1558" spans="2:16" x14ac:dyDescent="0.45">
      <c r="B1558" s="4">
        <v>1557</v>
      </c>
      <c r="C1558" s="4" t="s">
        <v>40</v>
      </c>
      <c r="D1558" s="4" t="s">
        <v>23</v>
      </c>
      <c r="E1558" s="4" t="s">
        <v>17</v>
      </c>
      <c r="F1558" s="4" t="s">
        <v>18</v>
      </c>
      <c r="G1558" s="4" t="s">
        <v>30</v>
      </c>
      <c r="H1558" s="4" t="s">
        <v>32</v>
      </c>
      <c r="I1558" s="4">
        <v>32</v>
      </c>
      <c r="J1558" s="5">
        <v>76.099999999999994</v>
      </c>
      <c r="K1558" s="6">
        <v>1.55</v>
      </c>
      <c r="L1558" s="4">
        <v>2</v>
      </c>
      <c r="M1558" s="4">
        <v>103</v>
      </c>
      <c r="N1558" s="4">
        <v>175</v>
      </c>
      <c r="O1558" s="4" t="s">
        <v>21</v>
      </c>
      <c r="P1558" s="7" t="s">
        <v>19</v>
      </c>
    </row>
    <row r="1559" spans="2:16" x14ac:dyDescent="0.45">
      <c r="B1559" s="4">
        <v>1558</v>
      </c>
      <c r="C1559" s="4" t="s">
        <v>45</v>
      </c>
      <c r="D1559" s="4" t="s">
        <v>16</v>
      </c>
      <c r="E1559" s="4" t="s">
        <v>17</v>
      </c>
      <c r="F1559" s="4" t="s">
        <v>42</v>
      </c>
      <c r="G1559" s="4" t="s">
        <v>19</v>
      </c>
      <c r="H1559" s="4" t="s">
        <v>36</v>
      </c>
      <c r="I1559" s="4">
        <v>1</v>
      </c>
      <c r="J1559" s="5">
        <v>17.7</v>
      </c>
      <c r="K1559" s="6">
        <v>0.97</v>
      </c>
      <c r="L1559" s="4">
        <v>5</v>
      </c>
      <c r="M1559" s="4">
        <v>120</v>
      </c>
      <c r="N1559" s="4">
        <v>84</v>
      </c>
      <c r="O1559" s="4" t="s">
        <v>21</v>
      </c>
      <c r="P1559" s="7" t="s">
        <v>19</v>
      </c>
    </row>
    <row r="1560" spans="2:16" x14ac:dyDescent="0.45">
      <c r="B1560" s="4">
        <v>1559</v>
      </c>
      <c r="C1560" s="4" t="s">
        <v>45</v>
      </c>
      <c r="D1560" s="4" t="s">
        <v>23</v>
      </c>
      <c r="E1560" s="4" t="s">
        <v>35</v>
      </c>
      <c r="F1560" s="4" t="s">
        <v>24</v>
      </c>
      <c r="G1560" s="4" t="s">
        <v>19</v>
      </c>
      <c r="H1560" s="4" t="s">
        <v>34</v>
      </c>
      <c r="I1560" s="4">
        <v>30</v>
      </c>
      <c r="J1560" s="5">
        <v>68.2</v>
      </c>
      <c r="K1560" s="6">
        <v>1.75</v>
      </c>
      <c r="L1560" s="4">
        <v>9</v>
      </c>
      <c r="M1560" s="4">
        <v>111</v>
      </c>
      <c r="N1560" s="4">
        <v>82</v>
      </c>
      <c r="O1560" s="4" t="s">
        <v>21</v>
      </c>
      <c r="P1560" s="7" t="s">
        <v>19</v>
      </c>
    </row>
    <row r="1561" spans="2:16" x14ac:dyDescent="0.45">
      <c r="B1561" s="4">
        <v>1560</v>
      </c>
      <c r="C1561" s="4" t="s">
        <v>33</v>
      </c>
      <c r="D1561" s="4" t="s">
        <v>23</v>
      </c>
      <c r="E1561" s="4" t="s">
        <v>17</v>
      </c>
      <c r="F1561" s="4" t="s">
        <v>18</v>
      </c>
      <c r="G1561" s="4" t="s">
        <v>30</v>
      </c>
      <c r="H1561" s="4" t="s">
        <v>46</v>
      </c>
      <c r="I1561" s="4">
        <v>9</v>
      </c>
      <c r="J1561" s="5">
        <v>36.700000000000003</v>
      </c>
      <c r="K1561" s="6">
        <v>1.41</v>
      </c>
      <c r="L1561" s="4">
        <v>10</v>
      </c>
      <c r="M1561" s="4">
        <v>112</v>
      </c>
      <c r="N1561" s="4">
        <v>97</v>
      </c>
      <c r="O1561" s="4" t="s">
        <v>21</v>
      </c>
      <c r="P1561" s="7" t="s">
        <v>19</v>
      </c>
    </row>
    <row r="1562" spans="2:16" x14ac:dyDescent="0.45">
      <c r="B1562" s="4">
        <v>1561</v>
      </c>
      <c r="C1562" s="4" t="s">
        <v>39</v>
      </c>
      <c r="D1562" s="4" t="s">
        <v>16</v>
      </c>
      <c r="E1562" s="4" t="s">
        <v>37</v>
      </c>
      <c r="F1562" s="4" t="s">
        <v>18</v>
      </c>
      <c r="G1562" s="4" t="s">
        <v>19</v>
      </c>
      <c r="H1562" s="4" t="s">
        <v>20</v>
      </c>
      <c r="I1562" s="4">
        <v>11</v>
      </c>
      <c r="J1562" s="5">
        <v>22.6</v>
      </c>
      <c r="K1562" s="6">
        <v>1.22</v>
      </c>
      <c r="L1562" s="4">
        <v>6</v>
      </c>
      <c r="M1562" s="4">
        <v>119</v>
      </c>
      <c r="N1562" s="4">
        <v>71</v>
      </c>
      <c r="O1562" s="4" t="s">
        <v>26</v>
      </c>
      <c r="P1562" s="7" t="s">
        <v>30</v>
      </c>
    </row>
    <row r="1563" spans="2:16" x14ac:dyDescent="0.45">
      <c r="B1563" s="4">
        <v>1562</v>
      </c>
      <c r="C1563" s="4" t="s">
        <v>40</v>
      </c>
      <c r="D1563" s="4" t="s">
        <v>23</v>
      </c>
      <c r="E1563" s="4" t="s">
        <v>17</v>
      </c>
      <c r="F1563" s="4" t="s">
        <v>18</v>
      </c>
      <c r="G1563" s="4" t="s">
        <v>19</v>
      </c>
      <c r="H1563" s="4" t="s">
        <v>36</v>
      </c>
      <c r="I1563" s="4">
        <v>5</v>
      </c>
      <c r="J1563" s="5">
        <v>32.1</v>
      </c>
      <c r="K1563" s="6">
        <v>1.07</v>
      </c>
      <c r="L1563" s="4">
        <v>4</v>
      </c>
      <c r="M1563" s="4">
        <v>123</v>
      </c>
      <c r="N1563" s="4">
        <v>85</v>
      </c>
      <c r="O1563" s="4" t="s">
        <v>26</v>
      </c>
      <c r="P1563" s="7" t="s">
        <v>19</v>
      </c>
    </row>
    <row r="1564" spans="2:16" x14ac:dyDescent="0.45">
      <c r="B1564" s="4">
        <v>1563</v>
      </c>
      <c r="C1564" s="4" t="s">
        <v>40</v>
      </c>
      <c r="D1564" s="4" t="s">
        <v>23</v>
      </c>
      <c r="E1564" s="4" t="s">
        <v>17</v>
      </c>
      <c r="F1564" s="4" t="s">
        <v>28</v>
      </c>
      <c r="G1564" s="4" t="s">
        <v>19</v>
      </c>
      <c r="H1564" s="4" t="s">
        <v>36</v>
      </c>
      <c r="I1564" s="4">
        <v>13</v>
      </c>
      <c r="J1564" s="5">
        <v>46.4</v>
      </c>
      <c r="K1564" s="6">
        <v>1.48</v>
      </c>
      <c r="L1564" s="4">
        <v>3</v>
      </c>
      <c r="M1564" s="4">
        <v>111</v>
      </c>
      <c r="N1564" s="4">
        <v>96</v>
      </c>
      <c r="O1564" s="4" t="s">
        <v>26</v>
      </c>
      <c r="P1564" s="7" t="s">
        <v>19</v>
      </c>
    </row>
    <row r="1565" spans="2:16" x14ac:dyDescent="0.45">
      <c r="B1565" s="4">
        <v>1564</v>
      </c>
      <c r="C1565" s="4" t="s">
        <v>29</v>
      </c>
      <c r="D1565" s="4" t="s">
        <v>23</v>
      </c>
      <c r="E1565" s="4" t="s">
        <v>17</v>
      </c>
      <c r="F1565" s="4" t="s">
        <v>28</v>
      </c>
      <c r="G1565" s="4" t="s">
        <v>19</v>
      </c>
      <c r="H1565" s="4" t="s">
        <v>28</v>
      </c>
      <c r="I1565" s="4">
        <v>2</v>
      </c>
      <c r="J1565" s="5">
        <v>7.6</v>
      </c>
      <c r="K1565" s="6">
        <v>0.9</v>
      </c>
      <c r="L1565" s="4">
        <v>5</v>
      </c>
      <c r="M1565" s="4">
        <v>103</v>
      </c>
      <c r="N1565" s="4">
        <v>74</v>
      </c>
      <c r="O1565" s="4" t="s">
        <v>26</v>
      </c>
      <c r="P1565" s="7" t="s">
        <v>19</v>
      </c>
    </row>
    <row r="1566" spans="2:16" x14ac:dyDescent="0.45">
      <c r="B1566" s="4">
        <v>1565</v>
      </c>
      <c r="C1566" s="4" t="s">
        <v>40</v>
      </c>
      <c r="D1566" s="4" t="s">
        <v>16</v>
      </c>
      <c r="E1566" s="4" t="s">
        <v>17</v>
      </c>
      <c r="F1566" s="4" t="s">
        <v>24</v>
      </c>
      <c r="G1566" s="4" t="s">
        <v>19</v>
      </c>
      <c r="H1566" s="4" t="s">
        <v>34</v>
      </c>
      <c r="I1566" s="4">
        <v>45</v>
      </c>
      <c r="J1566" s="5">
        <v>72</v>
      </c>
      <c r="K1566" s="6">
        <v>1.79</v>
      </c>
      <c r="L1566" s="4">
        <v>5</v>
      </c>
      <c r="M1566" s="4">
        <v>117</v>
      </c>
      <c r="N1566" s="4">
        <v>98</v>
      </c>
      <c r="O1566" s="4" t="s">
        <v>21</v>
      </c>
      <c r="P1566" s="7" t="s">
        <v>19</v>
      </c>
    </row>
    <row r="1567" spans="2:16" x14ac:dyDescent="0.45">
      <c r="B1567" s="4">
        <v>1566</v>
      </c>
      <c r="C1567" s="4" t="s">
        <v>33</v>
      </c>
      <c r="D1567" s="4" t="s">
        <v>16</v>
      </c>
      <c r="E1567" s="4" t="s">
        <v>35</v>
      </c>
      <c r="F1567" s="4" t="s">
        <v>24</v>
      </c>
      <c r="G1567" s="4" t="s">
        <v>19</v>
      </c>
      <c r="H1567" s="4" t="s">
        <v>36</v>
      </c>
      <c r="I1567" s="4">
        <v>29</v>
      </c>
      <c r="J1567" s="5">
        <v>93.8</v>
      </c>
      <c r="K1567" s="6">
        <v>1.53</v>
      </c>
      <c r="L1567" s="4">
        <v>5</v>
      </c>
      <c r="M1567" s="4">
        <v>136</v>
      </c>
      <c r="N1567" s="4">
        <v>72</v>
      </c>
      <c r="O1567" s="4" t="s">
        <v>26</v>
      </c>
      <c r="P1567" s="7" t="s">
        <v>30</v>
      </c>
    </row>
    <row r="1568" spans="2:16" x14ac:dyDescent="0.45">
      <c r="B1568" s="4">
        <v>1567</v>
      </c>
      <c r="C1568" s="4" t="s">
        <v>15</v>
      </c>
      <c r="D1568" s="4" t="s">
        <v>23</v>
      </c>
      <c r="E1568" s="4" t="s">
        <v>17</v>
      </c>
      <c r="F1568" s="4" t="s">
        <v>28</v>
      </c>
      <c r="G1568" s="4" t="s">
        <v>30</v>
      </c>
      <c r="H1568" s="4" t="s">
        <v>36</v>
      </c>
      <c r="I1568" s="4">
        <v>19</v>
      </c>
      <c r="J1568" s="5">
        <v>66.8</v>
      </c>
      <c r="K1568" s="6">
        <v>1.88</v>
      </c>
      <c r="L1568" s="4">
        <v>0</v>
      </c>
      <c r="M1568" s="4">
        <v>141</v>
      </c>
      <c r="N1568" s="4">
        <v>104</v>
      </c>
      <c r="O1568" s="4" t="s">
        <v>21</v>
      </c>
      <c r="P1568" s="7" t="s">
        <v>30</v>
      </c>
    </row>
    <row r="1569" spans="2:16" x14ac:dyDescent="0.45">
      <c r="B1569" s="4">
        <v>1568</v>
      </c>
      <c r="C1569" s="4" t="s">
        <v>15</v>
      </c>
      <c r="D1569" s="4" t="s">
        <v>16</v>
      </c>
      <c r="E1569" s="4" t="s">
        <v>17</v>
      </c>
      <c r="F1569" s="4" t="s">
        <v>24</v>
      </c>
      <c r="G1569" s="4" t="s">
        <v>19</v>
      </c>
      <c r="H1569" s="4" t="s">
        <v>28</v>
      </c>
      <c r="I1569" s="4">
        <v>84</v>
      </c>
      <c r="J1569" s="5">
        <v>52.3</v>
      </c>
      <c r="K1569" s="6">
        <v>1.78</v>
      </c>
      <c r="L1569" s="4">
        <v>4</v>
      </c>
      <c r="M1569" s="4">
        <v>121</v>
      </c>
      <c r="N1569" s="4">
        <v>95</v>
      </c>
      <c r="O1569" s="4" t="s">
        <v>21</v>
      </c>
      <c r="P1569" s="7" t="s">
        <v>19</v>
      </c>
    </row>
    <row r="1570" spans="2:16" x14ac:dyDescent="0.45">
      <c r="B1570" s="4">
        <v>1569</v>
      </c>
      <c r="C1570" s="4" t="s">
        <v>43</v>
      </c>
      <c r="D1570" s="4" t="s">
        <v>16</v>
      </c>
      <c r="E1570" s="4" t="s">
        <v>17</v>
      </c>
      <c r="F1570" s="4" t="s">
        <v>18</v>
      </c>
      <c r="G1570" s="4" t="s">
        <v>19</v>
      </c>
      <c r="H1570" s="4" t="s">
        <v>46</v>
      </c>
      <c r="I1570" s="4">
        <v>30</v>
      </c>
      <c r="J1570" s="5">
        <v>71</v>
      </c>
      <c r="K1570" s="6">
        <v>1.68</v>
      </c>
      <c r="L1570" s="4">
        <v>1</v>
      </c>
      <c r="M1570" s="4">
        <v>111</v>
      </c>
      <c r="N1570" s="4">
        <v>73</v>
      </c>
      <c r="O1570" s="4" t="s">
        <v>26</v>
      </c>
      <c r="P1570" s="7" t="s">
        <v>19</v>
      </c>
    </row>
    <row r="1571" spans="2:16" x14ac:dyDescent="0.45">
      <c r="B1571" s="4">
        <v>1570</v>
      </c>
      <c r="C1571" s="4" t="s">
        <v>33</v>
      </c>
      <c r="D1571" s="4" t="s">
        <v>16</v>
      </c>
      <c r="E1571" s="4" t="s">
        <v>17</v>
      </c>
      <c r="F1571" s="4" t="s">
        <v>28</v>
      </c>
      <c r="G1571" s="4" t="s">
        <v>19</v>
      </c>
      <c r="H1571" s="4" t="s">
        <v>20</v>
      </c>
      <c r="I1571" s="4">
        <v>19</v>
      </c>
      <c r="J1571" s="5">
        <v>80.8</v>
      </c>
      <c r="K1571" s="6">
        <v>1.75</v>
      </c>
      <c r="L1571" s="4">
        <v>3</v>
      </c>
      <c r="M1571" s="4">
        <v>100</v>
      </c>
      <c r="N1571" s="4">
        <v>100</v>
      </c>
      <c r="O1571" s="4" t="s">
        <v>26</v>
      </c>
      <c r="P1571" s="7" t="s">
        <v>19</v>
      </c>
    </row>
    <row r="1572" spans="2:16" x14ac:dyDescent="0.45">
      <c r="B1572" s="4">
        <v>1571</v>
      </c>
      <c r="C1572" s="4" t="s">
        <v>40</v>
      </c>
      <c r="D1572" s="4" t="s">
        <v>23</v>
      </c>
      <c r="E1572" s="4" t="s">
        <v>17</v>
      </c>
      <c r="F1572" s="4" t="s">
        <v>24</v>
      </c>
      <c r="G1572" s="4" t="s">
        <v>19</v>
      </c>
      <c r="H1572" s="4" t="s">
        <v>38</v>
      </c>
      <c r="I1572" s="4">
        <v>24</v>
      </c>
      <c r="J1572" s="5">
        <v>66.099999999999994</v>
      </c>
      <c r="K1572" s="6">
        <v>1.64</v>
      </c>
      <c r="L1572" s="4">
        <v>1</v>
      </c>
      <c r="M1572" s="4">
        <v>104</v>
      </c>
      <c r="N1572" s="4">
        <v>76</v>
      </c>
      <c r="O1572" s="4" t="s">
        <v>26</v>
      </c>
      <c r="P1572" s="7" t="s">
        <v>30</v>
      </c>
    </row>
    <row r="1573" spans="2:16" x14ac:dyDescent="0.45">
      <c r="B1573" s="4">
        <v>1572</v>
      </c>
      <c r="C1573" s="4" t="s">
        <v>40</v>
      </c>
      <c r="D1573" s="4" t="s">
        <v>23</v>
      </c>
      <c r="E1573" s="4" t="s">
        <v>44</v>
      </c>
      <c r="F1573" s="4" t="s">
        <v>18</v>
      </c>
      <c r="G1573" s="4" t="s">
        <v>19</v>
      </c>
      <c r="H1573" s="4" t="s">
        <v>34</v>
      </c>
      <c r="I1573" s="4">
        <v>13</v>
      </c>
      <c r="J1573" s="5">
        <v>55.4</v>
      </c>
      <c r="K1573" s="6">
        <v>1.52</v>
      </c>
      <c r="L1573" s="4">
        <v>0</v>
      </c>
      <c r="M1573" s="4">
        <v>103</v>
      </c>
      <c r="N1573" s="4">
        <v>103</v>
      </c>
      <c r="O1573" s="4" t="s">
        <v>21</v>
      </c>
      <c r="P1573" s="7" t="s">
        <v>19</v>
      </c>
    </row>
    <row r="1574" spans="2:16" x14ac:dyDescent="0.45">
      <c r="B1574" s="4">
        <v>1573</v>
      </c>
      <c r="C1574" s="4" t="s">
        <v>31</v>
      </c>
      <c r="D1574" s="4" t="s">
        <v>16</v>
      </c>
      <c r="E1574" s="4" t="s">
        <v>35</v>
      </c>
      <c r="F1574" s="4" t="s">
        <v>18</v>
      </c>
      <c r="G1574" s="4" t="s">
        <v>19</v>
      </c>
      <c r="H1574" s="4" t="s">
        <v>20</v>
      </c>
      <c r="I1574" s="4">
        <v>62</v>
      </c>
      <c r="J1574" s="5">
        <v>85.5</v>
      </c>
      <c r="K1574" s="6">
        <v>1.49</v>
      </c>
      <c r="L1574" s="4">
        <v>3</v>
      </c>
      <c r="M1574" s="4">
        <v>120</v>
      </c>
      <c r="N1574" s="4">
        <v>88</v>
      </c>
      <c r="O1574" s="4" t="s">
        <v>21</v>
      </c>
      <c r="P1574" s="7" t="s">
        <v>19</v>
      </c>
    </row>
    <row r="1575" spans="2:16" x14ac:dyDescent="0.45">
      <c r="B1575" s="4">
        <v>1574</v>
      </c>
      <c r="C1575" s="4" t="s">
        <v>33</v>
      </c>
      <c r="D1575" s="4" t="s">
        <v>23</v>
      </c>
      <c r="E1575" s="4" t="s">
        <v>44</v>
      </c>
      <c r="F1575" s="4" t="s">
        <v>18</v>
      </c>
      <c r="G1575" s="4" t="s">
        <v>19</v>
      </c>
      <c r="H1575" s="4" t="s">
        <v>20</v>
      </c>
      <c r="I1575" s="4">
        <v>55</v>
      </c>
      <c r="J1575" s="5">
        <v>94</v>
      </c>
      <c r="K1575" s="6">
        <v>1.5</v>
      </c>
      <c r="L1575" s="4">
        <v>2</v>
      </c>
      <c r="M1575" s="4">
        <v>129</v>
      </c>
      <c r="N1575" s="4">
        <v>89</v>
      </c>
      <c r="O1575" s="4" t="s">
        <v>26</v>
      </c>
      <c r="P1575" s="7" t="s">
        <v>19</v>
      </c>
    </row>
    <row r="1576" spans="2:16" x14ac:dyDescent="0.45">
      <c r="B1576" s="4">
        <v>1575</v>
      </c>
      <c r="C1576" s="4" t="s">
        <v>33</v>
      </c>
      <c r="D1576" s="4" t="s">
        <v>23</v>
      </c>
      <c r="E1576" s="4" t="s">
        <v>37</v>
      </c>
      <c r="F1576" s="4" t="s">
        <v>42</v>
      </c>
      <c r="G1576" s="4" t="s">
        <v>30</v>
      </c>
      <c r="H1576" s="4" t="s">
        <v>34</v>
      </c>
      <c r="I1576" s="4">
        <v>28</v>
      </c>
      <c r="J1576" s="5">
        <v>59.2</v>
      </c>
      <c r="K1576" s="6">
        <v>1.72</v>
      </c>
      <c r="L1576" s="4">
        <v>6</v>
      </c>
      <c r="M1576" s="4">
        <v>115</v>
      </c>
      <c r="N1576" s="4">
        <v>87</v>
      </c>
      <c r="O1576" s="4" t="s">
        <v>26</v>
      </c>
      <c r="P1576" s="7" t="s">
        <v>30</v>
      </c>
    </row>
    <row r="1577" spans="2:16" x14ac:dyDescent="0.45">
      <c r="B1577" s="4">
        <v>1576</v>
      </c>
      <c r="C1577" s="4" t="s">
        <v>41</v>
      </c>
      <c r="D1577" s="4" t="s">
        <v>16</v>
      </c>
      <c r="E1577" s="4" t="s">
        <v>17</v>
      </c>
      <c r="F1577" s="4" t="s">
        <v>18</v>
      </c>
      <c r="G1577" s="4" t="s">
        <v>19</v>
      </c>
      <c r="H1577" s="4" t="s">
        <v>28</v>
      </c>
      <c r="I1577" s="4">
        <v>14</v>
      </c>
      <c r="J1577" s="5">
        <v>60.3</v>
      </c>
      <c r="K1577" s="6">
        <v>1.68</v>
      </c>
      <c r="L1577" s="4">
        <v>9</v>
      </c>
      <c r="M1577" s="4">
        <v>104</v>
      </c>
      <c r="N1577" s="4">
        <v>103</v>
      </c>
      <c r="O1577" s="4" t="s">
        <v>26</v>
      </c>
      <c r="P1577" s="7" t="s">
        <v>19</v>
      </c>
    </row>
    <row r="1578" spans="2:16" x14ac:dyDescent="0.45">
      <c r="B1578" s="4">
        <v>1577</v>
      </c>
      <c r="C1578" s="4" t="s">
        <v>22</v>
      </c>
      <c r="D1578" s="4" t="s">
        <v>16</v>
      </c>
      <c r="E1578" s="4" t="s">
        <v>35</v>
      </c>
      <c r="F1578" s="4" t="s">
        <v>28</v>
      </c>
      <c r="G1578" s="4" t="s">
        <v>19</v>
      </c>
      <c r="H1578" s="4" t="s">
        <v>28</v>
      </c>
      <c r="I1578" s="4">
        <v>62</v>
      </c>
      <c r="J1578" s="5">
        <v>91.2</v>
      </c>
      <c r="K1578" s="6">
        <v>1.85</v>
      </c>
      <c r="L1578" s="4">
        <v>1</v>
      </c>
      <c r="M1578" s="4">
        <v>117</v>
      </c>
      <c r="N1578" s="4">
        <v>102</v>
      </c>
      <c r="O1578" s="4" t="s">
        <v>21</v>
      </c>
      <c r="P1578" s="7" t="s">
        <v>19</v>
      </c>
    </row>
    <row r="1579" spans="2:16" x14ac:dyDescent="0.45">
      <c r="B1579" s="4">
        <v>1578</v>
      </c>
      <c r="C1579" s="4" t="s">
        <v>40</v>
      </c>
      <c r="D1579" s="4" t="s">
        <v>16</v>
      </c>
      <c r="E1579" s="4" t="s">
        <v>44</v>
      </c>
      <c r="F1579" s="4" t="s">
        <v>18</v>
      </c>
      <c r="G1579" s="4" t="s">
        <v>19</v>
      </c>
      <c r="H1579" s="4" t="s">
        <v>28</v>
      </c>
      <c r="I1579" s="4">
        <v>69</v>
      </c>
      <c r="J1579" s="5">
        <v>66.5</v>
      </c>
      <c r="K1579" s="6">
        <v>1.75</v>
      </c>
      <c r="L1579" s="4">
        <v>7</v>
      </c>
      <c r="M1579" s="4">
        <v>135</v>
      </c>
      <c r="N1579" s="4">
        <v>99</v>
      </c>
      <c r="O1579" s="4" t="s">
        <v>26</v>
      </c>
      <c r="P1579" s="7" t="s">
        <v>19</v>
      </c>
    </row>
    <row r="1580" spans="2:16" x14ac:dyDescent="0.45">
      <c r="B1580" s="4">
        <v>1579</v>
      </c>
      <c r="C1580" s="4" t="s">
        <v>27</v>
      </c>
      <c r="D1580" s="4" t="s">
        <v>23</v>
      </c>
      <c r="E1580" s="4" t="s">
        <v>35</v>
      </c>
      <c r="F1580" s="4" t="s">
        <v>42</v>
      </c>
      <c r="G1580" s="4" t="s">
        <v>19</v>
      </c>
      <c r="H1580" s="4" t="s">
        <v>20</v>
      </c>
      <c r="I1580" s="4">
        <v>10</v>
      </c>
      <c r="J1580" s="5">
        <v>23</v>
      </c>
      <c r="K1580" s="6">
        <v>1.06</v>
      </c>
      <c r="L1580" s="4">
        <v>6</v>
      </c>
      <c r="M1580" s="4">
        <v>97</v>
      </c>
      <c r="N1580" s="4">
        <v>80</v>
      </c>
      <c r="O1580" s="4" t="s">
        <v>21</v>
      </c>
      <c r="P1580" s="7" t="s">
        <v>19</v>
      </c>
    </row>
    <row r="1581" spans="2:16" x14ac:dyDescent="0.45">
      <c r="B1581" s="4">
        <v>1580</v>
      </c>
      <c r="C1581" s="4" t="s">
        <v>45</v>
      </c>
      <c r="D1581" s="4" t="s">
        <v>16</v>
      </c>
      <c r="E1581" s="4" t="s">
        <v>17</v>
      </c>
      <c r="F1581" s="4" t="s">
        <v>28</v>
      </c>
      <c r="G1581" s="4" t="s">
        <v>19</v>
      </c>
      <c r="H1581" s="4" t="s">
        <v>34</v>
      </c>
      <c r="I1581" s="4">
        <v>19</v>
      </c>
      <c r="J1581" s="5">
        <v>77.7</v>
      </c>
      <c r="K1581" s="6">
        <v>1.61</v>
      </c>
      <c r="L1581" s="4">
        <v>2</v>
      </c>
      <c r="M1581" s="4">
        <v>115</v>
      </c>
      <c r="N1581" s="4">
        <v>91</v>
      </c>
      <c r="O1581" s="4" t="s">
        <v>26</v>
      </c>
      <c r="P1581" s="7" t="s">
        <v>30</v>
      </c>
    </row>
    <row r="1582" spans="2:16" x14ac:dyDescent="0.45">
      <c r="B1582" s="4">
        <v>1581</v>
      </c>
      <c r="C1582" s="4" t="s">
        <v>33</v>
      </c>
      <c r="D1582" s="4" t="s">
        <v>23</v>
      </c>
      <c r="E1582" s="4" t="s">
        <v>35</v>
      </c>
      <c r="F1582" s="4" t="s">
        <v>18</v>
      </c>
      <c r="G1582" s="4" t="s">
        <v>30</v>
      </c>
      <c r="H1582" s="4" t="s">
        <v>28</v>
      </c>
      <c r="I1582" s="4">
        <v>34</v>
      </c>
      <c r="J1582" s="5">
        <v>63.1</v>
      </c>
      <c r="K1582" s="6">
        <v>1.5</v>
      </c>
      <c r="L1582" s="4">
        <v>2</v>
      </c>
      <c r="M1582" s="4">
        <v>119</v>
      </c>
      <c r="N1582" s="4">
        <v>81</v>
      </c>
      <c r="O1582" s="4" t="s">
        <v>21</v>
      </c>
      <c r="P1582" s="7" t="s">
        <v>19</v>
      </c>
    </row>
    <row r="1583" spans="2:16" x14ac:dyDescent="0.45">
      <c r="B1583" s="4">
        <v>1582</v>
      </c>
      <c r="C1583" s="4" t="s">
        <v>27</v>
      </c>
      <c r="D1583" s="4" t="s">
        <v>23</v>
      </c>
      <c r="E1583" s="4" t="s">
        <v>17</v>
      </c>
      <c r="F1583" s="4" t="s">
        <v>24</v>
      </c>
      <c r="G1583" s="4" t="s">
        <v>30</v>
      </c>
      <c r="H1583" s="4" t="s">
        <v>28</v>
      </c>
      <c r="I1583" s="4">
        <v>39</v>
      </c>
      <c r="J1583" s="5">
        <v>88.3</v>
      </c>
      <c r="K1583" s="6">
        <v>1.6</v>
      </c>
      <c r="L1583" s="4">
        <v>3</v>
      </c>
      <c r="M1583" s="4">
        <v>120</v>
      </c>
      <c r="N1583" s="4">
        <v>96</v>
      </c>
      <c r="O1583" s="4" t="s">
        <v>26</v>
      </c>
      <c r="P1583" s="7" t="s">
        <v>19</v>
      </c>
    </row>
    <row r="1584" spans="2:16" x14ac:dyDescent="0.45">
      <c r="B1584" s="4">
        <v>1583</v>
      </c>
      <c r="C1584" s="4" t="s">
        <v>45</v>
      </c>
      <c r="D1584" s="4" t="s">
        <v>23</v>
      </c>
      <c r="E1584" s="4" t="s">
        <v>44</v>
      </c>
      <c r="F1584" s="4" t="s">
        <v>18</v>
      </c>
      <c r="G1584" s="4" t="s">
        <v>19</v>
      </c>
      <c r="H1584" s="4" t="s">
        <v>34</v>
      </c>
      <c r="I1584" s="4">
        <v>21</v>
      </c>
      <c r="J1584" s="5">
        <v>74.400000000000006</v>
      </c>
      <c r="K1584" s="6">
        <v>1.7</v>
      </c>
      <c r="L1584" s="4">
        <v>7</v>
      </c>
      <c r="M1584" s="4">
        <v>99</v>
      </c>
      <c r="N1584" s="4">
        <v>102</v>
      </c>
      <c r="O1584" s="4" t="s">
        <v>26</v>
      </c>
      <c r="P1584" s="7" t="s">
        <v>19</v>
      </c>
    </row>
    <row r="1585" spans="2:16" x14ac:dyDescent="0.45">
      <c r="B1585" s="4">
        <v>1584</v>
      </c>
      <c r="C1585" s="4" t="s">
        <v>41</v>
      </c>
      <c r="D1585" s="4" t="s">
        <v>23</v>
      </c>
      <c r="E1585" s="4" t="s">
        <v>35</v>
      </c>
      <c r="F1585" s="4" t="s">
        <v>28</v>
      </c>
      <c r="G1585" s="4" t="s">
        <v>19</v>
      </c>
      <c r="H1585" s="4" t="s">
        <v>28</v>
      </c>
      <c r="I1585" s="4">
        <v>7</v>
      </c>
      <c r="J1585" s="5">
        <v>29.1</v>
      </c>
      <c r="K1585" s="6">
        <v>1.17</v>
      </c>
      <c r="L1585" s="4">
        <v>7</v>
      </c>
      <c r="M1585" s="4">
        <v>97</v>
      </c>
      <c r="N1585" s="4">
        <v>86</v>
      </c>
      <c r="O1585" s="4" t="s">
        <v>26</v>
      </c>
      <c r="P1585" s="7" t="s">
        <v>19</v>
      </c>
    </row>
    <row r="1586" spans="2:16" x14ac:dyDescent="0.45">
      <c r="B1586" s="4">
        <v>1585</v>
      </c>
      <c r="C1586" s="4" t="s">
        <v>22</v>
      </c>
      <c r="D1586" s="4" t="s">
        <v>16</v>
      </c>
      <c r="E1586" s="4" t="s">
        <v>17</v>
      </c>
      <c r="F1586" s="4" t="s">
        <v>18</v>
      </c>
      <c r="G1586" s="4" t="s">
        <v>30</v>
      </c>
      <c r="H1586" s="4" t="s">
        <v>38</v>
      </c>
      <c r="I1586" s="4">
        <v>52</v>
      </c>
      <c r="J1586" s="5">
        <v>68.7</v>
      </c>
      <c r="K1586" s="6">
        <v>1.65</v>
      </c>
      <c r="L1586" s="4">
        <v>1</v>
      </c>
      <c r="M1586" s="4">
        <v>113</v>
      </c>
      <c r="N1586" s="4">
        <v>102</v>
      </c>
      <c r="O1586" s="4" t="s">
        <v>21</v>
      </c>
      <c r="P1586" s="7" t="s">
        <v>19</v>
      </c>
    </row>
    <row r="1587" spans="2:16" x14ac:dyDescent="0.45">
      <c r="B1587" s="4">
        <v>1586</v>
      </c>
      <c r="C1587" s="4" t="s">
        <v>15</v>
      </c>
      <c r="D1587" s="4" t="s">
        <v>23</v>
      </c>
      <c r="E1587" s="4" t="s">
        <v>35</v>
      </c>
      <c r="F1587" s="4" t="s">
        <v>24</v>
      </c>
      <c r="G1587" s="4" t="s">
        <v>19</v>
      </c>
      <c r="H1587" s="4" t="s">
        <v>25</v>
      </c>
      <c r="I1587" s="4">
        <v>37</v>
      </c>
      <c r="J1587" s="5">
        <v>60.9</v>
      </c>
      <c r="K1587" s="6">
        <v>1.58</v>
      </c>
      <c r="L1587" s="4">
        <v>2</v>
      </c>
      <c r="M1587" s="4">
        <v>109</v>
      </c>
      <c r="N1587" s="4">
        <v>88</v>
      </c>
      <c r="O1587" s="4" t="s">
        <v>26</v>
      </c>
      <c r="P1587" s="7" t="s">
        <v>30</v>
      </c>
    </row>
    <row r="1588" spans="2:16" x14ac:dyDescent="0.45">
      <c r="B1588" s="4">
        <v>1587</v>
      </c>
      <c r="C1588" s="4" t="s">
        <v>43</v>
      </c>
      <c r="D1588" s="4" t="s">
        <v>23</v>
      </c>
      <c r="E1588" s="4" t="s">
        <v>44</v>
      </c>
      <c r="F1588" s="4" t="s">
        <v>24</v>
      </c>
      <c r="G1588" s="4" t="s">
        <v>19</v>
      </c>
      <c r="H1588" s="4" t="s">
        <v>20</v>
      </c>
      <c r="I1588" s="4">
        <v>11</v>
      </c>
      <c r="J1588" s="5">
        <v>22</v>
      </c>
      <c r="K1588" s="6">
        <v>1.32</v>
      </c>
      <c r="L1588" s="4">
        <v>2</v>
      </c>
      <c r="M1588" s="4">
        <v>101</v>
      </c>
      <c r="N1588" s="4">
        <v>90</v>
      </c>
      <c r="O1588" s="4" t="s">
        <v>26</v>
      </c>
      <c r="P1588" s="7" t="s">
        <v>19</v>
      </c>
    </row>
    <row r="1589" spans="2:16" x14ac:dyDescent="0.45">
      <c r="B1589" s="4">
        <v>1588</v>
      </c>
      <c r="C1589" s="4" t="s">
        <v>45</v>
      </c>
      <c r="D1589" s="4" t="s">
        <v>16</v>
      </c>
      <c r="E1589" s="4" t="s">
        <v>17</v>
      </c>
      <c r="F1589" s="4" t="s">
        <v>24</v>
      </c>
      <c r="G1589" s="4" t="s">
        <v>19</v>
      </c>
      <c r="H1589" s="4" t="s">
        <v>38</v>
      </c>
      <c r="I1589" s="4">
        <v>21</v>
      </c>
      <c r="J1589" s="5">
        <v>59.5</v>
      </c>
      <c r="K1589" s="6">
        <v>1.83</v>
      </c>
      <c r="L1589" s="4">
        <v>3</v>
      </c>
      <c r="M1589" s="4">
        <v>114</v>
      </c>
      <c r="N1589" s="4">
        <v>89</v>
      </c>
      <c r="O1589" s="4" t="s">
        <v>26</v>
      </c>
      <c r="P1589" s="7" t="s">
        <v>19</v>
      </c>
    </row>
    <row r="1590" spans="2:16" x14ac:dyDescent="0.45">
      <c r="B1590" s="4">
        <v>1589</v>
      </c>
      <c r="C1590" s="4" t="s">
        <v>41</v>
      </c>
      <c r="D1590" s="4" t="s">
        <v>23</v>
      </c>
      <c r="E1590" s="4" t="s">
        <v>17</v>
      </c>
      <c r="F1590" s="4" t="s">
        <v>24</v>
      </c>
      <c r="G1590" s="4" t="s">
        <v>19</v>
      </c>
      <c r="H1590" s="4" t="s">
        <v>25</v>
      </c>
      <c r="I1590" s="4">
        <v>5</v>
      </c>
      <c r="J1590" s="5">
        <v>22.8</v>
      </c>
      <c r="K1590" s="6">
        <v>1.19</v>
      </c>
      <c r="L1590" s="4">
        <v>10</v>
      </c>
      <c r="M1590" s="4">
        <v>106</v>
      </c>
      <c r="N1590" s="4">
        <v>105</v>
      </c>
      <c r="O1590" s="4" t="s">
        <v>21</v>
      </c>
      <c r="P1590" s="7" t="s">
        <v>19</v>
      </c>
    </row>
    <row r="1591" spans="2:16" x14ac:dyDescent="0.45">
      <c r="B1591" s="4">
        <v>1590</v>
      </c>
      <c r="C1591" s="4" t="s">
        <v>45</v>
      </c>
      <c r="D1591" s="4" t="s">
        <v>23</v>
      </c>
      <c r="E1591" s="4" t="s">
        <v>35</v>
      </c>
      <c r="F1591" s="4" t="s">
        <v>24</v>
      </c>
      <c r="G1591" s="4" t="s">
        <v>19</v>
      </c>
      <c r="H1591" s="4" t="s">
        <v>28</v>
      </c>
      <c r="I1591" s="4">
        <v>34</v>
      </c>
      <c r="J1591" s="5">
        <v>77.400000000000006</v>
      </c>
      <c r="K1591" s="6">
        <v>1.8</v>
      </c>
      <c r="L1591" s="4">
        <v>3</v>
      </c>
      <c r="M1591" s="4">
        <v>117</v>
      </c>
      <c r="N1591" s="4">
        <v>82</v>
      </c>
      <c r="O1591" s="4" t="s">
        <v>26</v>
      </c>
      <c r="P1591" s="7" t="s">
        <v>30</v>
      </c>
    </row>
    <row r="1592" spans="2:16" x14ac:dyDescent="0.45">
      <c r="B1592" s="4">
        <v>1591</v>
      </c>
      <c r="C1592" s="4" t="s">
        <v>22</v>
      </c>
      <c r="D1592" s="4" t="s">
        <v>16</v>
      </c>
      <c r="E1592" s="4" t="s">
        <v>35</v>
      </c>
      <c r="F1592" s="4" t="s">
        <v>24</v>
      </c>
      <c r="G1592" s="4" t="s">
        <v>19</v>
      </c>
      <c r="H1592" s="4" t="s">
        <v>28</v>
      </c>
      <c r="I1592" s="4">
        <v>18</v>
      </c>
      <c r="J1592" s="5">
        <v>66.099999999999994</v>
      </c>
      <c r="K1592" s="6">
        <v>1.67</v>
      </c>
      <c r="L1592" s="4">
        <v>1</v>
      </c>
      <c r="M1592" s="4">
        <v>109</v>
      </c>
      <c r="N1592" s="4">
        <v>91</v>
      </c>
      <c r="O1592" s="4" t="s">
        <v>26</v>
      </c>
      <c r="P1592" s="7" t="s">
        <v>19</v>
      </c>
    </row>
    <row r="1593" spans="2:16" x14ac:dyDescent="0.45">
      <c r="B1593" s="4">
        <v>1592</v>
      </c>
      <c r="C1593" s="4" t="s">
        <v>29</v>
      </c>
      <c r="D1593" s="4" t="s">
        <v>23</v>
      </c>
      <c r="E1593" s="4" t="s">
        <v>17</v>
      </c>
      <c r="F1593" s="4" t="s">
        <v>18</v>
      </c>
      <c r="G1593" s="4" t="s">
        <v>30</v>
      </c>
      <c r="H1593" s="4" t="s">
        <v>38</v>
      </c>
      <c r="I1593" s="4">
        <v>44</v>
      </c>
      <c r="J1593" s="5">
        <v>56.1</v>
      </c>
      <c r="K1593" s="6">
        <v>1.69</v>
      </c>
      <c r="L1593" s="4">
        <v>1</v>
      </c>
      <c r="M1593" s="4">
        <v>123</v>
      </c>
      <c r="N1593" s="4">
        <v>70</v>
      </c>
      <c r="O1593" s="4" t="s">
        <v>26</v>
      </c>
      <c r="P1593" s="7" t="s">
        <v>19</v>
      </c>
    </row>
    <row r="1594" spans="2:16" x14ac:dyDescent="0.45">
      <c r="B1594" s="4">
        <v>1593</v>
      </c>
      <c r="C1594" s="4" t="s">
        <v>39</v>
      </c>
      <c r="D1594" s="4" t="s">
        <v>23</v>
      </c>
      <c r="E1594" s="4" t="s">
        <v>35</v>
      </c>
      <c r="F1594" s="4" t="s">
        <v>18</v>
      </c>
      <c r="G1594" s="4" t="s">
        <v>19</v>
      </c>
      <c r="H1594" s="4" t="s">
        <v>36</v>
      </c>
      <c r="I1594" s="4">
        <v>76</v>
      </c>
      <c r="J1594" s="5">
        <v>87.5</v>
      </c>
      <c r="K1594" s="6">
        <v>1.67</v>
      </c>
      <c r="L1594" s="4">
        <v>1</v>
      </c>
      <c r="M1594" s="4">
        <v>148</v>
      </c>
      <c r="N1594" s="4">
        <v>92</v>
      </c>
      <c r="O1594" s="4" t="s">
        <v>26</v>
      </c>
      <c r="P1594" s="7" t="s">
        <v>19</v>
      </c>
    </row>
    <row r="1595" spans="2:16" x14ac:dyDescent="0.45">
      <c r="B1595" s="4">
        <v>1594</v>
      </c>
      <c r="C1595" s="4" t="s">
        <v>33</v>
      </c>
      <c r="D1595" s="4" t="s">
        <v>16</v>
      </c>
      <c r="E1595" s="4" t="s">
        <v>17</v>
      </c>
      <c r="F1595" s="4" t="s">
        <v>24</v>
      </c>
      <c r="G1595" s="4" t="s">
        <v>19</v>
      </c>
      <c r="H1595" s="4" t="s">
        <v>28</v>
      </c>
      <c r="I1595" s="4">
        <v>7</v>
      </c>
      <c r="J1595" s="5">
        <v>21.3</v>
      </c>
      <c r="K1595" s="6">
        <v>1.19</v>
      </c>
      <c r="L1595" s="4">
        <v>4</v>
      </c>
      <c r="M1595" s="4">
        <v>98</v>
      </c>
      <c r="N1595" s="4">
        <v>74</v>
      </c>
      <c r="O1595" s="4" t="s">
        <v>21</v>
      </c>
      <c r="P1595" s="7" t="s">
        <v>19</v>
      </c>
    </row>
    <row r="1596" spans="2:16" x14ac:dyDescent="0.45">
      <c r="B1596" s="4">
        <v>1595</v>
      </c>
      <c r="C1596" s="4" t="s">
        <v>27</v>
      </c>
      <c r="D1596" s="4" t="s">
        <v>23</v>
      </c>
      <c r="E1596" s="4" t="s">
        <v>17</v>
      </c>
      <c r="F1596" s="4" t="s">
        <v>18</v>
      </c>
      <c r="G1596" s="4" t="s">
        <v>19</v>
      </c>
      <c r="H1596" s="4" t="s">
        <v>25</v>
      </c>
      <c r="I1596" s="4">
        <v>1</v>
      </c>
      <c r="J1596" s="5">
        <v>15.8</v>
      </c>
      <c r="K1596" s="6">
        <v>0.85</v>
      </c>
      <c r="L1596" s="4">
        <v>4</v>
      </c>
      <c r="M1596" s="4">
        <v>106</v>
      </c>
      <c r="N1596" s="4">
        <v>95</v>
      </c>
      <c r="O1596" s="4" t="s">
        <v>26</v>
      </c>
      <c r="P1596" s="7" t="s">
        <v>19</v>
      </c>
    </row>
    <row r="1597" spans="2:16" x14ac:dyDescent="0.45">
      <c r="B1597" s="4">
        <v>1596</v>
      </c>
      <c r="C1597" s="4" t="s">
        <v>27</v>
      </c>
      <c r="D1597" s="4" t="s">
        <v>23</v>
      </c>
      <c r="E1597" s="4" t="s">
        <v>17</v>
      </c>
      <c r="F1597" s="4" t="s">
        <v>18</v>
      </c>
      <c r="G1597" s="4" t="s">
        <v>19</v>
      </c>
      <c r="H1597" s="4" t="s">
        <v>20</v>
      </c>
      <c r="I1597" s="4">
        <v>61</v>
      </c>
      <c r="J1597" s="5">
        <v>67.900000000000006</v>
      </c>
      <c r="K1597" s="6">
        <v>1.88</v>
      </c>
      <c r="L1597" s="4">
        <v>3</v>
      </c>
      <c r="M1597" s="4">
        <v>112</v>
      </c>
      <c r="N1597" s="4">
        <v>78</v>
      </c>
      <c r="O1597" s="4" t="s">
        <v>26</v>
      </c>
      <c r="P1597" s="7" t="s">
        <v>19</v>
      </c>
    </row>
    <row r="1598" spans="2:16" x14ac:dyDescent="0.45">
      <c r="B1598" s="4">
        <v>1597</v>
      </c>
      <c r="C1598" s="4" t="s">
        <v>22</v>
      </c>
      <c r="D1598" s="4" t="s">
        <v>16</v>
      </c>
      <c r="E1598" s="4" t="s">
        <v>17</v>
      </c>
      <c r="F1598" s="4" t="s">
        <v>18</v>
      </c>
      <c r="G1598" s="4" t="s">
        <v>30</v>
      </c>
      <c r="H1598" s="4" t="s">
        <v>36</v>
      </c>
      <c r="I1598" s="4">
        <v>6</v>
      </c>
      <c r="J1598" s="5">
        <v>23.3</v>
      </c>
      <c r="K1598" s="6">
        <v>1.37</v>
      </c>
      <c r="L1598" s="4">
        <v>3</v>
      </c>
      <c r="M1598" s="4">
        <v>118</v>
      </c>
      <c r="N1598" s="4">
        <v>87</v>
      </c>
      <c r="O1598" s="4" t="s">
        <v>21</v>
      </c>
      <c r="P1598" s="7" t="s">
        <v>19</v>
      </c>
    </row>
    <row r="1599" spans="2:16" x14ac:dyDescent="0.45">
      <c r="B1599" s="4">
        <v>1598</v>
      </c>
      <c r="C1599" s="4" t="s">
        <v>22</v>
      </c>
      <c r="D1599" s="4" t="s">
        <v>23</v>
      </c>
      <c r="E1599" s="4" t="s">
        <v>35</v>
      </c>
      <c r="F1599" s="4" t="s">
        <v>18</v>
      </c>
      <c r="G1599" s="4" t="s">
        <v>19</v>
      </c>
      <c r="H1599" s="4" t="s">
        <v>38</v>
      </c>
      <c r="I1599" s="4">
        <v>22</v>
      </c>
      <c r="J1599" s="5">
        <v>63.3</v>
      </c>
      <c r="K1599" s="6">
        <v>1.62</v>
      </c>
      <c r="L1599" s="4">
        <v>2</v>
      </c>
      <c r="M1599" s="4">
        <v>116</v>
      </c>
      <c r="N1599" s="4">
        <v>102</v>
      </c>
      <c r="O1599" s="4" t="s">
        <v>21</v>
      </c>
      <c r="P1599" s="7" t="s">
        <v>19</v>
      </c>
    </row>
    <row r="1600" spans="2:16" x14ac:dyDescent="0.45">
      <c r="B1600" s="4">
        <v>1599</v>
      </c>
      <c r="C1600" s="4" t="s">
        <v>22</v>
      </c>
      <c r="D1600" s="4" t="s">
        <v>16</v>
      </c>
      <c r="E1600" s="4" t="s">
        <v>35</v>
      </c>
      <c r="F1600" s="4" t="s">
        <v>18</v>
      </c>
      <c r="G1600" s="4" t="s">
        <v>19</v>
      </c>
      <c r="H1600" s="4" t="s">
        <v>20</v>
      </c>
      <c r="I1600" s="4">
        <v>11</v>
      </c>
      <c r="J1600" s="5">
        <v>21.1</v>
      </c>
      <c r="K1600" s="6">
        <v>1.1599999999999999</v>
      </c>
      <c r="L1600" s="4">
        <v>9</v>
      </c>
      <c r="M1600" s="4">
        <v>110</v>
      </c>
      <c r="N1600" s="4">
        <v>83</v>
      </c>
      <c r="O1600" s="4" t="s">
        <v>21</v>
      </c>
      <c r="P1600" s="7" t="s">
        <v>19</v>
      </c>
    </row>
    <row r="1601" spans="2:16" x14ac:dyDescent="0.45">
      <c r="B1601" s="4">
        <v>1600</v>
      </c>
      <c r="C1601" s="4" t="s">
        <v>22</v>
      </c>
      <c r="D1601" s="4" t="s">
        <v>23</v>
      </c>
      <c r="E1601" s="4" t="s">
        <v>17</v>
      </c>
      <c r="F1601" s="4" t="s">
        <v>28</v>
      </c>
      <c r="G1601" s="4" t="s">
        <v>19</v>
      </c>
      <c r="H1601" s="4" t="s">
        <v>32</v>
      </c>
      <c r="I1601" s="4">
        <v>50</v>
      </c>
      <c r="J1601" s="5">
        <v>65.5</v>
      </c>
      <c r="K1601" s="6">
        <v>1.53</v>
      </c>
      <c r="L1601" s="4">
        <v>6</v>
      </c>
      <c r="M1601" s="4">
        <v>126</v>
      </c>
      <c r="N1601" s="4">
        <v>146</v>
      </c>
      <c r="O1601" s="4" t="s">
        <v>26</v>
      </c>
      <c r="P1601" s="7" t="s">
        <v>30</v>
      </c>
    </row>
    <row r="1602" spans="2:16" x14ac:dyDescent="0.45">
      <c r="B1602" s="4">
        <v>1601</v>
      </c>
      <c r="C1602" s="4" t="s">
        <v>31</v>
      </c>
      <c r="D1602" s="4" t="s">
        <v>16</v>
      </c>
      <c r="E1602" s="4" t="s">
        <v>17</v>
      </c>
      <c r="F1602" s="4" t="s">
        <v>24</v>
      </c>
      <c r="G1602" s="4" t="s">
        <v>30</v>
      </c>
      <c r="H1602" s="4" t="s">
        <v>34</v>
      </c>
      <c r="I1602" s="4">
        <v>53</v>
      </c>
      <c r="J1602" s="5">
        <v>80.900000000000006</v>
      </c>
      <c r="K1602" s="6">
        <v>1.63</v>
      </c>
      <c r="L1602" s="4">
        <v>2</v>
      </c>
      <c r="M1602" s="4">
        <v>116</v>
      </c>
      <c r="N1602" s="4">
        <v>94</v>
      </c>
      <c r="O1602" s="4" t="s">
        <v>26</v>
      </c>
      <c r="P1602" s="7" t="s">
        <v>19</v>
      </c>
    </row>
    <row r="1603" spans="2:16" x14ac:dyDescent="0.45">
      <c r="B1603" s="4">
        <v>1602</v>
      </c>
      <c r="C1603" s="4" t="s">
        <v>31</v>
      </c>
      <c r="D1603" s="4" t="s">
        <v>23</v>
      </c>
      <c r="E1603" s="4" t="s">
        <v>37</v>
      </c>
      <c r="F1603" s="4" t="s">
        <v>24</v>
      </c>
      <c r="G1603" s="4" t="s">
        <v>19</v>
      </c>
      <c r="H1603" s="4" t="s">
        <v>20</v>
      </c>
      <c r="I1603" s="4">
        <v>28</v>
      </c>
      <c r="J1603" s="5">
        <v>62.8</v>
      </c>
      <c r="K1603" s="6">
        <v>1.52</v>
      </c>
      <c r="L1603" s="4">
        <v>5</v>
      </c>
      <c r="M1603" s="4">
        <v>110</v>
      </c>
      <c r="N1603" s="4">
        <v>101</v>
      </c>
      <c r="O1603" s="4" t="s">
        <v>26</v>
      </c>
      <c r="P1603" s="7" t="s">
        <v>19</v>
      </c>
    </row>
    <row r="1604" spans="2:16" x14ac:dyDescent="0.45">
      <c r="B1604" s="4">
        <v>1603</v>
      </c>
      <c r="C1604" s="4" t="s">
        <v>31</v>
      </c>
      <c r="D1604" s="4" t="s">
        <v>16</v>
      </c>
      <c r="E1604" s="4" t="s">
        <v>17</v>
      </c>
      <c r="F1604" s="4" t="s">
        <v>18</v>
      </c>
      <c r="G1604" s="4" t="s">
        <v>19</v>
      </c>
      <c r="H1604" s="4" t="s">
        <v>32</v>
      </c>
      <c r="I1604" s="4">
        <v>14</v>
      </c>
      <c r="J1604" s="5">
        <v>63.2</v>
      </c>
      <c r="K1604" s="6">
        <v>1.46</v>
      </c>
      <c r="L1604" s="4">
        <v>6</v>
      </c>
      <c r="M1604" s="4">
        <v>97</v>
      </c>
      <c r="N1604" s="4">
        <v>160</v>
      </c>
      <c r="O1604" s="4" t="s">
        <v>26</v>
      </c>
      <c r="P1604" s="7" t="s">
        <v>19</v>
      </c>
    </row>
    <row r="1605" spans="2:16" x14ac:dyDescent="0.45">
      <c r="B1605" s="4">
        <v>1604</v>
      </c>
      <c r="C1605" s="4" t="s">
        <v>33</v>
      </c>
      <c r="D1605" s="4" t="s">
        <v>16</v>
      </c>
      <c r="E1605" s="4" t="s">
        <v>17</v>
      </c>
      <c r="F1605" s="4" t="s">
        <v>28</v>
      </c>
      <c r="G1605" s="4" t="s">
        <v>30</v>
      </c>
      <c r="H1605" s="4" t="s">
        <v>28</v>
      </c>
      <c r="I1605" s="4">
        <v>2</v>
      </c>
      <c r="J1605" s="5">
        <v>17.5</v>
      </c>
      <c r="K1605" s="6">
        <v>0.88</v>
      </c>
      <c r="L1605" s="4">
        <v>7</v>
      </c>
      <c r="M1605" s="4">
        <v>106</v>
      </c>
      <c r="N1605" s="4">
        <v>75</v>
      </c>
      <c r="O1605" s="4" t="s">
        <v>21</v>
      </c>
      <c r="P1605" s="7" t="s">
        <v>19</v>
      </c>
    </row>
    <row r="1606" spans="2:16" x14ac:dyDescent="0.45">
      <c r="B1606" s="4">
        <v>1605</v>
      </c>
      <c r="C1606" s="4" t="s">
        <v>31</v>
      </c>
      <c r="D1606" s="4" t="s">
        <v>16</v>
      </c>
      <c r="E1606" s="4" t="s">
        <v>44</v>
      </c>
      <c r="F1606" s="4" t="s">
        <v>28</v>
      </c>
      <c r="G1606" s="4" t="s">
        <v>19</v>
      </c>
      <c r="H1606" s="4" t="s">
        <v>25</v>
      </c>
      <c r="I1606" s="4">
        <v>37</v>
      </c>
      <c r="J1606" s="5">
        <v>72.8</v>
      </c>
      <c r="K1606" s="6">
        <v>1.52</v>
      </c>
      <c r="L1606" s="4">
        <v>4</v>
      </c>
      <c r="M1606" s="4">
        <v>108</v>
      </c>
      <c r="N1606" s="4">
        <v>83</v>
      </c>
      <c r="O1606" s="4" t="s">
        <v>21</v>
      </c>
      <c r="P1606" s="7" t="s">
        <v>30</v>
      </c>
    </row>
    <row r="1607" spans="2:16" x14ac:dyDescent="0.45">
      <c r="B1607" s="4">
        <v>1606</v>
      </c>
      <c r="C1607" s="4" t="s">
        <v>27</v>
      </c>
      <c r="D1607" s="4" t="s">
        <v>16</v>
      </c>
      <c r="E1607" s="4" t="s">
        <v>35</v>
      </c>
      <c r="F1607" s="4" t="s">
        <v>42</v>
      </c>
      <c r="G1607" s="4" t="s">
        <v>30</v>
      </c>
      <c r="H1607" s="4" t="s">
        <v>25</v>
      </c>
      <c r="I1607" s="4">
        <v>11</v>
      </c>
      <c r="J1607" s="5">
        <v>35.200000000000003</v>
      </c>
      <c r="K1607" s="6">
        <v>1.1599999999999999</v>
      </c>
      <c r="L1607" s="4">
        <v>7</v>
      </c>
      <c r="M1607" s="4">
        <v>103</v>
      </c>
      <c r="N1607" s="4">
        <v>100</v>
      </c>
      <c r="O1607" s="4" t="s">
        <v>21</v>
      </c>
      <c r="P1607" s="7" t="s">
        <v>19</v>
      </c>
    </row>
    <row r="1608" spans="2:16" x14ac:dyDescent="0.45">
      <c r="B1608" s="4">
        <v>1607</v>
      </c>
      <c r="C1608" s="4" t="s">
        <v>40</v>
      </c>
      <c r="D1608" s="4" t="s">
        <v>16</v>
      </c>
      <c r="E1608" s="4" t="s">
        <v>35</v>
      </c>
      <c r="F1608" s="4" t="s">
        <v>18</v>
      </c>
      <c r="G1608" s="4" t="s">
        <v>19</v>
      </c>
      <c r="H1608" s="4" t="s">
        <v>20</v>
      </c>
      <c r="I1608" s="4">
        <v>21</v>
      </c>
      <c r="J1608" s="5">
        <v>51.9</v>
      </c>
      <c r="K1608" s="6">
        <v>1.49</v>
      </c>
      <c r="L1608" s="4">
        <v>0</v>
      </c>
      <c r="M1608" s="4">
        <v>110</v>
      </c>
      <c r="N1608" s="4">
        <v>90</v>
      </c>
      <c r="O1608" s="4" t="s">
        <v>21</v>
      </c>
      <c r="P1608" s="7" t="s">
        <v>19</v>
      </c>
    </row>
    <row r="1609" spans="2:16" x14ac:dyDescent="0.45">
      <c r="B1609" s="4">
        <v>1608</v>
      </c>
      <c r="C1609" s="4" t="s">
        <v>39</v>
      </c>
      <c r="D1609" s="4" t="s">
        <v>23</v>
      </c>
      <c r="E1609" s="4" t="s">
        <v>17</v>
      </c>
      <c r="F1609" s="4" t="s">
        <v>24</v>
      </c>
      <c r="G1609" s="4" t="s">
        <v>19</v>
      </c>
      <c r="H1609" s="4" t="s">
        <v>36</v>
      </c>
      <c r="I1609" s="4">
        <v>43</v>
      </c>
      <c r="J1609" s="5">
        <v>49</v>
      </c>
      <c r="K1609" s="6">
        <v>1.58</v>
      </c>
      <c r="L1609" s="4">
        <v>1</v>
      </c>
      <c r="M1609" s="4">
        <v>127</v>
      </c>
      <c r="N1609" s="4">
        <v>92</v>
      </c>
      <c r="O1609" s="4" t="s">
        <v>26</v>
      </c>
      <c r="P1609" s="7" t="s">
        <v>19</v>
      </c>
    </row>
    <row r="1610" spans="2:16" x14ac:dyDescent="0.45">
      <c r="B1610" s="4">
        <v>1609</v>
      </c>
      <c r="C1610" s="4" t="s">
        <v>33</v>
      </c>
      <c r="D1610" s="4" t="s">
        <v>23</v>
      </c>
      <c r="E1610" s="4" t="s">
        <v>44</v>
      </c>
      <c r="F1610" s="4" t="s">
        <v>28</v>
      </c>
      <c r="G1610" s="4" t="s">
        <v>19</v>
      </c>
      <c r="H1610" s="4" t="s">
        <v>28</v>
      </c>
      <c r="I1610" s="4">
        <v>47</v>
      </c>
      <c r="J1610" s="5">
        <v>74.900000000000006</v>
      </c>
      <c r="K1610" s="6">
        <v>1.48</v>
      </c>
      <c r="L1610" s="4">
        <v>2</v>
      </c>
      <c r="M1610" s="4">
        <v>111</v>
      </c>
      <c r="N1610" s="4">
        <v>85</v>
      </c>
      <c r="O1610" s="4" t="s">
        <v>21</v>
      </c>
      <c r="P1610" s="7" t="s">
        <v>19</v>
      </c>
    </row>
    <row r="1611" spans="2:16" x14ac:dyDescent="0.45">
      <c r="B1611" s="4">
        <v>1610</v>
      </c>
      <c r="C1611" s="4" t="s">
        <v>27</v>
      </c>
      <c r="D1611" s="4" t="s">
        <v>16</v>
      </c>
      <c r="E1611" s="4" t="s">
        <v>17</v>
      </c>
      <c r="F1611" s="4" t="s">
        <v>28</v>
      </c>
      <c r="G1611" s="4" t="s">
        <v>30</v>
      </c>
      <c r="H1611" s="4" t="s">
        <v>32</v>
      </c>
      <c r="I1611" s="4">
        <v>4</v>
      </c>
      <c r="J1611" s="5">
        <v>14.8</v>
      </c>
      <c r="K1611" s="6">
        <v>0.7</v>
      </c>
      <c r="L1611" s="4">
        <v>3</v>
      </c>
      <c r="M1611" s="4">
        <v>105</v>
      </c>
      <c r="N1611" s="4">
        <v>172</v>
      </c>
      <c r="O1611" s="4" t="s">
        <v>21</v>
      </c>
      <c r="P1611" s="7" t="s">
        <v>30</v>
      </c>
    </row>
    <row r="1612" spans="2:16" x14ac:dyDescent="0.45">
      <c r="B1612" s="4">
        <v>1611</v>
      </c>
      <c r="C1612" s="4" t="s">
        <v>27</v>
      </c>
      <c r="D1612" s="4" t="s">
        <v>23</v>
      </c>
      <c r="E1612" s="4" t="s">
        <v>35</v>
      </c>
      <c r="F1612" s="4" t="s">
        <v>24</v>
      </c>
      <c r="G1612" s="4" t="s">
        <v>19</v>
      </c>
      <c r="H1612" s="4" t="s">
        <v>46</v>
      </c>
      <c r="I1612" s="4">
        <v>15</v>
      </c>
      <c r="J1612" s="5">
        <v>42.3</v>
      </c>
      <c r="K1612" s="6">
        <v>1.48</v>
      </c>
      <c r="L1612" s="4">
        <v>7</v>
      </c>
      <c r="M1612" s="4">
        <v>110</v>
      </c>
      <c r="N1612" s="4">
        <v>84</v>
      </c>
      <c r="O1612" s="4" t="s">
        <v>21</v>
      </c>
      <c r="P1612" s="7" t="s">
        <v>19</v>
      </c>
    </row>
    <row r="1613" spans="2:16" x14ac:dyDescent="0.45">
      <c r="B1613" s="4">
        <v>1612</v>
      </c>
      <c r="C1613" s="4" t="s">
        <v>15</v>
      </c>
      <c r="D1613" s="4" t="s">
        <v>16</v>
      </c>
      <c r="E1613" s="4" t="s">
        <v>35</v>
      </c>
      <c r="F1613" s="4" t="s">
        <v>18</v>
      </c>
      <c r="G1613" s="4" t="s">
        <v>19</v>
      </c>
      <c r="H1613" s="4" t="s">
        <v>25</v>
      </c>
      <c r="I1613" s="4">
        <v>48</v>
      </c>
      <c r="J1613" s="5">
        <v>52.4</v>
      </c>
      <c r="K1613" s="6">
        <v>1.86</v>
      </c>
      <c r="L1613" s="4">
        <v>9</v>
      </c>
      <c r="M1613" s="4">
        <v>110</v>
      </c>
      <c r="N1613" s="4">
        <v>100</v>
      </c>
      <c r="O1613" s="4" t="s">
        <v>21</v>
      </c>
      <c r="P1613" s="7" t="s">
        <v>19</v>
      </c>
    </row>
    <row r="1614" spans="2:16" x14ac:dyDescent="0.45">
      <c r="B1614" s="4">
        <v>1613</v>
      </c>
      <c r="C1614" s="4" t="s">
        <v>29</v>
      </c>
      <c r="D1614" s="4" t="s">
        <v>23</v>
      </c>
      <c r="E1614" s="4" t="s">
        <v>35</v>
      </c>
      <c r="F1614" s="4" t="s">
        <v>24</v>
      </c>
      <c r="G1614" s="4" t="s">
        <v>19</v>
      </c>
      <c r="H1614" s="4" t="s">
        <v>20</v>
      </c>
      <c r="I1614" s="4">
        <v>32</v>
      </c>
      <c r="J1614" s="5">
        <v>89.5</v>
      </c>
      <c r="K1614" s="6">
        <v>1.74</v>
      </c>
      <c r="L1614" s="4">
        <v>2</v>
      </c>
      <c r="M1614" s="4">
        <v>124</v>
      </c>
      <c r="N1614" s="4">
        <v>81</v>
      </c>
      <c r="O1614" s="4" t="s">
        <v>26</v>
      </c>
      <c r="P1614" s="7" t="s">
        <v>30</v>
      </c>
    </row>
    <row r="1615" spans="2:16" x14ac:dyDescent="0.45">
      <c r="B1615" s="4">
        <v>1614</v>
      </c>
      <c r="C1615" s="4" t="s">
        <v>29</v>
      </c>
      <c r="D1615" s="4" t="s">
        <v>16</v>
      </c>
      <c r="E1615" s="4" t="s">
        <v>17</v>
      </c>
      <c r="F1615" s="4" t="s">
        <v>18</v>
      </c>
      <c r="G1615" s="4" t="s">
        <v>19</v>
      </c>
      <c r="H1615" s="4" t="s">
        <v>32</v>
      </c>
      <c r="I1615" s="4">
        <v>25</v>
      </c>
      <c r="J1615" s="5">
        <v>69.5</v>
      </c>
      <c r="K1615" s="6">
        <v>1.59</v>
      </c>
      <c r="L1615" s="4">
        <v>6</v>
      </c>
      <c r="M1615" s="4">
        <v>120</v>
      </c>
      <c r="N1615" s="4">
        <v>146</v>
      </c>
      <c r="O1615" s="4" t="s">
        <v>21</v>
      </c>
      <c r="P1615" s="7" t="s">
        <v>19</v>
      </c>
    </row>
    <row r="1616" spans="2:16" x14ac:dyDescent="0.45">
      <c r="B1616" s="4">
        <v>1615</v>
      </c>
      <c r="C1616" s="4" t="s">
        <v>43</v>
      </c>
      <c r="D1616" s="4" t="s">
        <v>16</v>
      </c>
      <c r="E1616" s="4" t="s">
        <v>35</v>
      </c>
      <c r="F1616" s="4" t="s">
        <v>24</v>
      </c>
      <c r="G1616" s="4" t="s">
        <v>19</v>
      </c>
      <c r="H1616" s="4" t="s">
        <v>46</v>
      </c>
      <c r="I1616" s="4">
        <v>14</v>
      </c>
      <c r="J1616" s="5">
        <v>48</v>
      </c>
      <c r="K1616" s="6">
        <v>1.74</v>
      </c>
      <c r="L1616" s="4">
        <v>4</v>
      </c>
      <c r="M1616" s="4">
        <v>102</v>
      </c>
      <c r="N1616" s="4">
        <v>74</v>
      </c>
      <c r="O1616" s="4" t="s">
        <v>26</v>
      </c>
      <c r="P1616" s="7" t="s">
        <v>19</v>
      </c>
    </row>
    <row r="1617" spans="2:16" x14ac:dyDescent="0.45">
      <c r="B1617" s="4">
        <v>1616</v>
      </c>
      <c r="C1617" s="4" t="s">
        <v>27</v>
      </c>
      <c r="D1617" s="4" t="s">
        <v>23</v>
      </c>
      <c r="E1617" s="4" t="s">
        <v>35</v>
      </c>
      <c r="F1617" s="4" t="s">
        <v>42</v>
      </c>
      <c r="G1617" s="4" t="s">
        <v>19</v>
      </c>
      <c r="H1617" s="4" t="s">
        <v>36</v>
      </c>
      <c r="I1617" s="4">
        <v>43</v>
      </c>
      <c r="J1617" s="5">
        <v>74.400000000000006</v>
      </c>
      <c r="K1617" s="6">
        <v>1.87</v>
      </c>
      <c r="L1617" s="4">
        <v>10</v>
      </c>
      <c r="M1617" s="4">
        <v>147</v>
      </c>
      <c r="N1617" s="4">
        <v>86</v>
      </c>
      <c r="O1617" s="4" t="s">
        <v>26</v>
      </c>
      <c r="P1617" s="7" t="s">
        <v>30</v>
      </c>
    </row>
    <row r="1618" spans="2:16" x14ac:dyDescent="0.45">
      <c r="B1618" s="4">
        <v>1617</v>
      </c>
      <c r="C1618" s="4" t="s">
        <v>15</v>
      </c>
      <c r="D1618" s="4" t="s">
        <v>16</v>
      </c>
      <c r="E1618" s="4" t="s">
        <v>17</v>
      </c>
      <c r="F1618" s="4" t="s">
        <v>24</v>
      </c>
      <c r="G1618" s="4" t="s">
        <v>19</v>
      </c>
      <c r="H1618" s="4" t="s">
        <v>38</v>
      </c>
      <c r="I1618" s="4">
        <v>7</v>
      </c>
      <c r="J1618" s="5">
        <v>35.700000000000003</v>
      </c>
      <c r="K1618" s="6">
        <v>1.06</v>
      </c>
      <c r="L1618" s="4">
        <v>3</v>
      </c>
      <c r="M1618" s="4">
        <v>98</v>
      </c>
      <c r="N1618" s="4">
        <v>75</v>
      </c>
      <c r="O1618" s="4" t="s">
        <v>26</v>
      </c>
      <c r="P1618" s="7" t="s">
        <v>19</v>
      </c>
    </row>
    <row r="1619" spans="2:16" x14ac:dyDescent="0.45">
      <c r="B1619" s="4">
        <v>1618</v>
      </c>
      <c r="C1619" s="4" t="s">
        <v>33</v>
      </c>
      <c r="D1619" s="4" t="s">
        <v>16</v>
      </c>
      <c r="E1619" s="4" t="s">
        <v>17</v>
      </c>
      <c r="F1619" s="4" t="s">
        <v>18</v>
      </c>
      <c r="G1619" s="4" t="s">
        <v>30</v>
      </c>
      <c r="H1619" s="4" t="s">
        <v>32</v>
      </c>
      <c r="I1619" s="4">
        <v>10</v>
      </c>
      <c r="J1619" s="5">
        <v>22</v>
      </c>
      <c r="K1619" s="6">
        <v>1.08</v>
      </c>
      <c r="L1619" s="4">
        <v>1</v>
      </c>
      <c r="M1619" s="4">
        <v>104</v>
      </c>
      <c r="N1619" s="4">
        <v>168</v>
      </c>
      <c r="O1619" s="4" t="s">
        <v>26</v>
      </c>
      <c r="P1619" s="7" t="s">
        <v>19</v>
      </c>
    </row>
    <row r="1620" spans="2:16" x14ac:dyDescent="0.45">
      <c r="B1620" s="4">
        <v>1619</v>
      </c>
      <c r="C1620" s="4" t="s">
        <v>40</v>
      </c>
      <c r="D1620" s="4" t="s">
        <v>16</v>
      </c>
      <c r="E1620" s="4" t="s">
        <v>35</v>
      </c>
      <c r="F1620" s="4" t="s">
        <v>18</v>
      </c>
      <c r="G1620" s="4" t="s">
        <v>19</v>
      </c>
      <c r="H1620" s="4" t="s">
        <v>32</v>
      </c>
      <c r="I1620" s="4">
        <v>30</v>
      </c>
      <c r="J1620" s="5">
        <v>66.099999999999994</v>
      </c>
      <c r="K1620" s="6">
        <v>1.72</v>
      </c>
      <c r="L1620" s="4">
        <v>1</v>
      </c>
      <c r="M1620" s="4">
        <v>122</v>
      </c>
      <c r="N1620" s="4">
        <v>162</v>
      </c>
      <c r="O1620" s="4" t="s">
        <v>26</v>
      </c>
      <c r="P1620" s="7" t="s">
        <v>19</v>
      </c>
    </row>
    <row r="1621" spans="2:16" x14ac:dyDescent="0.45">
      <c r="B1621" s="4">
        <v>1620</v>
      </c>
      <c r="C1621" s="4" t="s">
        <v>29</v>
      </c>
      <c r="D1621" s="4" t="s">
        <v>23</v>
      </c>
      <c r="E1621" s="4" t="s">
        <v>37</v>
      </c>
      <c r="F1621" s="4" t="s">
        <v>24</v>
      </c>
      <c r="G1621" s="4" t="s">
        <v>19</v>
      </c>
      <c r="H1621" s="4" t="s">
        <v>28</v>
      </c>
      <c r="I1621" s="4">
        <v>19</v>
      </c>
      <c r="J1621" s="5">
        <v>62.8</v>
      </c>
      <c r="K1621" s="6">
        <v>1.53</v>
      </c>
      <c r="L1621" s="4">
        <v>6</v>
      </c>
      <c r="M1621" s="4">
        <v>109</v>
      </c>
      <c r="N1621" s="4">
        <v>76</v>
      </c>
      <c r="O1621" s="4" t="s">
        <v>21</v>
      </c>
      <c r="P1621" s="7" t="s">
        <v>19</v>
      </c>
    </row>
    <row r="1622" spans="2:16" x14ac:dyDescent="0.45">
      <c r="B1622" s="4">
        <v>1621</v>
      </c>
      <c r="C1622" s="4" t="s">
        <v>27</v>
      </c>
      <c r="D1622" s="4" t="s">
        <v>16</v>
      </c>
      <c r="E1622" s="4" t="s">
        <v>17</v>
      </c>
      <c r="F1622" s="4" t="s">
        <v>18</v>
      </c>
      <c r="G1622" s="4" t="s">
        <v>19</v>
      </c>
      <c r="H1622" s="4" t="s">
        <v>36</v>
      </c>
      <c r="I1622" s="4">
        <v>18</v>
      </c>
      <c r="J1622" s="5">
        <v>69.5</v>
      </c>
      <c r="K1622" s="6">
        <v>1.74</v>
      </c>
      <c r="L1622" s="4">
        <v>0</v>
      </c>
      <c r="M1622" s="4">
        <v>130</v>
      </c>
      <c r="N1622" s="4">
        <v>75</v>
      </c>
      <c r="O1622" s="4" t="s">
        <v>21</v>
      </c>
      <c r="P1622" s="7" t="s">
        <v>19</v>
      </c>
    </row>
    <row r="1623" spans="2:16" x14ac:dyDescent="0.45">
      <c r="B1623" s="4">
        <v>1622</v>
      </c>
      <c r="C1623" s="4" t="s">
        <v>29</v>
      </c>
      <c r="D1623" s="4" t="s">
        <v>16</v>
      </c>
      <c r="E1623" s="4" t="s">
        <v>17</v>
      </c>
      <c r="F1623" s="4" t="s">
        <v>18</v>
      </c>
      <c r="G1623" s="4" t="s">
        <v>30</v>
      </c>
      <c r="H1623" s="4" t="s">
        <v>28</v>
      </c>
      <c r="I1623" s="4">
        <v>22</v>
      </c>
      <c r="J1623" s="5">
        <v>47.9</v>
      </c>
      <c r="K1623" s="6">
        <v>1.81</v>
      </c>
      <c r="L1623" s="4">
        <v>2</v>
      </c>
      <c r="M1623" s="4">
        <v>115</v>
      </c>
      <c r="N1623" s="4">
        <v>70</v>
      </c>
      <c r="O1623" s="4" t="s">
        <v>26</v>
      </c>
      <c r="P1623" s="7" t="s">
        <v>19</v>
      </c>
    </row>
    <row r="1624" spans="2:16" x14ac:dyDescent="0.45">
      <c r="B1624" s="4">
        <v>1623</v>
      </c>
      <c r="C1624" s="4" t="s">
        <v>45</v>
      </c>
      <c r="D1624" s="4" t="s">
        <v>23</v>
      </c>
      <c r="E1624" s="4" t="s">
        <v>17</v>
      </c>
      <c r="F1624" s="4" t="s">
        <v>24</v>
      </c>
      <c r="G1624" s="4" t="s">
        <v>19</v>
      </c>
      <c r="H1624" s="4" t="s">
        <v>36</v>
      </c>
      <c r="I1624" s="4">
        <v>38</v>
      </c>
      <c r="J1624" s="5">
        <v>57.8</v>
      </c>
      <c r="K1624" s="6">
        <v>1.78</v>
      </c>
      <c r="L1624" s="4">
        <v>1</v>
      </c>
      <c r="M1624" s="4">
        <v>142</v>
      </c>
      <c r="N1624" s="4">
        <v>92</v>
      </c>
      <c r="O1624" s="4" t="s">
        <v>21</v>
      </c>
      <c r="P1624" s="7" t="s">
        <v>19</v>
      </c>
    </row>
    <row r="1625" spans="2:16" x14ac:dyDescent="0.45">
      <c r="B1625" s="4">
        <v>1624</v>
      </c>
      <c r="C1625" s="4" t="s">
        <v>40</v>
      </c>
      <c r="D1625" s="4" t="s">
        <v>16</v>
      </c>
      <c r="E1625" s="4" t="s">
        <v>17</v>
      </c>
      <c r="F1625" s="4" t="s">
        <v>28</v>
      </c>
      <c r="G1625" s="4" t="s">
        <v>30</v>
      </c>
      <c r="H1625" s="4" t="s">
        <v>36</v>
      </c>
      <c r="I1625" s="4">
        <v>42</v>
      </c>
      <c r="J1625" s="5">
        <v>91.6</v>
      </c>
      <c r="K1625" s="6">
        <v>1.59</v>
      </c>
      <c r="L1625" s="4">
        <v>2</v>
      </c>
      <c r="M1625" s="4">
        <v>144</v>
      </c>
      <c r="N1625" s="4">
        <v>74</v>
      </c>
      <c r="O1625" s="4" t="s">
        <v>21</v>
      </c>
      <c r="P1625" s="7" t="s">
        <v>19</v>
      </c>
    </row>
    <row r="1626" spans="2:16" x14ac:dyDescent="0.45">
      <c r="B1626" s="4">
        <v>1625</v>
      </c>
      <c r="C1626" s="4" t="s">
        <v>27</v>
      </c>
      <c r="D1626" s="4" t="s">
        <v>16</v>
      </c>
      <c r="E1626" s="4" t="s">
        <v>17</v>
      </c>
      <c r="F1626" s="4" t="s">
        <v>18</v>
      </c>
      <c r="G1626" s="4" t="s">
        <v>19</v>
      </c>
      <c r="H1626" s="4" t="s">
        <v>36</v>
      </c>
      <c r="I1626" s="4">
        <v>43</v>
      </c>
      <c r="J1626" s="5">
        <v>48.2</v>
      </c>
      <c r="K1626" s="6">
        <v>1.56</v>
      </c>
      <c r="L1626" s="4">
        <v>2</v>
      </c>
      <c r="M1626" s="4">
        <v>137</v>
      </c>
      <c r="N1626" s="4">
        <v>78</v>
      </c>
      <c r="O1626" s="4" t="s">
        <v>21</v>
      </c>
      <c r="P1626" s="7" t="s">
        <v>19</v>
      </c>
    </row>
    <row r="1627" spans="2:16" x14ac:dyDescent="0.45">
      <c r="B1627" s="4">
        <v>1626</v>
      </c>
      <c r="C1627" s="4" t="s">
        <v>29</v>
      </c>
      <c r="D1627" s="4" t="s">
        <v>23</v>
      </c>
      <c r="E1627" s="4" t="s">
        <v>17</v>
      </c>
      <c r="F1627" s="4" t="s">
        <v>18</v>
      </c>
      <c r="G1627" s="4" t="s">
        <v>19</v>
      </c>
      <c r="H1627" s="4" t="s">
        <v>28</v>
      </c>
      <c r="I1627" s="4">
        <v>42</v>
      </c>
      <c r="J1627" s="5">
        <v>60.5</v>
      </c>
      <c r="K1627" s="6">
        <v>1.58</v>
      </c>
      <c r="L1627" s="4">
        <v>5</v>
      </c>
      <c r="M1627" s="4">
        <v>125</v>
      </c>
      <c r="N1627" s="4">
        <v>98</v>
      </c>
      <c r="O1627" s="4" t="s">
        <v>26</v>
      </c>
      <c r="P1627" s="7" t="s">
        <v>30</v>
      </c>
    </row>
    <row r="1628" spans="2:16" x14ac:dyDescent="0.45">
      <c r="B1628" s="4">
        <v>1627</v>
      </c>
      <c r="C1628" s="4" t="s">
        <v>27</v>
      </c>
      <c r="D1628" s="4" t="s">
        <v>16</v>
      </c>
      <c r="E1628" s="4" t="s">
        <v>35</v>
      </c>
      <c r="F1628" s="4" t="s">
        <v>28</v>
      </c>
      <c r="G1628" s="4" t="s">
        <v>30</v>
      </c>
      <c r="H1628" s="4" t="s">
        <v>25</v>
      </c>
      <c r="I1628" s="4">
        <v>5</v>
      </c>
      <c r="J1628" s="5">
        <v>26.7</v>
      </c>
      <c r="K1628" s="6">
        <v>1.24</v>
      </c>
      <c r="L1628" s="4">
        <v>3</v>
      </c>
      <c r="M1628" s="4">
        <v>110</v>
      </c>
      <c r="N1628" s="4">
        <v>101</v>
      </c>
      <c r="O1628" s="4" t="s">
        <v>21</v>
      </c>
      <c r="P1628" s="7" t="s">
        <v>19</v>
      </c>
    </row>
    <row r="1629" spans="2:16" x14ac:dyDescent="0.45">
      <c r="B1629" s="4">
        <v>1628</v>
      </c>
      <c r="C1629" s="4" t="s">
        <v>39</v>
      </c>
      <c r="D1629" s="4" t="s">
        <v>16</v>
      </c>
      <c r="E1629" s="4" t="s">
        <v>44</v>
      </c>
      <c r="F1629" s="4" t="s">
        <v>24</v>
      </c>
      <c r="G1629" s="4" t="s">
        <v>19</v>
      </c>
      <c r="H1629" s="4" t="s">
        <v>20</v>
      </c>
      <c r="I1629" s="4">
        <v>42</v>
      </c>
      <c r="J1629" s="5">
        <v>78.900000000000006</v>
      </c>
      <c r="K1629" s="6">
        <v>1.65</v>
      </c>
      <c r="L1629" s="4">
        <v>6</v>
      </c>
      <c r="M1629" s="4">
        <v>111</v>
      </c>
      <c r="N1629" s="4">
        <v>86</v>
      </c>
      <c r="O1629" s="4" t="s">
        <v>21</v>
      </c>
      <c r="P1629" s="7" t="s">
        <v>19</v>
      </c>
    </row>
    <row r="1630" spans="2:16" x14ac:dyDescent="0.45">
      <c r="B1630" s="4">
        <v>1629</v>
      </c>
      <c r="C1630" s="4" t="s">
        <v>45</v>
      </c>
      <c r="D1630" s="4" t="s">
        <v>16</v>
      </c>
      <c r="E1630" s="4" t="s">
        <v>35</v>
      </c>
      <c r="F1630" s="4" t="s">
        <v>28</v>
      </c>
      <c r="G1630" s="4" t="s">
        <v>30</v>
      </c>
      <c r="H1630" s="4" t="s">
        <v>25</v>
      </c>
      <c r="I1630" s="4">
        <v>10</v>
      </c>
      <c r="J1630" s="5">
        <v>27.8</v>
      </c>
      <c r="K1630" s="6">
        <v>1.23</v>
      </c>
      <c r="L1630" s="4">
        <v>2</v>
      </c>
      <c r="M1630" s="4">
        <v>116</v>
      </c>
      <c r="N1630" s="4">
        <v>72</v>
      </c>
      <c r="O1630" s="4" t="s">
        <v>21</v>
      </c>
      <c r="P1630" s="7" t="s">
        <v>19</v>
      </c>
    </row>
    <row r="1631" spans="2:16" x14ac:dyDescent="0.45">
      <c r="B1631" s="4">
        <v>1630</v>
      </c>
      <c r="C1631" s="4" t="s">
        <v>29</v>
      </c>
      <c r="D1631" s="4" t="s">
        <v>16</v>
      </c>
      <c r="E1631" s="4" t="s">
        <v>37</v>
      </c>
      <c r="F1631" s="4" t="s">
        <v>28</v>
      </c>
      <c r="G1631" s="4" t="s">
        <v>19</v>
      </c>
      <c r="H1631" s="4" t="s">
        <v>46</v>
      </c>
      <c r="I1631" s="4">
        <v>24</v>
      </c>
      <c r="J1631" s="5">
        <v>79.5</v>
      </c>
      <c r="K1631" s="6">
        <v>1.79</v>
      </c>
      <c r="L1631" s="4">
        <v>2</v>
      </c>
      <c r="M1631" s="4">
        <v>109</v>
      </c>
      <c r="N1631" s="4">
        <v>77</v>
      </c>
      <c r="O1631" s="4" t="s">
        <v>21</v>
      </c>
      <c r="P1631" s="7" t="s">
        <v>19</v>
      </c>
    </row>
    <row r="1632" spans="2:16" x14ac:dyDescent="0.45">
      <c r="B1632" s="4">
        <v>1631</v>
      </c>
      <c r="C1632" s="4" t="s">
        <v>39</v>
      </c>
      <c r="D1632" s="4" t="s">
        <v>16</v>
      </c>
      <c r="E1632" s="4" t="s">
        <v>17</v>
      </c>
      <c r="F1632" s="4" t="s">
        <v>18</v>
      </c>
      <c r="G1632" s="4" t="s">
        <v>30</v>
      </c>
      <c r="H1632" s="4" t="s">
        <v>32</v>
      </c>
      <c r="I1632" s="4">
        <v>7</v>
      </c>
      <c r="J1632" s="5">
        <v>36.6</v>
      </c>
      <c r="K1632" s="6">
        <v>1.33</v>
      </c>
      <c r="L1632" s="4">
        <v>9</v>
      </c>
      <c r="M1632" s="4">
        <v>104</v>
      </c>
      <c r="N1632" s="4">
        <v>163</v>
      </c>
      <c r="O1632" s="4" t="s">
        <v>21</v>
      </c>
      <c r="P1632" s="7" t="s">
        <v>19</v>
      </c>
    </row>
    <row r="1633" spans="2:16" x14ac:dyDescent="0.45">
      <c r="B1633" s="4">
        <v>1632</v>
      </c>
      <c r="C1633" s="4" t="s">
        <v>31</v>
      </c>
      <c r="D1633" s="4" t="s">
        <v>16</v>
      </c>
      <c r="E1633" s="4" t="s">
        <v>17</v>
      </c>
      <c r="F1633" s="4" t="s">
        <v>18</v>
      </c>
      <c r="G1633" s="4" t="s">
        <v>19</v>
      </c>
      <c r="H1633" s="4" t="s">
        <v>28</v>
      </c>
      <c r="I1633" s="4">
        <v>19</v>
      </c>
      <c r="J1633" s="5">
        <v>74.400000000000006</v>
      </c>
      <c r="K1633" s="6">
        <v>1.59</v>
      </c>
      <c r="L1633" s="4">
        <v>0</v>
      </c>
      <c r="M1633" s="4">
        <v>106</v>
      </c>
      <c r="N1633" s="4">
        <v>103</v>
      </c>
      <c r="O1633" s="4" t="s">
        <v>26</v>
      </c>
      <c r="P1633" s="7" t="s">
        <v>19</v>
      </c>
    </row>
    <row r="1634" spans="2:16" x14ac:dyDescent="0.45">
      <c r="B1634" s="4">
        <v>1633</v>
      </c>
      <c r="C1634" s="4" t="s">
        <v>45</v>
      </c>
      <c r="D1634" s="4" t="s">
        <v>23</v>
      </c>
      <c r="E1634" s="4" t="s">
        <v>35</v>
      </c>
      <c r="F1634" s="4" t="s">
        <v>18</v>
      </c>
      <c r="G1634" s="4" t="s">
        <v>30</v>
      </c>
      <c r="H1634" s="4" t="s">
        <v>38</v>
      </c>
      <c r="I1634" s="4">
        <v>28</v>
      </c>
      <c r="J1634" s="5">
        <v>75.599999999999994</v>
      </c>
      <c r="K1634" s="6">
        <v>1.66</v>
      </c>
      <c r="L1634" s="4">
        <v>1</v>
      </c>
      <c r="M1634" s="4">
        <v>117</v>
      </c>
      <c r="N1634" s="4">
        <v>93</v>
      </c>
      <c r="O1634" s="4" t="s">
        <v>26</v>
      </c>
      <c r="P1634" s="7" t="s">
        <v>30</v>
      </c>
    </row>
    <row r="1635" spans="2:16" x14ac:dyDescent="0.45">
      <c r="B1635" s="4">
        <v>1634</v>
      </c>
      <c r="C1635" s="4" t="s">
        <v>27</v>
      </c>
      <c r="D1635" s="4" t="s">
        <v>23</v>
      </c>
      <c r="E1635" s="4" t="s">
        <v>17</v>
      </c>
      <c r="F1635" s="4" t="s">
        <v>24</v>
      </c>
      <c r="G1635" s="4" t="s">
        <v>19</v>
      </c>
      <c r="H1635" s="4" t="s">
        <v>38</v>
      </c>
      <c r="I1635" s="4">
        <v>70</v>
      </c>
      <c r="J1635" s="5">
        <v>79.900000000000006</v>
      </c>
      <c r="K1635" s="6">
        <v>1.74</v>
      </c>
      <c r="L1635" s="4">
        <v>4</v>
      </c>
      <c r="M1635" s="4">
        <v>121</v>
      </c>
      <c r="N1635" s="4">
        <v>90</v>
      </c>
      <c r="O1635" s="4" t="s">
        <v>26</v>
      </c>
      <c r="P1635" s="7" t="s">
        <v>19</v>
      </c>
    </row>
    <row r="1636" spans="2:16" x14ac:dyDescent="0.45">
      <c r="B1636" s="4">
        <v>1635</v>
      </c>
      <c r="C1636" s="4" t="s">
        <v>33</v>
      </c>
      <c r="D1636" s="4" t="s">
        <v>23</v>
      </c>
      <c r="E1636" s="4" t="s">
        <v>35</v>
      </c>
      <c r="F1636" s="4" t="s">
        <v>28</v>
      </c>
      <c r="G1636" s="4" t="s">
        <v>19</v>
      </c>
      <c r="H1636" s="4" t="s">
        <v>28</v>
      </c>
      <c r="I1636" s="4">
        <v>76</v>
      </c>
      <c r="J1636" s="5">
        <v>67</v>
      </c>
      <c r="K1636" s="6">
        <v>1.54</v>
      </c>
      <c r="L1636" s="4">
        <v>2</v>
      </c>
      <c r="M1636" s="4">
        <v>113</v>
      </c>
      <c r="N1636" s="4">
        <v>82</v>
      </c>
      <c r="O1636" s="4" t="s">
        <v>26</v>
      </c>
      <c r="P1636" s="7" t="s">
        <v>19</v>
      </c>
    </row>
    <row r="1637" spans="2:16" x14ac:dyDescent="0.45">
      <c r="B1637" s="4">
        <v>1636</v>
      </c>
      <c r="C1637" s="4" t="s">
        <v>27</v>
      </c>
      <c r="D1637" s="4" t="s">
        <v>23</v>
      </c>
      <c r="E1637" s="4" t="s">
        <v>17</v>
      </c>
      <c r="F1637" s="4" t="s">
        <v>24</v>
      </c>
      <c r="G1637" s="4" t="s">
        <v>30</v>
      </c>
      <c r="H1637" s="4" t="s">
        <v>32</v>
      </c>
      <c r="I1637" s="4">
        <v>68</v>
      </c>
      <c r="J1637" s="5">
        <v>48.3</v>
      </c>
      <c r="K1637" s="6">
        <v>1.83</v>
      </c>
      <c r="L1637" s="4">
        <v>1</v>
      </c>
      <c r="M1637" s="4">
        <v>132</v>
      </c>
      <c r="N1637" s="4">
        <v>140</v>
      </c>
      <c r="O1637" s="4" t="s">
        <v>21</v>
      </c>
      <c r="P1637" s="7" t="s">
        <v>30</v>
      </c>
    </row>
    <row r="1638" spans="2:16" x14ac:dyDescent="0.45">
      <c r="B1638" s="4">
        <v>1637</v>
      </c>
      <c r="C1638" s="4" t="s">
        <v>27</v>
      </c>
      <c r="D1638" s="4" t="s">
        <v>16</v>
      </c>
      <c r="E1638" s="4" t="s">
        <v>17</v>
      </c>
      <c r="F1638" s="4" t="s">
        <v>24</v>
      </c>
      <c r="G1638" s="4" t="s">
        <v>19</v>
      </c>
      <c r="H1638" s="4" t="s">
        <v>34</v>
      </c>
      <c r="I1638" s="4">
        <v>40</v>
      </c>
      <c r="J1638" s="5">
        <v>51.4</v>
      </c>
      <c r="K1638" s="6">
        <v>1.87</v>
      </c>
      <c r="L1638" s="4">
        <v>5</v>
      </c>
      <c r="M1638" s="4">
        <v>107</v>
      </c>
      <c r="N1638" s="4">
        <v>98</v>
      </c>
      <c r="O1638" s="4" t="s">
        <v>26</v>
      </c>
      <c r="P1638" s="7" t="s">
        <v>19</v>
      </c>
    </row>
    <row r="1639" spans="2:16" x14ac:dyDescent="0.45">
      <c r="B1639" s="4">
        <v>1638</v>
      </c>
      <c r="C1639" s="4" t="s">
        <v>45</v>
      </c>
      <c r="D1639" s="4" t="s">
        <v>16</v>
      </c>
      <c r="E1639" s="4" t="s">
        <v>35</v>
      </c>
      <c r="F1639" s="4" t="s">
        <v>28</v>
      </c>
      <c r="G1639" s="4" t="s">
        <v>19</v>
      </c>
      <c r="H1639" s="4" t="s">
        <v>36</v>
      </c>
      <c r="I1639" s="4">
        <v>10</v>
      </c>
      <c r="J1639" s="5">
        <v>35.5</v>
      </c>
      <c r="K1639" s="6">
        <v>1.21</v>
      </c>
      <c r="L1639" s="4">
        <v>0</v>
      </c>
      <c r="M1639" s="4">
        <v>127</v>
      </c>
      <c r="N1639" s="4">
        <v>88</v>
      </c>
      <c r="O1639" s="4" t="s">
        <v>26</v>
      </c>
      <c r="P1639" s="7" t="s">
        <v>19</v>
      </c>
    </row>
    <row r="1640" spans="2:16" x14ac:dyDescent="0.45">
      <c r="B1640" s="4">
        <v>1639</v>
      </c>
      <c r="C1640" s="4" t="s">
        <v>27</v>
      </c>
      <c r="D1640" s="4" t="s">
        <v>23</v>
      </c>
      <c r="E1640" s="4" t="s">
        <v>44</v>
      </c>
      <c r="F1640" s="4" t="s">
        <v>24</v>
      </c>
      <c r="G1640" s="4" t="s">
        <v>30</v>
      </c>
      <c r="H1640" s="4" t="s">
        <v>20</v>
      </c>
      <c r="I1640" s="4">
        <v>86</v>
      </c>
      <c r="J1640" s="5">
        <v>86.7</v>
      </c>
      <c r="K1640" s="6">
        <v>1.8</v>
      </c>
      <c r="L1640" s="4">
        <v>10</v>
      </c>
      <c r="M1640" s="4">
        <v>134</v>
      </c>
      <c r="N1640" s="4">
        <v>87</v>
      </c>
      <c r="O1640" s="4" t="s">
        <v>21</v>
      </c>
      <c r="P1640" s="7" t="s">
        <v>30</v>
      </c>
    </row>
    <row r="1641" spans="2:16" x14ac:dyDescent="0.45">
      <c r="B1641" s="4">
        <v>1640</v>
      </c>
      <c r="C1641" s="4" t="s">
        <v>40</v>
      </c>
      <c r="D1641" s="4" t="s">
        <v>23</v>
      </c>
      <c r="E1641" s="4" t="s">
        <v>37</v>
      </c>
      <c r="F1641" s="4" t="s">
        <v>24</v>
      </c>
      <c r="G1641" s="4" t="s">
        <v>19</v>
      </c>
      <c r="H1641" s="4" t="s">
        <v>25</v>
      </c>
      <c r="I1641" s="4">
        <v>31</v>
      </c>
      <c r="J1641" s="5">
        <v>92.5</v>
      </c>
      <c r="K1641" s="6">
        <v>1.9</v>
      </c>
      <c r="L1641" s="4">
        <v>9</v>
      </c>
      <c r="M1641" s="4">
        <v>127</v>
      </c>
      <c r="N1641" s="4">
        <v>101</v>
      </c>
      <c r="O1641" s="4" t="s">
        <v>26</v>
      </c>
      <c r="P1641" s="7" t="s">
        <v>30</v>
      </c>
    </row>
    <row r="1642" spans="2:16" x14ac:dyDescent="0.45">
      <c r="B1642" s="4">
        <v>1641</v>
      </c>
      <c r="C1642" s="4" t="s">
        <v>33</v>
      </c>
      <c r="D1642" s="4" t="s">
        <v>16</v>
      </c>
      <c r="E1642" s="4" t="s">
        <v>35</v>
      </c>
      <c r="F1642" s="4" t="s">
        <v>42</v>
      </c>
      <c r="G1642" s="4" t="s">
        <v>30</v>
      </c>
      <c r="H1642" s="4" t="s">
        <v>38</v>
      </c>
      <c r="I1642" s="4">
        <v>54</v>
      </c>
      <c r="J1642" s="5">
        <v>75.599999999999994</v>
      </c>
      <c r="K1642" s="6">
        <v>1.7</v>
      </c>
      <c r="L1642" s="4">
        <v>2</v>
      </c>
      <c r="M1642" s="4">
        <v>115</v>
      </c>
      <c r="N1642" s="4">
        <v>76</v>
      </c>
      <c r="O1642" s="4" t="s">
        <v>26</v>
      </c>
      <c r="P1642" s="7" t="s">
        <v>19</v>
      </c>
    </row>
    <row r="1643" spans="2:16" x14ac:dyDescent="0.45">
      <c r="B1643" s="4">
        <v>1642</v>
      </c>
      <c r="C1643" s="4" t="s">
        <v>29</v>
      </c>
      <c r="D1643" s="4" t="s">
        <v>23</v>
      </c>
      <c r="E1643" s="4" t="s">
        <v>37</v>
      </c>
      <c r="F1643" s="4" t="s">
        <v>18</v>
      </c>
      <c r="G1643" s="4" t="s">
        <v>30</v>
      </c>
      <c r="H1643" s="4" t="s">
        <v>38</v>
      </c>
      <c r="I1643" s="4">
        <v>29</v>
      </c>
      <c r="J1643" s="5">
        <v>72.8</v>
      </c>
      <c r="K1643" s="6">
        <v>1.8</v>
      </c>
      <c r="L1643" s="4">
        <v>5</v>
      </c>
      <c r="M1643" s="4">
        <v>106</v>
      </c>
      <c r="N1643" s="4">
        <v>83</v>
      </c>
      <c r="O1643" s="4" t="s">
        <v>26</v>
      </c>
      <c r="P1643" s="7" t="s">
        <v>19</v>
      </c>
    </row>
    <row r="1644" spans="2:16" x14ac:dyDescent="0.45">
      <c r="B1644" s="4">
        <v>1643</v>
      </c>
      <c r="C1644" s="4" t="s">
        <v>27</v>
      </c>
      <c r="D1644" s="4" t="s">
        <v>23</v>
      </c>
      <c r="E1644" s="4" t="s">
        <v>35</v>
      </c>
      <c r="F1644" s="4" t="s">
        <v>24</v>
      </c>
      <c r="G1644" s="4" t="s">
        <v>19</v>
      </c>
      <c r="H1644" s="4" t="s">
        <v>20</v>
      </c>
      <c r="I1644" s="4">
        <v>15</v>
      </c>
      <c r="J1644" s="5">
        <v>58.1</v>
      </c>
      <c r="K1644" s="6">
        <v>1.5</v>
      </c>
      <c r="L1644" s="4">
        <v>1</v>
      </c>
      <c r="M1644" s="4">
        <v>111</v>
      </c>
      <c r="N1644" s="4">
        <v>89</v>
      </c>
      <c r="O1644" s="4" t="s">
        <v>21</v>
      </c>
      <c r="P1644" s="7" t="s">
        <v>19</v>
      </c>
    </row>
    <row r="1645" spans="2:16" x14ac:dyDescent="0.45">
      <c r="B1645" s="4">
        <v>1644</v>
      </c>
      <c r="C1645" s="4" t="s">
        <v>40</v>
      </c>
      <c r="D1645" s="4" t="s">
        <v>16</v>
      </c>
      <c r="E1645" s="4" t="s">
        <v>37</v>
      </c>
      <c r="F1645" s="4" t="s">
        <v>28</v>
      </c>
      <c r="G1645" s="4" t="s">
        <v>19</v>
      </c>
      <c r="H1645" s="4" t="s">
        <v>38</v>
      </c>
      <c r="I1645" s="4">
        <v>55</v>
      </c>
      <c r="J1645" s="5">
        <v>53.6</v>
      </c>
      <c r="K1645" s="6">
        <v>1.77</v>
      </c>
      <c r="L1645" s="4">
        <v>5</v>
      </c>
      <c r="M1645" s="4">
        <v>124</v>
      </c>
      <c r="N1645" s="4">
        <v>77</v>
      </c>
      <c r="O1645" s="4" t="s">
        <v>26</v>
      </c>
      <c r="P1645" s="7" t="s">
        <v>19</v>
      </c>
    </row>
    <row r="1646" spans="2:16" x14ac:dyDescent="0.45">
      <c r="B1646" s="4">
        <v>1645</v>
      </c>
      <c r="C1646" s="4" t="s">
        <v>15</v>
      </c>
      <c r="D1646" s="4" t="s">
        <v>23</v>
      </c>
      <c r="E1646" s="4" t="s">
        <v>17</v>
      </c>
      <c r="F1646" s="4" t="s">
        <v>24</v>
      </c>
      <c r="G1646" s="4" t="s">
        <v>19</v>
      </c>
      <c r="H1646" s="4" t="s">
        <v>38</v>
      </c>
      <c r="I1646" s="4">
        <v>20</v>
      </c>
      <c r="J1646" s="5">
        <v>78.599999999999994</v>
      </c>
      <c r="K1646" s="6">
        <v>1.77</v>
      </c>
      <c r="L1646" s="4">
        <v>1</v>
      </c>
      <c r="M1646" s="4">
        <v>125</v>
      </c>
      <c r="N1646" s="4">
        <v>80</v>
      </c>
      <c r="O1646" s="4" t="s">
        <v>26</v>
      </c>
      <c r="P1646" s="7" t="s">
        <v>30</v>
      </c>
    </row>
    <row r="1647" spans="2:16" x14ac:dyDescent="0.45">
      <c r="B1647" s="4">
        <v>1646</v>
      </c>
      <c r="C1647" s="4" t="s">
        <v>27</v>
      </c>
      <c r="D1647" s="4" t="s">
        <v>23</v>
      </c>
      <c r="E1647" s="4" t="s">
        <v>17</v>
      </c>
      <c r="F1647" s="4" t="s">
        <v>28</v>
      </c>
      <c r="G1647" s="4" t="s">
        <v>19</v>
      </c>
      <c r="H1647" s="4" t="s">
        <v>20</v>
      </c>
      <c r="I1647" s="4">
        <v>5</v>
      </c>
      <c r="J1647" s="5">
        <v>20.3</v>
      </c>
      <c r="K1647" s="6">
        <v>1.1299999999999999</v>
      </c>
      <c r="L1647" s="4">
        <v>1</v>
      </c>
      <c r="M1647" s="4">
        <v>106</v>
      </c>
      <c r="N1647" s="4">
        <v>83</v>
      </c>
      <c r="O1647" s="4" t="s">
        <v>26</v>
      </c>
      <c r="P1647" s="7" t="s">
        <v>19</v>
      </c>
    </row>
    <row r="1648" spans="2:16" x14ac:dyDescent="0.45">
      <c r="B1648" s="4">
        <v>1647</v>
      </c>
      <c r="C1648" s="4" t="s">
        <v>41</v>
      </c>
      <c r="D1648" s="4" t="s">
        <v>23</v>
      </c>
      <c r="E1648" s="4" t="s">
        <v>37</v>
      </c>
      <c r="F1648" s="4" t="s">
        <v>18</v>
      </c>
      <c r="G1648" s="4" t="s">
        <v>30</v>
      </c>
      <c r="H1648" s="4" t="s">
        <v>36</v>
      </c>
      <c r="I1648" s="4">
        <v>24</v>
      </c>
      <c r="J1648" s="5">
        <v>67.400000000000006</v>
      </c>
      <c r="K1648" s="6">
        <v>1.76</v>
      </c>
      <c r="L1648" s="4">
        <v>2</v>
      </c>
      <c r="M1648" s="4">
        <v>124</v>
      </c>
      <c r="N1648" s="4">
        <v>95</v>
      </c>
      <c r="O1648" s="4" t="s">
        <v>26</v>
      </c>
      <c r="P1648" s="7" t="s">
        <v>19</v>
      </c>
    </row>
    <row r="1649" spans="2:16" x14ac:dyDescent="0.45">
      <c r="B1649" s="4">
        <v>1648</v>
      </c>
      <c r="C1649" s="4" t="s">
        <v>27</v>
      </c>
      <c r="D1649" s="4" t="s">
        <v>16</v>
      </c>
      <c r="E1649" s="4" t="s">
        <v>35</v>
      </c>
      <c r="F1649" s="4" t="s">
        <v>18</v>
      </c>
      <c r="G1649" s="4" t="s">
        <v>19</v>
      </c>
      <c r="H1649" s="4" t="s">
        <v>25</v>
      </c>
      <c r="I1649" s="4">
        <v>20</v>
      </c>
      <c r="J1649" s="5">
        <v>66.099999999999994</v>
      </c>
      <c r="K1649" s="6">
        <v>1.9</v>
      </c>
      <c r="L1649" s="4">
        <v>3</v>
      </c>
      <c r="M1649" s="4">
        <v>116</v>
      </c>
      <c r="N1649" s="4">
        <v>98</v>
      </c>
      <c r="O1649" s="4" t="s">
        <v>26</v>
      </c>
      <c r="P1649" s="7" t="s">
        <v>19</v>
      </c>
    </row>
    <row r="1650" spans="2:16" x14ac:dyDescent="0.45">
      <c r="B1650" s="4">
        <v>1649</v>
      </c>
      <c r="C1650" s="4" t="s">
        <v>29</v>
      </c>
      <c r="D1650" s="4" t="s">
        <v>23</v>
      </c>
      <c r="E1650" s="4" t="s">
        <v>17</v>
      </c>
      <c r="F1650" s="4" t="s">
        <v>24</v>
      </c>
      <c r="G1650" s="4" t="s">
        <v>19</v>
      </c>
      <c r="H1650" s="4" t="s">
        <v>20</v>
      </c>
      <c r="I1650" s="4">
        <v>14</v>
      </c>
      <c r="J1650" s="5">
        <v>61.2</v>
      </c>
      <c r="K1650" s="6">
        <v>1.47</v>
      </c>
      <c r="L1650" s="4">
        <v>0</v>
      </c>
      <c r="M1650" s="4">
        <v>95</v>
      </c>
      <c r="N1650" s="4">
        <v>92</v>
      </c>
      <c r="O1650" s="4" t="s">
        <v>21</v>
      </c>
      <c r="P1650" s="7" t="s">
        <v>19</v>
      </c>
    </row>
    <row r="1651" spans="2:16" x14ac:dyDescent="0.45">
      <c r="B1651" s="4">
        <v>1650</v>
      </c>
      <c r="C1651" s="4" t="s">
        <v>22</v>
      </c>
      <c r="D1651" s="4" t="s">
        <v>16</v>
      </c>
      <c r="E1651" s="4" t="s">
        <v>17</v>
      </c>
      <c r="F1651" s="4" t="s">
        <v>24</v>
      </c>
      <c r="G1651" s="4" t="s">
        <v>19</v>
      </c>
      <c r="H1651" s="4" t="s">
        <v>25</v>
      </c>
      <c r="I1651" s="4">
        <v>15</v>
      </c>
      <c r="J1651" s="5">
        <v>61.7</v>
      </c>
      <c r="K1651" s="6">
        <v>1.52</v>
      </c>
      <c r="L1651" s="4">
        <v>4</v>
      </c>
      <c r="M1651" s="4">
        <v>100</v>
      </c>
      <c r="N1651" s="4">
        <v>94</v>
      </c>
      <c r="O1651" s="4" t="s">
        <v>21</v>
      </c>
      <c r="P1651" s="7" t="s">
        <v>19</v>
      </c>
    </row>
    <row r="1652" spans="2:16" x14ac:dyDescent="0.45">
      <c r="B1652" s="4">
        <v>1651</v>
      </c>
      <c r="C1652" s="4" t="s">
        <v>43</v>
      </c>
      <c r="D1652" s="4" t="s">
        <v>23</v>
      </c>
      <c r="E1652" s="4" t="s">
        <v>35</v>
      </c>
      <c r="F1652" s="4" t="s">
        <v>18</v>
      </c>
      <c r="G1652" s="4" t="s">
        <v>19</v>
      </c>
      <c r="H1652" s="4" t="s">
        <v>34</v>
      </c>
      <c r="I1652" s="4">
        <v>85</v>
      </c>
      <c r="J1652" s="5">
        <v>50.1</v>
      </c>
      <c r="K1652" s="6">
        <v>1.79</v>
      </c>
      <c r="L1652" s="4">
        <v>1</v>
      </c>
      <c r="M1652" s="4">
        <v>136</v>
      </c>
      <c r="N1652" s="4">
        <v>71</v>
      </c>
      <c r="O1652" s="4" t="s">
        <v>26</v>
      </c>
      <c r="P1652" s="7" t="s">
        <v>19</v>
      </c>
    </row>
    <row r="1653" spans="2:16" x14ac:dyDescent="0.45">
      <c r="B1653" s="4">
        <v>1652</v>
      </c>
      <c r="C1653" s="4" t="s">
        <v>33</v>
      </c>
      <c r="D1653" s="4" t="s">
        <v>16</v>
      </c>
      <c r="E1653" s="4" t="s">
        <v>35</v>
      </c>
      <c r="F1653" s="4" t="s">
        <v>24</v>
      </c>
      <c r="G1653" s="4" t="s">
        <v>19</v>
      </c>
      <c r="H1653" s="4" t="s">
        <v>25</v>
      </c>
      <c r="I1653" s="4">
        <v>90</v>
      </c>
      <c r="J1653" s="5">
        <v>93.6</v>
      </c>
      <c r="K1653" s="6">
        <v>1.49</v>
      </c>
      <c r="L1653" s="4">
        <v>0</v>
      </c>
      <c r="M1653" s="4">
        <v>121</v>
      </c>
      <c r="N1653" s="4">
        <v>71</v>
      </c>
      <c r="O1653" s="4" t="s">
        <v>26</v>
      </c>
      <c r="P1653" s="7" t="s">
        <v>19</v>
      </c>
    </row>
    <row r="1654" spans="2:16" x14ac:dyDescent="0.45">
      <c r="B1654" s="4">
        <v>1653</v>
      </c>
      <c r="C1654" s="4" t="s">
        <v>39</v>
      </c>
      <c r="D1654" s="4" t="s">
        <v>23</v>
      </c>
      <c r="E1654" s="4" t="s">
        <v>17</v>
      </c>
      <c r="F1654" s="4" t="s">
        <v>28</v>
      </c>
      <c r="G1654" s="4" t="s">
        <v>19</v>
      </c>
      <c r="H1654" s="4" t="s">
        <v>20</v>
      </c>
      <c r="I1654" s="4">
        <v>14</v>
      </c>
      <c r="J1654" s="5">
        <v>58.8</v>
      </c>
      <c r="K1654" s="6">
        <v>1.66</v>
      </c>
      <c r="L1654" s="4">
        <v>0</v>
      </c>
      <c r="M1654" s="4">
        <v>110</v>
      </c>
      <c r="N1654" s="4">
        <v>81</v>
      </c>
      <c r="O1654" s="4" t="s">
        <v>26</v>
      </c>
      <c r="P1654" s="7" t="s">
        <v>30</v>
      </c>
    </row>
    <row r="1655" spans="2:16" x14ac:dyDescent="0.45">
      <c r="B1655" s="4">
        <v>1654</v>
      </c>
      <c r="C1655" s="4" t="s">
        <v>33</v>
      </c>
      <c r="D1655" s="4" t="s">
        <v>16</v>
      </c>
      <c r="E1655" s="4" t="s">
        <v>35</v>
      </c>
      <c r="F1655" s="4" t="s">
        <v>24</v>
      </c>
      <c r="G1655" s="4" t="s">
        <v>30</v>
      </c>
      <c r="H1655" s="4" t="s">
        <v>20</v>
      </c>
      <c r="I1655" s="4">
        <v>2</v>
      </c>
      <c r="J1655" s="5">
        <v>12.5</v>
      </c>
      <c r="K1655" s="6">
        <v>0.92</v>
      </c>
      <c r="L1655" s="4">
        <v>2</v>
      </c>
      <c r="M1655" s="4">
        <v>106</v>
      </c>
      <c r="N1655" s="4">
        <v>94</v>
      </c>
      <c r="O1655" s="4" t="s">
        <v>21</v>
      </c>
      <c r="P1655" s="7" t="s">
        <v>19</v>
      </c>
    </row>
    <row r="1656" spans="2:16" x14ac:dyDescent="0.45">
      <c r="B1656" s="4">
        <v>1655</v>
      </c>
      <c r="C1656" s="4" t="s">
        <v>41</v>
      </c>
      <c r="D1656" s="4" t="s">
        <v>16</v>
      </c>
      <c r="E1656" s="4" t="s">
        <v>35</v>
      </c>
      <c r="F1656" s="4" t="s">
        <v>24</v>
      </c>
      <c r="G1656" s="4" t="s">
        <v>19</v>
      </c>
      <c r="H1656" s="4" t="s">
        <v>20</v>
      </c>
      <c r="I1656" s="4">
        <v>58</v>
      </c>
      <c r="J1656" s="5">
        <v>83.5</v>
      </c>
      <c r="K1656" s="6">
        <v>1.69</v>
      </c>
      <c r="L1656" s="4">
        <v>1</v>
      </c>
      <c r="M1656" s="4">
        <v>114</v>
      </c>
      <c r="N1656" s="4">
        <v>77</v>
      </c>
      <c r="O1656" s="4" t="s">
        <v>26</v>
      </c>
      <c r="P1656" s="7" t="s">
        <v>19</v>
      </c>
    </row>
    <row r="1657" spans="2:16" x14ac:dyDescent="0.45">
      <c r="B1657" s="4">
        <v>1656</v>
      </c>
      <c r="C1657" s="4" t="s">
        <v>43</v>
      </c>
      <c r="D1657" s="4" t="s">
        <v>16</v>
      </c>
      <c r="E1657" s="4" t="s">
        <v>35</v>
      </c>
      <c r="F1657" s="4" t="s">
        <v>24</v>
      </c>
      <c r="G1657" s="4" t="s">
        <v>19</v>
      </c>
      <c r="H1657" s="4" t="s">
        <v>28</v>
      </c>
      <c r="I1657" s="4">
        <v>15</v>
      </c>
      <c r="J1657" s="5">
        <v>60.1</v>
      </c>
      <c r="K1657" s="6">
        <v>1.63</v>
      </c>
      <c r="L1657" s="4">
        <v>4</v>
      </c>
      <c r="M1657" s="4">
        <v>107</v>
      </c>
      <c r="N1657" s="4">
        <v>97</v>
      </c>
      <c r="O1657" s="4" t="s">
        <v>26</v>
      </c>
      <c r="P1657" s="7" t="s">
        <v>19</v>
      </c>
    </row>
    <row r="1658" spans="2:16" x14ac:dyDescent="0.45">
      <c r="B1658" s="4">
        <v>1657</v>
      </c>
      <c r="C1658" s="4" t="s">
        <v>27</v>
      </c>
      <c r="D1658" s="4" t="s">
        <v>16</v>
      </c>
      <c r="E1658" s="4" t="s">
        <v>17</v>
      </c>
      <c r="F1658" s="4" t="s">
        <v>42</v>
      </c>
      <c r="G1658" s="4" t="s">
        <v>19</v>
      </c>
      <c r="H1658" s="4" t="s">
        <v>34</v>
      </c>
      <c r="I1658" s="4">
        <v>52</v>
      </c>
      <c r="J1658" s="5">
        <v>62.5</v>
      </c>
      <c r="K1658" s="6">
        <v>1.56</v>
      </c>
      <c r="L1658" s="4">
        <v>3</v>
      </c>
      <c r="M1658" s="4">
        <v>125</v>
      </c>
      <c r="N1658" s="4">
        <v>90</v>
      </c>
      <c r="O1658" s="4" t="s">
        <v>26</v>
      </c>
      <c r="P1658" s="7" t="s">
        <v>19</v>
      </c>
    </row>
    <row r="1659" spans="2:16" x14ac:dyDescent="0.45">
      <c r="B1659" s="4">
        <v>1658</v>
      </c>
      <c r="C1659" s="4" t="s">
        <v>22</v>
      </c>
      <c r="D1659" s="4" t="s">
        <v>16</v>
      </c>
      <c r="E1659" s="4" t="s">
        <v>17</v>
      </c>
      <c r="F1659" s="4" t="s">
        <v>24</v>
      </c>
      <c r="G1659" s="4" t="s">
        <v>19</v>
      </c>
      <c r="H1659" s="4" t="s">
        <v>28</v>
      </c>
      <c r="I1659" s="4">
        <v>29</v>
      </c>
      <c r="J1659" s="5">
        <v>50.1</v>
      </c>
      <c r="K1659" s="6">
        <v>1.89</v>
      </c>
      <c r="L1659" s="4">
        <v>2</v>
      </c>
      <c r="M1659" s="4">
        <v>112</v>
      </c>
      <c r="N1659" s="4">
        <v>71</v>
      </c>
      <c r="O1659" s="4" t="s">
        <v>26</v>
      </c>
      <c r="P1659" s="7" t="s">
        <v>19</v>
      </c>
    </row>
    <row r="1660" spans="2:16" x14ac:dyDescent="0.45">
      <c r="B1660" s="4">
        <v>1659</v>
      </c>
      <c r="C1660" s="4" t="s">
        <v>41</v>
      </c>
      <c r="D1660" s="4" t="s">
        <v>16</v>
      </c>
      <c r="E1660" s="4" t="s">
        <v>35</v>
      </c>
      <c r="F1660" s="4" t="s">
        <v>24</v>
      </c>
      <c r="G1660" s="4" t="s">
        <v>19</v>
      </c>
      <c r="H1660" s="4" t="s">
        <v>34</v>
      </c>
      <c r="I1660" s="4">
        <v>3</v>
      </c>
      <c r="J1660" s="5">
        <v>10.3</v>
      </c>
      <c r="K1660" s="6">
        <v>0.89</v>
      </c>
      <c r="L1660" s="4">
        <v>2</v>
      </c>
      <c r="M1660" s="4">
        <v>92</v>
      </c>
      <c r="N1660" s="4">
        <v>72</v>
      </c>
      <c r="O1660" s="4" t="s">
        <v>21</v>
      </c>
      <c r="P1660" s="7" t="s">
        <v>19</v>
      </c>
    </row>
    <row r="1661" spans="2:16" x14ac:dyDescent="0.45">
      <c r="B1661" s="4">
        <v>1660</v>
      </c>
      <c r="C1661" s="4" t="s">
        <v>33</v>
      </c>
      <c r="D1661" s="4" t="s">
        <v>16</v>
      </c>
      <c r="E1661" s="4" t="s">
        <v>35</v>
      </c>
      <c r="F1661" s="4" t="s">
        <v>24</v>
      </c>
      <c r="G1661" s="4" t="s">
        <v>30</v>
      </c>
      <c r="H1661" s="4" t="s">
        <v>20</v>
      </c>
      <c r="I1661" s="4">
        <v>30</v>
      </c>
      <c r="J1661" s="5">
        <v>58.4</v>
      </c>
      <c r="K1661" s="6">
        <v>1.49</v>
      </c>
      <c r="L1661" s="4">
        <v>4</v>
      </c>
      <c r="M1661" s="4">
        <v>127</v>
      </c>
      <c r="N1661" s="4">
        <v>96</v>
      </c>
      <c r="O1661" s="4" t="s">
        <v>21</v>
      </c>
      <c r="P1661" s="7" t="s">
        <v>30</v>
      </c>
    </row>
    <row r="1662" spans="2:16" x14ac:dyDescent="0.45">
      <c r="B1662" s="4">
        <v>1661</v>
      </c>
      <c r="C1662" s="4" t="s">
        <v>45</v>
      </c>
      <c r="D1662" s="4" t="s">
        <v>16</v>
      </c>
      <c r="E1662" s="4" t="s">
        <v>17</v>
      </c>
      <c r="F1662" s="4" t="s">
        <v>28</v>
      </c>
      <c r="G1662" s="4" t="s">
        <v>30</v>
      </c>
      <c r="H1662" s="4" t="s">
        <v>20</v>
      </c>
      <c r="I1662" s="4">
        <v>35</v>
      </c>
      <c r="J1662" s="5">
        <v>51.6</v>
      </c>
      <c r="K1662" s="6">
        <v>1.61</v>
      </c>
      <c r="L1662" s="4">
        <v>2</v>
      </c>
      <c r="M1662" s="4">
        <v>112</v>
      </c>
      <c r="N1662" s="4">
        <v>88</v>
      </c>
      <c r="O1662" s="4" t="s">
        <v>26</v>
      </c>
      <c r="P1662" s="7" t="s">
        <v>19</v>
      </c>
    </row>
    <row r="1663" spans="2:16" x14ac:dyDescent="0.45">
      <c r="B1663" s="4">
        <v>1662</v>
      </c>
      <c r="C1663" s="4" t="s">
        <v>22</v>
      </c>
      <c r="D1663" s="4" t="s">
        <v>16</v>
      </c>
      <c r="E1663" s="4" t="s">
        <v>17</v>
      </c>
      <c r="F1663" s="4" t="s">
        <v>24</v>
      </c>
      <c r="G1663" s="4" t="s">
        <v>19</v>
      </c>
      <c r="H1663" s="4" t="s">
        <v>36</v>
      </c>
      <c r="I1663" s="4">
        <v>5</v>
      </c>
      <c r="J1663" s="5">
        <v>18.3</v>
      </c>
      <c r="K1663" s="6">
        <v>1.07</v>
      </c>
      <c r="L1663" s="4">
        <v>0</v>
      </c>
      <c r="M1663" s="4">
        <v>133</v>
      </c>
      <c r="N1663" s="4">
        <v>93</v>
      </c>
      <c r="O1663" s="4" t="s">
        <v>26</v>
      </c>
      <c r="P1663" s="7" t="s">
        <v>19</v>
      </c>
    </row>
    <row r="1664" spans="2:16" x14ac:dyDescent="0.45">
      <c r="B1664" s="4">
        <v>1663</v>
      </c>
      <c r="C1664" s="4" t="s">
        <v>43</v>
      </c>
      <c r="D1664" s="4" t="s">
        <v>23</v>
      </c>
      <c r="E1664" s="4" t="s">
        <v>17</v>
      </c>
      <c r="F1664" s="4" t="s">
        <v>24</v>
      </c>
      <c r="G1664" s="4" t="s">
        <v>19</v>
      </c>
      <c r="H1664" s="4" t="s">
        <v>25</v>
      </c>
      <c r="I1664" s="4">
        <v>5</v>
      </c>
      <c r="J1664" s="5">
        <v>20</v>
      </c>
      <c r="K1664" s="6">
        <v>1.33</v>
      </c>
      <c r="L1664" s="4">
        <v>7</v>
      </c>
      <c r="M1664" s="4">
        <v>96</v>
      </c>
      <c r="N1664" s="4">
        <v>104</v>
      </c>
      <c r="O1664" s="4" t="s">
        <v>21</v>
      </c>
      <c r="P1664" s="7" t="s">
        <v>19</v>
      </c>
    </row>
    <row r="1665" spans="2:16" x14ac:dyDescent="0.45">
      <c r="B1665" s="4">
        <v>1664</v>
      </c>
      <c r="C1665" s="4" t="s">
        <v>31</v>
      </c>
      <c r="D1665" s="4" t="s">
        <v>23</v>
      </c>
      <c r="E1665" s="4" t="s">
        <v>35</v>
      </c>
      <c r="F1665" s="4" t="s">
        <v>18</v>
      </c>
      <c r="G1665" s="4" t="s">
        <v>30</v>
      </c>
      <c r="H1665" s="4" t="s">
        <v>36</v>
      </c>
      <c r="I1665" s="4">
        <v>60</v>
      </c>
      <c r="J1665" s="5">
        <v>64.5</v>
      </c>
      <c r="K1665" s="6">
        <v>1.64</v>
      </c>
      <c r="L1665" s="4">
        <v>4</v>
      </c>
      <c r="M1665" s="4">
        <v>152</v>
      </c>
      <c r="N1665" s="4">
        <v>82</v>
      </c>
      <c r="O1665" s="4" t="s">
        <v>26</v>
      </c>
      <c r="P1665" s="7" t="s">
        <v>19</v>
      </c>
    </row>
    <row r="1666" spans="2:16" x14ac:dyDescent="0.45">
      <c r="B1666" s="4">
        <v>1665</v>
      </c>
      <c r="C1666" s="4" t="s">
        <v>15</v>
      </c>
      <c r="D1666" s="4" t="s">
        <v>23</v>
      </c>
      <c r="E1666" s="4" t="s">
        <v>44</v>
      </c>
      <c r="F1666" s="4" t="s">
        <v>28</v>
      </c>
      <c r="G1666" s="4" t="s">
        <v>19</v>
      </c>
      <c r="H1666" s="4" t="s">
        <v>28</v>
      </c>
      <c r="I1666" s="4">
        <v>8</v>
      </c>
      <c r="J1666" s="5">
        <v>32.6</v>
      </c>
      <c r="K1666" s="6">
        <v>1.31</v>
      </c>
      <c r="L1666" s="4">
        <v>2</v>
      </c>
      <c r="M1666" s="4">
        <v>114</v>
      </c>
      <c r="N1666" s="4">
        <v>77</v>
      </c>
      <c r="O1666" s="4" t="s">
        <v>21</v>
      </c>
      <c r="P1666" s="7" t="s">
        <v>30</v>
      </c>
    </row>
    <row r="1667" spans="2:16" x14ac:dyDescent="0.45">
      <c r="B1667" s="4">
        <v>1666</v>
      </c>
      <c r="C1667" s="4" t="s">
        <v>45</v>
      </c>
      <c r="D1667" s="4" t="s">
        <v>23</v>
      </c>
      <c r="E1667" s="4" t="s">
        <v>17</v>
      </c>
      <c r="F1667" s="4" t="s">
        <v>18</v>
      </c>
      <c r="G1667" s="4" t="s">
        <v>30</v>
      </c>
      <c r="H1667" s="4" t="s">
        <v>20</v>
      </c>
      <c r="I1667" s="4">
        <v>4</v>
      </c>
      <c r="J1667" s="5">
        <v>11.3</v>
      </c>
      <c r="K1667" s="6">
        <v>0.72</v>
      </c>
      <c r="L1667" s="4">
        <v>5</v>
      </c>
      <c r="M1667" s="4">
        <v>109</v>
      </c>
      <c r="N1667" s="4">
        <v>78</v>
      </c>
      <c r="O1667" s="4" t="s">
        <v>21</v>
      </c>
      <c r="P1667" s="7" t="s">
        <v>19</v>
      </c>
    </row>
    <row r="1668" spans="2:16" x14ac:dyDescent="0.45">
      <c r="B1668" s="4">
        <v>1667</v>
      </c>
      <c r="C1668" s="4" t="s">
        <v>41</v>
      </c>
      <c r="D1668" s="4" t="s">
        <v>23</v>
      </c>
      <c r="E1668" s="4" t="s">
        <v>35</v>
      </c>
      <c r="F1668" s="4" t="s">
        <v>24</v>
      </c>
      <c r="G1668" s="4" t="s">
        <v>19</v>
      </c>
      <c r="H1668" s="4" t="s">
        <v>36</v>
      </c>
      <c r="I1668" s="4">
        <v>62</v>
      </c>
      <c r="J1668" s="5">
        <v>60.3</v>
      </c>
      <c r="K1668" s="6">
        <v>1.66</v>
      </c>
      <c r="L1668" s="4">
        <v>3</v>
      </c>
      <c r="M1668" s="4">
        <v>139</v>
      </c>
      <c r="N1668" s="4">
        <v>94</v>
      </c>
      <c r="O1668" s="4" t="s">
        <v>21</v>
      </c>
      <c r="P1668" s="7" t="s">
        <v>19</v>
      </c>
    </row>
    <row r="1669" spans="2:16" x14ac:dyDescent="0.45">
      <c r="B1669" s="4">
        <v>1668</v>
      </c>
      <c r="C1669" s="4" t="s">
        <v>41</v>
      </c>
      <c r="D1669" s="4" t="s">
        <v>23</v>
      </c>
      <c r="E1669" s="4" t="s">
        <v>17</v>
      </c>
      <c r="F1669" s="4" t="s">
        <v>24</v>
      </c>
      <c r="G1669" s="4" t="s">
        <v>19</v>
      </c>
      <c r="H1669" s="4" t="s">
        <v>20</v>
      </c>
      <c r="I1669" s="4">
        <v>8</v>
      </c>
      <c r="J1669" s="5">
        <v>20.3</v>
      </c>
      <c r="K1669" s="6">
        <v>1.28</v>
      </c>
      <c r="L1669" s="4">
        <v>3</v>
      </c>
      <c r="M1669" s="4">
        <v>103</v>
      </c>
      <c r="N1669" s="4">
        <v>95</v>
      </c>
      <c r="O1669" s="4" t="s">
        <v>26</v>
      </c>
      <c r="P1669" s="7" t="s">
        <v>19</v>
      </c>
    </row>
    <row r="1670" spans="2:16" x14ac:dyDescent="0.45">
      <c r="B1670" s="4">
        <v>1669</v>
      </c>
      <c r="C1670" s="4" t="s">
        <v>27</v>
      </c>
      <c r="D1670" s="4" t="s">
        <v>16</v>
      </c>
      <c r="E1670" s="4" t="s">
        <v>17</v>
      </c>
      <c r="F1670" s="4" t="s">
        <v>18</v>
      </c>
      <c r="G1670" s="4" t="s">
        <v>19</v>
      </c>
      <c r="H1670" s="4" t="s">
        <v>36</v>
      </c>
      <c r="I1670" s="4">
        <v>22</v>
      </c>
      <c r="J1670" s="5">
        <v>86.9</v>
      </c>
      <c r="K1670" s="6">
        <v>1.55</v>
      </c>
      <c r="L1670" s="4">
        <v>8</v>
      </c>
      <c r="M1670" s="4">
        <v>138</v>
      </c>
      <c r="N1670" s="4">
        <v>83</v>
      </c>
      <c r="O1670" s="4" t="s">
        <v>26</v>
      </c>
      <c r="P1670" s="7" t="s">
        <v>19</v>
      </c>
    </row>
    <row r="1671" spans="2:16" x14ac:dyDescent="0.45">
      <c r="B1671" s="4">
        <v>1670</v>
      </c>
      <c r="C1671" s="4" t="s">
        <v>41</v>
      </c>
      <c r="D1671" s="4" t="s">
        <v>16</v>
      </c>
      <c r="E1671" s="4" t="s">
        <v>35</v>
      </c>
      <c r="F1671" s="4" t="s">
        <v>24</v>
      </c>
      <c r="G1671" s="4" t="s">
        <v>19</v>
      </c>
      <c r="H1671" s="4" t="s">
        <v>25</v>
      </c>
      <c r="I1671" s="4">
        <v>37</v>
      </c>
      <c r="J1671" s="5">
        <v>85.6</v>
      </c>
      <c r="K1671" s="6">
        <v>1.53</v>
      </c>
      <c r="L1671" s="4">
        <v>7</v>
      </c>
      <c r="M1671" s="4">
        <v>117</v>
      </c>
      <c r="N1671" s="4">
        <v>100</v>
      </c>
      <c r="O1671" s="4" t="s">
        <v>26</v>
      </c>
      <c r="P1671" s="7" t="s">
        <v>19</v>
      </c>
    </row>
    <row r="1672" spans="2:16" x14ac:dyDescent="0.45">
      <c r="B1672" s="4">
        <v>1671</v>
      </c>
      <c r="C1672" s="4" t="s">
        <v>43</v>
      </c>
      <c r="D1672" s="4" t="s">
        <v>23</v>
      </c>
      <c r="E1672" s="4" t="s">
        <v>17</v>
      </c>
      <c r="F1672" s="4" t="s">
        <v>28</v>
      </c>
      <c r="G1672" s="4" t="s">
        <v>19</v>
      </c>
      <c r="H1672" s="4" t="s">
        <v>25</v>
      </c>
      <c r="I1672" s="4">
        <v>4</v>
      </c>
      <c r="J1672" s="5">
        <v>11.4</v>
      </c>
      <c r="K1672" s="6">
        <v>0.63</v>
      </c>
      <c r="L1672" s="4">
        <v>0</v>
      </c>
      <c r="M1672" s="4">
        <v>115</v>
      </c>
      <c r="N1672" s="4">
        <v>103</v>
      </c>
      <c r="O1672" s="4" t="s">
        <v>26</v>
      </c>
      <c r="P1672" s="7" t="s">
        <v>19</v>
      </c>
    </row>
    <row r="1673" spans="2:16" x14ac:dyDescent="0.45">
      <c r="B1673" s="4">
        <v>1672</v>
      </c>
      <c r="C1673" s="4" t="s">
        <v>27</v>
      </c>
      <c r="D1673" s="4" t="s">
        <v>23</v>
      </c>
      <c r="E1673" s="4" t="s">
        <v>35</v>
      </c>
      <c r="F1673" s="4" t="s">
        <v>24</v>
      </c>
      <c r="G1673" s="4" t="s">
        <v>19</v>
      </c>
      <c r="H1673" s="4" t="s">
        <v>28</v>
      </c>
      <c r="I1673" s="4">
        <v>3</v>
      </c>
      <c r="J1673" s="5">
        <v>9</v>
      </c>
      <c r="K1673" s="6">
        <v>0.75</v>
      </c>
      <c r="L1673" s="4">
        <v>8</v>
      </c>
      <c r="M1673" s="4">
        <v>106</v>
      </c>
      <c r="N1673" s="4">
        <v>94</v>
      </c>
      <c r="O1673" s="4" t="s">
        <v>26</v>
      </c>
      <c r="P1673" s="7" t="s">
        <v>19</v>
      </c>
    </row>
    <row r="1674" spans="2:16" x14ac:dyDescent="0.45">
      <c r="B1674" s="4">
        <v>1673</v>
      </c>
      <c r="C1674" s="4" t="s">
        <v>40</v>
      </c>
      <c r="D1674" s="4" t="s">
        <v>16</v>
      </c>
      <c r="E1674" s="4" t="s">
        <v>37</v>
      </c>
      <c r="F1674" s="4" t="s">
        <v>18</v>
      </c>
      <c r="G1674" s="4" t="s">
        <v>19</v>
      </c>
      <c r="H1674" s="4" t="s">
        <v>20</v>
      </c>
      <c r="I1674" s="4">
        <v>1</v>
      </c>
      <c r="J1674" s="5">
        <v>15.8</v>
      </c>
      <c r="K1674" s="6">
        <v>0.78</v>
      </c>
      <c r="L1674" s="4">
        <v>1</v>
      </c>
      <c r="M1674" s="4">
        <v>111</v>
      </c>
      <c r="N1674" s="4">
        <v>78</v>
      </c>
      <c r="O1674" s="4" t="s">
        <v>26</v>
      </c>
      <c r="P1674" s="7" t="s">
        <v>19</v>
      </c>
    </row>
    <row r="1675" spans="2:16" x14ac:dyDescent="0.45">
      <c r="B1675" s="4">
        <v>1674</v>
      </c>
      <c r="C1675" s="4" t="s">
        <v>15</v>
      </c>
      <c r="D1675" s="4" t="s">
        <v>16</v>
      </c>
      <c r="E1675" s="4" t="s">
        <v>37</v>
      </c>
      <c r="F1675" s="4" t="s">
        <v>18</v>
      </c>
      <c r="G1675" s="4" t="s">
        <v>19</v>
      </c>
      <c r="H1675" s="4" t="s">
        <v>36</v>
      </c>
      <c r="I1675" s="4">
        <v>33</v>
      </c>
      <c r="J1675" s="5">
        <v>88.2</v>
      </c>
      <c r="K1675" s="6">
        <v>1.66</v>
      </c>
      <c r="L1675" s="4">
        <v>7</v>
      </c>
      <c r="M1675" s="4">
        <v>127</v>
      </c>
      <c r="N1675" s="4">
        <v>88</v>
      </c>
      <c r="O1675" s="4" t="s">
        <v>26</v>
      </c>
      <c r="P1675" s="7" t="s">
        <v>19</v>
      </c>
    </row>
    <row r="1676" spans="2:16" x14ac:dyDescent="0.45">
      <c r="B1676" s="4">
        <v>1675</v>
      </c>
      <c r="C1676" s="4" t="s">
        <v>43</v>
      </c>
      <c r="D1676" s="4" t="s">
        <v>23</v>
      </c>
      <c r="E1676" s="4" t="s">
        <v>17</v>
      </c>
      <c r="F1676" s="4" t="s">
        <v>24</v>
      </c>
      <c r="G1676" s="4" t="s">
        <v>19</v>
      </c>
      <c r="H1676" s="4" t="s">
        <v>20</v>
      </c>
      <c r="I1676" s="4">
        <v>35</v>
      </c>
      <c r="J1676" s="5">
        <v>93.7</v>
      </c>
      <c r="K1676" s="6">
        <v>1.5</v>
      </c>
      <c r="L1676" s="4">
        <v>8</v>
      </c>
      <c r="M1676" s="4">
        <v>107</v>
      </c>
      <c r="N1676" s="4">
        <v>77</v>
      </c>
      <c r="O1676" s="4" t="s">
        <v>21</v>
      </c>
      <c r="P1676" s="7" t="s">
        <v>19</v>
      </c>
    </row>
    <row r="1677" spans="2:16" x14ac:dyDescent="0.45">
      <c r="B1677" s="4">
        <v>1676</v>
      </c>
      <c r="C1677" s="4" t="s">
        <v>27</v>
      </c>
      <c r="D1677" s="4" t="s">
        <v>23</v>
      </c>
      <c r="E1677" s="4" t="s">
        <v>17</v>
      </c>
      <c r="F1677" s="4" t="s">
        <v>24</v>
      </c>
      <c r="G1677" s="4" t="s">
        <v>19</v>
      </c>
      <c r="H1677" s="4" t="s">
        <v>38</v>
      </c>
      <c r="I1677" s="4">
        <v>16</v>
      </c>
      <c r="J1677" s="5">
        <v>54.1</v>
      </c>
      <c r="K1677" s="6">
        <v>1.46</v>
      </c>
      <c r="L1677" s="4">
        <v>1</v>
      </c>
      <c r="M1677" s="4">
        <v>106</v>
      </c>
      <c r="N1677" s="4">
        <v>89</v>
      </c>
      <c r="O1677" s="4" t="s">
        <v>21</v>
      </c>
      <c r="P1677" s="7" t="s">
        <v>19</v>
      </c>
    </row>
    <row r="1678" spans="2:16" x14ac:dyDescent="0.45">
      <c r="B1678" s="4">
        <v>1677</v>
      </c>
      <c r="C1678" s="4" t="s">
        <v>41</v>
      </c>
      <c r="D1678" s="4" t="s">
        <v>23</v>
      </c>
      <c r="E1678" s="4" t="s">
        <v>44</v>
      </c>
      <c r="F1678" s="4" t="s">
        <v>18</v>
      </c>
      <c r="G1678" s="4" t="s">
        <v>19</v>
      </c>
      <c r="H1678" s="4" t="s">
        <v>34</v>
      </c>
      <c r="I1678" s="4">
        <v>8</v>
      </c>
      <c r="J1678" s="5">
        <v>30.7</v>
      </c>
      <c r="K1678" s="6">
        <v>1.35</v>
      </c>
      <c r="L1678" s="4">
        <v>5</v>
      </c>
      <c r="M1678" s="4">
        <v>105</v>
      </c>
      <c r="N1678" s="4">
        <v>99</v>
      </c>
      <c r="O1678" s="4" t="s">
        <v>26</v>
      </c>
      <c r="P1678" s="7" t="s">
        <v>19</v>
      </c>
    </row>
    <row r="1679" spans="2:16" x14ac:dyDescent="0.45">
      <c r="B1679" s="4">
        <v>1678</v>
      </c>
      <c r="C1679" s="4" t="s">
        <v>41</v>
      </c>
      <c r="D1679" s="4" t="s">
        <v>23</v>
      </c>
      <c r="E1679" s="4" t="s">
        <v>17</v>
      </c>
      <c r="F1679" s="4" t="s">
        <v>28</v>
      </c>
      <c r="G1679" s="4" t="s">
        <v>19</v>
      </c>
      <c r="H1679" s="4" t="s">
        <v>20</v>
      </c>
      <c r="I1679" s="4">
        <v>29</v>
      </c>
      <c r="J1679" s="5">
        <v>54.7</v>
      </c>
      <c r="K1679" s="6">
        <v>1.79</v>
      </c>
      <c r="L1679" s="4">
        <v>1</v>
      </c>
      <c r="M1679" s="4">
        <v>105</v>
      </c>
      <c r="N1679" s="4">
        <v>103</v>
      </c>
      <c r="O1679" s="4" t="s">
        <v>26</v>
      </c>
      <c r="P1679" s="7" t="s">
        <v>19</v>
      </c>
    </row>
    <row r="1680" spans="2:16" x14ac:dyDescent="0.45">
      <c r="B1680" s="4">
        <v>1679</v>
      </c>
      <c r="C1680" s="4" t="s">
        <v>27</v>
      </c>
      <c r="D1680" s="4" t="s">
        <v>23</v>
      </c>
      <c r="E1680" s="4" t="s">
        <v>37</v>
      </c>
      <c r="F1680" s="4" t="s">
        <v>24</v>
      </c>
      <c r="G1680" s="4" t="s">
        <v>19</v>
      </c>
      <c r="H1680" s="4" t="s">
        <v>32</v>
      </c>
      <c r="I1680" s="4">
        <v>41</v>
      </c>
      <c r="J1680" s="5">
        <v>89.4</v>
      </c>
      <c r="K1680" s="6">
        <v>1.49</v>
      </c>
      <c r="L1680" s="4">
        <v>8</v>
      </c>
      <c r="M1680" s="4">
        <v>110</v>
      </c>
      <c r="N1680" s="4">
        <v>149</v>
      </c>
      <c r="O1680" s="4" t="s">
        <v>21</v>
      </c>
      <c r="P1680" s="7" t="s">
        <v>19</v>
      </c>
    </row>
    <row r="1681" spans="2:16" x14ac:dyDescent="0.45">
      <c r="B1681" s="4">
        <v>1680</v>
      </c>
      <c r="C1681" s="4" t="s">
        <v>27</v>
      </c>
      <c r="D1681" s="4" t="s">
        <v>23</v>
      </c>
      <c r="E1681" s="4" t="s">
        <v>17</v>
      </c>
      <c r="F1681" s="4" t="s">
        <v>28</v>
      </c>
      <c r="G1681" s="4" t="s">
        <v>19</v>
      </c>
      <c r="H1681" s="4" t="s">
        <v>25</v>
      </c>
      <c r="I1681" s="4">
        <v>31</v>
      </c>
      <c r="J1681" s="5">
        <v>84.4</v>
      </c>
      <c r="K1681" s="6">
        <v>1.67</v>
      </c>
      <c r="L1681" s="4">
        <v>6</v>
      </c>
      <c r="M1681" s="4">
        <v>132</v>
      </c>
      <c r="N1681" s="4">
        <v>98</v>
      </c>
      <c r="O1681" s="4" t="s">
        <v>21</v>
      </c>
      <c r="P1681" s="7" t="s">
        <v>30</v>
      </c>
    </row>
    <row r="1682" spans="2:16" x14ac:dyDescent="0.45">
      <c r="B1682" s="4">
        <v>1681</v>
      </c>
      <c r="C1682" s="4" t="s">
        <v>33</v>
      </c>
      <c r="D1682" s="4" t="s">
        <v>16</v>
      </c>
      <c r="E1682" s="4" t="s">
        <v>35</v>
      </c>
      <c r="F1682" s="4" t="s">
        <v>28</v>
      </c>
      <c r="G1682" s="4" t="s">
        <v>19</v>
      </c>
      <c r="H1682" s="4" t="s">
        <v>34</v>
      </c>
      <c r="I1682" s="4">
        <v>12</v>
      </c>
      <c r="J1682" s="5">
        <v>42.5</v>
      </c>
      <c r="K1682" s="6">
        <v>1.71</v>
      </c>
      <c r="L1682" s="4">
        <v>5</v>
      </c>
      <c r="M1682" s="4">
        <v>113</v>
      </c>
      <c r="N1682" s="4">
        <v>87</v>
      </c>
      <c r="O1682" s="4" t="s">
        <v>21</v>
      </c>
      <c r="P1682" s="7" t="s">
        <v>19</v>
      </c>
    </row>
    <row r="1683" spans="2:16" x14ac:dyDescent="0.45">
      <c r="B1683" s="4">
        <v>1682</v>
      </c>
      <c r="C1683" s="4" t="s">
        <v>39</v>
      </c>
      <c r="D1683" s="4" t="s">
        <v>16</v>
      </c>
      <c r="E1683" s="4" t="s">
        <v>17</v>
      </c>
      <c r="F1683" s="4" t="s">
        <v>18</v>
      </c>
      <c r="G1683" s="4" t="s">
        <v>19</v>
      </c>
      <c r="H1683" s="4" t="s">
        <v>20</v>
      </c>
      <c r="I1683" s="4">
        <v>34</v>
      </c>
      <c r="J1683" s="5">
        <v>51.3</v>
      </c>
      <c r="K1683" s="6">
        <v>1.65</v>
      </c>
      <c r="L1683" s="4">
        <v>3</v>
      </c>
      <c r="M1683" s="4">
        <v>107</v>
      </c>
      <c r="N1683" s="4">
        <v>82</v>
      </c>
      <c r="O1683" s="4" t="s">
        <v>26</v>
      </c>
      <c r="P1683" s="7" t="s">
        <v>19</v>
      </c>
    </row>
    <row r="1684" spans="2:16" x14ac:dyDescent="0.45">
      <c r="B1684" s="4">
        <v>1683</v>
      </c>
      <c r="C1684" s="4" t="s">
        <v>33</v>
      </c>
      <c r="D1684" s="4" t="s">
        <v>16</v>
      </c>
      <c r="E1684" s="4" t="s">
        <v>35</v>
      </c>
      <c r="F1684" s="4" t="s">
        <v>24</v>
      </c>
      <c r="G1684" s="4" t="s">
        <v>19</v>
      </c>
      <c r="H1684" s="4" t="s">
        <v>28</v>
      </c>
      <c r="I1684" s="4">
        <v>27</v>
      </c>
      <c r="J1684" s="5">
        <v>76.7</v>
      </c>
      <c r="K1684" s="6">
        <v>1.55</v>
      </c>
      <c r="L1684" s="4">
        <v>3</v>
      </c>
      <c r="M1684" s="4">
        <v>110</v>
      </c>
      <c r="N1684" s="4">
        <v>90</v>
      </c>
      <c r="O1684" s="4" t="s">
        <v>21</v>
      </c>
      <c r="P1684" s="7" t="s">
        <v>19</v>
      </c>
    </row>
    <row r="1685" spans="2:16" x14ac:dyDescent="0.45">
      <c r="B1685" s="4">
        <v>1684</v>
      </c>
      <c r="C1685" s="4" t="s">
        <v>27</v>
      </c>
      <c r="D1685" s="4" t="s">
        <v>16</v>
      </c>
      <c r="E1685" s="4" t="s">
        <v>44</v>
      </c>
      <c r="F1685" s="4" t="s">
        <v>28</v>
      </c>
      <c r="G1685" s="4" t="s">
        <v>19</v>
      </c>
      <c r="H1685" s="4" t="s">
        <v>36</v>
      </c>
      <c r="I1685" s="4">
        <v>18</v>
      </c>
      <c r="J1685" s="5">
        <v>62.5</v>
      </c>
      <c r="K1685" s="6">
        <v>1.64</v>
      </c>
      <c r="L1685" s="4">
        <v>5</v>
      </c>
      <c r="M1685" s="4">
        <v>137</v>
      </c>
      <c r="N1685" s="4">
        <v>88</v>
      </c>
      <c r="O1685" s="4" t="s">
        <v>21</v>
      </c>
      <c r="P1685" s="7" t="s">
        <v>19</v>
      </c>
    </row>
    <row r="1686" spans="2:16" x14ac:dyDescent="0.45">
      <c r="B1686" s="4">
        <v>1685</v>
      </c>
      <c r="C1686" s="4" t="s">
        <v>45</v>
      </c>
      <c r="D1686" s="4" t="s">
        <v>23</v>
      </c>
      <c r="E1686" s="4" t="s">
        <v>37</v>
      </c>
      <c r="F1686" s="4" t="s">
        <v>28</v>
      </c>
      <c r="G1686" s="4" t="s">
        <v>19</v>
      </c>
      <c r="H1686" s="4" t="s">
        <v>36</v>
      </c>
      <c r="I1686" s="4">
        <v>27</v>
      </c>
      <c r="J1686" s="5">
        <v>93.5</v>
      </c>
      <c r="K1686" s="6">
        <v>1.86</v>
      </c>
      <c r="L1686" s="4">
        <v>1</v>
      </c>
      <c r="M1686" s="4">
        <v>147</v>
      </c>
      <c r="N1686" s="4">
        <v>85</v>
      </c>
      <c r="O1686" s="4" t="s">
        <v>26</v>
      </c>
      <c r="P1686" s="7" t="s">
        <v>19</v>
      </c>
    </row>
    <row r="1687" spans="2:16" x14ac:dyDescent="0.45">
      <c r="B1687" s="4">
        <v>1686</v>
      </c>
      <c r="C1687" s="4" t="s">
        <v>31</v>
      </c>
      <c r="D1687" s="4" t="s">
        <v>16</v>
      </c>
      <c r="E1687" s="4" t="s">
        <v>37</v>
      </c>
      <c r="F1687" s="4" t="s">
        <v>18</v>
      </c>
      <c r="G1687" s="4" t="s">
        <v>19</v>
      </c>
      <c r="H1687" s="4" t="s">
        <v>34</v>
      </c>
      <c r="I1687" s="4">
        <v>2</v>
      </c>
      <c r="J1687" s="5">
        <v>12.5</v>
      </c>
      <c r="K1687" s="6">
        <v>0.9</v>
      </c>
      <c r="L1687" s="4">
        <v>1</v>
      </c>
      <c r="M1687" s="4">
        <v>104</v>
      </c>
      <c r="N1687" s="4">
        <v>89</v>
      </c>
      <c r="O1687" s="4" t="s">
        <v>21</v>
      </c>
      <c r="P1687" s="7" t="s">
        <v>19</v>
      </c>
    </row>
    <row r="1688" spans="2:16" x14ac:dyDescent="0.45">
      <c r="B1688" s="4">
        <v>1687</v>
      </c>
      <c r="C1688" s="4" t="s">
        <v>22</v>
      </c>
      <c r="D1688" s="4" t="s">
        <v>16</v>
      </c>
      <c r="E1688" s="4" t="s">
        <v>17</v>
      </c>
      <c r="F1688" s="4" t="s">
        <v>18</v>
      </c>
      <c r="G1688" s="4" t="s">
        <v>30</v>
      </c>
      <c r="H1688" s="4" t="s">
        <v>28</v>
      </c>
      <c r="I1688" s="4">
        <v>18</v>
      </c>
      <c r="J1688" s="5">
        <v>47</v>
      </c>
      <c r="K1688" s="6">
        <v>1.52</v>
      </c>
      <c r="L1688" s="4">
        <v>0</v>
      </c>
      <c r="M1688" s="4">
        <v>96</v>
      </c>
      <c r="N1688" s="4">
        <v>91</v>
      </c>
      <c r="O1688" s="4" t="s">
        <v>21</v>
      </c>
      <c r="P1688" s="7" t="s">
        <v>19</v>
      </c>
    </row>
    <row r="1689" spans="2:16" x14ac:dyDescent="0.45">
      <c r="B1689" s="4">
        <v>1688</v>
      </c>
      <c r="C1689" s="4" t="s">
        <v>27</v>
      </c>
      <c r="D1689" s="4" t="s">
        <v>23</v>
      </c>
      <c r="E1689" s="4" t="s">
        <v>17</v>
      </c>
      <c r="F1689" s="4" t="s">
        <v>24</v>
      </c>
      <c r="G1689" s="4" t="s">
        <v>19</v>
      </c>
      <c r="H1689" s="4" t="s">
        <v>20</v>
      </c>
      <c r="I1689" s="4">
        <v>28</v>
      </c>
      <c r="J1689" s="5">
        <v>49.4</v>
      </c>
      <c r="K1689" s="6">
        <v>1.58</v>
      </c>
      <c r="L1689" s="4">
        <v>1</v>
      </c>
      <c r="M1689" s="4">
        <v>109</v>
      </c>
      <c r="N1689" s="4">
        <v>91</v>
      </c>
      <c r="O1689" s="4" t="s">
        <v>26</v>
      </c>
      <c r="P1689" s="7" t="s">
        <v>19</v>
      </c>
    </row>
    <row r="1690" spans="2:16" x14ac:dyDescent="0.45">
      <c r="B1690" s="4">
        <v>1689</v>
      </c>
      <c r="C1690" s="4" t="s">
        <v>22</v>
      </c>
      <c r="D1690" s="4" t="s">
        <v>23</v>
      </c>
      <c r="E1690" s="4" t="s">
        <v>35</v>
      </c>
      <c r="F1690" s="4" t="s">
        <v>42</v>
      </c>
      <c r="G1690" s="4" t="s">
        <v>30</v>
      </c>
      <c r="H1690" s="4" t="s">
        <v>46</v>
      </c>
      <c r="I1690" s="4">
        <v>17</v>
      </c>
      <c r="J1690" s="5">
        <v>63.4</v>
      </c>
      <c r="K1690" s="6">
        <v>1.66</v>
      </c>
      <c r="L1690" s="4">
        <v>3</v>
      </c>
      <c r="M1690" s="4">
        <v>106</v>
      </c>
      <c r="N1690" s="4">
        <v>87</v>
      </c>
      <c r="O1690" s="4" t="s">
        <v>21</v>
      </c>
      <c r="P1690" s="7" t="s">
        <v>19</v>
      </c>
    </row>
    <row r="1691" spans="2:16" x14ac:dyDescent="0.45">
      <c r="B1691" s="4">
        <v>1690</v>
      </c>
      <c r="C1691" s="4" t="s">
        <v>22</v>
      </c>
      <c r="D1691" s="4" t="s">
        <v>16</v>
      </c>
      <c r="E1691" s="4" t="s">
        <v>35</v>
      </c>
      <c r="F1691" s="4" t="s">
        <v>24</v>
      </c>
      <c r="G1691" s="4" t="s">
        <v>30</v>
      </c>
      <c r="H1691" s="4" t="s">
        <v>28</v>
      </c>
      <c r="I1691" s="4">
        <v>10</v>
      </c>
      <c r="J1691" s="5">
        <v>21.6</v>
      </c>
      <c r="K1691" s="6">
        <v>1.35</v>
      </c>
      <c r="L1691" s="4">
        <v>3</v>
      </c>
      <c r="M1691" s="4">
        <v>108</v>
      </c>
      <c r="N1691" s="4">
        <v>98</v>
      </c>
      <c r="O1691" s="4" t="s">
        <v>26</v>
      </c>
      <c r="P1691" s="7" t="s">
        <v>30</v>
      </c>
    </row>
    <row r="1692" spans="2:16" x14ac:dyDescent="0.45">
      <c r="B1692" s="4">
        <v>1691</v>
      </c>
      <c r="C1692" s="4" t="s">
        <v>45</v>
      </c>
      <c r="D1692" s="4" t="s">
        <v>16</v>
      </c>
      <c r="E1692" s="4" t="s">
        <v>17</v>
      </c>
      <c r="F1692" s="4" t="s">
        <v>24</v>
      </c>
      <c r="G1692" s="4" t="s">
        <v>19</v>
      </c>
      <c r="H1692" s="4" t="s">
        <v>28</v>
      </c>
      <c r="I1692" s="4">
        <v>1</v>
      </c>
      <c r="J1692" s="5">
        <v>14.6</v>
      </c>
      <c r="K1692" s="6">
        <v>0.96</v>
      </c>
      <c r="L1692" s="4">
        <v>0</v>
      </c>
      <c r="M1692" s="4">
        <v>102</v>
      </c>
      <c r="N1692" s="4">
        <v>100</v>
      </c>
      <c r="O1692" s="4" t="s">
        <v>26</v>
      </c>
      <c r="P1692" s="7" t="s">
        <v>19</v>
      </c>
    </row>
    <row r="1693" spans="2:16" x14ac:dyDescent="0.45">
      <c r="B1693" s="4">
        <v>1692</v>
      </c>
      <c r="C1693" s="4" t="s">
        <v>31</v>
      </c>
      <c r="D1693" s="4" t="s">
        <v>23</v>
      </c>
      <c r="E1693" s="4" t="s">
        <v>17</v>
      </c>
      <c r="F1693" s="4" t="s">
        <v>28</v>
      </c>
      <c r="G1693" s="4" t="s">
        <v>19</v>
      </c>
      <c r="H1693" s="4" t="s">
        <v>28</v>
      </c>
      <c r="I1693" s="4">
        <v>2</v>
      </c>
      <c r="J1693" s="5">
        <v>15.4</v>
      </c>
      <c r="K1693" s="6">
        <v>0.64</v>
      </c>
      <c r="L1693" s="4">
        <v>2</v>
      </c>
      <c r="M1693" s="4">
        <v>112</v>
      </c>
      <c r="N1693" s="4">
        <v>98</v>
      </c>
      <c r="O1693" s="4" t="s">
        <v>26</v>
      </c>
      <c r="P1693" s="7" t="s">
        <v>19</v>
      </c>
    </row>
    <row r="1694" spans="2:16" x14ac:dyDescent="0.45">
      <c r="B1694" s="4">
        <v>1693</v>
      </c>
      <c r="C1694" s="4" t="s">
        <v>45</v>
      </c>
      <c r="D1694" s="4" t="s">
        <v>16</v>
      </c>
      <c r="E1694" s="4" t="s">
        <v>37</v>
      </c>
      <c r="F1694" s="4" t="s">
        <v>18</v>
      </c>
      <c r="G1694" s="4" t="s">
        <v>19</v>
      </c>
      <c r="H1694" s="4" t="s">
        <v>28</v>
      </c>
      <c r="I1694" s="4">
        <v>17</v>
      </c>
      <c r="J1694" s="5">
        <v>44.9</v>
      </c>
      <c r="K1694" s="6">
        <v>1.65</v>
      </c>
      <c r="L1694" s="4">
        <v>6</v>
      </c>
      <c r="M1694" s="4">
        <v>97</v>
      </c>
      <c r="N1694" s="4">
        <v>87</v>
      </c>
      <c r="O1694" s="4" t="s">
        <v>26</v>
      </c>
      <c r="P1694" s="7" t="s">
        <v>19</v>
      </c>
    </row>
    <row r="1695" spans="2:16" x14ac:dyDescent="0.45">
      <c r="B1695" s="4">
        <v>1694</v>
      </c>
      <c r="C1695" s="4" t="s">
        <v>15</v>
      </c>
      <c r="D1695" s="4" t="s">
        <v>23</v>
      </c>
      <c r="E1695" s="4" t="s">
        <v>35</v>
      </c>
      <c r="F1695" s="4" t="s">
        <v>18</v>
      </c>
      <c r="G1695" s="4" t="s">
        <v>19</v>
      </c>
      <c r="H1695" s="4" t="s">
        <v>20</v>
      </c>
      <c r="I1695" s="4">
        <v>69</v>
      </c>
      <c r="J1695" s="5">
        <v>64.7</v>
      </c>
      <c r="K1695" s="6">
        <v>1.84</v>
      </c>
      <c r="L1695" s="4">
        <v>2</v>
      </c>
      <c r="M1695" s="4">
        <v>116</v>
      </c>
      <c r="N1695" s="4">
        <v>96</v>
      </c>
      <c r="O1695" s="4" t="s">
        <v>26</v>
      </c>
      <c r="P1695" s="7" t="s">
        <v>19</v>
      </c>
    </row>
    <row r="1696" spans="2:16" x14ac:dyDescent="0.45">
      <c r="B1696" s="4">
        <v>1695</v>
      </c>
      <c r="C1696" s="4" t="s">
        <v>33</v>
      </c>
      <c r="D1696" s="4" t="s">
        <v>16</v>
      </c>
      <c r="E1696" s="4" t="s">
        <v>37</v>
      </c>
      <c r="F1696" s="4" t="s">
        <v>18</v>
      </c>
      <c r="G1696" s="4" t="s">
        <v>19</v>
      </c>
      <c r="H1696" s="4" t="s">
        <v>20</v>
      </c>
      <c r="I1696" s="4">
        <v>36</v>
      </c>
      <c r="J1696" s="5">
        <v>75.099999999999994</v>
      </c>
      <c r="K1696" s="6">
        <v>1.73</v>
      </c>
      <c r="L1696" s="4">
        <v>0</v>
      </c>
      <c r="M1696" s="4">
        <v>121</v>
      </c>
      <c r="N1696" s="4">
        <v>99</v>
      </c>
      <c r="O1696" s="4" t="s">
        <v>21</v>
      </c>
      <c r="P1696" s="7" t="s">
        <v>19</v>
      </c>
    </row>
    <row r="1697" spans="2:16" x14ac:dyDescent="0.45">
      <c r="B1697" s="4">
        <v>1696</v>
      </c>
      <c r="C1697" s="4" t="s">
        <v>45</v>
      </c>
      <c r="D1697" s="4" t="s">
        <v>16</v>
      </c>
      <c r="E1697" s="4" t="s">
        <v>35</v>
      </c>
      <c r="F1697" s="4" t="s">
        <v>24</v>
      </c>
      <c r="G1697" s="4" t="s">
        <v>19</v>
      </c>
      <c r="H1697" s="4" t="s">
        <v>36</v>
      </c>
      <c r="I1697" s="4">
        <v>49</v>
      </c>
      <c r="J1697" s="5">
        <v>83.7</v>
      </c>
      <c r="K1697" s="6">
        <v>1.78</v>
      </c>
      <c r="L1697" s="4">
        <v>4</v>
      </c>
      <c r="M1697" s="4">
        <v>135</v>
      </c>
      <c r="N1697" s="4">
        <v>98</v>
      </c>
      <c r="O1697" s="4" t="s">
        <v>21</v>
      </c>
      <c r="P1697" s="7" t="s">
        <v>19</v>
      </c>
    </row>
    <row r="1698" spans="2:16" x14ac:dyDescent="0.45">
      <c r="B1698" s="4">
        <v>1697</v>
      </c>
      <c r="C1698" s="4" t="s">
        <v>22</v>
      </c>
      <c r="D1698" s="4" t="s">
        <v>16</v>
      </c>
      <c r="E1698" s="4" t="s">
        <v>17</v>
      </c>
      <c r="F1698" s="4" t="s">
        <v>24</v>
      </c>
      <c r="G1698" s="4" t="s">
        <v>19</v>
      </c>
      <c r="H1698" s="4" t="s">
        <v>32</v>
      </c>
      <c r="I1698" s="4">
        <v>42</v>
      </c>
      <c r="J1698" s="5">
        <v>76</v>
      </c>
      <c r="K1698" s="6">
        <v>1.7</v>
      </c>
      <c r="L1698" s="4">
        <v>2</v>
      </c>
      <c r="M1698" s="4">
        <v>103</v>
      </c>
      <c r="N1698" s="4">
        <v>170</v>
      </c>
      <c r="O1698" s="4" t="s">
        <v>26</v>
      </c>
      <c r="P1698" s="7" t="s">
        <v>19</v>
      </c>
    </row>
    <row r="1699" spans="2:16" x14ac:dyDescent="0.45">
      <c r="B1699" s="4">
        <v>1698</v>
      </c>
      <c r="C1699" s="4" t="s">
        <v>27</v>
      </c>
      <c r="D1699" s="4" t="s">
        <v>16</v>
      </c>
      <c r="E1699" s="4" t="s">
        <v>35</v>
      </c>
      <c r="F1699" s="4" t="s">
        <v>24</v>
      </c>
      <c r="G1699" s="4" t="s">
        <v>30</v>
      </c>
      <c r="H1699" s="4" t="s">
        <v>20</v>
      </c>
      <c r="I1699" s="4">
        <v>39</v>
      </c>
      <c r="J1699" s="5">
        <v>58</v>
      </c>
      <c r="K1699" s="6">
        <v>1.79</v>
      </c>
      <c r="L1699" s="4">
        <v>4</v>
      </c>
      <c r="M1699" s="4">
        <v>114</v>
      </c>
      <c r="N1699" s="4">
        <v>103</v>
      </c>
      <c r="O1699" s="4" t="s">
        <v>26</v>
      </c>
      <c r="P1699" s="7" t="s">
        <v>30</v>
      </c>
    </row>
    <row r="1700" spans="2:16" x14ac:dyDescent="0.45">
      <c r="B1700" s="4">
        <v>1699</v>
      </c>
      <c r="C1700" s="4" t="s">
        <v>22</v>
      </c>
      <c r="D1700" s="4" t="s">
        <v>23</v>
      </c>
      <c r="E1700" s="4" t="s">
        <v>17</v>
      </c>
      <c r="F1700" s="4" t="s">
        <v>24</v>
      </c>
      <c r="G1700" s="4" t="s">
        <v>30</v>
      </c>
      <c r="H1700" s="4" t="s">
        <v>36</v>
      </c>
      <c r="I1700" s="4">
        <v>32</v>
      </c>
      <c r="J1700" s="5">
        <v>57.9</v>
      </c>
      <c r="K1700" s="6">
        <v>1.81</v>
      </c>
      <c r="L1700" s="4">
        <v>1</v>
      </c>
      <c r="M1700" s="4">
        <v>126</v>
      </c>
      <c r="N1700" s="4">
        <v>91</v>
      </c>
      <c r="O1700" s="4" t="s">
        <v>21</v>
      </c>
      <c r="P1700" s="7" t="s">
        <v>19</v>
      </c>
    </row>
    <row r="1701" spans="2:16" x14ac:dyDescent="0.45">
      <c r="B1701" s="4">
        <v>1700</v>
      </c>
      <c r="C1701" s="4" t="s">
        <v>40</v>
      </c>
      <c r="D1701" s="4" t="s">
        <v>23</v>
      </c>
      <c r="E1701" s="4" t="s">
        <v>35</v>
      </c>
      <c r="F1701" s="4" t="s">
        <v>24</v>
      </c>
      <c r="G1701" s="4" t="s">
        <v>30</v>
      </c>
      <c r="H1701" s="4" t="s">
        <v>20</v>
      </c>
      <c r="I1701" s="4">
        <v>6</v>
      </c>
      <c r="J1701" s="5">
        <v>36.1</v>
      </c>
      <c r="K1701" s="6">
        <v>1.26</v>
      </c>
      <c r="L1701" s="4">
        <v>0</v>
      </c>
      <c r="M1701" s="4">
        <v>99</v>
      </c>
      <c r="N1701" s="4">
        <v>89</v>
      </c>
      <c r="O1701" s="4" t="s">
        <v>21</v>
      </c>
      <c r="P1701" s="7" t="s">
        <v>19</v>
      </c>
    </row>
    <row r="1702" spans="2:16" x14ac:dyDescent="0.45">
      <c r="B1702" s="4">
        <v>1701</v>
      </c>
      <c r="C1702" s="4" t="s">
        <v>39</v>
      </c>
      <c r="D1702" s="4" t="s">
        <v>16</v>
      </c>
      <c r="E1702" s="4" t="s">
        <v>17</v>
      </c>
      <c r="F1702" s="4" t="s">
        <v>18</v>
      </c>
      <c r="G1702" s="4" t="s">
        <v>19</v>
      </c>
      <c r="H1702" s="4" t="s">
        <v>28</v>
      </c>
      <c r="I1702" s="4">
        <v>44</v>
      </c>
      <c r="J1702" s="5">
        <v>93.8</v>
      </c>
      <c r="K1702" s="6">
        <v>1.89</v>
      </c>
      <c r="L1702" s="4">
        <v>1</v>
      </c>
      <c r="M1702" s="4">
        <v>125</v>
      </c>
      <c r="N1702" s="4">
        <v>75</v>
      </c>
      <c r="O1702" s="4" t="s">
        <v>26</v>
      </c>
      <c r="P1702" s="7" t="s">
        <v>30</v>
      </c>
    </row>
    <row r="1703" spans="2:16" x14ac:dyDescent="0.45">
      <c r="B1703" s="4">
        <v>1702</v>
      </c>
      <c r="C1703" s="4" t="s">
        <v>31</v>
      </c>
      <c r="D1703" s="4" t="s">
        <v>16</v>
      </c>
      <c r="E1703" s="4" t="s">
        <v>17</v>
      </c>
      <c r="F1703" s="4" t="s">
        <v>28</v>
      </c>
      <c r="G1703" s="4" t="s">
        <v>19</v>
      </c>
      <c r="H1703" s="4" t="s">
        <v>20</v>
      </c>
      <c r="I1703" s="4">
        <v>15</v>
      </c>
      <c r="J1703" s="5">
        <v>46.8</v>
      </c>
      <c r="K1703" s="6">
        <v>1.49</v>
      </c>
      <c r="L1703" s="4">
        <v>5</v>
      </c>
      <c r="M1703" s="4">
        <v>114</v>
      </c>
      <c r="N1703" s="4">
        <v>88</v>
      </c>
      <c r="O1703" s="4" t="s">
        <v>26</v>
      </c>
      <c r="P1703" s="7" t="s">
        <v>19</v>
      </c>
    </row>
    <row r="1704" spans="2:16" x14ac:dyDescent="0.45">
      <c r="B1704" s="4">
        <v>1703</v>
      </c>
      <c r="C1704" s="4" t="s">
        <v>31</v>
      </c>
      <c r="D1704" s="4" t="s">
        <v>16</v>
      </c>
      <c r="E1704" s="4" t="s">
        <v>35</v>
      </c>
      <c r="F1704" s="4" t="s">
        <v>24</v>
      </c>
      <c r="G1704" s="4" t="s">
        <v>30</v>
      </c>
      <c r="H1704" s="4" t="s">
        <v>20</v>
      </c>
      <c r="I1704" s="4">
        <v>9</v>
      </c>
      <c r="J1704" s="5">
        <v>32</v>
      </c>
      <c r="K1704" s="6">
        <v>1.28</v>
      </c>
      <c r="L1704" s="4">
        <v>8</v>
      </c>
      <c r="M1704" s="4">
        <v>117</v>
      </c>
      <c r="N1704" s="4">
        <v>82</v>
      </c>
      <c r="O1704" s="4" t="s">
        <v>26</v>
      </c>
      <c r="P1704" s="7" t="s">
        <v>19</v>
      </c>
    </row>
    <row r="1705" spans="2:16" x14ac:dyDescent="0.45">
      <c r="B1705" s="4">
        <v>1704</v>
      </c>
      <c r="C1705" s="4" t="s">
        <v>39</v>
      </c>
      <c r="D1705" s="4" t="s">
        <v>16</v>
      </c>
      <c r="E1705" s="4" t="s">
        <v>17</v>
      </c>
      <c r="F1705" s="4" t="s">
        <v>24</v>
      </c>
      <c r="G1705" s="4" t="s">
        <v>19</v>
      </c>
      <c r="H1705" s="4" t="s">
        <v>20</v>
      </c>
      <c r="I1705" s="4">
        <v>60</v>
      </c>
      <c r="J1705" s="5">
        <v>53.4</v>
      </c>
      <c r="K1705" s="6">
        <v>1.56</v>
      </c>
      <c r="L1705" s="4">
        <v>2</v>
      </c>
      <c r="M1705" s="4">
        <v>118</v>
      </c>
      <c r="N1705" s="4">
        <v>103</v>
      </c>
      <c r="O1705" s="4" t="s">
        <v>21</v>
      </c>
      <c r="P1705" s="7" t="s">
        <v>19</v>
      </c>
    </row>
    <row r="1706" spans="2:16" x14ac:dyDescent="0.45">
      <c r="B1706" s="4">
        <v>1705</v>
      </c>
      <c r="C1706" s="4" t="s">
        <v>45</v>
      </c>
      <c r="D1706" s="4" t="s">
        <v>23</v>
      </c>
      <c r="E1706" s="4" t="s">
        <v>44</v>
      </c>
      <c r="F1706" s="4" t="s">
        <v>18</v>
      </c>
      <c r="G1706" s="4" t="s">
        <v>30</v>
      </c>
      <c r="H1706" s="4" t="s">
        <v>20</v>
      </c>
      <c r="I1706" s="4">
        <v>21</v>
      </c>
      <c r="J1706" s="5">
        <v>65.2</v>
      </c>
      <c r="K1706" s="6">
        <v>1.87</v>
      </c>
      <c r="L1706" s="4">
        <v>0</v>
      </c>
      <c r="M1706" s="4">
        <v>119</v>
      </c>
      <c r="N1706" s="4">
        <v>70</v>
      </c>
      <c r="O1706" s="4" t="s">
        <v>21</v>
      </c>
      <c r="P1706" s="7" t="s">
        <v>30</v>
      </c>
    </row>
    <row r="1707" spans="2:16" x14ac:dyDescent="0.45">
      <c r="B1707" s="4">
        <v>1706</v>
      </c>
      <c r="C1707" s="4" t="s">
        <v>40</v>
      </c>
      <c r="D1707" s="4" t="s">
        <v>16</v>
      </c>
      <c r="E1707" s="4" t="s">
        <v>17</v>
      </c>
      <c r="F1707" s="4" t="s">
        <v>18</v>
      </c>
      <c r="G1707" s="4" t="s">
        <v>19</v>
      </c>
      <c r="H1707" s="4" t="s">
        <v>46</v>
      </c>
      <c r="I1707" s="4">
        <v>41</v>
      </c>
      <c r="J1707" s="5">
        <v>63.1</v>
      </c>
      <c r="K1707" s="6">
        <v>1.6</v>
      </c>
      <c r="L1707" s="4">
        <v>4</v>
      </c>
      <c r="M1707" s="4">
        <v>118</v>
      </c>
      <c r="N1707" s="4">
        <v>77</v>
      </c>
      <c r="O1707" s="4" t="s">
        <v>26</v>
      </c>
      <c r="P1707" s="7" t="s">
        <v>19</v>
      </c>
    </row>
    <row r="1708" spans="2:16" x14ac:dyDescent="0.45">
      <c r="B1708" s="4">
        <v>1707</v>
      </c>
      <c r="C1708" s="4" t="s">
        <v>45</v>
      </c>
      <c r="D1708" s="4" t="s">
        <v>23</v>
      </c>
      <c r="E1708" s="4" t="s">
        <v>37</v>
      </c>
      <c r="F1708" s="4" t="s">
        <v>24</v>
      </c>
      <c r="G1708" s="4" t="s">
        <v>19</v>
      </c>
      <c r="H1708" s="4" t="s">
        <v>20</v>
      </c>
      <c r="I1708" s="4">
        <v>38</v>
      </c>
      <c r="J1708" s="5">
        <v>58.9</v>
      </c>
      <c r="K1708" s="6">
        <v>1.7</v>
      </c>
      <c r="L1708" s="4">
        <v>2</v>
      </c>
      <c r="M1708" s="4">
        <v>109</v>
      </c>
      <c r="N1708" s="4">
        <v>97</v>
      </c>
      <c r="O1708" s="4" t="s">
        <v>21</v>
      </c>
      <c r="P1708" s="7" t="s">
        <v>19</v>
      </c>
    </row>
    <row r="1709" spans="2:16" x14ac:dyDescent="0.45">
      <c r="B1709" s="4">
        <v>1708</v>
      </c>
      <c r="C1709" s="4" t="s">
        <v>15</v>
      </c>
      <c r="D1709" s="4" t="s">
        <v>23</v>
      </c>
      <c r="E1709" s="4" t="s">
        <v>17</v>
      </c>
      <c r="F1709" s="4" t="s">
        <v>28</v>
      </c>
      <c r="G1709" s="4" t="s">
        <v>19</v>
      </c>
      <c r="H1709" s="4" t="s">
        <v>25</v>
      </c>
      <c r="I1709" s="4">
        <v>36</v>
      </c>
      <c r="J1709" s="5">
        <v>86.3</v>
      </c>
      <c r="K1709" s="6">
        <v>1.64</v>
      </c>
      <c r="L1709" s="4">
        <v>0</v>
      </c>
      <c r="M1709" s="4">
        <v>117</v>
      </c>
      <c r="N1709" s="4">
        <v>88</v>
      </c>
      <c r="O1709" s="4" t="s">
        <v>26</v>
      </c>
      <c r="P1709" s="7" t="s">
        <v>30</v>
      </c>
    </row>
    <row r="1710" spans="2:16" x14ac:dyDescent="0.45">
      <c r="B1710" s="4">
        <v>1709</v>
      </c>
      <c r="C1710" s="4" t="s">
        <v>31</v>
      </c>
      <c r="D1710" s="4" t="s">
        <v>23</v>
      </c>
      <c r="E1710" s="4" t="s">
        <v>17</v>
      </c>
      <c r="F1710" s="4" t="s">
        <v>18</v>
      </c>
      <c r="G1710" s="4" t="s">
        <v>19</v>
      </c>
      <c r="H1710" s="4" t="s">
        <v>36</v>
      </c>
      <c r="I1710" s="4">
        <v>22</v>
      </c>
      <c r="J1710" s="5">
        <v>91.7</v>
      </c>
      <c r="K1710" s="6">
        <v>1.79</v>
      </c>
      <c r="L1710" s="4">
        <v>5</v>
      </c>
      <c r="M1710" s="4">
        <v>124</v>
      </c>
      <c r="N1710" s="4">
        <v>105</v>
      </c>
      <c r="O1710" s="4" t="s">
        <v>26</v>
      </c>
      <c r="P1710" s="7" t="s">
        <v>19</v>
      </c>
    </row>
    <row r="1711" spans="2:16" x14ac:dyDescent="0.45">
      <c r="B1711" s="4">
        <v>1710</v>
      </c>
      <c r="C1711" s="4" t="s">
        <v>27</v>
      </c>
      <c r="D1711" s="4" t="s">
        <v>16</v>
      </c>
      <c r="E1711" s="4" t="s">
        <v>35</v>
      </c>
      <c r="F1711" s="4" t="s">
        <v>18</v>
      </c>
      <c r="G1711" s="4" t="s">
        <v>30</v>
      </c>
      <c r="H1711" s="4" t="s">
        <v>34</v>
      </c>
      <c r="I1711" s="4">
        <v>55</v>
      </c>
      <c r="J1711" s="5">
        <v>64.7</v>
      </c>
      <c r="K1711" s="6">
        <v>1.52</v>
      </c>
      <c r="L1711" s="4">
        <v>6</v>
      </c>
      <c r="M1711" s="4">
        <v>136</v>
      </c>
      <c r="N1711" s="4">
        <v>94</v>
      </c>
      <c r="O1711" s="4" t="s">
        <v>26</v>
      </c>
      <c r="P1711" s="7" t="s">
        <v>30</v>
      </c>
    </row>
    <row r="1712" spans="2:16" x14ac:dyDescent="0.45">
      <c r="B1712" s="4">
        <v>1711</v>
      </c>
      <c r="C1712" s="4" t="s">
        <v>27</v>
      </c>
      <c r="D1712" s="4" t="s">
        <v>23</v>
      </c>
      <c r="E1712" s="4" t="s">
        <v>37</v>
      </c>
      <c r="F1712" s="4" t="s">
        <v>24</v>
      </c>
      <c r="G1712" s="4" t="s">
        <v>19</v>
      </c>
      <c r="H1712" s="4" t="s">
        <v>20</v>
      </c>
      <c r="I1712" s="4">
        <v>25</v>
      </c>
      <c r="J1712" s="5">
        <v>88</v>
      </c>
      <c r="K1712" s="6">
        <v>1.52</v>
      </c>
      <c r="L1712" s="4">
        <v>2</v>
      </c>
      <c r="M1712" s="4">
        <v>122</v>
      </c>
      <c r="N1712" s="4">
        <v>92</v>
      </c>
      <c r="O1712" s="4" t="s">
        <v>21</v>
      </c>
      <c r="P1712" s="7" t="s">
        <v>19</v>
      </c>
    </row>
    <row r="1713" spans="2:16" x14ac:dyDescent="0.45">
      <c r="B1713" s="4">
        <v>1712</v>
      </c>
      <c r="C1713" s="4" t="s">
        <v>40</v>
      </c>
      <c r="D1713" s="4" t="s">
        <v>23</v>
      </c>
      <c r="E1713" s="4" t="s">
        <v>17</v>
      </c>
      <c r="F1713" s="4" t="s">
        <v>28</v>
      </c>
      <c r="G1713" s="4" t="s">
        <v>19</v>
      </c>
      <c r="H1713" s="4" t="s">
        <v>20</v>
      </c>
      <c r="I1713" s="4">
        <v>5</v>
      </c>
      <c r="J1713" s="5">
        <v>24</v>
      </c>
      <c r="K1713" s="6">
        <v>1.17</v>
      </c>
      <c r="L1713" s="4">
        <v>2</v>
      </c>
      <c r="M1713" s="4">
        <v>95</v>
      </c>
      <c r="N1713" s="4">
        <v>75</v>
      </c>
      <c r="O1713" s="4" t="s">
        <v>21</v>
      </c>
      <c r="P1713" s="7" t="s">
        <v>19</v>
      </c>
    </row>
    <row r="1714" spans="2:16" x14ac:dyDescent="0.45">
      <c r="B1714" s="4">
        <v>1713</v>
      </c>
      <c r="C1714" s="4" t="s">
        <v>39</v>
      </c>
      <c r="D1714" s="4" t="s">
        <v>16</v>
      </c>
      <c r="E1714" s="4" t="s">
        <v>35</v>
      </c>
      <c r="F1714" s="4" t="s">
        <v>24</v>
      </c>
      <c r="G1714" s="4" t="s">
        <v>30</v>
      </c>
      <c r="H1714" s="4" t="s">
        <v>28</v>
      </c>
      <c r="I1714" s="4">
        <v>33</v>
      </c>
      <c r="J1714" s="5">
        <v>74.7</v>
      </c>
      <c r="K1714" s="6">
        <v>1.64</v>
      </c>
      <c r="L1714" s="4">
        <v>8</v>
      </c>
      <c r="M1714" s="4">
        <v>105</v>
      </c>
      <c r="N1714" s="4">
        <v>95</v>
      </c>
      <c r="O1714" s="4" t="s">
        <v>21</v>
      </c>
      <c r="P1714" s="7" t="s">
        <v>30</v>
      </c>
    </row>
    <row r="1715" spans="2:16" x14ac:dyDescent="0.45">
      <c r="B1715" s="4">
        <v>1714</v>
      </c>
      <c r="C1715" s="4" t="s">
        <v>22</v>
      </c>
      <c r="D1715" s="4" t="s">
        <v>23</v>
      </c>
      <c r="E1715" s="4" t="s">
        <v>17</v>
      </c>
      <c r="F1715" s="4" t="s">
        <v>18</v>
      </c>
      <c r="G1715" s="4" t="s">
        <v>19</v>
      </c>
      <c r="H1715" s="4" t="s">
        <v>38</v>
      </c>
      <c r="I1715" s="4">
        <v>13</v>
      </c>
      <c r="J1715" s="5">
        <v>63.5</v>
      </c>
      <c r="K1715" s="6">
        <v>1.59</v>
      </c>
      <c r="L1715" s="4">
        <v>0</v>
      </c>
      <c r="M1715" s="4">
        <v>114</v>
      </c>
      <c r="N1715" s="4">
        <v>73</v>
      </c>
      <c r="O1715" s="4" t="s">
        <v>21</v>
      </c>
      <c r="P1715" s="7" t="s">
        <v>19</v>
      </c>
    </row>
    <row r="1716" spans="2:16" x14ac:dyDescent="0.45">
      <c r="B1716" s="4">
        <v>1715</v>
      </c>
      <c r="C1716" s="4" t="s">
        <v>22</v>
      </c>
      <c r="D1716" s="4" t="s">
        <v>23</v>
      </c>
      <c r="E1716" s="4" t="s">
        <v>17</v>
      </c>
      <c r="F1716" s="4" t="s">
        <v>18</v>
      </c>
      <c r="G1716" s="4" t="s">
        <v>19</v>
      </c>
      <c r="H1716" s="4" t="s">
        <v>36</v>
      </c>
      <c r="I1716" s="4">
        <v>67</v>
      </c>
      <c r="J1716" s="5">
        <v>89.9</v>
      </c>
      <c r="K1716" s="6">
        <v>1.85</v>
      </c>
      <c r="L1716" s="4">
        <v>3</v>
      </c>
      <c r="M1716" s="4">
        <v>147</v>
      </c>
      <c r="N1716" s="4">
        <v>78</v>
      </c>
      <c r="O1716" s="4" t="s">
        <v>26</v>
      </c>
      <c r="P1716" s="7" t="s">
        <v>19</v>
      </c>
    </row>
    <row r="1717" spans="2:16" x14ac:dyDescent="0.45">
      <c r="B1717" s="4">
        <v>1716</v>
      </c>
      <c r="C1717" s="4" t="s">
        <v>45</v>
      </c>
      <c r="D1717" s="4" t="s">
        <v>23</v>
      </c>
      <c r="E1717" s="4" t="s">
        <v>17</v>
      </c>
      <c r="F1717" s="4" t="s">
        <v>28</v>
      </c>
      <c r="G1717" s="4" t="s">
        <v>19</v>
      </c>
      <c r="H1717" s="4" t="s">
        <v>20</v>
      </c>
      <c r="I1717" s="4">
        <v>3</v>
      </c>
      <c r="J1717" s="5">
        <v>8.1</v>
      </c>
      <c r="K1717" s="6">
        <v>0.75</v>
      </c>
      <c r="L1717" s="4">
        <v>4</v>
      </c>
      <c r="M1717" s="4">
        <v>106</v>
      </c>
      <c r="N1717" s="4">
        <v>98</v>
      </c>
      <c r="O1717" s="4" t="s">
        <v>26</v>
      </c>
      <c r="P1717" s="7" t="s">
        <v>19</v>
      </c>
    </row>
    <row r="1718" spans="2:16" x14ac:dyDescent="0.45">
      <c r="B1718" s="4">
        <v>1717</v>
      </c>
      <c r="C1718" s="4" t="s">
        <v>43</v>
      </c>
      <c r="D1718" s="4" t="s">
        <v>16</v>
      </c>
      <c r="E1718" s="4" t="s">
        <v>35</v>
      </c>
      <c r="F1718" s="4" t="s">
        <v>24</v>
      </c>
      <c r="G1718" s="4" t="s">
        <v>19</v>
      </c>
      <c r="H1718" s="4" t="s">
        <v>32</v>
      </c>
      <c r="I1718" s="4">
        <v>55</v>
      </c>
      <c r="J1718" s="5">
        <v>49.7</v>
      </c>
      <c r="K1718" s="6">
        <v>1.55</v>
      </c>
      <c r="L1718" s="4">
        <v>6</v>
      </c>
      <c r="M1718" s="4">
        <v>116</v>
      </c>
      <c r="N1718" s="4">
        <v>154</v>
      </c>
      <c r="O1718" s="4" t="s">
        <v>26</v>
      </c>
      <c r="P1718" s="7" t="s">
        <v>19</v>
      </c>
    </row>
    <row r="1719" spans="2:16" x14ac:dyDescent="0.45">
      <c r="B1719" s="4">
        <v>1718</v>
      </c>
      <c r="C1719" s="4" t="s">
        <v>22</v>
      </c>
      <c r="D1719" s="4" t="s">
        <v>23</v>
      </c>
      <c r="E1719" s="4" t="s">
        <v>17</v>
      </c>
      <c r="F1719" s="4" t="s">
        <v>24</v>
      </c>
      <c r="G1719" s="4" t="s">
        <v>19</v>
      </c>
      <c r="H1719" s="4" t="s">
        <v>38</v>
      </c>
      <c r="I1719" s="4">
        <v>12</v>
      </c>
      <c r="J1719" s="5">
        <v>54.6</v>
      </c>
      <c r="K1719" s="6">
        <v>1.6</v>
      </c>
      <c r="L1719" s="4">
        <v>6</v>
      </c>
      <c r="M1719" s="4">
        <v>99</v>
      </c>
      <c r="N1719" s="4">
        <v>98</v>
      </c>
      <c r="O1719" s="4" t="s">
        <v>26</v>
      </c>
      <c r="P1719" s="7" t="s">
        <v>30</v>
      </c>
    </row>
    <row r="1720" spans="2:16" x14ac:dyDescent="0.45">
      <c r="B1720" s="4">
        <v>1719</v>
      </c>
      <c r="C1720" s="4" t="s">
        <v>27</v>
      </c>
      <c r="D1720" s="4" t="s">
        <v>16</v>
      </c>
      <c r="E1720" s="4" t="s">
        <v>17</v>
      </c>
      <c r="F1720" s="4" t="s">
        <v>24</v>
      </c>
      <c r="G1720" s="4" t="s">
        <v>19</v>
      </c>
      <c r="H1720" s="4" t="s">
        <v>38</v>
      </c>
      <c r="I1720" s="4">
        <v>34</v>
      </c>
      <c r="J1720" s="5">
        <v>51</v>
      </c>
      <c r="K1720" s="6">
        <v>1.9</v>
      </c>
      <c r="L1720" s="4">
        <v>9</v>
      </c>
      <c r="M1720" s="4">
        <v>124</v>
      </c>
      <c r="N1720" s="4">
        <v>102</v>
      </c>
      <c r="O1720" s="4" t="s">
        <v>21</v>
      </c>
      <c r="P1720" s="7" t="s">
        <v>19</v>
      </c>
    </row>
    <row r="1721" spans="2:16" x14ac:dyDescent="0.45">
      <c r="B1721" s="4">
        <v>1720</v>
      </c>
      <c r="C1721" s="4" t="s">
        <v>22</v>
      </c>
      <c r="D1721" s="4" t="s">
        <v>16</v>
      </c>
      <c r="E1721" s="4" t="s">
        <v>17</v>
      </c>
      <c r="F1721" s="4" t="s">
        <v>24</v>
      </c>
      <c r="G1721" s="4" t="s">
        <v>19</v>
      </c>
      <c r="H1721" s="4" t="s">
        <v>46</v>
      </c>
      <c r="I1721" s="4">
        <v>5</v>
      </c>
      <c r="J1721" s="5">
        <v>28.2</v>
      </c>
      <c r="K1721" s="6">
        <v>1.1000000000000001</v>
      </c>
      <c r="L1721" s="4">
        <v>1</v>
      </c>
      <c r="M1721" s="4">
        <v>100</v>
      </c>
      <c r="N1721" s="4">
        <v>74</v>
      </c>
      <c r="O1721" s="4" t="s">
        <v>26</v>
      </c>
      <c r="P1721" s="7" t="s">
        <v>19</v>
      </c>
    </row>
    <row r="1722" spans="2:16" x14ac:dyDescent="0.45">
      <c r="B1722" s="4">
        <v>1721</v>
      </c>
      <c r="C1722" s="4" t="s">
        <v>15</v>
      </c>
      <c r="D1722" s="4" t="s">
        <v>16</v>
      </c>
      <c r="E1722" s="4" t="s">
        <v>17</v>
      </c>
      <c r="F1722" s="4" t="s">
        <v>24</v>
      </c>
      <c r="G1722" s="4" t="s">
        <v>19</v>
      </c>
      <c r="H1722" s="4" t="s">
        <v>28</v>
      </c>
      <c r="I1722" s="4">
        <v>1</v>
      </c>
      <c r="J1722" s="5">
        <v>10</v>
      </c>
      <c r="K1722" s="6">
        <v>0.97</v>
      </c>
      <c r="L1722" s="4">
        <v>5</v>
      </c>
      <c r="M1722" s="4">
        <v>107</v>
      </c>
      <c r="N1722" s="4">
        <v>74</v>
      </c>
      <c r="O1722" s="4" t="s">
        <v>26</v>
      </c>
      <c r="P1722" s="7" t="s">
        <v>19</v>
      </c>
    </row>
    <row r="1723" spans="2:16" x14ac:dyDescent="0.45">
      <c r="B1723" s="4">
        <v>1722</v>
      </c>
      <c r="C1723" s="4" t="s">
        <v>15</v>
      </c>
      <c r="D1723" s="4" t="s">
        <v>16</v>
      </c>
      <c r="E1723" s="4" t="s">
        <v>35</v>
      </c>
      <c r="F1723" s="4" t="s">
        <v>24</v>
      </c>
      <c r="G1723" s="4" t="s">
        <v>19</v>
      </c>
      <c r="H1723" s="4" t="s">
        <v>28</v>
      </c>
      <c r="I1723" s="4">
        <v>11</v>
      </c>
      <c r="J1723" s="5">
        <v>24.9</v>
      </c>
      <c r="K1723" s="6">
        <v>1.38</v>
      </c>
      <c r="L1723" s="4">
        <v>9</v>
      </c>
      <c r="M1723" s="4">
        <v>95</v>
      </c>
      <c r="N1723" s="4">
        <v>83</v>
      </c>
      <c r="O1723" s="4" t="s">
        <v>26</v>
      </c>
      <c r="P1723" s="7" t="s">
        <v>19</v>
      </c>
    </row>
    <row r="1724" spans="2:16" x14ac:dyDescent="0.45">
      <c r="B1724" s="4">
        <v>1723</v>
      </c>
      <c r="C1724" s="4" t="s">
        <v>27</v>
      </c>
      <c r="D1724" s="4" t="s">
        <v>23</v>
      </c>
      <c r="E1724" s="4" t="s">
        <v>17</v>
      </c>
      <c r="F1724" s="4" t="s">
        <v>42</v>
      </c>
      <c r="G1724" s="4" t="s">
        <v>19</v>
      </c>
      <c r="H1724" s="4" t="s">
        <v>20</v>
      </c>
      <c r="I1724" s="4">
        <v>41</v>
      </c>
      <c r="J1724" s="5">
        <v>86.3</v>
      </c>
      <c r="K1724" s="6">
        <v>1.82</v>
      </c>
      <c r="L1724" s="4">
        <v>6</v>
      </c>
      <c r="M1724" s="4">
        <v>108</v>
      </c>
      <c r="N1724" s="4">
        <v>83</v>
      </c>
      <c r="O1724" s="4" t="s">
        <v>26</v>
      </c>
      <c r="P1724" s="7" t="s">
        <v>19</v>
      </c>
    </row>
    <row r="1725" spans="2:16" x14ac:dyDescent="0.45">
      <c r="B1725" s="4">
        <v>1724</v>
      </c>
      <c r="C1725" s="4" t="s">
        <v>27</v>
      </c>
      <c r="D1725" s="4" t="s">
        <v>23</v>
      </c>
      <c r="E1725" s="4" t="s">
        <v>35</v>
      </c>
      <c r="F1725" s="4" t="s">
        <v>18</v>
      </c>
      <c r="G1725" s="4" t="s">
        <v>30</v>
      </c>
      <c r="H1725" s="4" t="s">
        <v>20</v>
      </c>
      <c r="I1725" s="4">
        <v>54</v>
      </c>
      <c r="J1725" s="5">
        <v>60.8</v>
      </c>
      <c r="K1725" s="6">
        <v>1.87</v>
      </c>
      <c r="L1725" s="4">
        <v>8</v>
      </c>
      <c r="M1725" s="4">
        <v>128</v>
      </c>
      <c r="N1725" s="4">
        <v>100</v>
      </c>
      <c r="O1725" s="4" t="s">
        <v>21</v>
      </c>
      <c r="P1725" s="7" t="s">
        <v>19</v>
      </c>
    </row>
    <row r="1726" spans="2:16" x14ac:dyDescent="0.45">
      <c r="B1726" s="4">
        <v>1725</v>
      </c>
      <c r="C1726" s="4" t="s">
        <v>29</v>
      </c>
      <c r="D1726" s="4" t="s">
        <v>23</v>
      </c>
      <c r="E1726" s="4" t="s">
        <v>35</v>
      </c>
      <c r="F1726" s="4" t="s">
        <v>24</v>
      </c>
      <c r="G1726" s="4" t="s">
        <v>19</v>
      </c>
      <c r="H1726" s="4" t="s">
        <v>34</v>
      </c>
      <c r="I1726" s="4">
        <v>77</v>
      </c>
      <c r="J1726" s="5">
        <v>93.8</v>
      </c>
      <c r="K1726" s="6">
        <v>1.72</v>
      </c>
      <c r="L1726" s="4">
        <v>7</v>
      </c>
      <c r="M1726" s="4">
        <v>114</v>
      </c>
      <c r="N1726" s="4">
        <v>72</v>
      </c>
      <c r="O1726" s="4" t="s">
        <v>26</v>
      </c>
      <c r="P1726" s="7" t="s">
        <v>19</v>
      </c>
    </row>
    <row r="1727" spans="2:16" x14ac:dyDescent="0.45">
      <c r="B1727" s="4">
        <v>1726</v>
      </c>
      <c r="C1727" s="4" t="s">
        <v>22</v>
      </c>
      <c r="D1727" s="4" t="s">
        <v>16</v>
      </c>
      <c r="E1727" s="4" t="s">
        <v>17</v>
      </c>
      <c r="F1727" s="4" t="s">
        <v>42</v>
      </c>
      <c r="G1727" s="4" t="s">
        <v>19</v>
      </c>
      <c r="H1727" s="4" t="s">
        <v>28</v>
      </c>
      <c r="I1727" s="4">
        <v>42</v>
      </c>
      <c r="J1727" s="5">
        <v>50.9</v>
      </c>
      <c r="K1727" s="6">
        <v>1.9</v>
      </c>
      <c r="L1727" s="4">
        <v>1</v>
      </c>
      <c r="M1727" s="4">
        <v>111</v>
      </c>
      <c r="N1727" s="4">
        <v>97</v>
      </c>
      <c r="O1727" s="4" t="s">
        <v>21</v>
      </c>
      <c r="P1727" s="7" t="s">
        <v>19</v>
      </c>
    </row>
    <row r="1728" spans="2:16" x14ac:dyDescent="0.45">
      <c r="B1728" s="4">
        <v>1727</v>
      </c>
      <c r="C1728" s="4" t="s">
        <v>45</v>
      </c>
      <c r="D1728" s="4" t="s">
        <v>16</v>
      </c>
      <c r="E1728" s="4" t="s">
        <v>17</v>
      </c>
      <c r="F1728" s="4" t="s">
        <v>24</v>
      </c>
      <c r="G1728" s="4" t="s">
        <v>30</v>
      </c>
      <c r="H1728" s="4" t="s">
        <v>25</v>
      </c>
      <c r="I1728" s="4">
        <v>58</v>
      </c>
      <c r="J1728" s="5">
        <v>59.2</v>
      </c>
      <c r="K1728" s="6">
        <v>1.52</v>
      </c>
      <c r="L1728" s="4">
        <v>3</v>
      </c>
      <c r="M1728" s="4">
        <v>119</v>
      </c>
      <c r="N1728" s="4">
        <v>74</v>
      </c>
      <c r="O1728" s="4" t="s">
        <v>26</v>
      </c>
      <c r="P1728" s="7" t="s">
        <v>19</v>
      </c>
    </row>
    <row r="1729" spans="2:16" x14ac:dyDescent="0.45">
      <c r="B1729" s="4">
        <v>1728</v>
      </c>
      <c r="C1729" s="4" t="s">
        <v>27</v>
      </c>
      <c r="D1729" s="4" t="s">
        <v>23</v>
      </c>
      <c r="E1729" s="4" t="s">
        <v>35</v>
      </c>
      <c r="F1729" s="4" t="s">
        <v>18</v>
      </c>
      <c r="G1729" s="4" t="s">
        <v>19</v>
      </c>
      <c r="H1729" s="4" t="s">
        <v>20</v>
      </c>
      <c r="I1729" s="4">
        <v>39</v>
      </c>
      <c r="J1729" s="5">
        <v>46.8</v>
      </c>
      <c r="K1729" s="6">
        <v>1.53</v>
      </c>
      <c r="L1729" s="4">
        <v>0</v>
      </c>
      <c r="M1729" s="4">
        <v>106</v>
      </c>
      <c r="N1729" s="4">
        <v>101</v>
      </c>
      <c r="O1729" s="4" t="s">
        <v>26</v>
      </c>
      <c r="P1729" s="7" t="s">
        <v>19</v>
      </c>
    </row>
    <row r="1730" spans="2:16" x14ac:dyDescent="0.45">
      <c r="B1730" s="4">
        <v>1729</v>
      </c>
      <c r="C1730" s="4" t="s">
        <v>31</v>
      </c>
      <c r="D1730" s="4" t="s">
        <v>16</v>
      </c>
      <c r="E1730" s="4" t="s">
        <v>17</v>
      </c>
      <c r="F1730" s="4" t="s">
        <v>42</v>
      </c>
      <c r="G1730" s="4" t="s">
        <v>19</v>
      </c>
      <c r="H1730" s="4" t="s">
        <v>28</v>
      </c>
      <c r="I1730" s="4">
        <v>46</v>
      </c>
      <c r="J1730" s="5">
        <v>81.400000000000006</v>
      </c>
      <c r="K1730" s="6">
        <v>1.77</v>
      </c>
      <c r="L1730" s="4">
        <v>3</v>
      </c>
      <c r="M1730" s="4">
        <v>104</v>
      </c>
      <c r="N1730" s="4">
        <v>104</v>
      </c>
      <c r="O1730" s="4" t="s">
        <v>21</v>
      </c>
      <c r="P1730" s="7" t="s">
        <v>19</v>
      </c>
    </row>
    <row r="1731" spans="2:16" x14ac:dyDescent="0.45">
      <c r="B1731" s="4">
        <v>1730</v>
      </c>
      <c r="C1731" s="4" t="s">
        <v>27</v>
      </c>
      <c r="D1731" s="4" t="s">
        <v>16</v>
      </c>
      <c r="E1731" s="4" t="s">
        <v>44</v>
      </c>
      <c r="F1731" s="4" t="s">
        <v>42</v>
      </c>
      <c r="G1731" s="4" t="s">
        <v>19</v>
      </c>
      <c r="H1731" s="4" t="s">
        <v>32</v>
      </c>
      <c r="I1731" s="4">
        <v>11</v>
      </c>
      <c r="J1731" s="5">
        <v>19.100000000000001</v>
      </c>
      <c r="K1731" s="6">
        <v>1.2</v>
      </c>
      <c r="L1731" s="4">
        <v>10</v>
      </c>
      <c r="M1731" s="4">
        <v>107</v>
      </c>
      <c r="N1731" s="4">
        <v>171</v>
      </c>
      <c r="O1731" s="4" t="s">
        <v>21</v>
      </c>
      <c r="P1731" s="7" t="s">
        <v>19</v>
      </c>
    </row>
    <row r="1732" spans="2:16" x14ac:dyDescent="0.45">
      <c r="B1732" s="4">
        <v>1731</v>
      </c>
      <c r="C1732" s="4" t="s">
        <v>27</v>
      </c>
      <c r="D1732" s="4" t="s">
        <v>16</v>
      </c>
      <c r="E1732" s="4" t="s">
        <v>17</v>
      </c>
      <c r="F1732" s="4" t="s">
        <v>18</v>
      </c>
      <c r="G1732" s="4" t="s">
        <v>30</v>
      </c>
      <c r="H1732" s="4" t="s">
        <v>46</v>
      </c>
      <c r="I1732" s="4">
        <v>23</v>
      </c>
      <c r="J1732" s="5">
        <v>62.3</v>
      </c>
      <c r="K1732" s="6">
        <v>1.65</v>
      </c>
      <c r="L1732" s="4">
        <v>5</v>
      </c>
      <c r="M1732" s="4">
        <v>115</v>
      </c>
      <c r="N1732" s="4">
        <v>92</v>
      </c>
      <c r="O1732" s="4" t="s">
        <v>21</v>
      </c>
      <c r="P1732" s="7" t="s">
        <v>19</v>
      </c>
    </row>
    <row r="1733" spans="2:16" x14ac:dyDescent="0.45">
      <c r="B1733" s="4">
        <v>1732</v>
      </c>
      <c r="C1733" s="4" t="s">
        <v>15</v>
      </c>
      <c r="D1733" s="4" t="s">
        <v>23</v>
      </c>
      <c r="E1733" s="4" t="s">
        <v>17</v>
      </c>
      <c r="F1733" s="4" t="s">
        <v>24</v>
      </c>
      <c r="G1733" s="4" t="s">
        <v>30</v>
      </c>
      <c r="H1733" s="4" t="s">
        <v>20</v>
      </c>
      <c r="I1733" s="4">
        <v>14</v>
      </c>
      <c r="J1733" s="5">
        <v>48.2</v>
      </c>
      <c r="K1733" s="6">
        <v>1.48</v>
      </c>
      <c r="L1733" s="4">
        <v>3</v>
      </c>
      <c r="M1733" s="4">
        <v>101</v>
      </c>
      <c r="N1733" s="4">
        <v>102</v>
      </c>
      <c r="O1733" s="4" t="s">
        <v>21</v>
      </c>
      <c r="P1733" s="7" t="s">
        <v>19</v>
      </c>
    </row>
    <row r="1734" spans="2:16" x14ac:dyDescent="0.45">
      <c r="B1734" s="4">
        <v>1733</v>
      </c>
      <c r="C1734" s="4" t="s">
        <v>15</v>
      </c>
      <c r="D1734" s="4" t="s">
        <v>16</v>
      </c>
      <c r="E1734" s="4" t="s">
        <v>44</v>
      </c>
      <c r="F1734" s="4" t="s">
        <v>18</v>
      </c>
      <c r="G1734" s="4" t="s">
        <v>19</v>
      </c>
      <c r="H1734" s="4" t="s">
        <v>36</v>
      </c>
      <c r="I1734" s="4">
        <v>14</v>
      </c>
      <c r="J1734" s="5">
        <v>48.4</v>
      </c>
      <c r="K1734" s="6">
        <v>1.58</v>
      </c>
      <c r="L1734" s="4">
        <v>2</v>
      </c>
      <c r="M1734" s="4">
        <v>114</v>
      </c>
      <c r="N1734" s="4">
        <v>82</v>
      </c>
      <c r="O1734" s="4" t="s">
        <v>21</v>
      </c>
      <c r="P1734" s="7" t="s">
        <v>19</v>
      </c>
    </row>
    <row r="1735" spans="2:16" x14ac:dyDescent="0.45">
      <c r="B1735" s="4">
        <v>1734</v>
      </c>
      <c r="C1735" s="4" t="s">
        <v>43</v>
      </c>
      <c r="D1735" s="4" t="s">
        <v>16</v>
      </c>
      <c r="E1735" s="4" t="s">
        <v>35</v>
      </c>
      <c r="F1735" s="4" t="s">
        <v>28</v>
      </c>
      <c r="G1735" s="4" t="s">
        <v>19</v>
      </c>
      <c r="H1735" s="4" t="s">
        <v>20</v>
      </c>
      <c r="I1735" s="4">
        <v>5</v>
      </c>
      <c r="J1735" s="5">
        <v>31</v>
      </c>
      <c r="K1735" s="6">
        <v>1.22</v>
      </c>
      <c r="L1735" s="4">
        <v>6</v>
      </c>
      <c r="M1735" s="4">
        <v>104</v>
      </c>
      <c r="N1735" s="4">
        <v>81</v>
      </c>
      <c r="O1735" s="4" t="s">
        <v>26</v>
      </c>
      <c r="P1735" s="7" t="s">
        <v>19</v>
      </c>
    </row>
    <row r="1736" spans="2:16" x14ac:dyDescent="0.45">
      <c r="B1736" s="4">
        <v>1735</v>
      </c>
      <c r="C1736" s="4" t="s">
        <v>22</v>
      </c>
      <c r="D1736" s="4" t="s">
        <v>16</v>
      </c>
      <c r="E1736" s="4" t="s">
        <v>35</v>
      </c>
      <c r="F1736" s="4" t="s">
        <v>42</v>
      </c>
      <c r="G1736" s="4" t="s">
        <v>19</v>
      </c>
      <c r="H1736" s="4" t="s">
        <v>20</v>
      </c>
      <c r="I1736" s="4">
        <v>33</v>
      </c>
      <c r="J1736" s="5">
        <v>54.4</v>
      </c>
      <c r="K1736" s="6">
        <v>1.85</v>
      </c>
      <c r="L1736" s="4">
        <v>2</v>
      </c>
      <c r="M1736" s="4">
        <v>111</v>
      </c>
      <c r="N1736" s="4">
        <v>89</v>
      </c>
      <c r="O1736" s="4" t="s">
        <v>26</v>
      </c>
      <c r="P1736" s="7" t="s">
        <v>19</v>
      </c>
    </row>
    <row r="1737" spans="2:16" x14ac:dyDescent="0.45">
      <c r="B1737" s="4">
        <v>1736</v>
      </c>
      <c r="C1737" s="4" t="s">
        <v>41</v>
      </c>
      <c r="D1737" s="4" t="s">
        <v>16</v>
      </c>
      <c r="E1737" s="4" t="s">
        <v>17</v>
      </c>
      <c r="F1737" s="4" t="s">
        <v>18</v>
      </c>
      <c r="G1737" s="4" t="s">
        <v>19</v>
      </c>
      <c r="H1737" s="4" t="s">
        <v>28</v>
      </c>
      <c r="I1737" s="4">
        <v>19</v>
      </c>
      <c r="J1737" s="5">
        <v>80.2</v>
      </c>
      <c r="K1737" s="6">
        <v>1.63</v>
      </c>
      <c r="L1737" s="4">
        <v>2</v>
      </c>
      <c r="M1737" s="4">
        <v>107</v>
      </c>
      <c r="N1737" s="4">
        <v>104</v>
      </c>
      <c r="O1737" s="4" t="s">
        <v>26</v>
      </c>
      <c r="P1737" s="7" t="s">
        <v>19</v>
      </c>
    </row>
    <row r="1738" spans="2:16" x14ac:dyDescent="0.45">
      <c r="B1738" s="4">
        <v>1737</v>
      </c>
      <c r="C1738" s="4" t="s">
        <v>41</v>
      </c>
      <c r="D1738" s="4" t="s">
        <v>16</v>
      </c>
      <c r="E1738" s="4" t="s">
        <v>17</v>
      </c>
      <c r="F1738" s="4" t="s">
        <v>24</v>
      </c>
      <c r="G1738" s="4" t="s">
        <v>19</v>
      </c>
      <c r="H1738" s="4" t="s">
        <v>28</v>
      </c>
      <c r="I1738" s="4">
        <v>23</v>
      </c>
      <c r="J1738" s="5">
        <v>60.7</v>
      </c>
      <c r="K1738" s="6">
        <v>1.88</v>
      </c>
      <c r="L1738" s="4">
        <v>10</v>
      </c>
      <c r="M1738" s="4">
        <v>108</v>
      </c>
      <c r="N1738" s="4">
        <v>76</v>
      </c>
      <c r="O1738" s="4" t="s">
        <v>21</v>
      </c>
      <c r="P1738" s="7" t="s">
        <v>19</v>
      </c>
    </row>
    <row r="1739" spans="2:16" x14ac:dyDescent="0.45">
      <c r="B1739" s="4">
        <v>1738</v>
      </c>
      <c r="C1739" s="4" t="s">
        <v>27</v>
      </c>
      <c r="D1739" s="4" t="s">
        <v>16</v>
      </c>
      <c r="E1739" s="4" t="s">
        <v>17</v>
      </c>
      <c r="F1739" s="4" t="s">
        <v>42</v>
      </c>
      <c r="G1739" s="4" t="s">
        <v>19</v>
      </c>
      <c r="H1739" s="4" t="s">
        <v>20</v>
      </c>
      <c r="I1739" s="4">
        <v>24</v>
      </c>
      <c r="J1739" s="5">
        <v>50.2</v>
      </c>
      <c r="K1739" s="6">
        <v>1.52</v>
      </c>
      <c r="L1739" s="4">
        <v>3</v>
      </c>
      <c r="M1739" s="4">
        <v>122</v>
      </c>
      <c r="N1739" s="4">
        <v>103</v>
      </c>
      <c r="O1739" s="4" t="s">
        <v>26</v>
      </c>
      <c r="P1739" s="7" t="s">
        <v>19</v>
      </c>
    </row>
    <row r="1740" spans="2:16" x14ac:dyDescent="0.45">
      <c r="B1740" s="4">
        <v>1739</v>
      </c>
      <c r="C1740" s="4" t="s">
        <v>40</v>
      </c>
      <c r="D1740" s="4" t="s">
        <v>16</v>
      </c>
      <c r="E1740" s="4" t="s">
        <v>17</v>
      </c>
      <c r="F1740" s="4" t="s">
        <v>18</v>
      </c>
      <c r="G1740" s="4" t="s">
        <v>19</v>
      </c>
      <c r="H1740" s="4" t="s">
        <v>20</v>
      </c>
      <c r="I1740" s="4">
        <v>19</v>
      </c>
      <c r="J1740" s="5">
        <v>64.2</v>
      </c>
      <c r="K1740" s="6">
        <v>1.73</v>
      </c>
      <c r="L1740" s="4">
        <v>5</v>
      </c>
      <c r="M1740" s="4">
        <v>104</v>
      </c>
      <c r="N1740" s="4">
        <v>92</v>
      </c>
      <c r="O1740" s="4" t="s">
        <v>26</v>
      </c>
      <c r="P1740" s="7" t="s">
        <v>19</v>
      </c>
    </row>
    <row r="1741" spans="2:16" x14ac:dyDescent="0.45">
      <c r="B1741" s="4">
        <v>1740</v>
      </c>
      <c r="C1741" s="4" t="s">
        <v>27</v>
      </c>
      <c r="D1741" s="4" t="s">
        <v>23</v>
      </c>
      <c r="E1741" s="4" t="s">
        <v>17</v>
      </c>
      <c r="F1741" s="4" t="s">
        <v>42</v>
      </c>
      <c r="G1741" s="4" t="s">
        <v>30</v>
      </c>
      <c r="H1741" s="4" t="s">
        <v>32</v>
      </c>
      <c r="I1741" s="4">
        <v>37</v>
      </c>
      <c r="J1741" s="5">
        <v>88.3</v>
      </c>
      <c r="K1741" s="6">
        <v>1.74</v>
      </c>
      <c r="L1741" s="4">
        <v>3</v>
      </c>
      <c r="M1741" s="4">
        <v>112</v>
      </c>
      <c r="N1741" s="4">
        <v>154</v>
      </c>
      <c r="O1741" s="4" t="s">
        <v>21</v>
      </c>
      <c r="P1741" s="7" t="s">
        <v>19</v>
      </c>
    </row>
    <row r="1742" spans="2:16" x14ac:dyDescent="0.45">
      <c r="B1742" s="4">
        <v>1741</v>
      </c>
      <c r="C1742" s="4" t="s">
        <v>29</v>
      </c>
      <c r="D1742" s="4" t="s">
        <v>16</v>
      </c>
      <c r="E1742" s="4" t="s">
        <v>35</v>
      </c>
      <c r="F1742" s="4" t="s">
        <v>24</v>
      </c>
      <c r="G1742" s="4" t="s">
        <v>19</v>
      </c>
      <c r="H1742" s="4" t="s">
        <v>36</v>
      </c>
      <c r="I1742" s="4">
        <v>60</v>
      </c>
      <c r="J1742" s="5">
        <v>64.400000000000006</v>
      </c>
      <c r="K1742" s="6">
        <v>1.57</v>
      </c>
      <c r="L1742" s="4">
        <v>3</v>
      </c>
      <c r="M1742" s="4">
        <v>136</v>
      </c>
      <c r="N1742" s="4">
        <v>72</v>
      </c>
      <c r="O1742" s="4" t="s">
        <v>26</v>
      </c>
      <c r="P1742" s="7" t="s">
        <v>19</v>
      </c>
    </row>
    <row r="1743" spans="2:16" x14ac:dyDescent="0.45">
      <c r="B1743" s="4">
        <v>1742</v>
      </c>
      <c r="C1743" s="4" t="s">
        <v>41</v>
      </c>
      <c r="D1743" s="4" t="s">
        <v>23</v>
      </c>
      <c r="E1743" s="4" t="s">
        <v>35</v>
      </c>
      <c r="F1743" s="4" t="s">
        <v>42</v>
      </c>
      <c r="G1743" s="4" t="s">
        <v>19</v>
      </c>
      <c r="H1743" s="4" t="s">
        <v>36</v>
      </c>
      <c r="I1743" s="4">
        <v>14</v>
      </c>
      <c r="J1743" s="5">
        <v>57.4</v>
      </c>
      <c r="K1743" s="6">
        <v>1.53</v>
      </c>
      <c r="L1743" s="4">
        <v>1</v>
      </c>
      <c r="M1743" s="4">
        <v>142</v>
      </c>
      <c r="N1743" s="4">
        <v>91</v>
      </c>
      <c r="O1743" s="4" t="s">
        <v>26</v>
      </c>
      <c r="P1743" s="7" t="s">
        <v>19</v>
      </c>
    </row>
    <row r="1744" spans="2:16" x14ac:dyDescent="0.45">
      <c r="B1744" s="4">
        <v>1743</v>
      </c>
      <c r="C1744" s="4" t="s">
        <v>41</v>
      </c>
      <c r="D1744" s="4" t="s">
        <v>23</v>
      </c>
      <c r="E1744" s="4" t="s">
        <v>44</v>
      </c>
      <c r="F1744" s="4" t="s">
        <v>18</v>
      </c>
      <c r="G1744" s="4" t="s">
        <v>19</v>
      </c>
      <c r="H1744" s="4" t="s">
        <v>34</v>
      </c>
      <c r="I1744" s="4">
        <v>15</v>
      </c>
      <c r="J1744" s="5">
        <v>40.299999999999997</v>
      </c>
      <c r="K1744" s="6">
        <v>1.5</v>
      </c>
      <c r="L1744" s="4">
        <v>7</v>
      </c>
      <c r="M1744" s="4">
        <v>109</v>
      </c>
      <c r="N1744" s="4">
        <v>103</v>
      </c>
      <c r="O1744" s="4" t="s">
        <v>26</v>
      </c>
      <c r="P1744" s="7" t="s">
        <v>19</v>
      </c>
    </row>
    <row r="1745" spans="2:16" x14ac:dyDescent="0.45">
      <c r="B1745" s="4">
        <v>1744</v>
      </c>
      <c r="C1745" s="4" t="s">
        <v>22</v>
      </c>
      <c r="D1745" s="4" t="s">
        <v>23</v>
      </c>
      <c r="E1745" s="4" t="s">
        <v>17</v>
      </c>
      <c r="F1745" s="4" t="s">
        <v>24</v>
      </c>
      <c r="G1745" s="4" t="s">
        <v>19</v>
      </c>
      <c r="H1745" s="4" t="s">
        <v>28</v>
      </c>
      <c r="I1745" s="4">
        <v>38</v>
      </c>
      <c r="J1745" s="5">
        <v>62.3</v>
      </c>
      <c r="K1745" s="6">
        <v>1.66</v>
      </c>
      <c r="L1745" s="4">
        <v>3</v>
      </c>
      <c r="M1745" s="4">
        <v>108</v>
      </c>
      <c r="N1745" s="4">
        <v>93</v>
      </c>
      <c r="O1745" s="4" t="s">
        <v>26</v>
      </c>
      <c r="P1745" s="7" t="s">
        <v>30</v>
      </c>
    </row>
    <row r="1746" spans="2:16" x14ac:dyDescent="0.45">
      <c r="B1746" s="4">
        <v>1745</v>
      </c>
      <c r="C1746" s="4" t="s">
        <v>29</v>
      </c>
      <c r="D1746" s="4" t="s">
        <v>16</v>
      </c>
      <c r="E1746" s="4" t="s">
        <v>35</v>
      </c>
      <c r="F1746" s="4" t="s">
        <v>28</v>
      </c>
      <c r="G1746" s="4" t="s">
        <v>30</v>
      </c>
      <c r="H1746" s="4" t="s">
        <v>36</v>
      </c>
      <c r="I1746" s="4">
        <v>11</v>
      </c>
      <c r="J1746" s="5">
        <v>34.799999999999997</v>
      </c>
      <c r="K1746" s="6">
        <v>1.06</v>
      </c>
      <c r="L1746" s="4">
        <v>4</v>
      </c>
      <c r="M1746" s="4">
        <v>118</v>
      </c>
      <c r="N1746" s="4">
        <v>82</v>
      </c>
      <c r="O1746" s="4" t="s">
        <v>21</v>
      </c>
      <c r="P1746" s="7" t="s">
        <v>19</v>
      </c>
    </row>
    <row r="1747" spans="2:16" x14ac:dyDescent="0.45">
      <c r="B1747" s="4">
        <v>1746</v>
      </c>
      <c r="C1747" s="4" t="s">
        <v>43</v>
      </c>
      <c r="D1747" s="4" t="s">
        <v>23</v>
      </c>
      <c r="E1747" s="4" t="s">
        <v>37</v>
      </c>
      <c r="F1747" s="4" t="s">
        <v>18</v>
      </c>
      <c r="G1747" s="4" t="s">
        <v>19</v>
      </c>
      <c r="H1747" s="4" t="s">
        <v>46</v>
      </c>
      <c r="I1747" s="4">
        <v>58</v>
      </c>
      <c r="J1747" s="5">
        <v>80.900000000000006</v>
      </c>
      <c r="K1747" s="6">
        <v>1.68</v>
      </c>
      <c r="L1747" s="4">
        <v>4</v>
      </c>
      <c r="M1747" s="4">
        <v>131</v>
      </c>
      <c r="N1747" s="4">
        <v>97</v>
      </c>
      <c r="O1747" s="4" t="s">
        <v>26</v>
      </c>
      <c r="P1747" s="7" t="s">
        <v>19</v>
      </c>
    </row>
    <row r="1748" spans="2:16" x14ac:dyDescent="0.45">
      <c r="B1748" s="4">
        <v>1747</v>
      </c>
      <c r="C1748" s="4" t="s">
        <v>27</v>
      </c>
      <c r="D1748" s="4" t="s">
        <v>23</v>
      </c>
      <c r="E1748" s="4" t="s">
        <v>17</v>
      </c>
      <c r="F1748" s="4" t="s">
        <v>18</v>
      </c>
      <c r="G1748" s="4" t="s">
        <v>19</v>
      </c>
      <c r="H1748" s="4" t="s">
        <v>28</v>
      </c>
      <c r="I1748" s="4">
        <v>28</v>
      </c>
      <c r="J1748" s="5">
        <v>46.4</v>
      </c>
      <c r="K1748" s="6">
        <v>1.75</v>
      </c>
      <c r="L1748" s="4">
        <v>3</v>
      </c>
      <c r="M1748" s="4">
        <v>100</v>
      </c>
      <c r="N1748" s="4">
        <v>102</v>
      </c>
      <c r="O1748" s="4" t="s">
        <v>26</v>
      </c>
      <c r="P1748" s="7" t="s">
        <v>19</v>
      </c>
    </row>
    <row r="1749" spans="2:16" x14ac:dyDescent="0.45">
      <c r="B1749" s="4">
        <v>1748</v>
      </c>
      <c r="C1749" s="4" t="s">
        <v>27</v>
      </c>
      <c r="D1749" s="4" t="s">
        <v>16</v>
      </c>
      <c r="E1749" s="4" t="s">
        <v>17</v>
      </c>
      <c r="F1749" s="4" t="s">
        <v>24</v>
      </c>
      <c r="G1749" s="4" t="s">
        <v>19</v>
      </c>
      <c r="H1749" s="4" t="s">
        <v>32</v>
      </c>
      <c r="I1749" s="4">
        <v>16</v>
      </c>
      <c r="J1749" s="5">
        <v>61.2</v>
      </c>
      <c r="K1749" s="6">
        <v>1.52</v>
      </c>
      <c r="L1749" s="4">
        <v>6</v>
      </c>
      <c r="M1749" s="4">
        <v>113</v>
      </c>
      <c r="N1749" s="4">
        <v>141</v>
      </c>
      <c r="O1749" s="4" t="s">
        <v>26</v>
      </c>
      <c r="P1749" s="7" t="s">
        <v>19</v>
      </c>
    </row>
    <row r="1750" spans="2:16" x14ac:dyDescent="0.45">
      <c r="B1750" s="4">
        <v>1749</v>
      </c>
      <c r="C1750" s="4" t="s">
        <v>41</v>
      </c>
      <c r="D1750" s="4" t="s">
        <v>23</v>
      </c>
      <c r="E1750" s="4" t="s">
        <v>35</v>
      </c>
      <c r="F1750" s="4" t="s">
        <v>24</v>
      </c>
      <c r="G1750" s="4" t="s">
        <v>19</v>
      </c>
      <c r="H1750" s="4" t="s">
        <v>32</v>
      </c>
      <c r="I1750" s="4">
        <v>0</v>
      </c>
      <c r="J1750" s="5">
        <v>12.7</v>
      </c>
      <c r="K1750" s="6">
        <v>1.03</v>
      </c>
      <c r="L1750" s="4">
        <v>2</v>
      </c>
      <c r="M1750" s="4">
        <v>92</v>
      </c>
      <c r="N1750" s="4">
        <v>162</v>
      </c>
      <c r="O1750" s="4" t="s">
        <v>21</v>
      </c>
      <c r="P1750" s="7" t="s">
        <v>19</v>
      </c>
    </row>
    <row r="1751" spans="2:16" x14ac:dyDescent="0.45">
      <c r="B1751" s="4">
        <v>1750</v>
      </c>
      <c r="C1751" s="4" t="s">
        <v>43</v>
      </c>
      <c r="D1751" s="4" t="s">
        <v>16</v>
      </c>
      <c r="E1751" s="4" t="s">
        <v>17</v>
      </c>
      <c r="F1751" s="4" t="s">
        <v>24</v>
      </c>
      <c r="G1751" s="4" t="s">
        <v>19</v>
      </c>
      <c r="H1751" s="4" t="s">
        <v>46</v>
      </c>
      <c r="I1751" s="4">
        <v>19</v>
      </c>
      <c r="J1751" s="5">
        <v>84</v>
      </c>
      <c r="K1751" s="6">
        <v>1.51</v>
      </c>
      <c r="L1751" s="4">
        <v>1</v>
      </c>
      <c r="M1751" s="4">
        <v>99</v>
      </c>
      <c r="N1751" s="4">
        <v>78</v>
      </c>
      <c r="O1751" s="4" t="s">
        <v>21</v>
      </c>
      <c r="P1751" s="7" t="s">
        <v>19</v>
      </c>
    </row>
    <row r="1752" spans="2:16" x14ac:dyDescent="0.45">
      <c r="B1752" s="4">
        <v>1751</v>
      </c>
      <c r="C1752" s="4" t="s">
        <v>29</v>
      </c>
      <c r="D1752" s="4" t="s">
        <v>23</v>
      </c>
      <c r="E1752" s="4" t="s">
        <v>17</v>
      </c>
      <c r="F1752" s="4" t="s">
        <v>24</v>
      </c>
      <c r="G1752" s="4" t="s">
        <v>19</v>
      </c>
      <c r="H1752" s="4" t="s">
        <v>28</v>
      </c>
      <c r="I1752" s="4">
        <v>28</v>
      </c>
      <c r="J1752" s="5">
        <v>68.5</v>
      </c>
      <c r="K1752" s="6">
        <v>1.54</v>
      </c>
      <c r="L1752" s="4">
        <v>2</v>
      </c>
      <c r="M1752" s="4">
        <v>121</v>
      </c>
      <c r="N1752" s="4">
        <v>75</v>
      </c>
      <c r="O1752" s="4" t="s">
        <v>21</v>
      </c>
      <c r="P1752" s="7" t="s">
        <v>19</v>
      </c>
    </row>
    <row r="1753" spans="2:16" x14ac:dyDescent="0.45">
      <c r="B1753" s="4">
        <v>1752</v>
      </c>
      <c r="C1753" s="4" t="s">
        <v>27</v>
      </c>
      <c r="D1753" s="4" t="s">
        <v>23</v>
      </c>
      <c r="E1753" s="4" t="s">
        <v>17</v>
      </c>
      <c r="F1753" s="4" t="s">
        <v>18</v>
      </c>
      <c r="G1753" s="4" t="s">
        <v>19</v>
      </c>
      <c r="H1753" s="4" t="s">
        <v>34</v>
      </c>
      <c r="I1753" s="4">
        <v>10</v>
      </c>
      <c r="J1753" s="5">
        <v>26.5</v>
      </c>
      <c r="K1753" s="6">
        <v>1.22</v>
      </c>
      <c r="L1753" s="4">
        <v>2</v>
      </c>
      <c r="M1753" s="4">
        <v>106</v>
      </c>
      <c r="N1753" s="4">
        <v>75</v>
      </c>
      <c r="O1753" s="4" t="s">
        <v>21</v>
      </c>
      <c r="P1753" s="7" t="s">
        <v>19</v>
      </c>
    </row>
    <row r="1754" spans="2:16" x14ac:dyDescent="0.45">
      <c r="B1754" s="4">
        <v>1753</v>
      </c>
      <c r="C1754" s="4" t="s">
        <v>29</v>
      </c>
      <c r="D1754" s="4" t="s">
        <v>23</v>
      </c>
      <c r="E1754" s="4" t="s">
        <v>17</v>
      </c>
      <c r="F1754" s="4" t="s">
        <v>18</v>
      </c>
      <c r="G1754" s="4" t="s">
        <v>30</v>
      </c>
      <c r="H1754" s="4" t="s">
        <v>28</v>
      </c>
      <c r="I1754" s="4">
        <v>39</v>
      </c>
      <c r="J1754" s="5">
        <v>69.599999999999994</v>
      </c>
      <c r="K1754" s="6">
        <v>1.79</v>
      </c>
      <c r="L1754" s="4">
        <v>1</v>
      </c>
      <c r="M1754" s="4">
        <v>117</v>
      </c>
      <c r="N1754" s="4">
        <v>105</v>
      </c>
      <c r="O1754" s="4" t="s">
        <v>21</v>
      </c>
      <c r="P1754" s="7" t="s">
        <v>19</v>
      </c>
    </row>
    <row r="1755" spans="2:16" x14ac:dyDescent="0.45">
      <c r="B1755" s="4">
        <v>1754</v>
      </c>
      <c r="C1755" s="4" t="s">
        <v>22</v>
      </c>
      <c r="D1755" s="4" t="s">
        <v>16</v>
      </c>
      <c r="E1755" s="4" t="s">
        <v>35</v>
      </c>
      <c r="F1755" s="4" t="s">
        <v>18</v>
      </c>
      <c r="G1755" s="4" t="s">
        <v>19</v>
      </c>
      <c r="H1755" s="4" t="s">
        <v>20</v>
      </c>
      <c r="I1755" s="4">
        <v>21</v>
      </c>
      <c r="J1755" s="5">
        <v>56.4</v>
      </c>
      <c r="K1755" s="6">
        <v>1.83</v>
      </c>
      <c r="L1755" s="4">
        <v>5</v>
      </c>
      <c r="M1755" s="4">
        <v>99</v>
      </c>
      <c r="N1755" s="4">
        <v>103</v>
      </c>
      <c r="O1755" s="4" t="s">
        <v>26</v>
      </c>
      <c r="P1755" s="7" t="s">
        <v>19</v>
      </c>
    </row>
    <row r="1756" spans="2:16" x14ac:dyDescent="0.45">
      <c r="B1756" s="4">
        <v>1755</v>
      </c>
      <c r="C1756" s="4" t="s">
        <v>39</v>
      </c>
      <c r="D1756" s="4" t="s">
        <v>23</v>
      </c>
      <c r="E1756" s="4" t="s">
        <v>35</v>
      </c>
      <c r="F1756" s="4" t="s">
        <v>18</v>
      </c>
      <c r="G1756" s="4" t="s">
        <v>30</v>
      </c>
      <c r="H1756" s="4" t="s">
        <v>32</v>
      </c>
      <c r="I1756" s="4">
        <v>41</v>
      </c>
      <c r="J1756" s="5">
        <v>81.7</v>
      </c>
      <c r="K1756" s="6">
        <v>1.64</v>
      </c>
      <c r="L1756" s="4">
        <v>5</v>
      </c>
      <c r="M1756" s="4">
        <v>110</v>
      </c>
      <c r="N1756" s="4">
        <v>165</v>
      </c>
      <c r="O1756" s="4" t="s">
        <v>21</v>
      </c>
      <c r="P1756" s="7" t="s">
        <v>19</v>
      </c>
    </row>
    <row r="1757" spans="2:16" x14ac:dyDescent="0.45">
      <c r="B1757" s="4">
        <v>1756</v>
      </c>
      <c r="C1757" s="4" t="s">
        <v>22</v>
      </c>
      <c r="D1757" s="4" t="s">
        <v>23</v>
      </c>
      <c r="E1757" s="4" t="s">
        <v>17</v>
      </c>
      <c r="F1757" s="4" t="s">
        <v>28</v>
      </c>
      <c r="G1757" s="4" t="s">
        <v>30</v>
      </c>
      <c r="H1757" s="4" t="s">
        <v>28</v>
      </c>
      <c r="I1757" s="4">
        <v>3</v>
      </c>
      <c r="J1757" s="5">
        <v>14.9</v>
      </c>
      <c r="K1757" s="6">
        <v>0.81</v>
      </c>
      <c r="L1757" s="4">
        <v>1</v>
      </c>
      <c r="M1757" s="4">
        <v>91</v>
      </c>
      <c r="N1757" s="4">
        <v>74</v>
      </c>
      <c r="O1757" s="4" t="s">
        <v>26</v>
      </c>
      <c r="P1757" s="7" t="s">
        <v>19</v>
      </c>
    </row>
    <row r="1758" spans="2:16" x14ac:dyDescent="0.45">
      <c r="B1758" s="4">
        <v>1757</v>
      </c>
      <c r="C1758" s="4" t="s">
        <v>31</v>
      </c>
      <c r="D1758" s="4" t="s">
        <v>23</v>
      </c>
      <c r="E1758" s="4" t="s">
        <v>17</v>
      </c>
      <c r="F1758" s="4" t="s">
        <v>18</v>
      </c>
      <c r="G1758" s="4" t="s">
        <v>19</v>
      </c>
      <c r="H1758" s="4" t="s">
        <v>34</v>
      </c>
      <c r="I1758" s="4">
        <v>64</v>
      </c>
      <c r="J1758" s="5">
        <v>50.6</v>
      </c>
      <c r="K1758" s="6">
        <v>1.88</v>
      </c>
      <c r="L1758" s="4">
        <v>0</v>
      </c>
      <c r="M1758" s="4">
        <v>130</v>
      </c>
      <c r="N1758" s="4">
        <v>75</v>
      </c>
      <c r="O1758" s="4" t="s">
        <v>26</v>
      </c>
      <c r="P1758" s="7" t="s">
        <v>30</v>
      </c>
    </row>
    <row r="1759" spans="2:16" x14ac:dyDescent="0.45">
      <c r="B1759" s="4">
        <v>1758</v>
      </c>
      <c r="C1759" s="4" t="s">
        <v>40</v>
      </c>
      <c r="D1759" s="4" t="s">
        <v>16</v>
      </c>
      <c r="E1759" s="4" t="s">
        <v>35</v>
      </c>
      <c r="F1759" s="4" t="s">
        <v>24</v>
      </c>
      <c r="G1759" s="4" t="s">
        <v>19</v>
      </c>
      <c r="H1759" s="4" t="s">
        <v>38</v>
      </c>
      <c r="I1759" s="4">
        <v>12</v>
      </c>
      <c r="J1759" s="5">
        <v>62.2</v>
      </c>
      <c r="K1759" s="6">
        <v>1.61</v>
      </c>
      <c r="L1759" s="4">
        <v>1</v>
      </c>
      <c r="M1759" s="4">
        <v>107</v>
      </c>
      <c r="N1759" s="4">
        <v>87</v>
      </c>
      <c r="O1759" s="4" t="s">
        <v>26</v>
      </c>
      <c r="P1759" s="7" t="s">
        <v>30</v>
      </c>
    </row>
    <row r="1760" spans="2:16" x14ac:dyDescent="0.45">
      <c r="B1760" s="4">
        <v>1759</v>
      </c>
      <c r="C1760" s="4" t="s">
        <v>15</v>
      </c>
      <c r="D1760" s="4" t="s">
        <v>23</v>
      </c>
      <c r="E1760" s="4" t="s">
        <v>17</v>
      </c>
      <c r="F1760" s="4" t="s">
        <v>18</v>
      </c>
      <c r="G1760" s="4" t="s">
        <v>19</v>
      </c>
      <c r="H1760" s="4" t="s">
        <v>38</v>
      </c>
      <c r="I1760" s="4">
        <v>9</v>
      </c>
      <c r="J1760" s="5">
        <v>19.399999999999999</v>
      </c>
      <c r="K1760" s="6">
        <v>1.07</v>
      </c>
      <c r="L1760" s="4">
        <v>3</v>
      </c>
      <c r="M1760" s="4">
        <v>116</v>
      </c>
      <c r="N1760" s="4">
        <v>103</v>
      </c>
      <c r="O1760" s="4" t="s">
        <v>26</v>
      </c>
      <c r="P1760" s="7" t="s">
        <v>19</v>
      </c>
    </row>
    <row r="1761" spans="2:16" x14ac:dyDescent="0.45">
      <c r="B1761" s="4">
        <v>1760</v>
      </c>
      <c r="C1761" s="4" t="s">
        <v>31</v>
      </c>
      <c r="D1761" s="4" t="s">
        <v>23</v>
      </c>
      <c r="E1761" s="4" t="s">
        <v>17</v>
      </c>
      <c r="F1761" s="4" t="s">
        <v>18</v>
      </c>
      <c r="G1761" s="4" t="s">
        <v>19</v>
      </c>
      <c r="H1761" s="4" t="s">
        <v>32</v>
      </c>
      <c r="I1761" s="4">
        <v>0</v>
      </c>
      <c r="J1761" s="5">
        <v>10.1</v>
      </c>
      <c r="K1761" s="6">
        <v>0.95</v>
      </c>
      <c r="L1761" s="4">
        <v>2</v>
      </c>
      <c r="M1761" s="4">
        <v>91</v>
      </c>
      <c r="N1761" s="4">
        <v>129</v>
      </c>
      <c r="O1761" s="4" t="s">
        <v>26</v>
      </c>
      <c r="P1761" s="7" t="s">
        <v>19</v>
      </c>
    </row>
    <row r="1762" spans="2:16" x14ac:dyDescent="0.45">
      <c r="B1762" s="4">
        <v>1761</v>
      </c>
      <c r="C1762" s="4" t="s">
        <v>43</v>
      </c>
      <c r="D1762" s="4" t="s">
        <v>23</v>
      </c>
      <c r="E1762" s="4" t="s">
        <v>35</v>
      </c>
      <c r="F1762" s="4" t="s">
        <v>28</v>
      </c>
      <c r="G1762" s="4" t="s">
        <v>19</v>
      </c>
      <c r="H1762" s="4" t="s">
        <v>25</v>
      </c>
      <c r="I1762" s="4">
        <v>81</v>
      </c>
      <c r="J1762" s="5">
        <v>65.2</v>
      </c>
      <c r="K1762" s="6">
        <v>1.58</v>
      </c>
      <c r="L1762" s="4">
        <v>2</v>
      </c>
      <c r="M1762" s="4">
        <v>133</v>
      </c>
      <c r="N1762" s="4">
        <v>98</v>
      </c>
      <c r="O1762" s="4" t="s">
        <v>26</v>
      </c>
      <c r="P1762" s="7" t="s">
        <v>30</v>
      </c>
    </row>
    <row r="1763" spans="2:16" x14ac:dyDescent="0.45">
      <c r="B1763" s="4">
        <v>1762</v>
      </c>
      <c r="C1763" s="4" t="s">
        <v>22</v>
      </c>
      <c r="D1763" s="4" t="s">
        <v>16</v>
      </c>
      <c r="E1763" s="4" t="s">
        <v>17</v>
      </c>
      <c r="F1763" s="4" t="s">
        <v>24</v>
      </c>
      <c r="G1763" s="4" t="s">
        <v>19</v>
      </c>
      <c r="H1763" s="4" t="s">
        <v>20</v>
      </c>
      <c r="I1763" s="4">
        <v>53</v>
      </c>
      <c r="J1763" s="5">
        <v>81.3</v>
      </c>
      <c r="K1763" s="6">
        <v>1.57</v>
      </c>
      <c r="L1763" s="4">
        <v>0</v>
      </c>
      <c r="M1763" s="4">
        <v>120</v>
      </c>
      <c r="N1763" s="4">
        <v>97</v>
      </c>
      <c r="O1763" s="4" t="s">
        <v>26</v>
      </c>
      <c r="P1763" s="7" t="s">
        <v>19</v>
      </c>
    </row>
    <row r="1764" spans="2:16" x14ac:dyDescent="0.45">
      <c r="B1764" s="4">
        <v>1763</v>
      </c>
      <c r="C1764" s="4" t="s">
        <v>40</v>
      </c>
      <c r="D1764" s="4" t="s">
        <v>16</v>
      </c>
      <c r="E1764" s="4" t="s">
        <v>35</v>
      </c>
      <c r="F1764" s="4" t="s">
        <v>18</v>
      </c>
      <c r="G1764" s="4" t="s">
        <v>19</v>
      </c>
      <c r="H1764" s="4" t="s">
        <v>28</v>
      </c>
      <c r="I1764" s="4">
        <v>1</v>
      </c>
      <c r="J1764" s="5">
        <v>13.3</v>
      </c>
      <c r="K1764" s="6">
        <v>0.99</v>
      </c>
      <c r="L1764" s="4">
        <v>5</v>
      </c>
      <c r="M1764" s="4">
        <v>97</v>
      </c>
      <c r="N1764" s="4">
        <v>84</v>
      </c>
      <c r="O1764" s="4" t="s">
        <v>21</v>
      </c>
      <c r="P1764" s="7" t="s">
        <v>19</v>
      </c>
    </row>
    <row r="1765" spans="2:16" x14ac:dyDescent="0.45">
      <c r="B1765" s="4">
        <v>1764</v>
      </c>
      <c r="C1765" s="4" t="s">
        <v>31</v>
      </c>
      <c r="D1765" s="4" t="s">
        <v>16</v>
      </c>
      <c r="E1765" s="4" t="s">
        <v>17</v>
      </c>
      <c r="F1765" s="4" t="s">
        <v>42</v>
      </c>
      <c r="G1765" s="4" t="s">
        <v>19</v>
      </c>
      <c r="H1765" s="4" t="s">
        <v>20</v>
      </c>
      <c r="I1765" s="4">
        <v>16</v>
      </c>
      <c r="J1765" s="5">
        <v>43.2</v>
      </c>
      <c r="K1765" s="6">
        <v>1.47</v>
      </c>
      <c r="L1765" s="4">
        <v>1</v>
      </c>
      <c r="M1765" s="4">
        <v>105</v>
      </c>
      <c r="N1765" s="4">
        <v>104</v>
      </c>
      <c r="O1765" s="4" t="s">
        <v>26</v>
      </c>
      <c r="P1765" s="7" t="s">
        <v>19</v>
      </c>
    </row>
    <row r="1766" spans="2:16" x14ac:dyDescent="0.45">
      <c r="B1766" s="4">
        <v>1765</v>
      </c>
      <c r="C1766" s="4" t="s">
        <v>43</v>
      </c>
      <c r="D1766" s="4" t="s">
        <v>23</v>
      </c>
      <c r="E1766" s="4" t="s">
        <v>17</v>
      </c>
      <c r="F1766" s="4" t="s">
        <v>18</v>
      </c>
      <c r="G1766" s="4" t="s">
        <v>30</v>
      </c>
      <c r="H1766" s="4" t="s">
        <v>36</v>
      </c>
      <c r="I1766" s="4">
        <v>9</v>
      </c>
      <c r="J1766" s="5">
        <v>21.5</v>
      </c>
      <c r="K1766" s="6">
        <v>1.38</v>
      </c>
      <c r="L1766" s="4">
        <v>9</v>
      </c>
      <c r="M1766" s="4">
        <v>118</v>
      </c>
      <c r="N1766" s="4">
        <v>97</v>
      </c>
      <c r="O1766" s="4" t="s">
        <v>26</v>
      </c>
      <c r="P1766" s="7" t="s">
        <v>19</v>
      </c>
    </row>
    <row r="1767" spans="2:16" x14ac:dyDescent="0.45">
      <c r="B1767" s="4">
        <v>1766</v>
      </c>
      <c r="C1767" s="4" t="s">
        <v>45</v>
      </c>
      <c r="D1767" s="4" t="s">
        <v>23</v>
      </c>
      <c r="E1767" s="4" t="s">
        <v>35</v>
      </c>
      <c r="F1767" s="4" t="s">
        <v>24</v>
      </c>
      <c r="G1767" s="4" t="s">
        <v>19</v>
      </c>
      <c r="H1767" s="4" t="s">
        <v>25</v>
      </c>
      <c r="I1767" s="4">
        <v>2</v>
      </c>
      <c r="J1767" s="5">
        <v>15.2</v>
      </c>
      <c r="K1767" s="6">
        <v>1.01</v>
      </c>
      <c r="L1767" s="4">
        <v>3</v>
      </c>
      <c r="M1767" s="4">
        <v>110</v>
      </c>
      <c r="N1767" s="4">
        <v>102</v>
      </c>
      <c r="O1767" s="4" t="s">
        <v>21</v>
      </c>
      <c r="P1767" s="7" t="s">
        <v>19</v>
      </c>
    </row>
    <row r="1768" spans="2:16" x14ac:dyDescent="0.45">
      <c r="B1768" s="4">
        <v>1767</v>
      </c>
      <c r="C1768" s="4" t="s">
        <v>31</v>
      </c>
      <c r="D1768" s="4" t="s">
        <v>23</v>
      </c>
      <c r="E1768" s="4" t="s">
        <v>37</v>
      </c>
      <c r="F1768" s="4" t="s">
        <v>18</v>
      </c>
      <c r="G1768" s="4" t="s">
        <v>19</v>
      </c>
      <c r="H1768" s="4" t="s">
        <v>34</v>
      </c>
      <c r="I1768" s="4">
        <v>83</v>
      </c>
      <c r="J1768" s="5">
        <v>50.2</v>
      </c>
      <c r="K1768" s="6">
        <v>1.78</v>
      </c>
      <c r="L1768" s="4">
        <v>6</v>
      </c>
      <c r="M1768" s="4">
        <v>120</v>
      </c>
      <c r="N1768" s="4">
        <v>75</v>
      </c>
      <c r="O1768" s="4" t="s">
        <v>26</v>
      </c>
      <c r="P1768" s="7" t="s">
        <v>19</v>
      </c>
    </row>
    <row r="1769" spans="2:16" x14ac:dyDescent="0.45">
      <c r="B1769" s="4">
        <v>1768</v>
      </c>
      <c r="C1769" s="4" t="s">
        <v>43</v>
      </c>
      <c r="D1769" s="4" t="s">
        <v>23</v>
      </c>
      <c r="E1769" s="4" t="s">
        <v>17</v>
      </c>
      <c r="F1769" s="4" t="s">
        <v>24</v>
      </c>
      <c r="G1769" s="4" t="s">
        <v>19</v>
      </c>
      <c r="H1769" s="4" t="s">
        <v>38</v>
      </c>
      <c r="I1769" s="4">
        <v>18</v>
      </c>
      <c r="J1769" s="5">
        <v>82.9</v>
      </c>
      <c r="K1769" s="6">
        <v>1.75</v>
      </c>
      <c r="L1769" s="4">
        <v>3</v>
      </c>
      <c r="M1769" s="4">
        <v>110</v>
      </c>
      <c r="N1769" s="4">
        <v>81</v>
      </c>
      <c r="O1769" s="4" t="s">
        <v>26</v>
      </c>
      <c r="P1769" s="7" t="s">
        <v>19</v>
      </c>
    </row>
    <row r="1770" spans="2:16" x14ac:dyDescent="0.45">
      <c r="B1770" s="4">
        <v>1769</v>
      </c>
      <c r="C1770" s="4" t="s">
        <v>22</v>
      </c>
      <c r="D1770" s="4" t="s">
        <v>23</v>
      </c>
      <c r="E1770" s="4" t="s">
        <v>17</v>
      </c>
      <c r="F1770" s="4" t="s">
        <v>42</v>
      </c>
      <c r="G1770" s="4" t="s">
        <v>30</v>
      </c>
      <c r="H1770" s="4" t="s">
        <v>38</v>
      </c>
      <c r="I1770" s="4">
        <v>16</v>
      </c>
      <c r="J1770" s="5">
        <v>50.5</v>
      </c>
      <c r="K1770" s="6">
        <v>1.54</v>
      </c>
      <c r="L1770" s="4">
        <v>4</v>
      </c>
      <c r="M1770" s="4">
        <v>113</v>
      </c>
      <c r="N1770" s="4">
        <v>98</v>
      </c>
      <c r="O1770" s="4" t="s">
        <v>21</v>
      </c>
      <c r="P1770" s="7" t="s">
        <v>19</v>
      </c>
    </row>
    <row r="1771" spans="2:16" x14ac:dyDescent="0.45">
      <c r="B1771" s="4">
        <v>1770</v>
      </c>
      <c r="C1771" s="4" t="s">
        <v>27</v>
      </c>
      <c r="D1771" s="4" t="s">
        <v>23</v>
      </c>
      <c r="E1771" s="4" t="s">
        <v>17</v>
      </c>
      <c r="F1771" s="4" t="s">
        <v>42</v>
      </c>
      <c r="G1771" s="4" t="s">
        <v>30</v>
      </c>
      <c r="H1771" s="4" t="s">
        <v>34</v>
      </c>
      <c r="I1771" s="4">
        <v>29</v>
      </c>
      <c r="J1771" s="5">
        <v>93.4</v>
      </c>
      <c r="K1771" s="6">
        <v>1.88</v>
      </c>
      <c r="L1771" s="4">
        <v>7</v>
      </c>
      <c r="M1771" s="4">
        <v>113</v>
      </c>
      <c r="N1771" s="4">
        <v>85</v>
      </c>
      <c r="O1771" s="4" t="s">
        <v>26</v>
      </c>
      <c r="P1771" s="7" t="s">
        <v>30</v>
      </c>
    </row>
    <row r="1772" spans="2:16" x14ac:dyDescent="0.45">
      <c r="B1772" s="4">
        <v>1771</v>
      </c>
      <c r="C1772" s="4" t="s">
        <v>27</v>
      </c>
      <c r="D1772" s="4" t="s">
        <v>16</v>
      </c>
      <c r="E1772" s="4" t="s">
        <v>35</v>
      </c>
      <c r="F1772" s="4" t="s">
        <v>18</v>
      </c>
      <c r="G1772" s="4" t="s">
        <v>19</v>
      </c>
      <c r="H1772" s="4" t="s">
        <v>20</v>
      </c>
      <c r="I1772" s="4">
        <v>24</v>
      </c>
      <c r="J1772" s="5">
        <v>50.9</v>
      </c>
      <c r="K1772" s="6">
        <v>1.74</v>
      </c>
      <c r="L1772" s="4">
        <v>1</v>
      </c>
      <c r="M1772" s="4">
        <v>111</v>
      </c>
      <c r="N1772" s="4">
        <v>80</v>
      </c>
      <c r="O1772" s="4" t="s">
        <v>26</v>
      </c>
      <c r="P1772" s="7" t="s">
        <v>19</v>
      </c>
    </row>
    <row r="1773" spans="2:16" x14ac:dyDescent="0.45">
      <c r="B1773" s="4">
        <v>1772</v>
      </c>
      <c r="C1773" s="4" t="s">
        <v>33</v>
      </c>
      <c r="D1773" s="4" t="s">
        <v>16</v>
      </c>
      <c r="E1773" s="4" t="s">
        <v>37</v>
      </c>
      <c r="F1773" s="4" t="s">
        <v>18</v>
      </c>
      <c r="G1773" s="4" t="s">
        <v>30</v>
      </c>
      <c r="H1773" s="4" t="s">
        <v>20</v>
      </c>
      <c r="I1773" s="4">
        <v>19</v>
      </c>
      <c r="J1773" s="5">
        <v>61.9</v>
      </c>
      <c r="K1773" s="6">
        <v>1.8</v>
      </c>
      <c r="L1773" s="4">
        <v>0</v>
      </c>
      <c r="M1773" s="4">
        <v>103</v>
      </c>
      <c r="N1773" s="4">
        <v>87</v>
      </c>
      <c r="O1773" s="4" t="s">
        <v>21</v>
      </c>
      <c r="P1773" s="7" t="s">
        <v>19</v>
      </c>
    </row>
    <row r="1774" spans="2:16" x14ac:dyDescent="0.45">
      <c r="B1774" s="4">
        <v>1773</v>
      </c>
      <c r="C1774" s="4" t="s">
        <v>31</v>
      </c>
      <c r="D1774" s="4" t="s">
        <v>23</v>
      </c>
      <c r="E1774" s="4" t="s">
        <v>37</v>
      </c>
      <c r="F1774" s="4" t="s">
        <v>28</v>
      </c>
      <c r="G1774" s="4" t="s">
        <v>19</v>
      </c>
      <c r="H1774" s="4" t="s">
        <v>28</v>
      </c>
      <c r="I1774" s="4">
        <v>75</v>
      </c>
      <c r="J1774" s="5">
        <v>89.2</v>
      </c>
      <c r="K1774" s="6">
        <v>1.72</v>
      </c>
      <c r="L1774" s="4">
        <v>3</v>
      </c>
      <c r="M1774" s="4">
        <v>133</v>
      </c>
      <c r="N1774" s="4">
        <v>89</v>
      </c>
      <c r="O1774" s="4" t="s">
        <v>26</v>
      </c>
      <c r="P1774" s="7" t="s">
        <v>30</v>
      </c>
    </row>
    <row r="1775" spans="2:16" x14ac:dyDescent="0.45">
      <c r="B1775" s="4">
        <v>1774</v>
      </c>
      <c r="C1775" s="4" t="s">
        <v>41</v>
      </c>
      <c r="D1775" s="4" t="s">
        <v>16</v>
      </c>
      <c r="E1775" s="4" t="s">
        <v>17</v>
      </c>
      <c r="F1775" s="4" t="s">
        <v>24</v>
      </c>
      <c r="G1775" s="4" t="s">
        <v>19</v>
      </c>
      <c r="H1775" s="4" t="s">
        <v>28</v>
      </c>
      <c r="I1775" s="4">
        <v>1</v>
      </c>
      <c r="J1775" s="5">
        <v>8.5</v>
      </c>
      <c r="K1775" s="6">
        <v>0.69</v>
      </c>
      <c r="L1775" s="4">
        <v>4</v>
      </c>
      <c r="M1775" s="4">
        <v>99</v>
      </c>
      <c r="N1775" s="4">
        <v>75</v>
      </c>
      <c r="O1775" s="4" t="s">
        <v>26</v>
      </c>
      <c r="P1775" s="7" t="s">
        <v>19</v>
      </c>
    </row>
    <row r="1776" spans="2:16" x14ac:dyDescent="0.45">
      <c r="B1776" s="4">
        <v>1775</v>
      </c>
      <c r="C1776" s="4" t="s">
        <v>22</v>
      </c>
      <c r="D1776" s="4" t="s">
        <v>16</v>
      </c>
      <c r="E1776" s="4" t="s">
        <v>35</v>
      </c>
      <c r="F1776" s="4" t="s">
        <v>18</v>
      </c>
      <c r="G1776" s="4" t="s">
        <v>19</v>
      </c>
      <c r="H1776" s="4" t="s">
        <v>28</v>
      </c>
      <c r="I1776" s="4">
        <v>54</v>
      </c>
      <c r="J1776" s="5">
        <v>69.8</v>
      </c>
      <c r="K1776" s="6">
        <v>1.49</v>
      </c>
      <c r="L1776" s="4">
        <v>3</v>
      </c>
      <c r="M1776" s="4">
        <v>115</v>
      </c>
      <c r="N1776" s="4">
        <v>70</v>
      </c>
      <c r="O1776" s="4" t="s">
        <v>26</v>
      </c>
      <c r="P1776" s="7" t="s">
        <v>30</v>
      </c>
    </row>
    <row r="1777" spans="2:16" x14ac:dyDescent="0.45">
      <c r="B1777" s="4">
        <v>1776</v>
      </c>
      <c r="C1777" s="4" t="s">
        <v>33</v>
      </c>
      <c r="D1777" s="4" t="s">
        <v>16</v>
      </c>
      <c r="E1777" s="4" t="s">
        <v>17</v>
      </c>
      <c r="F1777" s="4" t="s">
        <v>24</v>
      </c>
      <c r="G1777" s="4" t="s">
        <v>19</v>
      </c>
      <c r="H1777" s="4" t="s">
        <v>20</v>
      </c>
      <c r="I1777" s="4">
        <v>8</v>
      </c>
      <c r="J1777" s="5">
        <v>29.7</v>
      </c>
      <c r="K1777" s="6">
        <v>1.41</v>
      </c>
      <c r="L1777" s="4">
        <v>0</v>
      </c>
      <c r="M1777" s="4">
        <v>108</v>
      </c>
      <c r="N1777" s="4">
        <v>83</v>
      </c>
      <c r="O1777" s="4" t="s">
        <v>26</v>
      </c>
      <c r="P1777" s="7" t="s">
        <v>19</v>
      </c>
    </row>
    <row r="1778" spans="2:16" x14ac:dyDescent="0.45">
      <c r="B1778" s="4">
        <v>1777</v>
      </c>
      <c r="C1778" s="4" t="s">
        <v>43</v>
      </c>
      <c r="D1778" s="4" t="s">
        <v>16</v>
      </c>
      <c r="E1778" s="4" t="s">
        <v>17</v>
      </c>
      <c r="F1778" s="4" t="s">
        <v>28</v>
      </c>
      <c r="G1778" s="4" t="s">
        <v>19</v>
      </c>
      <c r="H1778" s="4" t="s">
        <v>36</v>
      </c>
      <c r="I1778" s="4">
        <v>24</v>
      </c>
      <c r="J1778" s="5">
        <v>90.8</v>
      </c>
      <c r="K1778" s="6">
        <v>1.71</v>
      </c>
      <c r="L1778" s="4">
        <v>1</v>
      </c>
      <c r="M1778" s="4">
        <v>127</v>
      </c>
      <c r="N1778" s="4">
        <v>78</v>
      </c>
      <c r="O1778" s="4" t="s">
        <v>21</v>
      </c>
      <c r="P1778" s="7" t="s">
        <v>19</v>
      </c>
    </row>
    <row r="1779" spans="2:16" x14ac:dyDescent="0.45">
      <c r="B1779" s="4">
        <v>1778</v>
      </c>
      <c r="C1779" s="4" t="s">
        <v>39</v>
      </c>
      <c r="D1779" s="4" t="s">
        <v>16</v>
      </c>
      <c r="E1779" s="4" t="s">
        <v>35</v>
      </c>
      <c r="F1779" s="4" t="s">
        <v>18</v>
      </c>
      <c r="G1779" s="4" t="s">
        <v>19</v>
      </c>
      <c r="H1779" s="4" t="s">
        <v>20</v>
      </c>
      <c r="I1779" s="4">
        <v>38</v>
      </c>
      <c r="J1779" s="5">
        <v>61.9</v>
      </c>
      <c r="K1779" s="6">
        <v>1.72</v>
      </c>
      <c r="L1779" s="4">
        <v>3</v>
      </c>
      <c r="M1779" s="4">
        <v>116</v>
      </c>
      <c r="N1779" s="4">
        <v>74</v>
      </c>
      <c r="O1779" s="4" t="s">
        <v>26</v>
      </c>
      <c r="P1779" s="7" t="s">
        <v>19</v>
      </c>
    </row>
    <row r="1780" spans="2:16" x14ac:dyDescent="0.45">
      <c r="B1780" s="4">
        <v>1779</v>
      </c>
      <c r="C1780" s="4" t="s">
        <v>29</v>
      </c>
      <c r="D1780" s="4" t="s">
        <v>16</v>
      </c>
      <c r="E1780" s="4" t="s">
        <v>44</v>
      </c>
      <c r="F1780" s="4" t="s">
        <v>24</v>
      </c>
      <c r="G1780" s="4" t="s">
        <v>19</v>
      </c>
      <c r="H1780" s="4" t="s">
        <v>38</v>
      </c>
      <c r="I1780" s="4">
        <v>52</v>
      </c>
      <c r="J1780" s="5">
        <v>66.900000000000006</v>
      </c>
      <c r="K1780" s="6">
        <v>1.56</v>
      </c>
      <c r="L1780" s="4">
        <v>4</v>
      </c>
      <c r="M1780" s="4">
        <v>121</v>
      </c>
      <c r="N1780" s="4">
        <v>84</v>
      </c>
      <c r="O1780" s="4" t="s">
        <v>26</v>
      </c>
      <c r="P1780" s="7" t="s">
        <v>19</v>
      </c>
    </row>
    <row r="1781" spans="2:16" x14ac:dyDescent="0.45">
      <c r="B1781" s="4">
        <v>1780</v>
      </c>
      <c r="C1781" s="4" t="s">
        <v>43</v>
      </c>
      <c r="D1781" s="4" t="s">
        <v>23</v>
      </c>
      <c r="E1781" s="4" t="s">
        <v>35</v>
      </c>
      <c r="F1781" s="4" t="s">
        <v>24</v>
      </c>
      <c r="G1781" s="4" t="s">
        <v>19</v>
      </c>
      <c r="H1781" s="4" t="s">
        <v>25</v>
      </c>
      <c r="I1781" s="4">
        <v>58</v>
      </c>
      <c r="J1781" s="5">
        <v>68.2</v>
      </c>
      <c r="K1781" s="6">
        <v>1.88</v>
      </c>
      <c r="L1781" s="4">
        <v>3</v>
      </c>
      <c r="M1781" s="4">
        <v>118</v>
      </c>
      <c r="N1781" s="4">
        <v>73</v>
      </c>
      <c r="O1781" s="4" t="s">
        <v>26</v>
      </c>
      <c r="P1781" s="7" t="s">
        <v>19</v>
      </c>
    </row>
    <row r="1782" spans="2:16" x14ac:dyDescent="0.45">
      <c r="B1782" s="4">
        <v>1781</v>
      </c>
      <c r="C1782" s="4" t="s">
        <v>45</v>
      </c>
      <c r="D1782" s="4" t="s">
        <v>16</v>
      </c>
      <c r="E1782" s="4" t="s">
        <v>44</v>
      </c>
      <c r="F1782" s="4" t="s">
        <v>24</v>
      </c>
      <c r="G1782" s="4" t="s">
        <v>19</v>
      </c>
      <c r="H1782" s="4" t="s">
        <v>28</v>
      </c>
      <c r="I1782" s="4">
        <v>30</v>
      </c>
      <c r="J1782" s="5">
        <v>62.3</v>
      </c>
      <c r="K1782" s="6">
        <v>1.79</v>
      </c>
      <c r="L1782" s="4">
        <v>0</v>
      </c>
      <c r="M1782" s="4">
        <v>112</v>
      </c>
      <c r="N1782" s="4">
        <v>99</v>
      </c>
      <c r="O1782" s="4" t="s">
        <v>26</v>
      </c>
      <c r="P1782" s="7" t="s">
        <v>19</v>
      </c>
    </row>
    <row r="1783" spans="2:16" x14ac:dyDescent="0.45">
      <c r="B1783" s="4">
        <v>1782</v>
      </c>
      <c r="C1783" s="4" t="s">
        <v>41</v>
      </c>
      <c r="D1783" s="4" t="s">
        <v>16</v>
      </c>
      <c r="E1783" s="4" t="s">
        <v>17</v>
      </c>
      <c r="F1783" s="4" t="s">
        <v>24</v>
      </c>
      <c r="G1783" s="4" t="s">
        <v>19</v>
      </c>
      <c r="H1783" s="4" t="s">
        <v>46</v>
      </c>
      <c r="I1783" s="4">
        <v>19</v>
      </c>
      <c r="J1783" s="5">
        <v>74.099999999999994</v>
      </c>
      <c r="K1783" s="6">
        <v>1.75</v>
      </c>
      <c r="L1783" s="4">
        <v>1</v>
      </c>
      <c r="M1783" s="4">
        <v>111</v>
      </c>
      <c r="N1783" s="4">
        <v>86</v>
      </c>
      <c r="O1783" s="4" t="s">
        <v>26</v>
      </c>
      <c r="P1783" s="7" t="s">
        <v>19</v>
      </c>
    </row>
    <row r="1784" spans="2:16" x14ac:dyDescent="0.45">
      <c r="B1784" s="4">
        <v>1783</v>
      </c>
      <c r="C1784" s="4" t="s">
        <v>27</v>
      </c>
      <c r="D1784" s="4" t="s">
        <v>23</v>
      </c>
      <c r="E1784" s="4" t="s">
        <v>35</v>
      </c>
      <c r="F1784" s="4" t="s">
        <v>18</v>
      </c>
      <c r="G1784" s="4" t="s">
        <v>30</v>
      </c>
      <c r="H1784" s="4" t="s">
        <v>46</v>
      </c>
      <c r="I1784" s="4">
        <v>17</v>
      </c>
      <c r="J1784" s="5">
        <v>63.2</v>
      </c>
      <c r="K1784" s="6">
        <v>1.73</v>
      </c>
      <c r="L1784" s="4">
        <v>5</v>
      </c>
      <c r="M1784" s="4">
        <v>114</v>
      </c>
      <c r="N1784" s="4">
        <v>103</v>
      </c>
      <c r="O1784" s="4" t="s">
        <v>21</v>
      </c>
      <c r="P1784" s="7" t="s">
        <v>19</v>
      </c>
    </row>
    <row r="1785" spans="2:16" x14ac:dyDescent="0.45">
      <c r="B1785" s="4">
        <v>1784</v>
      </c>
      <c r="C1785" s="4" t="s">
        <v>22</v>
      </c>
      <c r="D1785" s="4" t="s">
        <v>16</v>
      </c>
      <c r="E1785" s="4" t="s">
        <v>17</v>
      </c>
      <c r="F1785" s="4" t="s">
        <v>18</v>
      </c>
      <c r="G1785" s="4" t="s">
        <v>19</v>
      </c>
      <c r="H1785" s="4" t="s">
        <v>46</v>
      </c>
      <c r="I1785" s="4">
        <v>12</v>
      </c>
      <c r="J1785" s="5">
        <v>52.8</v>
      </c>
      <c r="K1785" s="6">
        <v>1.6</v>
      </c>
      <c r="L1785" s="4">
        <v>6</v>
      </c>
      <c r="M1785" s="4">
        <v>117</v>
      </c>
      <c r="N1785" s="4">
        <v>93</v>
      </c>
      <c r="O1785" s="4" t="s">
        <v>26</v>
      </c>
      <c r="P1785" s="7" t="s">
        <v>19</v>
      </c>
    </row>
    <row r="1786" spans="2:16" x14ac:dyDescent="0.45">
      <c r="B1786" s="4">
        <v>1785</v>
      </c>
      <c r="C1786" s="4" t="s">
        <v>39</v>
      </c>
      <c r="D1786" s="4" t="s">
        <v>23</v>
      </c>
      <c r="E1786" s="4" t="s">
        <v>17</v>
      </c>
      <c r="F1786" s="4" t="s">
        <v>18</v>
      </c>
      <c r="G1786" s="4" t="s">
        <v>19</v>
      </c>
      <c r="H1786" s="4" t="s">
        <v>20</v>
      </c>
      <c r="I1786" s="4">
        <v>31</v>
      </c>
      <c r="J1786" s="5">
        <v>67.7</v>
      </c>
      <c r="K1786" s="6">
        <v>1.52</v>
      </c>
      <c r="L1786" s="4">
        <v>3</v>
      </c>
      <c r="M1786" s="4">
        <v>111</v>
      </c>
      <c r="N1786" s="4">
        <v>99</v>
      </c>
      <c r="O1786" s="4" t="s">
        <v>21</v>
      </c>
      <c r="P1786" s="7" t="s">
        <v>30</v>
      </c>
    </row>
    <row r="1787" spans="2:16" x14ac:dyDescent="0.45">
      <c r="B1787" s="4">
        <v>1786</v>
      </c>
      <c r="C1787" s="4" t="s">
        <v>15</v>
      </c>
      <c r="D1787" s="4" t="s">
        <v>16</v>
      </c>
      <c r="E1787" s="4" t="s">
        <v>17</v>
      </c>
      <c r="F1787" s="4" t="s">
        <v>24</v>
      </c>
      <c r="G1787" s="4" t="s">
        <v>19</v>
      </c>
      <c r="H1787" s="4" t="s">
        <v>46</v>
      </c>
      <c r="I1787" s="4">
        <v>23</v>
      </c>
      <c r="J1787" s="5">
        <v>84.4</v>
      </c>
      <c r="K1787" s="6">
        <v>1.78</v>
      </c>
      <c r="L1787" s="4">
        <v>0</v>
      </c>
      <c r="M1787" s="4">
        <v>122</v>
      </c>
      <c r="N1787" s="4">
        <v>78</v>
      </c>
      <c r="O1787" s="4" t="s">
        <v>26</v>
      </c>
      <c r="P1787" s="7" t="s">
        <v>19</v>
      </c>
    </row>
    <row r="1788" spans="2:16" x14ac:dyDescent="0.45">
      <c r="B1788" s="4">
        <v>1787</v>
      </c>
      <c r="C1788" s="4" t="s">
        <v>27</v>
      </c>
      <c r="D1788" s="4" t="s">
        <v>16</v>
      </c>
      <c r="E1788" s="4" t="s">
        <v>17</v>
      </c>
      <c r="F1788" s="4" t="s">
        <v>24</v>
      </c>
      <c r="G1788" s="4" t="s">
        <v>30</v>
      </c>
      <c r="H1788" s="4" t="s">
        <v>36</v>
      </c>
      <c r="I1788" s="4">
        <v>32</v>
      </c>
      <c r="J1788" s="5">
        <v>84.7</v>
      </c>
      <c r="K1788" s="6">
        <v>1.86</v>
      </c>
      <c r="L1788" s="4">
        <v>1</v>
      </c>
      <c r="M1788" s="4">
        <v>137</v>
      </c>
      <c r="N1788" s="4">
        <v>98</v>
      </c>
      <c r="O1788" s="4" t="s">
        <v>26</v>
      </c>
      <c r="P1788" s="7" t="s">
        <v>19</v>
      </c>
    </row>
    <row r="1789" spans="2:16" x14ac:dyDescent="0.45">
      <c r="B1789" s="4">
        <v>1788</v>
      </c>
      <c r="C1789" s="4" t="s">
        <v>31</v>
      </c>
      <c r="D1789" s="4" t="s">
        <v>16</v>
      </c>
      <c r="E1789" s="4" t="s">
        <v>35</v>
      </c>
      <c r="F1789" s="4" t="s">
        <v>42</v>
      </c>
      <c r="G1789" s="4" t="s">
        <v>19</v>
      </c>
      <c r="H1789" s="4" t="s">
        <v>28</v>
      </c>
      <c r="I1789" s="4">
        <v>61</v>
      </c>
      <c r="J1789" s="5">
        <v>81.900000000000006</v>
      </c>
      <c r="K1789" s="6">
        <v>1.63</v>
      </c>
      <c r="L1789" s="4">
        <v>1</v>
      </c>
      <c r="M1789" s="4">
        <v>126</v>
      </c>
      <c r="N1789" s="4">
        <v>81</v>
      </c>
      <c r="O1789" s="4" t="s">
        <v>26</v>
      </c>
      <c r="P1789" s="7" t="s">
        <v>19</v>
      </c>
    </row>
    <row r="1790" spans="2:16" x14ac:dyDescent="0.45">
      <c r="B1790" s="4">
        <v>1789</v>
      </c>
      <c r="C1790" s="4" t="s">
        <v>27</v>
      </c>
      <c r="D1790" s="4" t="s">
        <v>16</v>
      </c>
      <c r="E1790" s="4" t="s">
        <v>35</v>
      </c>
      <c r="F1790" s="4" t="s">
        <v>18</v>
      </c>
      <c r="G1790" s="4" t="s">
        <v>30</v>
      </c>
      <c r="H1790" s="4" t="s">
        <v>20</v>
      </c>
      <c r="I1790" s="4">
        <v>21</v>
      </c>
      <c r="J1790" s="5">
        <v>66.3</v>
      </c>
      <c r="K1790" s="6">
        <v>1.86</v>
      </c>
      <c r="L1790" s="4">
        <v>0</v>
      </c>
      <c r="M1790" s="4">
        <v>102</v>
      </c>
      <c r="N1790" s="4">
        <v>90</v>
      </c>
      <c r="O1790" s="4" t="s">
        <v>26</v>
      </c>
      <c r="P1790" s="7" t="s">
        <v>19</v>
      </c>
    </row>
    <row r="1791" spans="2:16" x14ac:dyDescent="0.45">
      <c r="B1791" s="4">
        <v>1790</v>
      </c>
      <c r="C1791" s="4" t="s">
        <v>15</v>
      </c>
      <c r="D1791" s="4" t="s">
        <v>23</v>
      </c>
      <c r="E1791" s="4" t="s">
        <v>35</v>
      </c>
      <c r="F1791" s="4" t="s">
        <v>24</v>
      </c>
      <c r="G1791" s="4" t="s">
        <v>19</v>
      </c>
      <c r="H1791" s="4" t="s">
        <v>32</v>
      </c>
      <c r="I1791" s="4">
        <v>47</v>
      </c>
      <c r="J1791" s="5">
        <v>54.2</v>
      </c>
      <c r="K1791" s="6">
        <v>1.9</v>
      </c>
      <c r="L1791" s="4">
        <v>1</v>
      </c>
      <c r="M1791" s="4">
        <v>110</v>
      </c>
      <c r="N1791" s="4">
        <v>151</v>
      </c>
      <c r="O1791" s="4" t="s">
        <v>21</v>
      </c>
      <c r="P1791" s="7" t="s">
        <v>19</v>
      </c>
    </row>
    <row r="1792" spans="2:16" x14ac:dyDescent="0.45">
      <c r="B1792" s="4">
        <v>1791</v>
      </c>
      <c r="C1792" s="4" t="s">
        <v>22</v>
      </c>
      <c r="D1792" s="4" t="s">
        <v>23</v>
      </c>
      <c r="E1792" s="4" t="s">
        <v>17</v>
      </c>
      <c r="F1792" s="4" t="s">
        <v>28</v>
      </c>
      <c r="G1792" s="4" t="s">
        <v>19</v>
      </c>
      <c r="H1792" s="4" t="s">
        <v>34</v>
      </c>
      <c r="I1792" s="4">
        <v>53</v>
      </c>
      <c r="J1792" s="5">
        <v>63.2</v>
      </c>
      <c r="K1792" s="6">
        <v>1.6</v>
      </c>
      <c r="L1792" s="4">
        <v>2</v>
      </c>
      <c r="M1792" s="4">
        <v>122</v>
      </c>
      <c r="N1792" s="4">
        <v>86</v>
      </c>
      <c r="O1792" s="4" t="s">
        <v>21</v>
      </c>
      <c r="P1792" s="7" t="s">
        <v>30</v>
      </c>
    </row>
    <row r="1793" spans="2:16" x14ac:dyDescent="0.45">
      <c r="B1793" s="4">
        <v>1792</v>
      </c>
      <c r="C1793" s="4" t="s">
        <v>41</v>
      </c>
      <c r="D1793" s="4" t="s">
        <v>23</v>
      </c>
      <c r="E1793" s="4" t="s">
        <v>17</v>
      </c>
      <c r="F1793" s="4" t="s">
        <v>18</v>
      </c>
      <c r="G1793" s="4" t="s">
        <v>19</v>
      </c>
      <c r="H1793" s="4" t="s">
        <v>34</v>
      </c>
      <c r="I1793" s="4">
        <v>18</v>
      </c>
      <c r="J1793" s="5">
        <v>88.2</v>
      </c>
      <c r="K1793" s="6">
        <v>1.9</v>
      </c>
      <c r="L1793" s="4">
        <v>3</v>
      </c>
      <c r="M1793" s="4">
        <v>120</v>
      </c>
      <c r="N1793" s="4">
        <v>105</v>
      </c>
      <c r="O1793" s="4" t="s">
        <v>26</v>
      </c>
      <c r="P1793" s="7" t="s">
        <v>30</v>
      </c>
    </row>
    <row r="1794" spans="2:16" x14ac:dyDescent="0.45">
      <c r="B1794" s="4">
        <v>1793</v>
      </c>
      <c r="C1794" s="4" t="s">
        <v>41</v>
      </c>
      <c r="D1794" s="4" t="s">
        <v>23</v>
      </c>
      <c r="E1794" s="4" t="s">
        <v>35</v>
      </c>
      <c r="F1794" s="4" t="s">
        <v>28</v>
      </c>
      <c r="G1794" s="4" t="s">
        <v>19</v>
      </c>
      <c r="H1794" s="4" t="s">
        <v>28</v>
      </c>
      <c r="I1794" s="4">
        <v>53</v>
      </c>
      <c r="J1794" s="5">
        <v>63</v>
      </c>
      <c r="K1794" s="6">
        <v>1.5</v>
      </c>
      <c r="L1794" s="4">
        <v>2</v>
      </c>
      <c r="M1794" s="4">
        <v>109</v>
      </c>
      <c r="N1794" s="4">
        <v>99</v>
      </c>
      <c r="O1794" s="4" t="s">
        <v>26</v>
      </c>
      <c r="P1794" s="7" t="s">
        <v>19</v>
      </c>
    </row>
    <row r="1795" spans="2:16" x14ac:dyDescent="0.45">
      <c r="B1795" s="4">
        <v>1794</v>
      </c>
      <c r="C1795" s="4" t="s">
        <v>22</v>
      </c>
      <c r="D1795" s="4" t="s">
        <v>23</v>
      </c>
      <c r="E1795" s="4" t="s">
        <v>35</v>
      </c>
      <c r="F1795" s="4" t="s">
        <v>18</v>
      </c>
      <c r="G1795" s="4" t="s">
        <v>19</v>
      </c>
      <c r="H1795" s="4" t="s">
        <v>34</v>
      </c>
      <c r="I1795" s="4">
        <v>11</v>
      </c>
      <c r="J1795" s="5">
        <v>23.8</v>
      </c>
      <c r="K1795" s="6">
        <v>1.37</v>
      </c>
      <c r="L1795" s="4">
        <v>1</v>
      </c>
      <c r="M1795" s="4">
        <v>110</v>
      </c>
      <c r="N1795" s="4">
        <v>93</v>
      </c>
      <c r="O1795" s="4" t="s">
        <v>26</v>
      </c>
      <c r="P1795" s="7" t="s">
        <v>19</v>
      </c>
    </row>
    <row r="1796" spans="2:16" x14ac:dyDescent="0.45">
      <c r="B1796" s="4">
        <v>1795</v>
      </c>
      <c r="C1796" s="4" t="s">
        <v>29</v>
      </c>
      <c r="D1796" s="4" t="s">
        <v>16</v>
      </c>
      <c r="E1796" s="4" t="s">
        <v>44</v>
      </c>
      <c r="F1796" s="4" t="s">
        <v>18</v>
      </c>
      <c r="G1796" s="4" t="s">
        <v>30</v>
      </c>
      <c r="H1796" s="4" t="s">
        <v>34</v>
      </c>
      <c r="I1796" s="4">
        <v>58</v>
      </c>
      <c r="J1796" s="5">
        <v>67.599999999999994</v>
      </c>
      <c r="K1796" s="6">
        <v>1.58</v>
      </c>
      <c r="L1796" s="4">
        <v>3</v>
      </c>
      <c r="M1796" s="4">
        <v>127</v>
      </c>
      <c r="N1796" s="4">
        <v>100</v>
      </c>
      <c r="O1796" s="4" t="s">
        <v>21</v>
      </c>
      <c r="P1796" s="7" t="s">
        <v>19</v>
      </c>
    </row>
    <row r="1797" spans="2:16" x14ac:dyDescent="0.45">
      <c r="B1797" s="4">
        <v>1796</v>
      </c>
      <c r="C1797" s="4" t="s">
        <v>27</v>
      </c>
      <c r="D1797" s="4" t="s">
        <v>23</v>
      </c>
      <c r="E1797" s="4" t="s">
        <v>35</v>
      </c>
      <c r="F1797" s="4" t="s">
        <v>18</v>
      </c>
      <c r="G1797" s="4" t="s">
        <v>19</v>
      </c>
      <c r="H1797" s="4" t="s">
        <v>38</v>
      </c>
      <c r="I1797" s="4">
        <v>33</v>
      </c>
      <c r="J1797" s="5">
        <v>84</v>
      </c>
      <c r="K1797" s="6">
        <v>1.48</v>
      </c>
      <c r="L1797" s="4">
        <v>1</v>
      </c>
      <c r="M1797" s="4">
        <v>132</v>
      </c>
      <c r="N1797" s="4">
        <v>105</v>
      </c>
      <c r="O1797" s="4" t="s">
        <v>26</v>
      </c>
      <c r="P1797" s="7" t="s">
        <v>30</v>
      </c>
    </row>
    <row r="1798" spans="2:16" x14ac:dyDescent="0.45">
      <c r="B1798" s="4">
        <v>1797</v>
      </c>
      <c r="C1798" s="4" t="s">
        <v>29</v>
      </c>
      <c r="D1798" s="4" t="s">
        <v>16</v>
      </c>
      <c r="E1798" s="4" t="s">
        <v>17</v>
      </c>
      <c r="F1798" s="4" t="s">
        <v>18</v>
      </c>
      <c r="G1798" s="4" t="s">
        <v>30</v>
      </c>
      <c r="H1798" s="4" t="s">
        <v>36</v>
      </c>
      <c r="I1798" s="4">
        <v>10</v>
      </c>
      <c r="J1798" s="5">
        <v>23.8</v>
      </c>
      <c r="K1798" s="6">
        <v>1.1399999999999999</v>
      </c>
      <c r="L1798" s="4">
        <v>8</v>
      </c>
      <c r="M1798" s="4">
        <v>142</v>
      </c>
      <c r="N1798" s="4">
        <v>100</v>
      </c>
      <c r="O1798" s="4" t="s">
        <v>21</v>
      </c>
      <c r="P1798" s="7" t="s">
        <v>30</v>
      </c>
    </row>
    <row r="1799" spans="2:16" x14ac:dyDescent="0.45">
      <c r="B1799" s="4">
        <v>1798</v>
      </c>
      <c r="C1799" s="4" t="s">
        <v>29</v>
      </c>
      <c r="D1799" s="4" t="s">
        <v>23</v>
      </c>
      <c r="E1799" s="4" t="s">
        <v>17</v>
      </c>
      <c r="F1799" s="4" t="s">
        <v>24</v>
      </c>
      <c r="G1799" s="4" t="s">
        <v>19</v>
      </c>
      <c r="H1799" s="4" t="s">
        <v>34</v>
      </c>
      <c r="I1799" s="4">
        <v>14</v>
      </c>
      <c r="J1799" s="5">
        <v>55.6</v>
      </c>
      <c r="K1799" s="6">
        <v>1.67</v>
      </c>
      <c r="L1799" s="4">
        <v>2</v>
      </c>
      <c r="M1799" s="4">
        <v>110</v>
      </c>
      <c r="N1799" s="4">
        <v>104</v>
      </c>
      <c r="O1799" s="4" t="s">
        <v>26</v>
      </c>
      <c r="P1799" s="7" t="s">
        <v>19</v>
      </c>
    </row>
    <row r="1800" spans="2:16" x14ac:dyDescent="0.45">
      <c r="B1800" s="4">
        <v>1799</v>
      </c>
      <c r="C1800" s="4" t="s">
        <v>27</v>
      </c>
      <c r="D1800" s="4" t="s">
        <v>23</v>
      </c>
      <c r="E1800" s="4" t="s">
        <v>37</v>
      </c>
      <c r="F1800" s="4" t="s">
        <v>18</v>
      </c>
      <c r="G1800" s="4" t="s">
        <v>30</v>
      </c>
      <c r="H1800" s="4" t="s">
        <v>46</v>
      </c>
      <c r="I1800" s="4">
        <v>24</v>
      </c>
      <c r="J1800" s="5">
        <v>51.9</v>
      </c>
      <c r="K1800" s="6">
        <v>1.66</v>
      </c>
      <c r="L1800" s="4">
        <v>6</v>
      </c>
      <c r="M1800" s="4">
        <v>100</v>
      </c>
      <c r="N1800" s="4">
        <v>79</v>
      </c>
      <c r="O1800" s="4" t="s">
        <v>21</v>
      </c>
      <c r="P1800" s="7" t="s">
        <v>19</v>
      </c>
    </row>
    <row r="1801" spans="2:16" x14ac:dyDescent="0.45">
      <c r="B1801" s="4">
        <v>1800</v>
      </c>
      <c r="C1801" s="4" t="s">
        <v>39</v>
      </c>
      <c r="D1801" s="4" t="s">
        <v>16</v>
      </c>
      <c r="E1801" s="4" t="s">
        <v>35</v>
      </c>
      <c r="F1801" s="4" t="s">
        <v>18</v>
      </c>
      <c r="G1801" s="4" t="s">
        <v>19</v>
      </c>
      <c r="H1801" s="4" t="s">
        <v>20</v>
      </c>
      <c r="I1801" s="4">
        <v>21</v>
      </c>
      <c r="J1801" s="5">
        <v>77.3</v>
      </c>
      <c r="K1801" s="6">
        <v>1.76</v>
      </c>
      <c r="L1801" s="4">
        <v>4</v>
      </c>
      <c r="M1801" s="4">
        <v>102</v>
      </c>
      <c r="N1801" s="4">
        <v>103</v>
      </c>
      <c r="O1801" s="4" t="s">
        <v>21</v>
      </c>
      <c r="P1801" s="7" t="s">
        <v>19</v>
      </c>
    </row>
    <row r="1802" spans="2:16" x14ac:dyDescent="0.45">
      <c r="B1802" s="4">
        <v>1801</v>
      </c>
      <c r="C1802" s="4" t="s">
        <v>41</v>
      </c>
      <c r="D1802" s="4" t="s">
        <v>23</v>
      </c>
      <c r="E1802" s="4" t="s">
        <v>17</v>
      </c>
      <c r="F1802" s="4" t="s">
        <v>24</v>
      </c>
      <c r="G1802" s="4" t="s">
        <v>19</v>
      </c>
      <c r="H1802" s="4" t="s">
        <v>32</v>
      </c>
      <c r="I1802" s="4">
        <v>4</v>
      </c>
      <c r="J1802" s="5">
        <v>10.1</v>
      </c>
      <c r="K1802" s="6">
        <v>0.75</v>
      </c>
      <c r="L1802" s="4">
        <v>3</v>
      </c>
      <c r="M1802" s="4">
        <v>99</v>
      </c>
      <c r="N1802" s="4">
        <v>157</v>
      </c>
      <c r="O1802" s="4" t="s">
        <v>21</v>
      </c>
      <c r="P1802" s="7" t="s">
        <v>19</v>
      </c>
    </row>
    <row r="1803" spans="2:16" x14ac:dyDescent="0.45">
      <c r="B1803" s="4">
        <v>1802</v>
      </c>
      <c r="C1803" s="4" t="s">
        <v>15</v>
      </c>
      <c r="D1803" s="4" t="s">
        <v>16</v>
      </c>
      <c r="E1803" s="4" t="s">
        <v>17</v>
      </c>
      <c r="F1803" s="4" t="s">
        <v>24</v>
      </c>
      <c r="G1803" s="4" t="s">
        <v>19</v>
      </c>
      <c r="H1803" s="4" t="s">
        <v>34</v>
      </c>
      <c r="I1803" s="4">
        <v>8</v>
      </c>
      <c r="J1803" s="5">
        <v>24.5</v>
      </c>
      <c r="K1803" s="6">
        <v>1.05</v>
      </c>
      <c r="L1803" s="4">
        <v>1</v>
      </c>
      <c r="M1803" s="4">
        <v>94</v>
      </c>
      <c r="N1803" s="4">
        <v>99</v>
      </c>
      <c r="O1803" s="4" t="s">
        <v>26</v>
      </c>
      <c r="P1803" s="7" t="s">
        <v>19</v>
      </c>
    </row>
    <row r="1804" spans="2:16" x14ac:dyDescent="0.45">
      <c r="B1804" s="4">
        <v>1803</v>
      </c>
      <c r="C1804" s="4" t="s">
        <v>15</v>
      </c>
      <c r="D1804" s="4" t="s">
        <v>23</v>
      </c>
      <c r="E1804" s="4" t="s">
        <v>17</v>
      </c>
      <c r="F1804" s="4" t="s">
        <v>24</v>
      </c>
      <c r="G1804" s="4" t="s">
        <v>19</v>
      </c>
      <c r="H1804" s="4" t="s">
        <v>28</v>
      </c>
      <c r="I1804" s="4">
        <v>6</v>
      </c>
      <c r="J1804" s="5">
        <v>36.5</v>
      </c>
      <c r="K1804" s="6">
        <v>1.38</v>
      </c>
      <c r="L1804" s="4">
        <v>7</v>
      </c>
      <c r="M1804" s="4">
        <v>105</v>
      </c>
      <c r="N1804" s="4">
        <v>93</v>
      </c>
      <c r="O1804" s="4" t="s">
        <v>26</v>
      </c>
      <c r="P1804" s="7" t="s">
        <v>19</v>
      </c>
    </row>
    <row r="1805" spans="2:16" x14ac:dyDescent="0.45">
      <c r="B1805" s="4">
        <v>1804</v>
      </c>
      <c r="C1805" s="4" t="s">
        <v>43</v>
      </c>
      <c r="D1805" s="4" t="s">
        <v>16</v>
      </c>
      <c r="E1805" s="4" t="s">
        <v>17</v>
      </c>
      <c r="F1805" s="4" t="s">
        <v>24</v>
      </c>
      <c r="G1805" s="4" t="s">
        <v>19</v>
      </c>
      <c r="H1805" s="4" t="s">
        <v>32</v>
      </c>
      <c r="I1805" s="4">
        <v>76</v>
      </c>
      <c r="J1805" s="5">
        <v>86.4</v>
      </c>
      <c r="K1805" s="6">
        <v>1.64</v>
      </c>
      <c r="L1805" s="4">
        <v>5</v>
      </c>
      <c r="M1805" s="4">
        <v>122</v>
      </c>
      <c r="N1805" s="4">
        <v>163</v>
      </c>
      <c r="O1805" s="4" t="s">
        <v>26</v>
      </c>
      <c r="P1805" s="7" t="s">
        <v>19</v>
      </c>
    </row>
    <row r="1806" spans="2:16" x14ac:dyDescent="0.45">
      <c r="B1806" s="4">
        <v>1805</v>
      </c>
      <c r="C1806" s="4" t="s">
        <v>45</v>
      </c>
      <c r="D1806" s="4" t="s">
        <v>23</v>
      </c>
      <c r="E1806" s="4" t="s">
        <v>17</v>
      </c>
      <c r="F1806" s="4" t="s">
        <v>24</v>
      </c>
      <c r="G1806" s="4" t="s">
        <v>19</v>
      </c>
      <c r="H1806" s="4" t="s">
        <v>38</v>
      </c>
      <c r="I1806" s="4">
        <v>62</v>
      </c>
      <c r="J1806" s="5">
        <v>59.6</v>
      </c>
      <c r="K1806" s="6">
        <v>1.7</v>
      </c>
      <c r="L1806" s="4">
        <v>2</v>
      </c>
      <c r="M1806" s="4">
        <v>139</v>
      </c>
      <c r="N1806" s="4">
        <v>90</v>
      </c>
      <c r="O1806" s="4" t="s">
        <v>26</v>
      </c>
      <c r="P1806" s="7" t="s">
        <v>30</v>
      </c>
    </row>
    <row r="1807" spans="2:16" x14ac:dyDescent="0.45">
      <c r="B1807" s="4">
        <v>1806</v>
      </c>
      <c r="C1807" s="4" t="s">
        <v>31</v>
      </c>
      <c r="D1807" s="4" t="s">
        <v>23</v>
      </c>
      <c r="E1807" s="4" t="s">
        <v>35</v>
      </c>
      <c r="F1807" s="4" t="s">
        <v>24</v>
      </c>
      <c r="G1807" s="4" t="s">
        <v>30</v>
      </c>
      <c r="H1807" s="4" t="s">
        <v>20</v>
      </c>
      <c r="I1807" s="4">
        <v>11</v>
      </c>
      <c r="J1807" s="5">
        <v>21.5</v>
      </c>
      <c r="K1807" s="6">
        <v>1.19</v>
      </c>
      <c r="L1807" s="4">
        <v>1</v>
      </c>
      <c r="M1807" s="4">
        <v>99</v>
      </c>
      <c r="N1807" s="4">
        <v>97</v>
      </c>
      <c r="O1807" s="4" t="s">
        <v>21</v>
      </c>
      <c r="P1807" s="7" t="s">
        <v>19</v>
      </c>
    </row>
    <row r="1808" spans="2:16" x14ac:dyDescent="0.45">
      <c r="B1808" s="4">
        <v>1807</v>
      </c>
      <c r="C1808" s="4" t="s">
        <v>15</v>
      </c>
      <c r="D1808" s="4" t="s">
        <v>16</v>
      </c>
      <c r="E1808" s="4" t="s">
        <v>17</v>
      </c>
      <c r="F1808" s="4" t="s">
        <v>18</v>
      </c>
      <c r="G1808" s="4" t="s">
        <v>30</v>
      </c>
      <c r="H1808" s="4" t="s">
        <v>36</v>
      </c>
      <c r="I1808" s="4">
        <v>27</v>
      </c>
      <c r="J1808" s="5">
        <v>63.6</v>
      </c>
      <c r="K1808" s="6">
        <v>1.71</v>
      </c>
      <c r="L1808" s="4">
        <v>1</v>
      </c>
      <c r="M1808" s="4">
        <v>122</v>
      </c>
      <c r="N1808" s="4">
        <v>71</v>
      </c>
      <c r="O1808" s="4" t="s">
        <v>21</v>
      </c>
      <c r="P1808" s="7" t="s">
        <v>19</v>
      </c>
    </row>
    <row r="1809" spans="2:16" x14ac:dyDescent="0.45">
      <c r="B1809" s="4">
        <v>1808</v>
      </c>
      <c r="C1809" s="4" t="s">
        <v>45</v>
      </c>
      <c r="D1809" s="4" t="s">
        <v>23</v>
      </c>
      <c r="E1809" s="4" t="s">
        <v>44</v>
      </c>
      <c r="F1809" s="4" t="s">
        <v>24</v>
      </c>
      <c r="G1809" s="4" t="s">
        <v>19</v>
      </c>
      <c r="H1809" s="4" t="s">
        <v>36</v>
      </c>
      <c r="I1809" s="4">
        <v>36</v>
      </c>
      <c r="J1809" s="5">
        <v>80.7</v>
      </c>
      <c r="K1809" s="6">
        <v>1.83</v>
      </c>
      <c r="L1809" s="4">
        <v>4</v>
      </c>
      <c r="M1809" s="4">
        <v>131</v>
      </c>
      <c r="N1809" s="4">
        <v>92</v>
      </c>
      <c r="O1809" s="4" t="s">
        <v>26</v>
      </c>
      <c r="P1809" s="7" t="s">
        <v>19</v>
      </c>
    </row>
    <row r="1810" spans="2:16" x14ac:dyDescent="0.45">
      <c r="B1810" s="4">
        <v>1809</v>
      </c>
      <c r="C1810" s="4" t="s">
        <v>15</v>
      </c>
      <c r="D1810" s="4" t="s">
        <v>23</v>
      </c>
      <c r="E1810" s="4" t="s">
        <v>37</v>
      </c>
      <c r="F1810" s="4" t="s">
        <v>28</v>
      </c>
      <c r="G1810" s="4" t="s">
        <v>19</v>
      </c>
      <c r="H1810" s="4" t="s">
        <v>20</v>
      </c>
      <c r="I1810" s="4">
        <v>30</v>
      </c>
      <c r="J1810" s="5">
        <v>68</v>
      </c>
      <c r="K1810" s="6">
        <v>1.52</v>
      </c>
      <c r="L1810" s="4">
        <v>3</v>
      </c>
      <c r="M1810" s="4">
        <v>120</v>
      </c>
      <c r="N1810" s="4">
        <v>100</v>
      </c>
      <c r="O1810" s="4" t="s">
        <v>21</v>
      </c>
      <c r="P1810" s="7" t="s">
        <v>19</v>
      </c>
    </row>
    <row r="1811" spans="2:16" x14ac:dyDescent="0.45">
      <c r="B1811" s="4">
        <v>1810</v>
      </c>
      <c r="C1811" s="4" t="s">
        <v>40</v>
      </c>
      <c r="D1811" s="4" t="s">
        <v>16</v>
      </c>
      <c r="E1811" s="4" t="s">
        <v>35</v>
      </c>
      <c r="F1811" s="4" t="s">
        <v>24</v>
      </c>
      <c r="G1811" s="4" t="s">
        <v>19</v>
      </c>
      <c r="H1811" s="4" t="s">
        <v>38</v>
      </c>
      <c r="I1811" s="4">
        <v>48</v>
      </c>
      <c r="J1811" s="5">
        <v>86.5</v>
      </c>
      <c r="K1811" s="6">
        <v>1.53</v>
      </c>
      <c r="L1811" s="4">
        <v>2</v>
      </c>
      <c r="M1811" s="4">
        <v>129</v>
      </c>
      <c r="N1811" s="4">
        <v>90</v>
      </c>
      <c r="O1811" s="4" t="s">
        <v>21</v>
      </c>
      <c r="P1811" s="7" t="s">
        <v>19</v>
      </c>
    </row>
    <row r="1812" spans="2:16" x14ac:dyDescent="0.45">
      <c r="B1812" s="4">
        <v>1811</v>
      </c>
      <c r="C1812" s="4" t="s">
        <v>27</v>
      </c>
      <c r="D1812" s="4" t="s">
        <v>16</v>
      </c>
      <c r="E1812" s="4" t="s">
        <v>37</v>
      </c>
      <c r="F1812" s="4" t="s">
        <v>24</v>
      </c>
      <c r="G1812" s="4" t="s">
        <v>19</v>
      </c>
      <c r="H1812" s="4" t="s">
        <v>25</v>
      </c>
      <c r="I1812" s="4">
        <v>32</v>
      </c>
      <c r="J1812" s="5">
        <v>92.3</v>
      </c>
      <c r="K1812" s="6">
        <v>1.58</v>
      </c>
      <c r="L1812" s="4">
        <v>3</v>
      </c>
      <c r="M1812" s="4">
        <v>118</v>
      </c>
      <c r="N1812" s="4">
        <v>95</v>
      </c>
      <c r="O1812" s="4" t="s">
        <v>21</v>
      </c>
      <c r="P1812" s="7" t="s">
        <v>19</v>
      </c>
    </row>
    <row r="1813" spans="2:16" x14ac:dyDescent="0.45">
      <c r="B1813" s="4">
        <v>1812</v>
      </c>
      <c r="C1813" s="4" t="s">
        <v>45</v>
      </c>
      <c r="D1813" s="4" t="s">
        <v>16</v>
      </c>
      <c r="E1813" s="4" t="s">
        <v>37</v>
      </c>
      <c r="F1813" s="4" t="s">
        <v>28</v>
      </c>
      <c r="G1813" s="4" t="s">
        <v>19</v>
      </c>
      <c r="H1813" s="4" t="s">
        <v>25</v>
      </c>
      <c r="I1813" s="4">
        <v>17</v>
      </c>
      <c r="J1813" s="5">
        <v>56.1</v>
      </c>
      <c r="K1813" s="6">
        <v>1.54</v>
      </c>
      <c r="L1813" s="4">
        <v>3</v>
      </c>
      <c r="M1813" s="4">
        <v>116</v>
      </c>
      <c r="N1813" s="4">
        <v>84</v>
      </c>
      <c r="O1813" s="4" t="s">
        <v>21</v>
      </c>
      <c r="P1813" s="7" t="s">
        <v>19</v>
      </c>
    </row>
    <row r="1814" spans="2:16" x14ac:dyDescent="0.45">
      <c r="B1814" s="4">
        <v>1813</v>
      </c>
      <c r="C1814" s="4" t="s">
        <v>41</v>
      </c>
      <c r="D1814" s="4" t="s">
        <v>16</v>
      </c>
      <c r="E1814" s="4" t="s">
        <v>35</v>
      </c>
      <c r="F1814" s="4" t="s">
        <v>18</v>
      </c>
      <c r="G1814" s="4" t="s">
        <v>19</v>
      </c>
      <c r="H1814" s="4" t="s">
        <v>34</v>
      </c>
      <c r="I1814" s="4">
        <v>7</v>
      </c>
      <c r="J1814" s="5">
        <v>29</v>
      </c>
      <c r="K1814" s="6">
        <v>1.39</v>
      </c>
      <c r="L1814" s="4">
        <v>2</v>
      </c>
      <c r="M1814" s="4">
        <v>96</v>
      </c>
      <c r="N1814" s="4">
        <v>72</v>
      </c>
      <c r="O1814" s="4" t="s">
        <v>21</v>
      </c>
      <c r="P1814" s="7" t="s">
        <v>19</v>
      </c>
    </row>
    <row r="1815" spans="2:16" x14ac:dyDescent="0.45">
      <c r="B1815" s="4">
        <v>1814</v>
      </c>
      <c r="C1815" s="4" t="s">
        <v>39</v>
      </c>
      <c r="D1815" s="4" t="s">
        <v>16</v>
      </c>
      <c r="E1815" s="4" t="s">
        <v>17</v>
      </c>
      <c r="F1815" s="4" t="s">
        <v>24</v>
      </c>
      <c r="G1815" s="4" t="s">
        <v>19</v>
      </c>
      <c r="H1815" s="4" t="s">
        <v>34</v>
      </c>
      <c r="I1815" s="4">
        <v>10</v>
      </c>
      <c r="J1815" s="5">
        <v>24.6</v>
      </c>
      <c r="K1815" s="6">
        <v>1.1000000000000001</v>
      </c>
      <c r="L1815" s="4">
        <v>2</v>
      </c>
      <c r="M1815" s="4">
        <v>109</v>
      </c>
      <c r="N1815" s="4">
        <v>82</v>
      </c>
      <c r="O1815" s="4" t="s">
        <v>21</v>
      </c>
      <c r="P1815" s="7" t="s">
        <v>19</v>
      </c>
    </row>
    <row r="1816" spans="2:16" x14ac:dyDescent="0.45">
      <c r="B1816" s="4">
        <v>1815</v>
      </c>
      <c r="C1816" s="4" t="s">
        <v>40</v>
      </c>
      <c r="D1816" s="4" t="s">
        <v>16</v>
      </c>
      <c r="E1816" s="4" t="s">
        <v>17</v>
      </c>
      <c r="F1816" s="4" t="s">
        <v>18</v>
      </c>
      <c r="G1816" s="4" t="s">
        <v>19</v>
      </c>
      <c r="H1816" s="4" t="s">
        <v>34</v>
      </c>
      <c r="I1816" s="4">
        <v>17</v>
      </c>
      <c r="J1816" s="5">
        <v>60.4</v>
      </c>
      <c r="K1816" s="6">
        <v>1.71</v>
      </c>
      <c r="L1816" s="4">
        <v>1</v>
      </c>
      <c r="M1816" s="4">
        <v>114</v>
      </c>
      <c r="N1816" s="4">
        <v>92</v>
      </c>
      <c r="O1816" s="4" t="s">
        <v>26</v>
      </c>
      <c r="P1816" s="7" t="s">
        <v>19</v>
      </c>
    </row>
    <row r="1817" spans="2:16" x14ac:dyDescent="0.45">
      <c r="B1817" s="4">
        <v>1816</v>
      </c>
      <c r="C1817" s="4" t="s">
        <v>41</v>
      </c>
      <c r="D1817" s="4" t="s">
        <v>16</v>
      </c>
      <c r="E1817" s="4" t="s">
        <v>17</v>
      </c>
      <c r="F1817" s="4" t="s">
        <v>24</v>
      </c>
      <c r="G1817" s="4" t="s">
        <v>19</v>
      </c>
      <c r="H1817" s="4" t="s">
        <v>36</v>
      </c>
      <c r="I1817" s="4">
        <v>57</v>
      </c>
      <c r="J1817" s="5">
        <v>83.3</v>
      </c>
      <c r="K1817" s="6">
        <v>1.54</v>
      </c>
      <c r="L1817" s="4">
        <v>1</v>
      </c>
      <c r="M1817" s="4">
        <v>142</v>
      </c>
      <c r="N1817" s="4">
        <v>103</v>
      </c>
      <c r="O1817" s="4" t="s">
        <v>26</v>
      </c>
      <c r="P1817" s="7" t="s">
        <v>19</v>
      </c>
    </row>
    <row r="1818" spans="2:16" x14ac:dyDescent="0.45">
      <c r="B1818" s="4">
        <v>1817</v>
      </c>
      <c r="C1818" s="4" t="s">
        <v>31</v>
      </c>
      <c r="D1818" s="4" t="s">
        <v>23</v>
      </c>
      <c r="E1818" s="4" t="s">
        <v>37</v>
      </c>
      <c r="F1818" s="4" t="s">
        <v>24</v>
      </c>
      <c r="G1818" s="4" t="s">
        <v>19</v>
      </c>
      <c r="H1818" s="4" t="s">
        <v>25</v>
      </c>
      <c r="I1818" s="4">
        <v>6</v>
      </c>
      <c r="J1818" s="5">
        <v>22.5</v>
      </c>
      <c r="K1818" s="6">
        <v>1.42</v>
      </c>
      <c r="L1818" s="4">
        <v>8</v>
      </c>
      <c r="M1818" s="4">
        <v>115</v>
      </c>
      <c r="N1818" s="4">
        <v>72</v>
      </c>
      <c r="O1818" s="4" t="s">
        <v>26</v>
      </c>
      <c r="P1818" s="7" t="s">
        <v>19</v>
      </c>
    </row>
    <row r="1819" spans="2:16" x14ac:dyDescent="0.45">
      <c r="B1819" s="4">
        <v>1818</v>
      </c>
      <c r="C1819" s="4" t="s">
        <v>15</v>
      </c>
      <c r="D1819" s="4" t="s">
        <v>16</v>
      </c>
      <c r="E1819" s="4" t="s">
        <v>17</v>
      </c>
      <c r="F1819" s="4" t="s">
        <v>42</v>
      </c>
      <c r="G1819" s="4" t="s">
        <v>30</v>
      </c>
      <c r="H1819" s="4" t="s">
        <v>28</v>
      </c>
      <c r="I1819" s="4">
        <v>42</v>
      </c>
      <c r="J1819" s="5">
        <v>87</v>
      </c>
      <c r="K1819" s="6">
        <v>1.85</v>
      </c>
      <c r="L1819" s="4">
        <v>2</v>
      </c>
      <c r="M1819" s="4">
        <v>124</v>
      </c>
      <c r="N1819" s="4">
        <v>99</v>
      </c>
      <c r="O1819" s="4" t="s">
        <v>21</v>
      </c>
      <c r="P1819" s="7" t="s">
        <v>19</v>
      </c>
    </row>
    <row r="1820" spans="2:16" x14ac:dyDescent="0.45">
      <c r="B1820" s="4">
        <v>1819</v>
      </c>
      <c r="C1820" s="4" t="s">
        <v>40</v>
      </c>
      <c r="D1820" s="4" t="s">
        <v>16</v>
      </c>
      <c r="E1820" s="4" t="s">
        <v>35</v>
      </c>
      <c r="F1820" s="4" t="s">
        <v>24</v>
      </c>
      <c r="G1820" s="4" t="s">
        <v>19</v>
      </c>
      <c r="H1820" s="4" t="s">
        <v>20</v>
      </c>
      <c r="I1820" s="4">
        <v>12</v>
      </c>
      <c r="J1820" s="5">
        <v>38.700000000000003</v>
      </c>
      <c r="K1820" s="6">
        <v>1.72</v>
      </c>
      <c r="L1820" s="4">
        <v>2</v>
      </c>
      <c r="M1820" s="4">
        <v>117</v>
      </c>
      <c r="N1820" s="4">
        <v>86</v>
      </c>
      <c r="O1820" s="4" t="s">
        <v>21</v>
      </c>
      <c r="P1820" s="7" t="s">
        <v>19</v>
      </c>
    </row>
    <row r="1821" spans="2:16" x14ac:dyDescent="0.45">
      <c r="B1821" s="4">
        <v>1820</v>
      </c>
      <c r="C1821" s="4" t="s">
        <v>29</v>
      </c>
      <c r="D1821" s="4" t="s">
        <v>16</v>
      </c>
      <c r="E1821" s="4" t="s">
        <v>37</v>
      </c>
      <c r="F1821" s="4" t="s">
        <v>18</v>
      </c>
      <c r="G1821" s="4" t="s">
        <v>30</v>
      </c>
      <c r="H1821" s="4" t="s">
        <v>25</v>
      </c>
      <c r="I1821" s="4">
        <v>11</v>
      </c>
      <c r="J1821" s="5">
        <v>30.5</v>
      </c>
      <c r="K1821" s="6">
        <v>1.18</v>
      </c>
      <c r="L1821" s="4">
        <v>7</v>
      </c>
      <c r="M1821" s="4">
        <v>118</v>
      </c>
      <c r="N1821" s="4">
        <v>103</v>
      </c>
      <c r="O1821" s="4" t="s">
        <v>21</v>
      </c>
      <c r="P1821" s="7" t="s">
        <v>19</v>
      </c>
    </row>
    <row r="1822" spans="2:16" x14ac:dyDescent="0.45">
      <c r="B1822" s="4">
        <v>1821</v>
      </c>
      <c r="C1822" s="4" t="s">
        <v>29</v>
      </c>
      <c r="D1822" s="4" t="s">
        <v>16</v>
      </c>
      <c r="E1822" s="4" t="s">
        <v>17</v>
      </c>
      <c r="F1822" s="4" t="s">
        <v>28</v>
      </c>
      <c r="G1822" s="4" t="s">
        <v>19</v>
      </c>
      <c r="H1822" s="4" t="s">
        <v>32</v>
      </c>
      <c r="I1822" s="4">
        <v>8</v>
      </c>
      <c r="J1822" s="5">
        <v>19.100000000000001</v>
      </c>
      <c r="K1822" s="6">
        <v>1.23</v>
      </c>
      <c r="L1822" s="4">
        <v>0</v>
      </c>
      <c r="M1822" s="4">
        <v>109</v>
      </c>
      <c r="N1822" s="4">
        <v>127</v>
      </c>
      <c r="O1822" s="4" t="s">
        <v>21</v>
      </c>
      <c r="P1822" s="7" t="s">
        <v>19</v>
      </c>
    </row>
    <row r="1823" spans="2:16" x14ac:dyDescent="0.45">
      <c r="B1823" s="4">
        <v>1822</v>
      </c>
      <c r="C1823" s="4" t="s">
        <v>15</v>
      </c>
      <c r="D1823" s="4" t="s">
        <v>16</v>
      </c>
      <c r="E1823" s="4" t="s">
        <v>17</v>
      </c>
      <c r="F1823" s="4" t="s">
        <v>28</v>
      </c>
      <c r="G1823" s="4" t="s">
        <v>30</v>
      </c>
      <c r="H1823" s="4" t="s">
        <v>32</v>
      </c>
      <c r="I1823" s="4">
        <v>55</v>
      </c>
      <c r="J1823" s="5">
        <v>65.3</v>
      </c>
      <c r="K1823" s="6">
        <v>1.75</v>
      </c>
      <c r="L1823" s="4">
        <v>5</v>
      </c>
      <c r="M1823" s="4">
        <v>112</v>
      </c>
      <c r="N1823" s="4">
        <v>131</v>
      </c>
      <c r="O1823" s="4" t="s">
        <v>21</v>
      </c>
      <c r="P1823" s="7" t="s">
        <v>19</v>
      </c>
    </row>
    <row r="1824" spans="2:16" x14ac:dyDescent="0.45">
      <c r="B1824" s="4">
        <v>1823</v>
      </c>
      <c r="C1824" s="4" t="s">
        <v>29</v>
      </c>
      <c r="D1824" s="4" t="s">
        <v>16</v>
      </c>
      <c r="E1824" s="4" t="s">
        <v>37</v>
      </c>
      <c r="F1824" s="4" t="s">
        <v>18</v>
      </c>
      <c r="G1824" s="4" t="s">
        <v>19</v>
      </c>
      <c r="H1824" s="4" t="s">
        <v>36</v>
      </c>
      <c r="I1824" s="4">
        <v>72</v>
      </c>
      <c r="J1824" s="5">
        <v>54.7</v>
      </c>
      <c r="K1824" s="6">
        <v>1.56</v>
      </c>
      <c r="L1824" s="4">
        <v>4</v>
      </c>
      <c r="M1824" s="4">
        <v>144</v>
      </c>
      <c r="N1824" s="4">
        <v>105</v>
      </c>
      <c r="O1824" s="4" t="s">
        <v>21</v>
      </c>
      <c r="P1824" s="7" t="s">
        <v>19</v>
      </c>
    </row>
    <row r="1825" spans="2:16" x14ac:dyDescent="0.45">
      <c r="B1825" s="4">
        <v>1824</v>
      </c>
      <c r="C1825" s="4" t="s">
        <v>15</v>
      </c>
      <c r="D1825" s="4" t="s">
        <v>23</v>
      </c>
      <c r="E1825" s="4" t="s">
        <v>44</v>
      </c>
      <c r="F1825" s="4" t="s">
        <v>28</v>
      </c>
      <c r="G1825" s="4" t="s">
        <v>19</v>
      </c>
      <c r="H1825" s="4" t="s">
        <v>46</v>
      </c>
      <c r="I1825" s="4">
        <v>22</v>
      </c>
      <c r="J1825" s="5">
        <v>92.5</v>
      </c>
      <c r="K1825" s="6">
        <v>1.53</v>
      </c>
      <c r="L1825" s="4">
        <v>10</v>
      </c>
      <c r="M1825" s="4">
        <v>112</v>
      </c>
      <c r="N1825" s="4">
        <v>91</v>
      </c>
      <c r="O1825" s="4" t="s">
        <v>26</v>
      </c>
      <c r="P1825" s="7" t="s">
        <v>19</v>
      </c>
    </row>
    <row r="1826" spans="2:16" x14ac:dyDescent="0.45">
      <c r="B1826" s="4">
        <v>1825</v>
      </c>
      <c r="C1826" s="4" t="s">
        <v>41</v>
      </c>
      <c r="D1826" s="4" t="s">
        <v>16</v>
      </c>
      <c r="E1826" s="4" t="s">
        <v>35</v>
      </c>
      <c r="F1826" s="4" t="s">
        <v>28</v>
      </c>
      <c r="G1826" s="4" t="s">
        <v>19</v>
      </c>
      <c r="H1826" s="4" t="s">
        <v>38</v>
      </c>
      <c r="I1826" s="4">
        <v>14</v>
      </c>
      <c r="J1826" s="5">
        <v>45.7</v>
      </c>
      <c r="K1826" s="6">
        <v>1.51</v>
      </c>
      <c r="L1826" s="4">
        <v>4</v>
      </c>
      <c r="M1826" s="4">
        <v>95</v>
      </c>
      <c r="N1826" s="4">
        <v>94</v>
      </c>
      <c r="O1826" s="4" t="s">
        <v>26</v>
      </c>
      <c r="P1826" s="7" t="s">
        <v>19</v>
      </c>
    </row>
    <row r="1827" spans="2:16" x14ac:dyDescent="0.45">
      <c r="B1827" s="4">
        <v>1826</v>
      </c>
      <c r="C1827" s="4" t="s">
        <v>15</v>
      </c>
      <c r="D1827" s="4" t="s">
        <v>16</v>
      </c>
      <c r="E1827" s="4" t="s">
        <v>35</v>
      </c>
      <c r="F1827" s="4" t="s">
        <v>24</v>
      </c>
      <c r="G1827" s="4" t="s">
        <v>19</v>
      </c>
      <c r="H1827" s="4" t="s">
        <v>20</v>
      </c>
      <c r="I1827" s="4">
        <v>47</v>
      </c>
      <c r="J1827" s="5">
        <v>63.6</v>
      </c>
      <c r="K1827" s="6">
        <v>1.82</v>
      </c>
      <c r="L1827" s="4">
        <v>1</v>
      </c>
      <c r="M1827" s="4">
        <v>106</v>
      </c>
      <c r="N1827" s="4">
        <v>74</v>
      </c>
      <c r="O1827" s="4" t="s">
        <v>26</v>
      </c>
      <c r="P1827" s="7" t="s">
        <v>19</v>
      </c>
    </row>
    <row r="1828" spans="2:16" x14ac:dyDescent="0.45">
      <c r="B1828" s="4">
        <v>1827</v>
      </c>
      <c r="C1828" s="4" t="s">
        <v>39</v>
      </c>
      <c r="D1828" s="4" t="s">
        <v>23</v>
      </c>
      <c r="E1828" s="4" t="s">
        <v>17</v>
      </c>
      <c r="F1828" s="4" t="s">
        <v>24</v>
      </c>
      <c r="G1828" s="4" t="s">
        <v>19</v>
      </c>
      <c r="H1828" s="4" t="s">
        <v>46</v>
      </c>
      <c r="I1828" s="4">
        <v>32</v>
      </c>
      <c r="J1828" s="5">
        <v>69</v>
      </c>
      <c r="K1828" s="6">
        <v>1.85</v>
      </c>
      <c r="L1828" s="4">
        <v>2</v>
      </c>
      <c r="M1828" s="4">
        <v>113</v>
      </c>
      <c r="N1828" s="4">
        <v>73</v>
      </c>
      <c r="O1828" s="4" t="s">
        <v>26</v>
      </c>
      <c r="P1828" s="7" t="s">
        <v>19</v>
      </c>
    </row>
    <row r="1829" spans="2:16" x14ac:dyDescent="0.45">
      <c r="B1829" s="4">
        <v>1828</v>
      </c>
      <c r="C1829" s="4" t="s">
        <v>43</v>
      </c>
      <c r="D1829" s="4" t="s">
        <v>16</v>
      </c>
      <c r="E1829" s="4" t="s">
        <v>44</v>
      </c>
      <c r="F1829" s="4" t="s">
        <v>18</v>
      </c>
      <c r="G1829" s="4" t="s">
        <v>19</v>
      </c>
      <c r="H1829" s="4" t="s">
        <v>28</v>
      </c>
      <c r="I1829" s="4">
        <v>23</v>
      </c>
      <c r="J1829" s="5">
        <v>81.599999999999994</v>
      </c>
      <c r="K1829" s="6">
        <v>1.64</v>
      </c>
      <c r="L1829" s="4">
        <v>2</v>
      </c>
      <c r="M1829" s="4">
        <v>116</v>
      </c>
      <c r="N1829" s="4">
        <v>101</v>
      </c>
      <c r="O1829" s="4" t="s">
        <v>26</v>
      </c>
      <c r="P1829" s="7" t="s">
        <v>19</v>
      </c>
    </row>
    <row r="1830" spans="2:16" x14ac:dyDescent="0.45">
      <c r="B1830" s="4">
        <v>1829</v>
      </c>
      <c r="C1830" s="4" t="s">
        <v>41</v>
      </c>
      <c r="D1830" s="4" t="s">
        <v>23</v>
      </c>
      <c r="E1830" s="4" t="s">
        <v>17</v>
      </c>
      <c r="F1830" s="4" t="s">
        <v>24</v>
      </c>
      <c r="G1830" s="4" t="s">
        <v>30</v>
      </c>
      <c r="H1830" s="4" t="s">
        <v>20</v>
      </c>
      <c r="I1830" s="4">
        <v>78</v>
      </c>
      <c r="J1830" s="5">
        <v>73.099999999999994</v>
      </c>
      <c r="K1830" s="6">
        <v>1.83</v>
      </c>
      <c r="L1830" s="4">
        <v>1</v>
      </c>
      <c r="M1830" s="4">
        <v>133</v>
      </c>
      <c r="N1830" s="4">
        <v>78</v>
      </c>
      <c r="O1830" s="4" t="s">
        <v>26</v>
      </c>
      <c r="P1830" s="7" t="s">
        <v>19</v>
      </c>
    </row>
    <row r="1831" spans="2:16" x14ac:dyDescent="0.45">
      <c r="B1831" s="4">
        <v>1830</v>
      </c>
      <c r="C1831" s="4" t="s">
        <v>22</v>
      </c>
      <c r="D1831" s="4" t="s">
        <v>23</v>
      </c>
      <c r="E1831" s="4" t="s">
        <v>37</v>
      </c>
      <c r="F1831" s="4" t="s">
        <v>28</v>
      </c>
      <c r="G1831" s="4" t="s">
        <v>19</v>
      </c>
      <c r="H1831" s="4" t="s">
        <v>20</v>
      </c>
      <c r="I1831" s="4">
        <v>6</v>
      </c>
      <c r="J1831" s="5">
        <v>35.1</v>
      </c>
      <c r="K1831" s="6">
        <v>1.19</v>
      </c>
      <c r="L1831" s="4">
        <v>5</v>
      </c>
      <c r="M1831" s="4">
        <v>92</v>
      </c>
      <c r="N1831" s="4">
        <v>77</v>
      </c>
      <c r="O1831" s="4" t="s">
        <v>26</v>
      </c>
      <c r="P1831" s="7" t="s">
        <v>19</v>
      </c>
    </row>
    <row r="1832" spans="2:16" x14ac:dyDescent="0.45">
      <c r="B1832" s="4">
        <v>1831</v>
      </c>
      <c r="C1832" s="4" t="s">
        <v>33</v>
      </c>
      <c r="D1832" s="4" t="s">
        <v>16</v>
      </c>
      <c r="E1832" s="4" t="s">
        <v>17</v>
      </c>
      <c r="F1832" s="4" t="s">
        <v>24</v>
      </c>
      <c r="G1832" s="4" t="s">
        <v>19</v>
      </c>
      <c r="H1832" s="4" t="s">
        <v>20</v>
      </c>
      <c r="I1832" s="4">
        <v>10</v>
      </c>
      <c r="J1832" s="5">
        <v>30.7</v>
      </c>
      <c r="K1832" s="6">
        <v>1.2</v>
      </c>
      <c r="L1832" s="4">
        <v>3</v>
      </c>
      <c r="M1832" s="4">
        <v>109</v>
      </c>
      <c r="N1832" s="4">
        <v>88</v>
      </c>
      <c r="O1832" s="4" t="s">
        <v>26</v>
      </c>
      <c r="P1832" s="7" t="s">
        <v>19</v>
      </c>
    </row>
    <row r="1833" spans="2:16" x14ac:dyDescent="0.45">
      <c r="B1833" s="4">
        <v>1832</v>
      </c>
      <c r="C1833" s="4" t="s">
        <v>41</v>
      </c>
      <c r="D1833" s="4" t="s">
        <v>16</v>
      </c>
      <c r="E1833" s="4" t="s">
        <v>17</v>
      </c>
      <c r="F1833" s="4" t="s">
        <v>24</v>
      </c>
      <c r="G1833" s="4" t="s">
        <v>19</v>
      </c>
      <c r="H1833" s="4" t="s">
        <v>20</v>
      </c>
      <c r="I1833" s="4">
        <v>17</v>
      </c>
      <c r="J1833" s="5">
        <v>47.1</v>
      </c>
      <c r="K1833" s="6">
        <v>1.69</v>
      </c>
      <c r="L1833" s="4">
        <v>2</v>
      </c>
      <c r="M1833" s="4">
        <v>99</v>
      </c>
      <c r="N1833" s="4">
        <v>76</v>
      </c>
      <c r="O1833" s="4" t="s">
        <v>21</v>
      </c>
      <c r="P1833" s="7" t="s">
        <v>19</v>
      </c>
    </row>
    <row r="1834" spans="2:16" x14ac:dyDescent="0.45">
      <c r="B1834" s="4">
        <v>1833</v>
      </c>
      <c r="C1834" s="4" t="s">
        <v>22</v>
      </c>
      <c r="D1834" s="4" t="s">
        <v>23</v>
      </c>
      <c r="E1834" s="4" t="s">
        <v>44</v>
      </c>
      <c r="F1834" s="4" t="s">
        <v>42</v>
      </c>
      <c r="G1834" s="4" t="s">
        <v>19</v>
      </c>
      <c r="H1834" s="4" t="s">
        <v>20</v>
      </c>
      <c r="I1834" s="4">
        <v>5</v>
      </c>
      <c r="J1834" s="5">
        <v>25.5</v>
      </c>
      <c r="K1834" s="6">
        <v>1.31</v>
      </c>
      <c r="L1834" s="4">
        <v>3</v>
      </c>
      <c r="M1834" s="4">
        <v>110</v>
      </c>
      <c r="N1834" s="4">
        <v>98</v>
      </c>
      <c r="O1834" s="4" t="s">
        <v>21</v>
      </c>
      <c r="P1834" s="7" t="s">
        <v>19</v>
      </c>
    </row>
    <row r="1835" spans="2:16" x14ac:dyDescent="0.45">
      <c r="B1835" s="4">
        <v>1834</v>
      </c>
      <c r="C1835" s="4" t="s">
        <v>22</v>
      </c>
      <c r="D1835" s="4" t="s">
        <v>16</v>
      </c>
      <c r="E1835" s="4" t="s">
        <v>17</v>
      </c>
      <c r="F1835" s="4" t="s">
        <v>24</v>
      </c>
      <c r="G1835" s="4" t="s">
        <v>19</v>
      </c>
      <c r="H1835" s="4" t="s">
        <v>25</v>
      </c>
      <c r="I1835" s="4">
        <v>11</v>
      </c>
      <c r="J1835" s="5">
        <v>29.8</v>
      </c>
      <c r="K1835" s="6">
        <v>1.3</v>
      </c>
      <c r="L1835" s="4">
        <v>3</v>
      </c>
      <c r="M1835" s="4">
        <v>116</v>
      </c>
      <c r="N1835" s="4">
        <v>89</v>
      </c>
      <c r="O1835" s="4" t="s">
        <v>21</v>
      </c>
      <c r="P1835" s="7" t="s">
        <v>19</v>
      </c>
    </row>
    <row r="1836" spans="2:16" x14ac:dyDescent="0.45">
      <c r="B1836" s="4">
        <v>1835</v>
      </c>
      <c r="C1836" s="4" t="s">
        <v>22</v>
      </c>
      <c r="D1836" s="4" t="s">
        <v>16</v>
      </c>
      <c r="E1836" s="4" t="s">
        <v>44</v>
      </c>
      <c r="F1836" s="4" t="s">
        <v>18</v>
      </c>
      <c r="G1836" s="4" t="s">
        <v>19</v>
      </c>
      <c r="H1836" s="4" t="s">
        <v>20</v>
      </c>
      <c r="I1836" s="4">
        <v>30</v>
      </c>
      <c r="J1836" s="5">
        <v>65.8</v>
      </c>
      <c r="K1836" s="6">
        <v>1.52</v>
      </c>
      <c r="L1836" s="4">
        <v>8</v>
      </c>
      <c r="M1836" s="4">
        <v>110</v>
      </c>
      <c r="N1836" s="4">
        <v>76</v>
      </c>
      <c r="O1836" s="4" t="s">
        <v>21</v>
      </c>
      <c r="P1836" s="7" t="s">
        <v>30</v>
      </c>
    </row>
    <row r="1837" spans="2:16" x14ac:dyDescent="0.45">
      <c r="B1837" s="4">
        <v>1836</v>
      </c>
      <c r="C1837" s="4" t="s">
        <v>39</v>
      </c>
      <c r="D1837" s="4" t="s">
        <v>23</v>
      </c>
      <c r="E1837" s="4" t="s">
        <v>17</v>
      </c>
      <c r="F1837" s="4" t="s">
        <v>24</v>
      </c>
      <c r="G1837" s="4" t="s">
        <v>19</v>
      </c>
      <c r="H1837" s="4" t="s">
        <v>38</v>
      </c>
      <c r="I1837" s="4">
        <v>41</v>
      </c>
      <c r="J1837" s="5">
        <v>69.099999999999994</v>
      </c>
      <c r="K1837" s="6">
        <v>1.51</v>
      </c>
      <c r="L1837" s="4">
        <v>3</v>
      </c>
      <c r="M1837" s="4">
        <v>109</v>
      </c>
      <c r="N1837" s="4">
        <v>77</v>
      </c>
      <c r="O1837" s="4" t="s">
        <v>26</v>
      </c>
      <c r="P1837" s="7" t="s">
        <v>19</v>
      </c>
    </row>
    <row r="1838" spans="2:16" x14ac:dyDescent="0.45">
      <c r="B1838" s="4">
        <v>1837</v>
      </c>
      <c r="C1838" s="4" t="s">
        <v>27</v>
      </c>
      <c r="D1838" s="4" t="s">
        <v>23</v>
      </c>
      <c r="E1838" s="4" t="s">
        <v>17</v>
      </c>
      <c r="F1838" s="4" t="s">
        <v>18</v>
      </c>
      <c r="G1838" s="4" t="s">
        <v>19</v>
      </c>
      <c r="H1838" s="4" t="s">
        <v>46</v>
      </c>
      <c r="I1838" s="4">
        <v>17</v>
      </c>
      <c r="J1838" s="5">
        <v>40.4</v>
      </c>
      <c r="K1838" s="6">
        <v>1.47</v>
      </c>
      <c r="L1838" s="4">
        <v>0</v>
      </c>
      <c r="M1838" s="4">
        <v>111</v>
      </c>
      <c r="N1838" s="4">
        <v>101</v>
      </c>
      <c r="O1838" s="4" t="s">
        <v>21</v>
      </c>
      <c r="P1838" s="7" t="s">
        <v>19</v>
      </c>
    </row>
    <row r="1839" spans="2:16" x14ac:dyDescent="0.45">
      <c r="B1839" s="4">
        <v>1838</v>
      </c>
      <c r="C1839" s="4" t="s">
        <v>22</v>
      </c>
      <c r="D1839" s="4" t="s">
        <v>16</v>
      </c>
      <c r="E1839" s="4" t="s">
        <v>17</v>
      </c>
      <c r="F1839" s="4" t="s">
        <v>24</v>
      </c>
      <c r="G1839" s="4" t="s">
        <v>19</v>
      </c>
      <c r="H1839" s="4" t="s">
        <v>38</v>
      </c>
      <c r="I1839" s="4">
        <v>50</v>
      </c>
      <c r="J1839" s="5">
        <v>68.099999999999994</v>
      </c>
      <c r="K1839" s="6">
        <v>1.57</v>
      </c>
      <c r="L1839" s="4">
        <v>0</v>
      </c>
      <c r="M1839" s="4">
        <v>114</v>
      </c>
      <c r="N1839" s="4">
        <v>102</v>
      </c>
      <c r="O1839" s="4" t="s">
        <v>26</v>
      </c>
      <c r="P1839" s="7" t="s">
        <v>19</v>
      </c>
    </row>
    <row r="1840" spans="2:16" x14ac:dyDescent="0.45">
      <c r="B1840" s="4">
        <v>1839</v>
      </c>
      <c r="C1840" s="4" t="s">
        <v>43</v>
      </c>
      <c r="D1840" s="4" t="s">
        <v>16</v>
      </c>
      <c r="E1840" s="4" t="s">
        <v>17</v>
      </c>
      <c r="F1840" s="4" t="s">
        <v>42</v>
      </c>
      <c r="G1840" s="4" t="s">
        <v>30</v>
      </c>
      <c r="H1840" s="4" t="s">
        <v>20</v>
      </c>
      <c r="I1840" s="4">
        <v>48</v>
      </c>
      <c r="J1840" s="5">
        <v>66.8</v>
      </c>
      <c r="K1840" s="6">
        <v>1.87</v>
      </c>
      <c r="L1840" s="4">
        <v>4</v>
      </c>
      <c r="M1840" s="4">
        <v>106</v>
      </c>
      <c r="N1840" s="4">
        <v>95</v>
      </c>
      <c r="O1840" s="4" t="s">
        <v>21</v>
      </c>
      <c r="P1840" s="7" t="s">
        <v>19</v>
      </c>
    </row>
    <row r="1841" spans="2:16" x14ac:dyDescent="0.45">
      <c r="B1841" s="4">
        <v>1840</v>
      </c>
      <c r="C1841" s="4" t="s">
        <v>27</v>
      </c>
      <c r="D1841" s="4" t="s">
        <v>16</v>
      </c>
      <c r="E1841" s="4" t="s">
        <v>17</v>
      </c>
      <c r="F1841" s="4" t="s">
        <v>28</v>
      </c>
      <c r="G1841" s="4" t="s">
        <v>19</v>
      </c>
      <c r="H1841" s="4" t="s">
        <v>36</v>
      </c>
      <c r="I1841" s="4">
        <v>21</v>
      </c>
      <c r="J1841" s="5">
        <v>76.400000000000006</v>
      </c>
      <c r="K1841" s="6">
        <v>1.84</v>
      </c>
      <c r="L1841" s="4">
        <v>0</v>
      </c>
      <c r="M1841" s="4">
        <v>139</v>
      </c>
      <c r="N1841" s="4">
        <v>85</v>
      </c>
      <c r="O1841" s="4" t="s">
        <v>26</v>
      </c>
      <c r="P1841" s="7" t="s">
        <v>19</v>
      </c>
    </row>
    <row r="1842" spans="2:16" x14ac:dyDescent="0.45">
      <c r="B1842" s="4">
        <v>1841</v>
      </c>
      <c r="C1842" s="4" t="s">
        <v>22</v>
      </c>
      <c r="D1842" s="4" t="s">
        <v>16</v>
      </c>
      <c r="E1842" s="4" t="s">
        <v>35</v>
      </c>
      <c r="F1842" s="4" t="s">
        <v>28</v>
      </c>
      <c r="G1842" s="4" t="s">
        <v>19</v>
      </c>
      <c r="H1842" s="4" t="s">
        <v>34</v>
      </c>
      <c r="I1842" s="4">
        <v>52</v>
      </c>
      <c r="J1842" s="5">
        <v>85.4</v>
      </c>
      <c r="K1842" s="6">
        <v>1.81</v>
      </c>
      <c r="L1842" s="4">
        <v>6</v>
      </c>
      <c r="M1842" s="4">
        <v>106</v>
      </c>
      <c r="N1842" s="4">
        <v>94</v>
      </c>
      <c r="O1842" s="4" t="s">
        <v>21</v>
      </c>
      <c r="P1842" s="7" t="s">
        <v>19</v>
      </c>
    </row>
    <row r="1843" spans="2:16" x14ac:dyDescent="0.45">
      <c r="B1843" s="4">
        <v>1842</v>
      </c>
      <c r="C1843" s="4" t="s">
        <v>22</v>
      </c>
      <c r="D1843" s="4" t="s">
        <v>23</v>
      </c>
      <c r="E1843" s="4" t="s">
        <v>44</v>
      </c>
      <c r="F1843" s="4" t="s">
        <v>18</v>
      </c>
      <c r="G1843" s="4" t="s">
        <v>19</v>
      </c>
      <c r="H1843" s="4" t="s">
        <v>28</v>
      </c>
      <c r="I1843" s="4">
        <v>55</v>
      </c>
      <c r="J1843" s="5">
        <v>83.5</v>
      </c>
      <c r="K1843" s="6">
        <v>1.78</v>
      </c>
      <c r="L1843" s="4">
        <v>0</v>
      </c>
      <c r="M1843" s="4">
        <v>112</v>
      </c>
      <c r="N1843" s="4">
        <v>90</v>
      </c>
      <c r="O1843" s="4" t="s">
        <v>26</v>
      </c>
      <c r="P1843" s="7" t="s">
        <v>19</v>
      </c>
    </row>
    <row r="1844" spans="2:16" x14ac:dyDescent="0.45">
      <c r="B1844" s="4">
        <v>1843</v>
      </c>
      <c r="C1844" s="4" t="s">
        <v>33</v>
      </c>
      <c r="D1844" s="4" t="s">
        <v>23</v>
      </c>
      <c r="E1844" s="4" t="s">
        <v>17</v>
      </c>
      <c r="F1844" s="4" t="s">
        <v>18</v>
      </c>
      <c r="G1844" s="4" t="s">
        <v>19</v>
      </c>
      <c r="H1844" s="4" t="s">
        <v>20</v>
      </c>
      <c r="I1844" s="4">
        <v>61</v>
      </c>
      <c r="J1844" s="5">
        <v>91.3</v>
      </c>
      <c r="K1844" s="6">
        <v>1.62</v>
      </c>
      <c r="L1844" s="4">
        <v>1</v>
      </c>
      <c r="M1844" s="4">
        <v>127</v>
      </c>
      <c r="N1844" s="4">
        <v>77</v>
      </c>
      <c r="O1844" s="4" t="s">
        <v>21</v>
      </c>
      <c r="P1844" s="7" t="s">
        <v>19</v>
      </c>
    </row>
    <row r="1845" spans="2:16" x14ac:dyDescent="0.45">
      <c r="B1845" s="4">
        <v>1844</v>
      </c>
      <c r="C1845" s="4" t="s">
        <v>29</v>
      </c>
      <c r="D1845" s="4" t="s">
        <v>23</v>
      </c>
      <c r="E1845" s="4" t="s">
        <v>35</v>
      </c>
      <c r="F1845" s="4" t="s">
        <v>24</v>
      </c>
      <c r="G1845" s="4" t="s">
        <v>19</v>
      </c>
      <c r="H1845" s="4" t="s">
        <v>46</v>
      </c>
      <c r="I1845" s="4">
        <v>24</v>
      </c>
      <c r="J1845" s="5">
        <v>79.900000000000006</v>
      </c>
      <c r="K1845" s="6">
        <v>1.75</v>
      </c>
      <c r="L1845" s="4">
        <v>5</v>
      </c>
      <c r="M1845" s="4">
        <v>111</v>
      </c>
      <c r="N1845" s="4">
        <v>80</v>
      </c>
      <c r="O1845" s="4" t="s">
        <v>26</v>
      </c>
      <c r="P1845" s="7" t="s">
        <v>19</v>
      </c>
    </row>
    <row r="1846" spans="2:16" x14ac:dyDescent="0.45">
      <c r="B1846" s="4">
        <v>1845</v>
      </c>
      <c r="C1846" s="4" t="s">
        <v>22</v>
      </c>
      <c r="D1846" s="4" t="s">
        <v>16</v>
      </c>
      <c r="E1846" s="4" t="s">
        <v>17</v>
      </c>
      <c r="F1846" s="4" t="s">
        <v>28</v>
      </c>
      <c r="G1846" s="4" t="s">
        <v>19</v>
      </c>
      <c r="H1846" s="4" t="s">
        <v>20</v>
      </c>
      <c r="I1846" s="4">
        <v>25</v>
      </c>
      <c r="J1846" s="5">
        <v>88.8</v>
      </c>
      <c r="K1846" s="6">
        <v>1.72</v>
      </c>
      <c r="L1846" s="4">
        <v>0</v>
      </c>
      <c r="M1846" s="4">
        <v>103</v>
      </c>
      <c r="N1846" s="4">
        <v>85</v>
      </c>
      <c r="O1846" s="4" t="s">
        <v>26</v>
      </c>
      <c r="P1846" s="7" t="s">
        <v>19</v>
      </c>
    </row>
    <row r="1847" spans="2:16" x14ac:dyDescent="0.45">
      <c r="B1847" s="4">
        <v>1846</v>
      </c>
      <c r="C1847" s="4" t="s">
        <v>27</v>
      </c>
      <c r="D1847" s="4" t="s">
        <v>23</v>
      </c>
      <c r="E1847" s="4" t="s">
        <v>17</v>
      </c>
      <c r="F1847" s="4" t="s">
        <v>24</v>
      </c>
      <c r="G1847" s="4" t="s">
        <v>30</v>
      </c>
      <c r="H1847" s="4" t="s">
        <v>32</v>
      </c>
      <c r="I1847" s="4">
        <v>7</v>
      </c>
      <c r="J1847" s="5">
        <v>22.3</v>
      </c>
      <c r="K1847" s="6">
        <v>1.26</v>
      </c>
      <c r="L1847" s="4">
        <v>0</v>
      </c>
      <c r="M1847" s="4">
        <v>94</v>
      </c>
      <c r="N1847" s="4">
        <v>174</v>
      </c>
      <c r="O1847" s="4" t="s">
        <v>21</v>
      </c>
      <c r="P1847" s="7" t="s">
        <v>19</v>
      </c>
    </row>
    <row r="1848" spans="2:16" x14ac:dyDescent="0.45">
      <c r="B1848" s="4">
        <v>1847</v>
      </c>
      <c r="C1848" s="4" t="s">
        <v>41</v>
      </c>
      <c r="D1848" s="4" t="s">
        <v>16</v>
      </c>
      <c r="E1848" s="4" t="s">
        <v>35</v>
      </c>
      <c r="F1848" s="4" t="s">
        <v>18</v>
      </c>
      <c r="G1848" s="4" t="s">
        <v>19</v>
      </c>
      <c r="H1848" s="4" t="s">
        <v>46</v>
      </c>
      <c r="I1848" s="4">
        <v>35</v>
      </c>
      <c r="J1848" s="5">
        <v>69.2</v>
      </c>
      <c r="K1848" s="6">
        <v>1.74</v>
      </c>
      <c r="L1848" s="4">
        <v>3</v>
      </c>
      <c r="M1848" s="4">
        <v>107</v>
      </c>
      <c r="N1848" s="4">
        <v>100</v>
      </c>
      <c r="O1848" s="4" t="s">
        <v>21</v>
      </c>
      <c r="P1848" s="7" t="s">
        <v>19</v>
      </c>
    </row>
    <row r="1849" spans="2:16" x14ac:dyDescent="0.45">
      <c r="B1849" s="4">
        <v>1848</v>
      </c>
      <c r="C1849" s="4" t="s">
        <v>45</v>
      </c>
      <c r="D1849" s="4" t="s">
        <v>23</v>
      </c>
      <c r="E1849" s="4" t="s">
        <v>17</v>
      </c>
      <c r="F1849" s="4" t="s">
        <v>42</v>
      </c>
      <c r="G1849" s="4" t="s">
        <v>19</v>
      </c>
      <c r="H1849" s="4" t="s">
        <v>34</v>
      </c>
      <c r="I1849" s="4">
        <v>4</v>
      </c>
      <c r="J1849" s="5">
        <v>12.9</v>
      </c>
      <c r="K1849" s="6">
        <v>0.84</v>
      </c>
      <c r="L1849" s="4">
        <v>3</v>
      </c>
      <c r="M1849" s="4">
        <v>99</v>
      </c>
      <c r="N1849" s="4">
        <v>72</v>
      </c>
      <c r="O1849" s="4" t="s">
        <v>21</v>
      </c>
      <c r="P1849" s="7" t="s">
        <v>19</v>
      </c>
    </row>
    <row r="1850" spans="2:16" x14ac:dyDescent="0.45">
      <c r="B1850" s="4">
        <v>1849</v>
      </c>
      <c r="C1850" s="4" t="s">
        <v>22</v>
      </c>
      <c r="D1850" s="4" t="s">
        <v>23</v>
      </c>
      <c r="E1850" s="4" t="s">
        <v>17</v>
      </c>
      <c r="F1850" s="4" t="s">
        <v>24</v>
      </c>
      <c r="G1850" s="4" t="s">
        <v>30</v>
      </c>
      <c r="H1850" s="4" t="s">
        <v>28</v>
      </c>
      <c r="I1850" s="4">
        <v>27</v>
      </c>
      <c r="J1850" s="5">
        <v>69.7</v>
      </c>
      <c r="K1850" s="6">
        <v>1.83</v>
      </c>
      <c r="L1850" s="4">
        <v>1</v>
      </c>
      <c r="M1850" s="4">
        <v>111</v>
      </c>
      <c r="N1850" s="4">
        <v>74</v>
      </c>
      <c r="O1850" s="4" t="s">
        <v>21</v>
      </c>
      <c r="P1850" s="7" t="s">
        <v>30</v>
      </c>
    </row>
    <row r="1851" spans="2:16" x14ac:dyDescent="0.45">
      <c r="B1851" s="4">
        <v>1850</v>
      </c>
      <c r="C1851" s="4" t="s">
        <v>15</v>
      </c>
      <c r="D1851" s="4" t="s">
        <v>16</v>
      </c>
      <c r="E1851" s="4" t="s">
        <v>17</v>
      </c>
      <c r="F1851" s="4" t="s">
        <v>18</v>
      </c>
      <c r="G1851" s="4" t="s">
        <v>19</v>
      </c>
      <c r="H1851" s="4" t="s">
        <v>25</v>
      </c>
      <c r="I1851" s="4">
        <v>46</v>
      </c>
      <c r="J1851" s="5">
        <v>70.900000000000006</v>
      </c>
      <c r="K1851" s="6">
        <v>1.83</v>
      </c>
      <c r="L1851" s="4">
        <v>6</v>
      </c>
      <c r="M1851" s="4">
        <v>115</v>
      </c>
      <c r="N1851" s="4">
        <v>78</v>
      </c>
      <c r="O1851" s="4" t="s">
        <v>21</v>
      </c>
      <c r="P1851" s="7" t="s">
        <v>19</v>
      </c>
    </row>
    <row r="1852" spans="2:16" x14ac:dyDescent="0.45">
      <c r="B1852" s="4">
        <v>1851</v>
      </c>
      <c r="C1852" s="4" t="s">
        <v>29</v>
      </c>
      <c r="D1852" s="4" t="s">
        <v>23</v>
      </c>
      <c r="E1852" s="4" t="s">
        <v>35</v>
      </c>
      <c r="F1852" s="4" t="s">
        <v>24</v>
      </c>
      <c r="G1852" s="4" t="s">
        <v>19</v>
      </c>
      <c r="H1852" s="4" t="s">
        <v>46</v>
      </c>
      <c r="I1852" s="4">
        <v>61</v>
      </c>
      <c r="J1852" s="5">
        <v>49.2</v>
      </c>
      <c r="K1852" s="6">
        <v>1.57</v>
      </c>
      <c r="L1852" s="4">
        <v>5</v>
      </c>
      <c r="M1852" s="4">
        <v>127</v>
      </c>
      <c r="N1852" s="4">
        <v>71</v>
      </c>
      <c r="O1852" s="4" t="s">
        <v>26</v>
      </c>
      <c r="P1852" s="7" t="s">
        <v>19</v>
      </c>
    </row>
    <row r="1853" spans="2:16" x14ac:dyDescent="0.45">
      <c r="B1853" s="4">
        <v>1852</v>
      </c>
      <c r="C1853" s="4" t="s">
        <v>27</v>
      </c>
      <c r="D1853" s="4" t="s">
        <v>23</v>
      </c>
      <c r="E1853" s="4" t="s">
        <v>35</v>
      </c>
      <c r="F1853" s="4" t="s">
        <v>24</v>
      </c>
      <c r="G1853" s="4" t="s">
        <v>19</v>
      </c>
      <c r="H1853" s="4" t="s">
        <v>28</v>
      </c>
      <c r="I1853" s="4">
        <v>3</v>
      </c>
      <c r="J1853" s="5">
        <v>12</v>
      </c>
      <c r="K1853" s="6">
        <v>0.84</v>
      </c>
      <c r="L1853" s="4">
        <v>1</v>
      </c>
      <c r="M1853" s="4">
        <v>99</v>
      </c>
      <c r="N1853" s="4">
        <v>78</v>
      </c>
      <c r="O1853" s="4" t="s">
        <v>26</v>
      </c>
      <c r="P1853" s="7" t="s">
        <v>30</v>
      </c>
    </row>
    <row r="1854" spans="2:16" x14ac:dyDescent="0.45">
      <c r="B1854" s="4">
        <v>1853</v>
      </c>
      <c r="C1854" s="4" t="s">
        <v>40</v>
      </c>
      <c r="D1854" s="4" t="s">
        <v>16</v>
      </c>
      <c r="E1854" s="4" t="s">
        <v>17</v>
      </c>
      <c r="F1854" s="4" t="s">
        <v>24</v>
      </c>
      <c r="G1854" s="4" t="s">
        <v>19</v>
      </c>
      <c r="H1854" s="4" t="s">
        <v>28</v>
      </c>
      <c r="I1854" s="4">
        <v>5</v>
      </c>
      <c r="J1854" s="5">
        <v>36.200000000000003</v>
      </c>
      <c r="K1854" s="6">
        <v>1.0900000000000001</v>
      </c>
      <c r="L1854" s="4">
        <v>4</v>
      </c>
      <c r="M1854" s="4">
        <v>109</v>
      </c>
      <c r="N1854" s="4">
        <v>79</v>
      </c>
      <c r="O1854" s="4" t="s">
        <v>26</v>
      </c>
      <c r="P1854" s="7" t="s">
        <v>19</v>
      </c>
    </row>
    <row r="1855" spans="2:16" x14ac:dyDescent="0.45">
      <c r="B1855" s="4">
        <v>1854</v>
      </c>
      <c r="C1855" s="4" t="s">
        <v>45</v>
      </c>
      <c r="D1855" s="4" t="s">
        <v>23</v>
      </c>
      <c r="E1855" s="4" t="s">
        <v>17</v>
      </c>
      <c r="F1855" s="4" t="s">
        <v>24</v>
      </c>
      <c r="G1855" s="4" t="s">
        <v>19</v>
      </c>
      <c r="H1855" s="4" t="s">
        <v>28</v>
      </c>
      <c r="I1855" s="4">
        <v>20</v>
      </c>
      <c r="J1855" s="5">
        <v>56.3</v>
      </c>
      <c r="K1855" s="6">
        <v>1.6</v>
      </c>
      <c r="L1855" s="4">
        <v>6</v>
      </c>
      <c r="M1855" s="4">
        <v>121</v>
      </c>
      <c r="N1855" s="4">
        <v>81</v>
      </c>
      <c r="O1855" s="4" t="s">
        <v>21</v>
      </c>
      <c r="P1855" s="7" t="s">
        <v>19</v>
      </c>
    </row>
    <row r="1856" spans="2:16" x14ac:dyDescent="0.45">
      <c r="B1856" s="4">
        <v>1855</v>
      </c>
      <c r="C1856" s="4" t="s">
        <v>31</v>
      </c>
      <c r="D1856" s="4" t="s">
        <v>23</v>
      </c>
      <c r="E1856" s="4" t="s">
        <v>35</v>
      </c>
      <c r="F1856" s="4" t="s">
        <v>28</v>
      </c>
      <c r="G1856" s="4" t="s">
        <v>19</v>
      </c>
      <c r="H1856" s="4" t="s">
        <v>20</v>
      </c>
      <c r="I1856" s="4">
        <v>20</v>
      </c>
      <c r="J1856" s="5">
        <v>86.7</v>
      </c>
      <c r="K1856" s="6">
        <v>1.82</v>
      </c>
      <c r="L1856" s="4">
        <v>9</v>
      </c>
      <c r="M1856" s="4">
        <v>102</v>
      </c>
      <c r="N1856" s="4">
        <v>97</v>
      </c>
      <c r="O1856" s="4" t="s">
        <v>26</v>
      </c>
      <c r="P1856" s="7" t="s">
        <v>19</v>
      </c>
    </row>
    <row r="1857" spans="2:16" x14ac:dyDescent="0.45">
      <c r="B1857" s="4">
        <v>1856</v>
      </c>
      <c r="C1857" s="4" t="s">
        <v>27</v>
      </c>
      <c r="D1857" s="4" t="s">
        <v>16</v>
      </c>
      <c r="E1857" s="4" t="s">
        <v>35</v>
      </c>
      <c r="F1857" s="4" t="s">
        <v>24</v>
      </c>
      <c r="G1857" s="4" t="s">
        <v>19</v>
      </c>
      <c r="H1857" s="4" t="s">
        <v>34</v>
      </c>
      <c r="I1857" s="4">
        <v>19</v>
      </c>
      <c r="J1857" s="5">
        <v>65.8</v>
      </c>
      <c r="K1857" s="6">
        <v>1.88</v>
      </c>
      <c r="L1857" s="4">
        <v>3</v>
      </c>
      <c r="M1857" s="4">
        <v>109</v>
      </c>
      <c r="N1857" s="4">
        <v>97</v>
      </c>
      <c r="O1857" s="4" t="s">
        <v>26</v>
      </c>
      <c r="P1857" s="7" t="s">
        <v>19</v>
      </c>
    </row>
    <row r="1858" spans="2:16" x14ac:dyDescent="0.45">
      <c r="B1858" s="4">
        <v>1857</v>
      </c>
      <c r="C1858" s="4" t="s">
        <v>39</v>
      </c>
      <c r="D1858" s="4" t="s">
        <v>16</v>
      </c>
      <c r="E1858" s="4" t="s">
        <v>17</v>
      </c>
      <c r="F1858" s="4" t="s">
        <v>24</v>
      </c>
      <c r="G1858" s="4" t="s">
        <v>30</v>
      </c>
      <c r="H1858" s="4" t="s">
        <v>34</v>
      </c>
      <c r="I1858" s="4">
        <v>34</v>
      </c>
      <c r="J1858" s="5">
        <v>47.1</v>
      </c>
      <c r="K1858" s="6">
        <v>1.49</v>
      </c>
      <c r="L1858" s="4">
        <v>8</v>
      </c>
      <c r="M1858" s="4">
        <v>113</v>
      </c>
      <c r="N1858" s="4">
        <v>78</v>
      </c>
      <c r="O1858" s="4" t="s">
        <v>26</v>
      </c>
      <c r="P1858" s="7" t="s">
        <v>19</v>
      </c>
    </row>
    <row r="1859" spans="2:16" x14ac:dyDescent="0.45">
      <c r="B1859" s="4">
        <v>1858</v>
      </c>
      <c r="C1859" s="4" t="s">
        <v>31</v>
      </c>
      <c r="D1859" s="4" t="s">
        <v>23</v>
      </c>
      <c r="E1859" s="4" t="s">
        <v>17</v>
      </c>
      <c r="F1859" s="4" t="s">
        <v>24</v>
      </c>
      <c r="G1859" s="4" t="s">
        <v>19</v>
      </c>
      <c r="H1859" s="4" t="s">
        <v>36</v>
      </c>
      <c r="I1859" s="4">
        <v>7</v>
      </c>
      <c r="J1859" s="5">
        <v>25.6</v>
      </c>
      <c r="K1859" s="6">
        <v>1.1399999999999999</v>
      </c>
      <c r="L1859" s="4">
        <v>4</v>
      </c>
      <c r="M1859" s="4">
        <v>138</v>
      </c>
      <c r="N1859" s="4">
        <v>101</v>
      </c>
      <c r="O1859" s="4" t="s">
        <v>26</v>
      </c>
      <c r="P1859" s="7" t="s">
        <v>19</v>
      </c>
    </row>
    <row r="1860" spans="2:16" x14ac:dyDescent="0.45">
      <c r="B1860" s="4">
        <v>1859</v>
      </c>
      <c r="C1860" s="4" t="s">
        <v>40</v>
      </c>
      <c r="D1860" s="4" t="s">
        <v>16</v>
      </c>
      <c r="E1860" s="4" t="s">
        <v>17</v>
      </c>
      <c r="F1860" s="4" t="s">
        <v>18</v>
      </c>
      <c r="G1860" s="4" t="s">
        <v>30</v>
      </c>
      <c r="H1860" s="4" t="s">
        <v>38</v>
      </c>
      <c r="I1860" s="4">
        <v>54</v>
      </c>
      <c r="J1860" s="5">
        <v>83.6</v>
      </c>
      <c r="K1860" s="6">
        <v>1.5</v>
      </c>
      <c r="L1860" s="4">
        <v>1</v>
      </c>
      <c r="M1860" s="4">
        <v>120</v>
      </c>
      <c r="N1860" s="4">
        <v>75</v>
      </c>
      <c r="O1860" s="4" t="s">
        <v>26</v>
      </c>
      <c r="P1860" s="7" t="s">
        <v>19</v>
      </c>
    </row>
    <row r="1861" spans="2:16" x14ac:dyDescent="0.45">
      <c r="B1861" s="4">
        <v>1860</v>
      </c>
      <c r="C1861" s="4" t="s">
        <v>39</v>
      </c>
      <c r="D1861" s="4" t="s">
        <v>23</v>
      </c>
      <c r="E1861" s="4" t="s">
        <v>35</v>
      </c>
      <c r="F1861" s="4" t="s">
        <v>24</v>
      </c>
      <c r="G1861" s="4" t="s">
        <v>19</v>
      </c>
      <c r="H1861" s="4" t="s">
        <v>36</v>
      </c>
      <c r="I1861" s="4">
        <v>5</v>
      </c>
      <c r="J1861" s="5">
        <v>21.6</v>
      </c>
      <c r="K1861" s="6">
        <v>1.37</v>
      </c>
      <c r="L1861" s="4">
        <v>6</v>
      </c>
      <c r="M1861" s="4">
        <v>117</v>
      </c>
      <c r="N1861" s="4">
        <v>88</v>
      </c>
      <c r="O1861" s="4" t="s">
        <v>21</v>
      </c>
      <c r="P1861" s="7" t="s">
        <v>19</v>
      </c>
    </row>
    <row r="1862" spans="2:16" x14ac:dyDescent="0.45">
      <c r="B1862" s="4">
        <v>1861</v>
      </c>
      <c r="C1862" s="4" t="s">
        <v>33</v>
      </c>
      <c r="D1862" s="4" t="s">
        <v>23</v>
      </c>
      <c r="E1862" s="4" t="s">
        <v>35</v>
      </c>
      <c r="F1862" s="4" t="s">
        <v>28</v>
      </c>
      <c r="G1862" s="4" t="s">
        <v>30</v>
      </c>
      <c r="H1862" s="4" t="s">
        <v>28</v>
      </c>
      <c r="I1862" s="4">
        <v>9</v>
      </c>
      <c r="J1862" s="5">
        <v>33.799999999999997</v>
      </c>
      <c r="K1862" s="6">
        <v>1.1200000000000001</v>
      </c>
      <c r="L1862" s="4">
        <v>1</v>
      </c>
      <c r="M1862" s="4">
        <v>110</v>
      </c>
      <c r="N1862" s="4">
        <v>85</v>
      </c>
      <c r="O1862" s="4" t="s">
        <v>26</v>
      </c>
      <c r="P1862" s="7" t="s">
        <v>19</v>
      </c>
    </row>
    <row r="1863" spans="2:16" x14ac:dyDescent="0.45">
      <c r="B1863" s="4">
        <v>1862</v>
      </c>
      <c r="C1863" s="4" t="s">
        <v>22</v>
      </c>
      <c r="D1863" s="4" t="s">
        <v>23</v>
      </c>
      <c r="E1863" s="4" t="s">
        <v>44</v>
      </c>
      <c r="F1863" s="4" t="s">
        <v>24</v>
      </c>
      <c r="G1863" s="4" t="s">
        <v>19</v>
      </c>
      <c r="H1863" s="4" t="s">
        <v>28</v>
      </c>
      <c r="I1863" s="4">
        <v>25</v>
      </c>
      <c r="J1863" s="5">
        <v>48.7</v>
      </c>
      <c r="K1863" s="6">
        <v>1.86</v>
      </c>
      <c r="L1863" s="4">
        <v>0</v>
      </c>
      <c r="M1863" s="4">
        <v>109</v>
      </c>
      <c r="N1863" s="4">
        <v>92</v>
      </c>
      <c r="O1863" s="4" t="s">
        <v>26</v>
      </c>
      <c r="P1863" s="7" t="s">
        <v>30</v>
      </c>
    </row>
    <row r="1864" spans="2:16" x14ac:dyDescent="0.45">
      <c r="B1864" s="4">
        <v>1863</v>
      </c>
      <c r="C1864" s="4" t="s">
        <v>45</v>
      </c>
      <c r="D1864" s="4" t="s">
        <v>16</v>
      </c>
      <c r="E1864" s="4" t="s">
        <v>35</v>
      </c>
      <c r="F1864" s="4" t="s">
        <v>24</v>
      </c>
      <c r="G1864" s="4" t="s">
        <v>19</v>
      </c>
      <c r="H1864" s="4" t="s">
        <v>34</v>
      </c>
      <c r="I1864" s="4">
        <v>40</v>
      </c>
      <c r="J1864" s="5">
        <v>47.6</v>
      </c>
      <c r="K1864" s="6">
        <v>1.52</v>
      </c>
      <c r="L1864" s="4">
        <v>4</v>
      </c>
      <c r="M1864" s="4">
        <v>102</v>
      </c>
      <c r="N1864" s="4">
        <v>98</v>
      </c>
      <c r="O1864" s="4" t="s">
        <v>26</v>
      </c>
      <c r="P1864" s="7" t="s">
        <v>19</v>
      </c>
    </row>
    <row r="1865" spans="2:16" x14ac:dyDescent="0.45">
      <c r="B1865" s="4">
        <v>1864</v>
      </c>
      <c r="C1865" s="4" t="s">
        <v>39</v>
      </c>
      <c r="D1865" s="4" t="s">
        <v>16</v>
      </c>
      <c r="E1865" s="4" t="s">
        <v>35</v>
      </c>
      <c r="F1865" s="4" t="s">
        <v>28</v>
      </c>
      <c r="G1865" s="4" t="s">
        <v>19</v>
      </c>
      <c r="H1865" s="4" t="s">
        <v>20</v>
      </c>
      <c r="I1865" s="4">
        <v>38</v>
      </c>
      <c r="J1865" s="5">
        <v>53.3</v>
      </c>
      <c r="K1865" s="6">
        <v>1.79</v>
      </c>
      <c r="L1865" s="4">
        <v>2</v>
      </c>
      <c r="M1865" s="4">
        <v>112</v>
      </c>
      <c r="N1865" s="4">
        <v>86</v>
      </c>
      <c r="O1865" s="4" t="s">
        <v>26</v>
      </c>
      <c r="P1865" s="7" t="s">
        <v>30</v>
      </c>
    </row>
    <row r="1866" spans="2:16" x14ac:dyDescent="0.45">
      <c r="B1866" s="4">
        <v>1865</v>
      </c>
      <c r="C1866" s="4" t="s">
        <v>45</v>
      </c>
      <c r="D1866" s="4" t="s">
        <v>16</v>
      </c>
      <c r="E1866" s="4" t="s">
        <v>17</v>
      </c>
      <c r="F1866" s="4" t="s">
        <v>28</v>
      </c>
      <c r="G1866" s="4" t="s">
        <v>30</v>
      </c>
      <c r="H1866" s="4" t="s">
        <v>34</v>
      </c>
      <c r="I1866" s="4">
        <v>10</v>
      </c>
      <c r="J1866" s="5">
        <v>30.3</v>
      </c>
      <c r="K1866" s="6">
        <v>1.1299999999999999</v>
      </c>
      <c r="L1866" s="4">
        <v>1</v>
      </c>
      <c r="M1866" s="4">
        <v>107</v>
      </c>
      <c r="N1866" s="4">
        <v>93</v>
      </c>
      <c r="O1866" s="4" t="s">
        <v>21</v>
      </c>
      <c r="P1866" s="7" t="s">
        <v>19</v>
      </c>
    </row>
    <row r="1867" spans="2:16" x14ac:dyDescent="0.45">
      <c r="B1867" s="4">
        <v>1866</v>
      </c>
      <c r="C1867" s="4" t="s">
        <v>40</v>
      </c>
      <c r="D1867" s="4" t="s">
        <v>16</v>
      </c>
      <c r="E1867" s="4" t="s">
        <v>17</v>
      </c>
      <c r="F1867" s="4" t="s">
        <v>18</v>
      </c>
      <c r="G1867" s="4" t="s">
        <v>19</v>
      </c>
      <c r="H1867" s="4" t="s">
        <v>25</v>
      </c>
      <c r="I1867" s="4">
        <v>32</v>
      </c>
      <c r="J1867" s="5">
        <v>77.099999999999994</v>
      </c>
      <c r="K1867" s="6">
        <v>1.67</v>
      </c>
      <c r="L1867" s="4">
        <v>4</v>
      </c>
      <c r="M1867" s="4">
        <v>106</v>
      </c>
      <c r="N1867" s="4">
        <v>80</v>
      </c>
      <c r="O1867" s="4" t="s">
        <v>26</v>
      </c>
      <c r="P1867" s="7" t="s">
        <v>19</v>
      </c>
    </row>
    <row r="1868" spans="2:16" x14ac:dyDescent="0.45">
      <c r="B1868" s="4">
        <v>1867</v>
      </c>
      <c r="C1868" s="4" t="s">
        <v>43</v>
      </c>
      <c r="D1868" s="4" t="s">
        <v>16</v>
      </c>
      <c r="E1868" s="4" t="s">
        <v>44</v>
      </c>
      <c r="F1868" s="4" t="s">
        <v>28</v>
      </c>
      <c r="G1868" s="4" t="s">
        <v>19</v>
      </c>
      <c r="H1868" s="4" t="s">
        <v>36</v>
      </c>
      <c r="I1868" s="4">
        <v>42</v>
      </c>
      <c r="J1868" s="5">
        <v>86.7</v>
      </c>
      <c r="K1868" s="6">
        <v>1.89</v>
      </c>
      <c r="L1868" s="4">
        <v>1</v>
      </c>
      <c r="M1868" s="4">
        <v>136</v>
      </c>
      <c r="N1868" s="4">
        <v>76</v>
      </c>
      <c r="O1868" s="4" t="s">
        <v>26</v>
      </c>
      <c r="P1868" s="7" t="s">
        <v>19</v>
      </c>
    </row>
    <row r="1869" spans="2:16" x14ac:dyDescent="0.45">
      <c r="B1869" s="4">
        <v>1868</v>
      </c>
      <c r="C1869" s="4" t="s">
        <v>27</v>
      </c>
      <c r="D1869" s="4" t="s">
        <v>16</v>
      </c>
      <c r="E1869" s="4" t="s">
        <v>35</v>
      </c>
      <c r="F1869" s="4" t="s">
        <v>28</v>
      </c>
      <c r="G1869" s="4" t="s">
        <v>19</v>
      </c>
      <c r="H1869" s="4" t="s">
        <v>28</v>
      </c>
      <c r="I1869" s="4">
        <v>62</v>
      </c>
      <c r="J1869" s="5">
        <v>93.1</v>
      </c>
      <c r="K1869" s="6">
        <v>1.53</v>
      </c>
      <c r="L1869" s="4">
        <v>2</v>
      </c>
      <c r="M1869" s="4">
        <v>127</v>
      </c>
      <c r="N1869" s="4">
        <v>104</v>
      </c>
      <c r="O1869" s="4" t="s">
        <v>26</v>
      </c>
      <c r="P1869" s="7" t="s">
        <v>19</v>
      </c>
    </row>
    <row r="1870" spans="2:16" x14ac:dyDescent="0.45">
      <c r="B1870" s="4">
        <v>1869</v>
      </c>
      <c r="C1870" s="4" t="s">
        <v>45</v>
      </c>
      <c r="D1870" s="4" t="s">
        <v>23</v>
      </c>
      <c r="E1870" s="4" t="s">
        <v>17</v>
      </c>
      <c r="F1870" s="4" t="s">
        <v>24</v>
      </c>
      <c r="G1870" s="4" t="s">
        <v>19</v>
      </c>
      <c r="H1870" s="4" t="s">
        <v>20</v>
      </c>
      <c r="I1870" s="4">
        <v>42</v>
      </c>
      <c r="J1870" s="5">
        <v>71.400000000000006</v>
      </c>
      <c r="K1870" s="6">
        <v>1.85</v>
      </c>
      <c r="L1870" s="4">
        <v>2</v>
      </c>
      <c r="M1870" s="4">
        <v>134</v>
      </c>
      <c r="N1870" s="4">
        <v>104</v>
      </c>
      <c r="O1870" s="4" t="s">
        <v>21</v>
      </c>
      <c r="P1870" s="7" t="s">
        <v>30</v>
      </c>
    </row>
    <row r="1871" spans="2:16" x14ac:dyDescent="0.45">
      <c r="B1871" s="4">
        <v>1870</v>
      </c>
      <c r="C1871" s="4" t="s">
        <v>45</v>
      </c>
      <c r="D1871" s="4" t="s">
        <v>23</v>
      </c>
      <c r="E1871" s="4" t="s">
        <v>17</v>
      </c>
      <c r="F1871" s="4" t="s">
        <v>28</v>
      </c>
      <c r="G1871" s="4" t="s">
        <v>19</v>
      </c>
      <c r="H1871" s="4" t="s">
        <v>32</v>
      </c>
      <c r="I1871" s="4">
        <v>16</v>
      </c>
      <c r="J1871" s="5">
        <v>64.099999999999994</v>
      </c>
      <c r="K1871" s="6">
        <v>1.52</v>
      </c>
      <c r="L1871" s="4">
        <v>5</v>
      </c>
      <c r="M1871" s="4">
        <v>106</v>
      </c>
      <c r="N1871" s="4">
        <v>133</v>
      </c>
      <c r="O1871" s="4" t="s">
        <v>21</v>
      </c>
      <c r="P1871" s="7" t="s">
        <v>19</v>
      </c>
    </row>
    <row r="1872" spans="2:16" x14ac:dyDescent="0.45">
      <c r="B1872" s="4">
        <v>1871</v>
      </c>
      <c r="C1872" s="4" t="s">
        <v>40</v>
      </c>
      <c r="D1872" s="4" t="s">
        <v>23</v>
      </c>
      <c r="E1872" s="4" t="s">
        <v>17</v>
      </c>
      <c r="F1872" s="4" t="s">
        <v>18</v>
      </c>
      <c r="G1872" s="4" t="s">
        <v>19</v>
      </c>
      <c r="H1872" s="4" t="s">
        <v>20</v>
      </c>
      <c r="I1872" s="4">
        <v>26</v>
      </c>
      <c r="J1872" s="5">
        <v>48.4</v>
      </c>
      <c r="K1872" s="6">
        <v>1.62</v>
      </c>
      <c r="L1872" s="4">
        <v>1</v>
      </c>
      <c r="M1872" s="4">
        <v>117</v>
      </c>
      <c r="N1872" s="4">
        <v>99</v>
      </c>
      <c r="O1872" s="4" t="s">
        <v>21</v>
      </c>
      <c r="P1872" s="7" t="s">
        <v>30</v>
      </c>
    </row>
    <row r="1873" spans="2:16" x14ac:dyDescent="0.45">
      <c r="B1873" s="4">
        <v>1872</v>
      </c>
      <c r="C1873" s="4" t="s">
        <v>15</v>
      </c>
      <c r="D1873" s="4" t="s">
        <v>16</v>
      </c>
      <c r="E1873" s="4" t="s">
        <v>35</v>
      </c>
      <c r="F1873" s="4" t="s">
        <v>18</v>
      </c>
      <c r="G1873" s="4" t="s">
        <v>19</v>
      </c>
      <c r="H1873" s="4" t="s">
        <v>38</v>
      </c>
      <c r="I1873" s="4">
        <v>2</v>
      </c>
      <c r="J1873" s="5">
        <v>17.899999999999999</v>
      </c>
      <c r="K1873" s="6">
        <v>0.87</v>
      </c>
      <c r="L1873" s="4">
        <v>4</v>
      </c>
      <c r="M1873" s="4">
        <v>113</v>
      </c>
      <c r="N1873" s="4">
        <v>86</v>
      </c>
      <c r="O1873" s="4" t="s">
        <v>21</v>
      </c>
      <c r="P1873" s="7" t="s">
        <v>19</v>
      </c>
    </row>
    <row r="1874" spans="2:16" x14ac:dyDescent="0.45">
      <c r="B1874" s="4">
        <v>1873</v>
      </c>
      <c r="C1874" s="4" t="s">
        <v>22</v>
      </c>
      <c r="D1874" s="4" t="s">
        <v>16</v>
      </c>
      <c r="E1874" s="4" t="s">
        <v>35</v>
      </c>
      <c r="F1874" s="4" t="s">
        <v>18</v>
      </c>
      <c r="G1874" s="4" t="s">
        <v>19</v>
      </c>
      <c r="H1874" s="4" t="s">
        <v>20</v>
      </c>
      <c r="I1874" s="4">
        <v>16</v>
      </c>
      <c r="J1874" s="5">
        <v>46.9</v>
      </c>
      <c r="K1874" s="6">
        <v>1.56</v>
      </c>
      <c r="L1874" s="4">
        <v>8</v>
      </c>
      <c r="M1874" s="4">
        <v>97</v>
      </c>
      <c r="N1874" s="4">
        <v>97</v>
      </c>
      <c r="O1874" s="4" t="s">
        <v>21</v>
      </c>
      <c r="P1874" s="7" t="s">
        <v>19</v>
      </c>
    </row>
    <row r="1875" spans="2:16" x14ac:dyDescent="0.45">
      <c r="B1875" s="4">
        <v>1874</v>
      </c>
      <c r="C1875" s="4" t="s">
        <v>39</v>
      </c>
      <c r="D1875" s="4" t="s">
        <v>16</v>
      </c>
      <c r="E1875" s="4" t="s">
        <v>35</v>
      </c>
      <c r="F1875" s="4" t="s">
        <v>24</v>
      </c>
      <c r="G1875" s="4" t="s">
        <v>30</v>
      </c>
      <c r="H1875" s="4" t="s">
        <v>46</v>
      </c>
      <c r="I1875" s="4">
        <v>12</v>
      </c>
      <c r="J1875" s="5">
        <v>60.1</v>
      </c>
      <c r="K1875" s="6">
        <v>1.73</v>
      </c>
      <c r="L1875" s="4">
        <v>1</v>
      </c>
      <c r="M1875" s="4">
        <v>110</v>
      </c>
      <c r="N1875" s="4">
        <v>92</v>
      </c>
      <c r="O1875" s="4" t="s">
        <v>21</v>
      </c>
      <c r="P1875" s="7" t="s">
        <v>19</v>
      </c>
    </row>
    <row r="1876" spans="2:16" x14ac:dyDescent="0.45">
      <c r="B1876" s="4">
        <v>1875</v>
      </c>
      <c r="C1876" s="4" t="s">
        <v>33</v>
      </c>
      <c r="D1876" s="4" t="s">
        <v>23</v>
      </c>
      <c r="E1876" s="4" t="s">
        <v>35</v>
      </c>
      <c r="F1876" s="4" t="s">
        <v>24</v>
      </c>
      <c r="G1876" s="4" t="s">
        <v>30</v>
      </c>
      <c r="H1876" s="4" t="s">
        <v>20</v>
      </c>
      <c r="I1876" s="4">
        <v>37</v>
      </c>
      <c r="J1876" s="5">
        <v>58</v>
      </c>
      <c r="K1876" s="6">
        <v>1.73</v>
      </c>
      <c r="L1876" s="4">
        <v>7</v>
      </c>
      <c r="M1876" s="4">
        <v>102</v>
      </c>
      <c r="N1876" s="4">
        <v>97</v>
      </c>
      <c r="O1876" s="4" t="s">
        <v>21</v>
      </c>
      <c r="P1876" s="7" t="s">
        <v>19</v>
      </c>
    </row>
    <row r="1877" spans="2:16" x14ac:dyDescent="0.45">
      <c r="B1877" s="4">
        <v>1876</v>
      </c>
      <c r="C1877" s="4" t="s">
        <v>41</v>
      </c>
      <c r="D1877" s="4" t="s">
        <v>16</v>
      </c>
      <c r="E1877" s="4" t="s">
        <v>37</v>
      </c>
      <c r="F1877" s="4" t="s">
        <v>24</v>
      </c>
      <c r="G1877" s="4" t="s">
        <v>19</v>
      </c>
      <c r="H1877" s="4" t="s">
        <v>20</v>
      </c>
      <c r="I1877" s="4">
        <v>1</v>
      </c>
      <c r="J1877" s="5">
        <v>10.9</v>
      </c>
      <c r="K1877" s="6">
        <v>0.64</v>
      </c>
      <c r="L1877" s="4">
        <v>6</v>
      </c>
      <c r="M1877" s="4">
        <v>102</v>
      </c>
      <c r="N1877" s="4">
        <v>85</v>
      </c>
      <c r="O1877" s="4" t="s">
        <v>26</v>
      </c>
      <c r="P1877" s="7" t="s">
        <v>19</v>
      </c>
    </row>
    <row r="1878" spans="2:16" x14ac:dyDescent="0.45">
      <c r="B1878" s="4">
        <v>1877</v>
      </c>
      <c r="C1878" s="4" t="s">
        <v>43</v>
      </c>
      <c r="D1878" s="4" t="s">
        <v>16</v>
      </c>
      <c r="E1878" s="4" t="s">
        <v>35</v>
      </c>
      <c r="F1878" s="4" t="s">
        <v>18</v>
      </c>
      <c r="G1878" s="4" t="s">
        <v>19</v>
      </c>
      <c r="H1878" s="4" t="s">
        <v>28</v>
      </c>
      <c r="I1878" s="4">
        <v>29</v>
      </c>
      <c r="J1878" s="5">
        <v>63.3</v>
      </c>
      <c r="K1878" s="6">
        <v>1.48</v>
      </c>
      <c r="L1878" s="4">
        <v>3</v>
      </c>
      <c r="M1878" s="4">
        <v>112</v>
      </c>
      <c r="N1878" s="4">
        <v>79</v>
      </c>
      <c r="O1878" s="4" t="s">
        <v>26</v>
      </c>
      <c r="P1878" s="7" t="s">
        <v>30</v>
      </c>
    </row>
    <row r="1879" spans="2:16" x14ac:dyDescent="0.45">
      <c r="B1879" s="4">
        <v>1878</v>
      </c>
      <c r="C1879" s="4" t="s">
        <v>27</v>
      </c>
      <c r="D1879" s="4" t="s">
        <v>16</v>
      </c>
      <c r="E1879" s="4" t="s">
        <v>35</v>
      </c>
      <c r="F1879" s="4" t="s">
        <v>24</v>
      </c>
      <c r="G1879" s="4" t="s">
        <v>19</v>
      </c>
      <c r="H1879" s="4" t="s">
        <v>36</v>
      </c>
      <c r="I1879" s="4">
        <v>3</v>
      </c>
      <c r="J1879" s="5">
        <v>7.5</v>
      </c>
      <c r="K1879" s="6">
        <v>0.87</v>
      </c>
      <c r="L1879" s="4">
        <v>4</v>
      </c>
      <c r="M1879" s="4">
        <v>131</v>
      </c>
      <c r="N1879" s="4">
        <v>105</v>
      </c>
      <c r="O1879" s="4" t="s">
        <v>26</v>
      </c>
      <c r="P1879" s="7" t="s">
        <v>19</v>
      </c>
    </row>
    <row r="1880" spans="2:16" x14ac:dyDescent="0.45">
      <c r="B1880" s="4">
        <v>1879</v>
      </c>
      <c r="C1880" s="4" t="s">
        <v>15</v>
      </c>
      <c r="D1880" s="4" t="s">
        <v>16</v>
      </c>
      <c r="E1880" s="4" t="s">
        <v>17</v>
      </c>
      <c r="F1880" s="4" t="s">
        <v>24</v>
      </c>
      <c r="G1880" s="4" t="s">
        <v>19</v>
      </c>
      <c r="H1880" s="4" t="s">
        <v>25</v>
      </c>
      <c r="I1880" s="4">
        <v>10</v>
      </c>
      <c r="J1880" s="5">
        <v>36.5</v>
      </c>
      <c r="K1880" s="6">
        <v>1.4</v>
      </c>
      <c r="L1880" s="4">
        <v>1</v>
      </c>
      <c r="M1880" s="4">
        <v>99</v>
      </c>
      <c r="N1880" s="4">
        <v>95</v>
      </c>
      <c r="O1880" s="4" t="s">
        <v>26</v>
      </c>
      <c r="P1880" s="7" t="s">
        <v>19</v>
      </c>
    </row>
    <row r="1881" spans="2:16" x14ac:dyDescent="0.45">
      <c r="B1881" s="4">
        <v>1880</v>
      </c>
      <c r="C1881" s="4" t="s">
        <v>27</v>
      </c>
      <c r="D1881" s="4" t="s">
        <v>16</v>
      </c>
      <c r="E1881" s="4" t="s">
        <v>35</v>
      </c>
      <c r="F1881" s="4" t="s">
        <v>18</v>
      </c>
      <c r="G1881" s="4" t="s">
        <v>19</v>
      </c>
      <c r="H1881" s="4" t="s">
        <v>28</v>
      </c>
      <c r="I1881" s="4">
        <v>4</v>
      </c>
      <c r="J1881" s="5">
        <v>14.4</v>
      </c>
      <c r="K1881" s="6">
        <v>0.84</v>
      </c>
      <c r="L1881" s="4">
        <v>3</v>
      </c>
      <c r="M1881" s="4">
        <v>98</v>
      </c>
      <c r="N1881" s="4">
        <v>89</v>
      </c>
      <c r="O1881" s="4" t="s">
        <v>26</v>
      </c>
      <c r="P1881" s="7" t="s">
        <v>19</v>
      </c>
    </row>
    <row r="1882" spans="2:16" x14ac:dyDescent="0.45">
      <c r="B1882" s="4">
        <v>1881</v>
      </c>
      <c r="C1882" s="4" t="s">
        <v>27</v>
      </c>
      <c r="D1882" s="4" t="s">
        <v>23</v>
      </c>
      <c r="E1882" s="4" t="s">
        <v>37</v>
      </c>
      <c r="F1882" s="4" t="s">
        <v>28</v>
      </c>
      <c r="G1882" s="4" t="s">
        <v>19</v>
      </c>
      <c r="H1882" s="4" t="s">
        <v>34</v>
      </c>
      <c r="I1882" s="4">
        <v>61</v>
      </c>
      <c r="J1882" s="5">
        <v>52.9</v>
      </c>
      <c r="K1882" s="6">
        <v>1.88</v>
      </c>
      <c r="L1882" s="4">
        <v>5</v>
      </c>
      <c r="M1882" s="4">
        <v>130</v>
      </c>
      <c r="N1882" s="4">
        <v>100</v>
      </c>
      <c r="O1882" s="4" t="s">
        <v>26</v>
      </c>
      <c r="P1882" s="7" t="s">
        <v>19</v>
      </c>
    </row>
    <row r="1883" spans="2:16" x14ac:dyDescent="0.45">
      <c r="B1883" s="4">
        <v>1882</v>
      </c>
      <c r="C1883" s="4" t="s">
        <v>43</v>
      </c>
      <c r="D1883" s="4" t="s">
        <v>16</v>
      </c>
      <c r="E1883" s="4" t="s">
        <v>17</v>
      </c>
      <c r="F1883" s="4" t="s">
        <v>24</v>
      </c>
      <c r="G1883" s="4" t="s">
        <v>19</v>
      </c>
      <c r="H1883" s="4" t="s">
        <v>28</v>
      </c>
      <c r="I1883" s="4">
        <v>1</v>
      </c>
      <c r="J1883" s="5">
        <v>12.6</v>
      </c>
      <c r="K1883" s="6">
        <v>0.69</v>
      </c>
      <c r="L1883" s="4">
        <v>4</v>
      </c>
      <c r="M1883" s="4">
        <v>98</v>
      </c>
      <c r="N1883" s="4">
        <v>103</v>
      </c>
      <c r="O1883" s="4" t="s">
        <v>26</v>
      </c>
      <c r="P1883" s="7" t="s">
        <v>19</v>
      </c>
    </row>
    <row r="1884" spans="2:16" x14ac:dyDescent="0.45">
      <c r="B1884" s="4">
        <v>1883</v>
      </c>
      <c r="C1884" s="4" t="s">
        <v>41</v>
      </c>
      <c r="D1884" s="4" t="s">
        <v>16</v>
      </c>
      <c r="E1884" s="4" t="s">
        <v>44</v>
      </c>
      <c r="F1884" s="4" t="s">
        <v>28</v>
      </c>
      <c r="G1884" s="4" t="s">
        <v>19</v>
      </c>
      <c r="H1884" s="4" t="s">
        <v>25</v>
      </c>
      <c r="I1884" s="4">
        <v>77</v>
      </c>
      <c r="J1884" s="5">
        <v>50.9</v>
      </c>
      <c r="K1884" s="6">
        <v>1.8</v>
      </c>
      <c r="L1884" s="4">
        <v>2</v>
      </c>
      <c r="M1884" s="4">
        <v>122</v>
      </c>
      <c r="N1884" s="4">
        <v>83</v>
      </c>
      <c r="O1884" s="4" t="s">
        <v>26</v>
      </c>
      <c r="P1884" s="7" t="s">
        <v>19</v>
      </c>
    </row>
    <row r="1885" spans="2:16" x14ac:dyDescent="0.45">
      <c r="B1885" s="4">
        <v>1884</v>
      </c>
      <c r="C1885" s="4" t="s">
        <v>22</v>
      </c>
      <c r="D1885" s="4" t="s">
        <v>23</v>
      </c>
      <c r="E1885" s="4" t="s">
        <v>37</v>
      </c>
      <c r="F1885" s="4" t="s">
        <v>28</v>
      </c>
      <c r="G1885" s="4" t="s">
        <v>30</v>
      </c>
      <c r="H1885" s="4" t="s">
        <v>46</v>
      </c>
      <c r="I1885" s="4">
        <v>2</v>
      </c>
      <c r="J1885" s="5">
        <v>6.1</v>
      </c>
      <c r="K1885" s="6">
        <v>0.63</v>
      </c>
      <c r="L1885" s="4">
        <v>8</v>
      </c>
      <c r="M1885" s="4">
        <v>112</v>
      </c>
      <c r="N1885" s="4">
        <v>96</v>
      </c>
      <c r="O1885" s="4" t="s">
        <v>21</v>
      </c>
      <c r="P1885" s="7" t="s">
        <v>30</v>
      </c>
    </row>
    <row r="1886" spans="2:16" x14ac:dyDescent="0.45">
      <c r="B1886" s="4">
        <v>1885</v>
      </c>
      <c r="C1886" s="4" t="s">
        <v>15</v>
      </c>
      <c r="D1886" s="4" t="s">
        <v>16</v>
      </c>
      <c r="E1886" s="4" t="s">
        <v>35</v>
      </c>
      <c r="F1886" s="4" t="s">
        <v>24</v>
      </c>
      <c r="G1886" s="4" t="s">
        <v>30</v>
      </c>
      <c r="H1886" s="4" t="s">
        <v>36</v>
      </c>
      <c r="I1886" s="4">
        <v>12</v>
      </c>
      <c r="J1886" s="5">
        <v>60.5</v>
      </c>
      <c r="K1886" s="6">
        <v>1.52</v>
      </c>
      <c r="L1886" s="4">
        <v>5</v>
      </c>
      <c r="M1886" s="4">
        <v>130</v>
      </c>
      <c r="N1886" s="4">
        <v>104</v>
      </c>
      <c r="O1886" s="4" t="s">
        <v>26</v>
      </c>
      <c r="P1886" s="7" t="s">
        <v>19</v>
      </c>
    </row>
    <row r="1887" spans="2:16" x14ac:dyDescent="0.45">
      <c r="B1887" s="4">
        <v>1886</v>
      </c>
      <c r="C1887" s="4" t="s">
        <v>22</v>
      </c>
      <c r="D1887" s="4" t="s">
        <v>16</v>
      </c>
      <c r="E1887" s="4" t="s">
        <v>17</v>
      </c>
      <c r="F1887" s="4" t="s">
        <v>24</v>
      </c>
      <c r="G1887" s="4" t="s">
        <v>19</v>
      </c>
      <c r="H1887" s="4" t="s">
        <v>20</v>
      </c>
      <c r="I1887" s="4">
        <v>54</v>
      </c>
      <c r="J1887" s="5">
        <v>48.7</v>
      </c>
      <c r="K1887" s="6">
        <v>1.74</v>
      </c>
      <c r="L1887" s="4">
        <v>6</v>
      </c>
      <c r="M1887" s="4">
        <v>110</v>
      </c>
      <c r="N1887" s="4">
        <v>78</v>
      </c>
      <c r="O1887" s="4" t="s">
        <v>26</v>
      </c>
      <c r="P1887" s="7" t="s">
        <v>19</v>
      </c>
    </row>
    <row r="1888" spans="2:16" x14ac:dyDescent="0.45">
      <c r="B1888" s="4">
        <v>1887</v>
      </c>
      <c r="C1888" s="4" t="s">
        <v>41</v>
      </c>
      <c r="D1888" s="4" t="s">
        <v>16</v>
      </c>
      <c r="E1888" s="4" t="s">
        <v>37</v>
      </c>
      <c r="F1888" s="4" t="s">
        <v>18</v>
      </c>
      <c r="G1888" s="4" t="s">
        <v>19</v>
      </c>
      <c r="H1888" s="4" t="s">
        <v>34</v>
      </c>
      <c r="I1888" s="4">
        <v>13</v>
      </c>
      <c r="J1888" s="5">
        <v>58</v>
      </c>
      <c r="K1888" s="6">
        <v>1.46</v>
      </c>
      <c r="L1888" s="4">
        <v>1</v>
      </c>
      <c r="M1888" s="4">
        <v>104</v>
      </c>
      <c r="N1888" s="4">
        <v>99</v>
      </c>
      <c r="O1888" s="4" t="s">
        <v>21</v>
      </c>
      <c r="P1888" s="7" t="s">
        <v>19</v>
      </c>
    </row>
    <row r="1889" spans="2:16" x14ac:dyDescent="0.45">
      <c r="B1889" s="4">
        <v>1888</v>
      </c>
      <c r="C1889" s="4" t="s">
        <v>27</v>
      </c>
      <c r="D1889" s="4" t="s">
        <v>16</v>
      </c>
      <c r="E1889" s="4" t="s">
        <v>35</v>
      </c>
      <c r="F1889" s="4" t="s">
        <v>24</v>
      </c>
      <c r="G1889" s="4" t="s">
        <v>19</v>
      </c>
      <c r="H1889" s="4" t="s">
        <v>34</v>
      </c>
      <c r="I1889" s="4">
        <v>3</v>
      </c>
      <c r="J1889" s="5">
        <v>9.4</v>
      </c>
      <c r="K1889" s="6">
        <v>0.92</v>
      </c>
      <c r="L1889" s="4">
        <v>4</v>
      </c>
      <c r="M1889" s="4">
        <v>100</v>
      </c>
      <c r="N1889" s="4">
        <v>91</v>
      </c>
      <c r="O1889" s="4" t="s">
        <v>26</v>
      </c>
      <c r="P1889" s="7" t="s">
        <v>19</v>
      </c>
    </row>
    <row r="1890" spans="2:16" x14ac:dyDescent="0.45">
      <c r="B1890" s="4">
        <v>1889</v>
      </c>
      <c r="C1890" s="4" t="s">
        <v>45</v>
      </c>
      <c r="D1890" s="4" t="s">
        <v>16</v>
      </c>
      <c r="E1890" s="4" t="s">
        <v>35</v>
      </c>
      <c r="F1890" s="4" t="s">
        <v>18</v>
      </c>
      <c r="G1890" s="4" t="s">
        <v>19</v>
      </c>
      <c r="H1890" s="4" t="s">
        <v>25</v>
      </c>
      <c r="I1890" s="4">
        <v>86</v>
      </c>
      <c r="J1890" s="5">
        <v>61.5</v>
      </c>
      <c r="K1890" s="6">
        <v>1.9</v>
      </c>
      <c r="L1890" s="4">
        <v>2</v>
      </c>
      <c r="M1890" s="4">
        <v>121</v>
      </c>
      <c r="N1890" s="4">
        <v>72</v>
      </c>
      <c r="O1890" s="4" t="s">
        <v>21</v>
      </c>
      <c r="P1890" s="7" t="s">
        <v>19</v>
      </c>
    </row>
    <row r="1891" spans="2:16" x14ac:dyDescent="0.45">
      <c r="B1891" s="4">
        <v>1890</v>
      </c>
      <c r="C1891" s="4" t="s">
        <v>29</v>
      </c>
      <c r="D1891" s="4" t="s">
        <v>23</v>
      </c>
      <c r="E1891" s="4" t="s">
        <v>37</v>
      </c>
      <c r="F1891" s="4" t="s">
        <v>24</v>
      </c>
      <c r="G1891" s="4" t="s">
        <v>30</v>
      </c>
      <c r="H1891" s="4" t="s">
        <v>34</v>
      </c>
      <c r="I1891" s="4">
        <v>6</v>
      </c>
      <c r="J1891" s="5">
        <v>36.1</v>
      </c>
      <c r="K1891" s="6">
        <v>1.05</v>
      </c>
      <c r="L1891" s="4">
        <v>3</v>
      </c>
      <c r="M1891" s="4">
        <v>106</v>
      </c>
      <c r="N1891" s="4">
        <v>74</v>
      </c>
      <c r="O1891" s="4" t="s">
        <v>21</v>
      </c>
      <c r="P1891" s="7" t="s">
        <v>19</v>
      </c>
    </row>
    <row r="1892" spans="2:16" x14ac:dyDescent="0.45">
      <c r="B1892" s="4">
        <v>1891</v>
      </c>
      <c r="C1892" s="4" t="s">
        <v>41</v>
      </c>
      <c r="D1892" s="4" t="s">
        <v>16</v>
      </c>
      <c r="E1892" s="4" t="s">
        <v>17</v>
      </c>
      <c r="F1892" s="4" t="s">
        <v>18</v>
      </c>
      <c r="G1892" s="4" t="s">
        <v>30</v>
      </c>
      <c r="H1892" s="4" t="s">
        <v>20</v>
      </c>
      <c r="I1892" s="4">
        <v>64</v>
      </c>
      <c r="J1892" s="5">
        <v>84.6</v>
      </c>
      <c r="K1892" s="6">
        <v>1.62</v>
      </c>
      <c r="L1892" s="4">
        <v>3</v>
      </c>
      <c r="M1892" s="4">
        <v>118</v>
      </c>
      <c r="N1892" s="4">
        <v>80</v>
      </c>
      <c r="O1892" s="4" t="s">
        <v>26</v>
      </c>
      <c r="P1892" s="7" t="s">
        <v>19</v>
      </c>
    </row>
    <row r="1893" spans="2:16" x14ac:dyDescent="0.45">
      <c r="B1893" s="4">
        <v>1892</v>
      </c>
      <c r="C1893" s="4" t="s">
        <v>45</v>
      </c>
      <c r="D1893" s="4" t="s">
        <v>16</v>
      </c>
      <c r="E1893" s="4" t="s">
        <v>35</v>
      </c>
      <c r="F1893" s="4" t="s">
        <v>28</v>
      </c>
      <c r="G1893" s="4" t="s">
        <v>19</v>
      </c>
      <c r="H1893" s="4" t="s">
        <v>20</v>
      </c>
      <c r="I1893" s="4">
        <v>38</v>
      </c>
      <c r="J1893" s="5">
        <v>50.6</v>
      </c>
      <c r="K1893" s="6">
        <v>1.7</v>
      </c>
      <c r="L1893" s="4">
        <v>1</v>
      </c>
      <c r="M1893" s="4">
        <v>115</v>
      </c>
      <c r="N1893" s="4">
        <v>71</v>
      </c>
      <c r="O1893" s="4" t="s">
        <v>21</v>
      </c>
      <c r="P1893" s="7" t="s">
        <v>19</v>
      </c>
    </row>
    <row r="1894" spans="2:16" x14ac:dyDescent="0.45">
      <c r="B1894" s="4">
        <v>1893</v>
      </c>
      <c r="C1894" s="4" t="s">
        <v>15</v>
      </c>
      <c r="D1894" s="4" t="s">
        <v>23</v>
      </c>
      <c r="E1894" s="4" t="s">
        <v>35</v>
      </c>
      <c r="F1894" s="4" t="s">
        <v>28</v>
      </c>
      <c r="G1894" s="4" t="s">
        <v>19</v>
      </c>
      <c r="H1894" s="4" t="s">
        <v>34</v>
      </c>
      <c r="I1894" s="4">
        <v>57</v>
      </c>
      <c r="J1894" s="5">
        <v>48.9</v>
      </c>
      <c r="K1894" s="6">
        <v>1.68</v>
      </c>
      <c r="L1894" s="4">
        <v>3</v>
      </c>
      <c r="M1894" s="4">
        <v>129</v>
      </c>
      <c r="N1894" s="4">
        <v>75</v>
      </c>
      <c r="O1894" s="4" t="s">
        <v>21</v>
      </c>
      <c r="P1894" s="7" t="s">
        <v>30</v>
      </c>
    </row>
    <row r="1895" spans="2:16" x14ac:dyDescent="0.45">
      <c r="B1895" s="4">
        <v>1894</v>
      </c>
      <c r="C1895" s="4" t="s">
        <v>22</v>
      </c>
      <c r="D1895" s="4" t="s">
        <v>16</v>
      </c>
      <c r="E1895" s="4" t="s">
        <v>35</v>
      </c>
      <c r="F1895" s="4" t="s">
        <v>24</v>
      </c>
      <c r="G1895" s="4" t="s">
        <v>19</v>
      </c>
      <c r="H1895" s="4" t="s">
        <v>20</v>
      </c>
      <c r="I1895" s="4">
        <v>89</v>
      </c>
      <c r="J1895" s="5">
        <v>53.8</v>
      </c>
      <c r="K1895" s="6">
        <v>1.72</v>
      </c>
      <c r="L1895" s="4">
        <v>3</v>
      </c>
      <c r="M1895" s="4">
        <v>137</v>
      </c>
      <c r="N1895" s="4">
        <v>70</v>
      </c>
      <c r="O1895" s="4" t="s">
        <v>26</v>
      </c>
      <c r="P1895" s="7" t="s">
        <v>30</v>
      </c>
    </row>
    <row r="1896" spans="2:16" x14ac:dyDescent="0.45">
      <c r="B1896" s="4">
        <v>1895</v>
      </c>
      <c r="C1896" s="4" t="s">
        <v>40</v>
      </c>
      <c r="D1896" s="4" t="s">
        <v>16</v>
      </c>
      <c r="E1896" s="4" t="s">
        <v>35</v>
      </c>
      <c r="F1896" s="4" t="s">
        <v>24</v>
      </c>
      <c r="G1896" s="4" t="s">
        <v>19</v>
      </c>
      <c r="H1896" s="4" t="s">
        <v>36</v>
      </c>
      <c r="I1896" s="4">
        <v>70</v>
      </c>
      <c r="J1896" s="5">
        <v>62.2</v>
      </c>
      <c r="K1896" s="6">
        <v>1.58</v>
      </c>
      <c r="L1896" s="4">
        <v>2</v>
      </c>
      <c r="M1896" s="4">
        <v>132</v>
      </c>
      <c r="N1896" s="4">
        <v>89</v>
      </c>
      <c r="O1896" s="4" t="s">
        <v>26</v>
      </c>
      <c r="P1896" s="7" t="s">
        <v>19</v>
      </c>
    </row>
    <row r="1897" spans="2:16" x14ac:dyDescent="0.45">
      <c r="B1897" s="4">
        <v>1896</v>
      </c>
      <c r="C1897" s="4" t="s">
        <v>39</v>
      </c>
      <c r="D1897" s="4" t="s">
        <v>16</v>
      </c>
      <c r="E1897" s="4" t="s">
        <v>17</v>
      </c>
      <c r="F1897" s="4" t="s">
        <v>18</v>
      </c>
      <c r="G1897" s="4" t="s">
        <v>19</v>
      </c>
      <c r="H1897" s="4" t="s">
        <v>32</v>
      </c>
      <c r="I1897" s="4">
        <v>31</v>
      </c>
      <c r="J1897" s="5">
        <v>67.099999999999994</v>
      </c>
      <c r="K1897" s="6">
        <v>1.72</v>
      </c>
      <c r="L1897" s="4">
        <v>8</v>
      </c>
      <c r="M1897" s="4">
        <v>123</v>
      </c>
      <c r="N1897" s="4">
        <v>123</v>
      </c>
      <c r="O1897" s="4" t="s">
        <v>26</v>
      </c>
      <c r="P1897" s="7" t="s">
        <v>19</v>
      </c>
    </row>
    <row r="1898" spans="2:16" x14ac:dyDescent="0.45">
      <c r="B1898" s="4">
        <v>1897</v>
      </c>
      <c r="C1898" s="4" t="s">
        <v>27</v>
      </c>
      <c r="D1898" s="4" t="s">
        <v>23</v>
      </c>
      <c r="E1898" s="4" t="s">
        <v>35</v>
      </c>
      <c r="F1898" s="4" t="s">
        <v>28</v>
      </c>
      <c r="G1898" s="4" t="s">
        <v>30</v>
      </c>
      <c r="H1898" s="4" t="s">
        <v>20</v>
      </c>
      <c r="I1898" s="4">
        <v>58</v>
      </c>
      <c r="J1898" s="5">
        <v>45.1</v>
      </c>
      <c r="K1898" s="6">
        <v>1.88</v>
      </c>
      <c r="L1898" s="4">
        <v>5</v>
      </c>
      <c r="M1898" s="4">
        <v>123</v>
      </c>
      <c r="N1898" s="4">
        <v>72</v>
      </c>
      <c r="O1898" s="4" t="s">
        <v>26</v>
      </c>
      <c r="P1898" s="7" t="s">
        <v>30</v>
      </c>
    </row>
    <row r="1899" spans="2:16" x14ac:dyDescent="0.45">
      <c r="B1899" s="4">
        <v>1898</v>
      </c>
      <c r="C1899" s="4" t="s">
        <v>22</v>
      </c>
      <c r="D1899" s="4" t="s">
        <v>23</v>
      </c>
      <c r="E1899" s="4" t="s">
        <v>44</v>
      </c>
      <c r="F1899" s="4" t="s">
        <v>28</v>
      </c>
      <c r="G1899" s="4" t="s">
        <v>19</v>
      </c>
      <c r="H1899" s="4" t="s">
        <v>34</v>
      </c>
      <c r="I1899" s="4">
        <v>19</v>
      </c>
      <c r="J1899" s="5">
        <v>52.4</v>
      </c>
      <c r="K1899" s="6">
        <v>1.59</v>
      </c>
      <c r="L1899" s="4">
        <v>3</v>
      </c>
      <c r="M1899" s="4">
        <v>113</v>
      </c>
      <c r="N1899" s="4">
        <v>100</v>
      </c>
      <c r="O1899" s="4" t="s">
        <v>21</v>
      </c>
      <c r="P1899" s="7" t="s">
        <v>19</v>
      </c>
    </row>
    <row r="1900" spans="2:16" x14ac:dyDescent="0.45">
      <c r="B1900" s="4">
        <v>1899</v>
      </c>
      <c r="C1900" s="4" t="s">
        <v>43</v>
      </c>
      <c r="D1900" s="4" t="s">
        <v>23</v>
      </c>
      <c r="E1900" s="4" t="s">
        <v>17</v>
      </c>
      <c r="F1900" s="4" t="s">
        <v>18</v>
      </c>
      <c r="G1900" s="4" t="s">
        <v>30</v>
      </c>
      <c r="H1900" s="4" t="s">
        <v>34</v>
      </c>
      <c r="I1900" s="4">
        <v>1</v>
      </c>
      <c r="J1900" s="5">
        <v>6.8</v>
      </c>
      <c r="K1900" s="6">
        <v>0.9</v>
      </c>
      <c r="L1900" s="4">
        <v>6</v>
      </c>
      <c r="M1900" s="4">
        <v>112</v>
      </c>
      <c r="N1900" s="4">
        <v>80</v>
      </c>
      <c r="O1900" s="4" t="s">
        <v>21</v>
      </c>
      <c r="P1900" s="7" t="s">
        <v>19</v>
      </c>
    </row>
    <row r="1901" spans="2:16" x14ac:dyDescent="0.45">
      <c r="B1901" s="4">
        <v>1900</v>
      </c>
      <c r="C1901" s="4" t="s">
        <v>31</v>
      </c>
      <c r="D1901" s="4" t="s">
        <v>23</v>
      </c>
      <c r="E1901" s="4" t="s">
        <v>35</v>
      </c>
      <c r="F1901" s="4" t="s">
        <v>28</v>
      </c>
      <c r="G1901" s="4" t="s">
        <v>19</v>
      </c>
      <c r="H1901" s="4" t="s">
        <v>28</v>
      </c>
      <c r="I1901" s="4">
        <v>16</v>
      </c>
      <c r="J1901" s="5">
        <v>63.3</v>
      </c>
      <c r="K1901" s="6">
        <v>1.69</v>
      </c>
      <c r="L1901" s="4">
        <v>5</v>
      </c>
      <c r="M1901" s="4">
        <v>112</v>
      </c>
      <c r="N1901" s="4">
        <v>98</v>
      </c>
      <c r="O1901" s="4" t="s">
        <v>21</v>
      </c>
      <c r="P1901" s="7" t="s">
        <v>19</v>
      </c>
    </row>
    <row r="1902" spans="2:16" x14ac:dyDescent="0.45">
      <c r="B1902" s="4">
        <v>1901</v>
      </c>
      <c r="C1902" s="4" t="s">
        <v>31</v>
      </c>
      <c r="D1902" s="4" t="s">
        <v>16</v>
      </c>
      <c r="E1902" s="4" t="s">
        <v>17</v>
      </c>
      <c r="F1902" s="4" t="s">
        <v>24</v>
      </c>
      <c r="G1902" s="4" t="s">
        <v>19</v>
      </c>
      <c r="H1902" s="4" t="s">
        <v>25</v>
      </c>
      <c r="I1902" s="4">
        <v>14</v>
      </c>
      <c r="J1902" s="5">
        <v>61.2</v>
      </c>
      <c r="K1902" s="6">
        <v>1.52</v>
      </c>
      <c r="L1902" s="4">
        <v>5</v>
      </c>
      <c r="M1902" s="4">
        <v>103</v>
      </c>
      <c r="N1902" s="4">
        <v>84</v>
      </c>
      <c r="O1902" s="4" t="s">
        <v>26</v>
      </c>
      <c r="P1902" s="7" t="s">
        <v>19</v>
      </c>
    </row>
    <row r="1903" spans="2:16" x14ac:dyDescent="0.45">
      <c r="B1903" s="4">
        <v>1902</v>
      </c>
      <c r="C1903" s="4" t="s">
        <v>29</v>
      </c>
      <c r="D1903" s="4" t="s">
        <v>16</v>
      </c>
      <c r="E1903" s="4" t="s">
        <v>35</v>
      </c>
      <c r="F1903" s="4" t="s">
        <v>24</v>
      </c>
      <c r="G1903" s="4" t="s">
        <v>19</v>
      </c>
      <c r="H1903" s="4" t="s">
        <v>20</v>
      </c>
      <c r="I1903" s="4">
        <v>18</v>
      </c>
      <c r="J1903" s="5">
        <v>65.599999999999994</v>
      </c>
      <c r="K1903" s="6">
        <v>1.51</v>
      </c>
      <c r="L1903" s="4">
        <v>4</v>
      </c>
      <c r="M1903" s="4">
        <v>105</v>
      </c>
      <c r="N1903" s="4">
        <v>72</v>
      </c>
      <c r="O1903" s="4" t="s">
        <v>21</v>
      </c>
      <c r="P1903" s="7" t="s">
        <v>19</v>
      </c>
    </row>
    <row r="1904" spans="2:16" x14ac:dyDescent="0.45">
      <c r="B1904" s="4">
        <v>1903</v>
      </c>
      <c r="C1904" s="4" t="s">
        <v>22</v>
      </c>
      <c r="D1904" s="4" t="s">
        <v>16</v>
      </c>
      <c r="E1904" s="4" t="s">
        <v>35</v>
      </c>
      <c r="F1904" s="4" t="s">
        <v>18</v>
      </c>
      <c r="G1904" s="4" t="s">
        <v>19</v>
      </c>
      <c r="H1904" s="4" t="s">
        <v>32</v>
      </c>
      <c r="I1904" s="4">
        <v>23</v>
      </c>
      <c r="J1904" s="5">
        <v>55.2</v>
      </c>
      <c r="K1904" s="6">
        <v>1.68</v>
      </c>
      <c r="L1904" s="4">
        <v>1</v>
      </c>
      <c r="M1904" s="4">
        <v>107</v>
      </c>
      <c r="N1904" s="4">
        <v>145</v>
      </c>
      <c r="O1904" s="4" t="s">
        <v>26</v>
      </c>
      <c r="P1904" s="7" t="s">
        <v>19</v>
      </c>
    </row>
    <row r="1905" spans="2:16" x14ac:dyDescent="0.45">
      <c r="B1905" s="4">
        <v>1904</v>
      </c>
      <c r="C1905" s="4" t="s">
        <v>27</v>
      </c>
      <c r="D1905" s="4" t="s">
        <v>23</v>
      </c>
      <c r="E1905" s="4" t="s">
        <v>35</v>
      </c>
      <c r="F1905" s="4" t="s">
        <v>24</v>
      </c>
      <c r="G1905" s="4" t="s">
        <v>19</v>
      </c>
      <c r="H1905" s="4" t="s">
        <v>20</v>
      </c>
      <c r="I1905" s="4">
        <v>79</v>
      </c>
      <c r="J1905" s="5">
        <v>62.3</v>
      </c>
      <c r="K1905" s="6">
        <v>1.76</v>
      </c>
      <c r="L1905" s="4">
        <v>8</v>
      </c>
      <c r="M1905" s="4">
        <v>137</v>
      </c>
      <c r="N1905" s="4">
        <v>81</v>
      </c>
      <c r="O1905" s="4" t="s">
        <v>26</v>
      </c>
      <c r="P1905" s="7" t="s">
        <v>19</v>
      </c>
    </row>
    <row r="1906" spans="2:16" x14ac:dyDescent="0.45">
      <c r="B1906" s="4">
        <v>1905</v>
      </c>
      <c r="C1906" s="4" t="s">
        <v>40</v>
      </c>
      <c r="D1906" s="4" t="s">
        <v>23</v>
      </c>
      <c r="E1906" s="4" t="s">
        <v>17</v>
      </c>
      <c r="F1906" s="4" t="s">
        <v>18</v>
      </c>
      <c r="G1906" s="4" t="s">
        <v>19</v>
      </c>
      <c r="H1906" s="4" t="s">
        <v>32</v>
      </c>
      <c r="I1906" s="4">
        <v>11</v>
      </c>
      <c r="J1906" s="5">
        <v>26.4</v>
      </c>
      <c r="K1906" s="6">
        <v>1.1200000000000001</v>
      </c>
      <c r="L1906" s="4">
        <v>6</v>
      </c>
      <c r="M1906" s="4">
        <v>96</v>
      </c>
      <c r="N1906" s="4">
        <v>134</v>
      </c>
      <c r="O1906" s="4" t="s">
        <v>26</v>
      </c>
      <c r="P1906" s="7" t="s">
        <v>19</v>
      </c>
    </row>
    <row r="1907" spans="2:16" x14ac:dyDescent="0.45">
      <c r="B1907" s="4">
        <v>1906</v>
      </c>
      <c r="C1907" s="4" t="s">
        <v>15</v>
      </c>
      <c r="D1907" s="4" t="s">
        <v>23</v>
      </c>
      <c r="E1907" s="4" t="s">
        <v>17</v>
      </c>
      <c r="F1907" s="4" t="s">
        <v>18</v>
      </c>
      <c r="G1907" s="4" t="s">
        <v>19</v>
      </c>
      <c r="H1907" s="4" t="s">
        <v>28</v>
      </c>
      <c r="I1907" s="4">
        <v>46</v>
      </c>
      <c r="J1907" s="5">
        <v>46.5</v>
      </c>
      <c r="K1907" s="6">
        <v>1.56</v>
      </c>
      <c r="L1907" s="4">
        <v>10</v>
      </c>
      <c r="M1907" s="4">
        <v>111</v>
      </c>
      <c r="N1907" s="4">
        <v>78</v>
      </c>
      <c r="O1907" s="4" t="s">
        <v>21</v>
      </c>
      <c r="P1907" s="7" t="s">
        <v>30</v>
      </c>
    </row>
    <row r="1908" spans="2:16" x14ac:dyDescent="0.45">
      <c r="B1908" s="4">
        <v>1907</v>
      </c>
      <c r="C1908" s="4" t="s">
        <v>43</v>
      </c>
      <c r="D1908" s="4" t="s">
        <v>23</v>
      </c>
      <c r="E1908" s="4" t="s">
        <v>44</v>
      </c>
      <c r="F1908" s="4" t="s">
        <v>24</v>
      </c>
      <c r="G1908" s="4" t="s">
        <v>19</v>
      </c>
      <c r="H1908" s="4" t="s">
        <v>25</v>
      </c>
      <c r="I1908" s="4">
        <v>62</v>
      </c>
      <c r="J1908" s="5">
        <v>82.4</v>
      </c>
      <c r="K1908" s="6">
        <v>1.7</v>
      </c>
      <c r="L1908" s="4">
        <v>6</v>
      </c>
      <c r="M1908" s="4">
        <v>136</v>
      </c>
      <c r="N1908" s="4">
        <v>71</v>
      </c>
      <c r="O1908" s="4" t="s">
        <v>26</v>
      </c>
      <c r="P1908" s="7" t="s">
        <v>30</v>
      </c>
    </row>
    <row r="1909" spans="2:16" x14ac:dyDescent="0.45">
      <c r="B1909" s="4">
        <v>1908</v>
      </c>
      <c r="C1909" s="4" t="s">
        <v>15</v>
      </c>
      <c r="D1909" s="4" t="s">
        <v>23</v>
      </c>
      <c r="E1909" s="4" t="s">
        <v>17</v>
      </c>
      <c r="F1909" s="4" t="s">
        <v>24</v>
      </c>
      <c r="G1909" s="4" t="s">
        <v>19</v>
      </c>
      <c r="H1909" s="4" t="s">
        <v>28</v>
      </c>
      <c r="I1909" s="4">
        <v>32</v>
      </c>
      <c r="J1909" s="5">
        <v>65.7</v>
      </c>
      <c r="K1909" s="6">
        <v>1.68</v>
      </c>
      <c r="L1909" s="4">
        <v>5</v>
      </c>
      <c r="M1909" s="4">
        <v>113</v>
      </c>
      <c r="N1909" s="4">
        <v>73</v>
      </c>
      <c r="O1909" s="4" t="s">
        <v>21</v>
      </c>
      <c r="P1909" s="7" t="s">
        <v>30</v>
      </c>
    </row>
    <row r="1910" spans="2:16" x14ac:dyDescent="0.45">
      <c r="B1910" s="4">
        <v>1909</v>
      </c>
      <c r="C1910" s="4" t="s">
        <v>41</v>
      </c>
      <c r="D1910" s="4" t="s">
        <v>23</v>
      </c>
      <c r="E1910" s="4" t="s">
        <v>35</v>
      </c>
      <c r="F1910" s="4" t="s">
        <v>42</v>
      </c>
      <c r="G1910" s="4" t="s">
        <v>19</v>
      </c>
      <c r="H1910" s="4" t="s">
        <v>36</v>
      </c>
      <c r="I1910" s="4">
        <v>8</v>
      </c>
      <c r="J1910" s="5">
        <v>34.799999999999997</v>
      </c>
      <c r="K1910" s="6">
        <v>1.29</v>
      </c>
      <c r="L1910" s="4">
        <v>0</v>
      </c>
      <c r="M1910" s="4">
        <v>139</v>
      </c>
      <c r="N1910" s="4">
        <v>103</v>
      </c>
      <c r="O1910" s="4" t="s">
        <v>21</v>
      </c>
      <c r="P1910" s="7" t="s">
        <v>19</v>
      </c>
    </row>
    <row r="1911" spans="2:16" x14ac:dyDescent="0.45">
      <c r="B1911" s="4">
        <v>1910</v>
      </c>
      <c r="C1911" s="4" t="s">
        <v>43</v>
      </c>
      <c r="D1911" s="4" t="s">
        <v>16</v>
      </c>
      <c r="E1911" s="4" t="s">
        <v>35</v>
      </c>
      <c r="F1911" s="4" t="s">
        <v>18</v>
      </c>
      <c r="G1911" s="4" t="s">
        <v>19</v>
      </c>
      <c r="H1911" s="4" t="s">
        <v>28</v>
      </c>
      <c r="I1911" s="4">
        <v>34</v>
      </c>
      <c r="J1911" s="5">
        <v>46.3</v>
      </c>
      <c r="K1911" s="6">
        <v>1.86</v>
      </c>
      <c r="L1911" s="4">
        <v>3</v>
      </c>
      <c r="M1911" s="4">
        <v>114</v>
      </c>
      <c r="N1911" s="4">
        <v>88</v>
      </c>
      <c r="O1911" s="4" t="s">
        <v>26</v>
      </c>
      <c r="P1911" s="7" t="s">
        <v>19</v>
      </c>
    </row>
    <row r="1912" spans="2:16" x14ac:dyDescent="0.45">
      <c r="B1912" s="4">
        <v>1911</v>
      </c>
      <c r="C1912" s="4" t="s">
        <v>33</v>
      </c>
      <c r="D1912" s="4" t="s">
        <v>16</v>
      </c>
      <c r="E1912" s="4" t="s">
        <v>35</v>
      </c>
      <c r="F1912" s="4" t="s">
        <v>18</v>
      </c>
      <c r="G1912" s="4" t="s">
        <v>19</v>
      </c>
      <c r="H1912" s="4" t="s">
        <v>32</v>
      </c>
      <c r="I1912" s="4">
        <v>6</v>
      </c>
      <c r="J1912" s="5">
        <v>28.4</v>
      </c>
      <c r="K1912" s="6">
        <v>1.31</v>
      </c>
      <c r="L1912" s="4">
        <v>5</v>
      </c>
      <c r="M1912" s="4">
        <v>108</v>
      </c>
      <c r="N1912" s="4">
        <v>140</v>
      </c>
      <c r="O1912" s="4" t="s">
        <v>26</v>
      </c>
      <c r="P1912" s="7" t="s">
        <v>19</v>
      </c>
    </row>
    <row r="1913" spans="2:16" x14ac:dyDescent="0.45">
      <c r="B1913" s="4">
        <v>1912</v>
      </c>
      <c r="C1913" s="4" t="s">
        <v>39</v>
      </c>
      <c r="D1913" s="4" t="s">
        <v>16</v>
      </c>
      <c r="E1913" s="4" t="s">
        <v>17</v>
      </c>
      <c r="F1913" s="4" t="s">
        <v>18</v>
      </c>
      <c r="G1913" s="4" t="s">
        <v>30</v>
      </c>
      <c r="H1913" s="4" t="s">
        <v>28</v>
      </c>
      <c r="I1913" s="4">
        <v>11</v>
      </c>
      <c r="J1913" s="5">
        <v>33.4</v>
      </c>
      <c r="K1913" s="6">
        <v>1.41</v>
      </c>
      <c r="L1913" s="4">
        <v>0</v>
      </c>
      <c r="M1913" s="4">
        <v>97</v>
      </c>
      <c r="N1913" s="4">
        <v>101</v>
      </c>
      <c r="O1913" s="4" t="s">
        <v>26</v>
      </c>
      <c r="P1913" s="7" t="s">
        <v>19</v>
      </c>
    </row>
    <row r="1914" spans="2:16" x14ac:dyDescent="0.45">
      <c r="B1914" s="4">
        <v>1913</v>
      </c>
      <c r="C1914" s="4" t="s">
        <v>43</v>
      </c>
      <c r="D1914" s="4" t="s">
        <v>23</v>
      </c>
      <c r="E1914" s="4" t="s">
        <v>17</v>
      </c>
      <c r="F1914" s="4" t="s">
        <v>42</v>
      </c>
      <c r="G1914" s="4" t="s">
        <v>30</v>
      </c>
      <c r="H1914" s="4" t="s">
        <v>46</v>
      </c>
      <c r="I1914" s="4">
        <v>40</v>
      </c>
      <c r="J1914" s="5">
        <v>75.3</v>
      </c>
      <c r="K1914" s="6">
        <v>1.67</v>
      </c>
      <c r="L1914" s="4">
        <v>2</v>
      </c>
      <c r="M1914" s="4">
        <v>133</v>
      </c>
      <c r="N1914" s="4">
        <v>93</v>
      </c>
      <c r="O1914" s="4" t="s">
        <v>26</v>
      </c>
      <c r="P1914" s="7" t="s">
        <v>30</v>
      </c>
    </row>
    <row r="1915" spans="2:16" x14ac:dyDescent="0.45">
      <c r="B1915" s="4">
        <v>1914</v>
      </c>
      <c r="C1915" s="4" t="s">
        <v>22</v>
      </c>
      <c r="D1915" s="4" t="s">
        <v>23</v>
      </c>
      <c r="E1915" s="4" t="s">
        <v>35</v>
      </c>
      <c r="F1915" s="4" t="s">
        <v>28</v>
      </c>
      <c r="G1915" s="4" t="s">
        <v>19</v>
      </c>
      <c r="H1915" s="4" t="s">
        <v>38</v>
      </c>
      <c r="I1915" s="4">
        <v>36</v>
      </c>
      <c r="J1915" s="5">
        <v>94.4</v>
      </c>
      <c r="K1915" s="6">
        <v>1.68</v>
      </c>
      <c r="L1915" s="4">
        <v>1</v>
      </c>
      <c r="M1915" s="4">
        <v>122</v>
      </c>
      <c r="N1915" s="4">
        <v>82</v>
      </c>
      <c r="O1915" s="4" t="s">
        <v>21</v>
      </c>
      <c r="P1915" s="7" t="s">
        <v>19</v>
      </c>
    </row>
    <row r="1916" spans="2:16" x14ac:dyDescent="0.45">
      <c r="B1916" s="4">
        <v>1915</v>
      </c>
      <c r="C1916" s="4" t="s">
        <v>27</v>
      </c>
      <c r="D1916" s="4" t="s">
        <v>23</v>
      </c>
      <c r="E1916" s="4" t="s">
        <v>17</v>
      </c>
      <c r="F1916" s="4" t="s">
        <v>24</v>
      </c>
      <c r="G1916" s="4" t="s">
        <v>19</v>
      </c>
      <c r="H1916" s="4" t="s">
        <v>34</v>
      </c>
      <c r="I1916" s="4">
        <v>0</v>
      </c>
      <c r="J1916" s="5">
        <v>14</v>
      </c>
      <c r="K1916" s="6">
        <v>1.02</v>
      </c>
      <c r="L1916" s="4">
        <v>2</v>
      </c>
      <c r="M1916" s="4">
        <v>114</v>
      </c>
      <c r="N1916" s="4">
        <v>93</v>
      </c>
      <c r="O1916" s="4" t="s">
        <v>26</v>
      </c>
      <c r="P1916" s="7" t="s">
        <v>19</v>
      </c>
    </row>
    <row r="1917" spans="2:16" x14ac:dyDescent="0.45">
      <c r="B1917" s="4">
        <v>1916</v>
      </c>
      <c r="C1917" s="4" t="s">
        <v>22</v>
      </c>
      <c r="D1917" s="4" t="s">
        <v>16</v>
      </c>
      <c r="E1917" s="4" t="s">
        <v>17</v>
      </c>
      <c r="F1917" s="4" t="s">
        <v>24</v>
      </c>
      <c r="G1917" s="4" t="s">
        <v>19</v>
      </c>
      <c r="H1917" s="4" t="s">
        <v>28</v>
      </c>
      <c r="I1917" s="4">
        <v>9</v>
      </c>
      <c r="J1917" s="5">
        <v>30.9</v>
      </c>
      <c r="K1917" s="6">
        <v>1.26</v>
      </c>
      <c r="L1917" s="4">
        <v>2</v>
      </c>
      <c r="M1917" s="4">
        <v>103</v>
      </c>
      <c r="N1917" s="4">
        <v>79</v>
      </c>
      <c r="O1917" s="4" t="s">
        <v>26</v>
      </c>
      <c r="P1917" s="7" t="s">
        <v>19</v>
      </c>
    </row>
    <row r="1918" spans="2:16" x14ac:dyDescent="0.45">
      <c r="B1918" s="4">
        <v>1917</v>
      </c>
      <c r="C1918" s="4" t="s">
        <v>45</v>
      </c>
      <c r="D1918" s="4" t="s">
        <v>23</v>
      </c>
      <c r="E1918" s="4" t="s">
        <v>17</v>
      </c>
      <c r="F1918" s="4" t="s">
        <v>28</v>
      </c>
      <c r="G1918" s="4" t="s">
        <v>30</v>
      </c>
      <c r="H1918" s="4" t="s">
        <v>28</v>
      </c>
      <c r="I1918" s="4">
        <v>1</v>
      </c>
      <c r="J1918" s="5">
        <v>7.7</v>
      </c>
      <c r="K1918" s="6">
        <v>0.77</v>
      </c>
      <c r="L1918" s="4">
        <v>5</v>
      </c>
      <c r="M1918" s="4">
        <v>111</v>
      </c>
      <c r="N1918" s="4">
        <v>78</v>
      </c>
      <c r="O1918" s="4" t="s">
        <v>26</v>
      </c>
      <c r="P1918" s="7" t="s">
        <v>19</v>
      </c>
    </row>
    <row r="1919" spans="2:16" x14ac:dyDescent="0.45">
      <c r="B1919" s="4">
        <v>1918</v>
      </c>
      <c r="C1919" s="4" t="s">
        <v>39</v>
      </c>
      <c r="D1919" s="4" t="s">
        <v>23</v>
      </c>
      <c r="E1919" s="4" t="s">
        <v>35</v>
      </c>
      <c r="F1919" s="4" t="s">
        <v>24</v>
      </c>
      <c r="G1919" s="4" t="s">
        <v>19</v>
      </c>
      <c r="H1919" s="4" t="s">
        <v>20</v>
      </c>
      <c r="I1919" s="4">
        <v>21</v>
      </c>
      <c r="J1919" s="5">
        <v>75.8</v>
      </c>
      <c r="K1919" s="6">
        <v>1.83</v>
      </c>
      <c r="L1919" s="4">
        <v>2</v>
      </c>
      <c r="M1919" s="4">
        <v>121</v>
      </c>
      <c r="N1919" s="4">
        <v>84</v>
      </c>
      <c r="O1919" s="4" t="s">
        <v>26</v>
      </c>
      <c r="P1919" s="7" t="s">
        <v>30</v>
      </c>
    </row>
    <row r="1920" spans="2:16" x14ac:dyDescent="0.45">
      <c r="B1920" s="4">
        <v>1919</v>
      </c>
      <c r="C1920" s="4" t="s">
        <v>29</v>
      </c>
      <c r="D1920" s="4" t="s">
        <v>23</v>
      </c>
      <c r="E1920" s="4" t="s">
        <v>35</v>
      </c>
      <c r="F1920" s="4" t="s">
        <v>28</v>
      </c>
      <c r="G1920" s="4" t="s">
        <v>19</v>
      </c>
      <c r="H1920" s="4" t="s">
        <v>28</v>
      </c>
      <c r="I1920" s="4">
        <v>15</v>
      </c>
      <c r="J1920" s="5">
        <v>53.7</v>
      </c>
      <c r="K1920" s="6">
        <v>1.5</v>
      </c>
      <c r="L1920" s="4">
        <v>10</v>
      </c>
      <c r="M1920" s="4">
        <v>109</v>
      </c>
      <c r="N1920" s="4">
        <v>85</v>
      </c>
      <c r="O1920" s="4" t="s">
        <v>21</v>
      </c>
      <c r="P1920" s="7" t="s">
        <v>19</v>
      </c>
    </row>
    <row r="1921" spans="2:16" x14ac:dyDescent="0.45">
      <c r="B1921" s="4">
        <v>1920</v>
      </c>
      <c r="C1921" s="4" t="s">
        <v>31</v>
      </c>
      <c r="D1921" s="4" t="s">
        <v>16</v>
      </c>
      <c r="E1921" s="4" t="s">
        <v>35</v>
      </c>
      <c r="F1921" s="4" t="s">
        <v>24</v>
      </c>
      <c r="G1921" s="4" t="s">
        <v>19</v>
      </c>
      <c r="H1921" s="4" t="s">
        <v>36</v>
      </c>
      <c r="I1921" s="4">
        <v>8</v>
      </c>
      <c r="J1921" s="5">
        <v>28.8</v>
      </c>
      <c r="K1921" s="6">
        <v>1.37</v>
      </c>
      <c r="L1921" s="4">
        <v>7</v>
      </c>
      <c r="M1921" s="4">
        <v>133</v>
      </c>
      <c r="N1921" s="4">
        <v>87</v>
      </c>
      <c r="O1921" s="4" t="s">
        <v>21</v>
      </c>
      <c r="P1921" s="7" t="s">
        <v>19</v>
      </c>
    </row>
    <row r="1922" spans="2:16" x14ac:dyDescent="0.45">
      <c r="B1922" s="4">
        <v>1921</v>
      </c>
      <c r="C1922" s="4" t="s">
        <v>29</v>
      </c>
      <c r="D1922" s="4" t="s">
        <v>23</v>
      </c>
      <c r="E1922" s="4" t="s">
        <v>17</v>
      </c>
      <c r="F1922" s="4" t="s">
        <v>28</v>
      </c>
      <c r="G1922" s="4" t="s">
        <v>30</v>
      </c>
      <c r="H1922" s="4" t="s">
        <v>28</v>
      </c>
      <c r="I1922" s="4">
        <v>1</v>
      </c>
      <c r="J1922" s="5">
        <v>8.1999999999999993</v>
      </c>
      <c r="K1922" s="6">
        <v>0.95</v>
      </c>
      <c r="L1922" s="4">
        <v>1</v>
      </c>
      <c r="M1922" s="4">
        <v>98</v>
      </c>
      <c r="N1922" s="4">
        <v>90</v>
      </c>
      <c r="O1922" s="4" t="s">
        <v>21</v>
      </c>
      <c r="P1922" s="7" t="s">
        <v>19</v>
      </c>
    </row>
    <row r="1923" spans="2:16" x14ac:dyDescent="0.45">
      <c r="B1923" s="4">
        <v>1922</v>
      </c>
      <c r="C1923" s="4" t="s">
        <v>39</v>
      </c>
      <c r="D1923" s="4" t="s">
        <v>16</v>
      </c>
      <c r="E1923" s="4" t="s">
        <v>17</v>
      </c>
      <c r="F1923" s="4" t="s">
        <v>18</v>
      </c>
      <c r="G1923" s="4" t="s">
        <v>19</v>
      </c>
      <c r="H1923" s="4" t="s">
        <v>36</v>
      </c>
      <c r="I1923" s="4">
        <v>18</v>
      </c>
      <c r="J1923" s="5">
        <v>92.9</v>
      </c>
      <c r="K1923" s="6">
        <v>1.59</v>
      </c>
      <c r="L1923" s="4">
        <v>1</v>
      </c>
      <c r="M1923" s="4">
        <v>127</v>
      </c>
      <c r="N1923" s="4">
        <v>88</v>
      </c>
      <c r="O1923" s="4" t="s">
        <v>26</v>
      </c>
      <c r="P1923" s="7" t="s">
        <v>30</v>
      </c>
    </row>
    <row r="1924" spans="2:16" x14ac:dyDescent="0.45">
      <c r="B1924" s="4">
        <v>1923</v>
      </c>
      <c r="C1924" s="4" t="s">
        <v>41</v>
      </c>
      <c r="D1924" s="4" t="s">
        <v>23</v>
      </c>
      <c r="E1924" s="4" t="s">
        <v>17</v>
      </c>
      <c r="F1924" s="4" t="s">
        <v>24</v>
      </c>
      <c r="G1924" s="4" t="s">
        <v>19</v>
      </c>
      <c r="H1924" s="4" t="s">
        <v>20</v>
      </c>
      <c r="I1924" s="4">
        <v>30</v>
      </c>
      <c r="J1924" s="5">
        <v>87</v>
      </c>
      <c r="K1924" s="6">
        <v>1.65</v>
      </c>
      <c r="L1924" s="4">
        <v>2</v>
      </c>
      <c r="M1924" s="4">
        <v>103</v>
      </c>
      <c r="N1924" s="4">
        <v>77</v>
      </c>
      <c r="O1924" s="4" t="s">
        <v>26</v>
      </c>
      <c r="P1924" s="7" t="s">
        <v>19</v>
      </c>
    </row>
    <row r="1925" spans="2:16" x14ac:dyDescent="0.45">
      <c r="B1925" s="4">
        <v>1924</v>
      </c>
      <c r="C1925" s="4" t="s">
        <v>33</v>
      </c>
      <c r="D1925" s="4" t="s">
        <v>23</v>
      </c>
      <c r="E1925" s="4" t="s">
        <v>35</v>
      </c>
      <c r="F1925" s="4" t="s">
        <v>18</v>
      </c>
      <c r="G1925" s="4" t="s">
        <v>30</v>
      </c>
      <c r="H1925" s="4" t="s">
        <v>20</v>
      </c>
      <c r="I1925" s="4">
        <v>76</v>
      </c>
      <c r="J1925" s="5">
        <v>90.4</v>
      </c>
      <c r="K1925" s="6">
        <v>1.82</v>
      </c>
      <c r="L1925" s="4">
        <v>3</v>
      </c>
      <c r="M1925" s="4">
        <v>132</v>
      </c>
      <c r="N1925" s="4">
        <v>80</v>
      </c>
      <c r="O1925" s="4" t="s">
        <v>21</v>
      </c>
      <c r="P1925" s="7" t="s">
        <v>30</v>
      </c>
    </row>
    <row r="1926" spans="2:16" x14ac:dyDescent="0.45">
      <c r="B1926" s="4">
        <v>1925</v>
      </c>
      <c r="C1926" s="4" t="s">
        <v>27</v>
      </c>
      <c r="D1926" s="4" t="s">
        <v>16</v>
      </c>
      <c r="E1926" s="4" t="s">
        <v>17</v>
      </c>
      <c r="F1926" s="4" t="s">
        <v>28</v>
      </c>
      <c r="G1926" s="4" t="s">
        <v>30</v>
      </c>
      <c r="H1926" s="4" t="s">
        <v>28</v>
      </c>
      <c r="I1926" s="4">
        <v>11</v>
      </c>
      <c r="J1926" s="5">
        <v>31.2</v>
      </c>
      <c r="K1926" s="6">
        <v>1.36</v>
      </c>
      <c r="L1926" s="4">
        <v>4</v>
      </c>
      <c r="M1926" s="4">
        <v>113</v>
      </c>
      <c r="N1926" s="4">
        <v>88</v>
      </c>
      <c r="O1926" s="4" t="s">
        <v>21</v>
      </c>
      <c r="P1926" s="7" t="s">
        <v>19</v>
      </c>
    </row>
    <row r="1927" spans="2:16" x14ac:dyDescent="0.45">
      <c r="B1927" s="4">
        <v>1926</v>
      </c>
      <c r="C1927" s="4" t="s">
        <v>45</v>
      </c>
      <c r="D1927" s="4" t="s">
        <v>23</v>
      </c>
      <c r="E1927" s="4" t="s">
        <v>35</v>
      </c>
      <c r="F1927" s="4" t="s">
        <v>18</v>
      </c>
      <c r="G1927" s="4" t="s">
        <v>30</v>
      </c>
      <c r="H1927" s="4" t="s">
        <v>28</v>
      </c>
      <c r="I1927" s="4">
        <v>19</v>
      </c>
      <c r="J1927" s="5">
        <v>94.8</v>
      </c>
      <c r="K1927" s="6">
        <v>1.67</v>
      </c>
      <c r="L1927" s="4">
        <v>0</v>
      </c>
      <c r="M1927" s="4">
        <v>110</v>
      </c>
      <c r="N1927" s="4">
        <v>88</v>
      </c>
      <c r="O1927" s="4" t="s">
        <v>21</v>
      </c>
      <c r="P1927" s="7" t="s">
        <v>30</v>
      </c>
    </row>
    <row r="1928" spans="2:16" x14ac:dyDescent="0.45">
      <c r="B1928" s="4">
        <v>1927</v>
      </c>
      <c r="C1928" s="4" t="s">
        <v>41</v>
      </c>
      <c r="D1928" s="4" t="s">
        <v>16</v>
      </c>
      <c r="E1928" s="4" t="s">
        <v>35</v>
      </c>
      <c r="F1928" s="4" t="s">
        <v>18</v>
      </c>
      <c r="G1928" s="4" t="s">
        <v>19</v>
      </c>
      <c r="H1928" s="4" t="s">
        <v>36</v>
      </c>
      <c r="I1928" s="4">
        <v>33</v>
      </c>
      <c r="J1928" s="5">
        <v>91.1</v>
      </c>
      <c r="K1928" s="6">
        <v>1.79</v>
      </c>
      <c r="L1928" s="4">
        <v>2</v>
      </c>
      <c r="M1928" s="4">
        <v>138</v>
      </c>
      <c r="N1928" s="4">
        <v>85</v>
      </c>
      <c r="O1928" s="4" t="s">
        <v>26</v>
      </c>
      <c r="P1928" s="7" t="s">
        <v>19</v>
      </c>
    </row>
    <row r="1929" spans="2:16" x14ac:dyDescent="0.45">
      <c r="B1929" s="4">
        <v>1928</v>
      </c>
      <c r="C1929" s="4" t="s">
        <v>31</v>
      </c>
      <c r="D1929" s="4" t="s">
        <v>16</v>
      </c>
      <c r="E1929" s="4" t="s">
        <v>37</v>
      </c>
      <c r="F1929" s="4" t="s">
        <v>18</v>
      </c>
      <c r="G1929" s="4" t="s">
        <v>30</v>
      </c>
      <c r="H1929" s="4" t="s">
        <v>25</v>
      </c>
      <c r="I1929" s="4">
        <v>63</v>
      </c>
      <c r="J1929" s="5">
        <v>94.3</v>
      </c>
      <c r="K1929" s="6">
        <v>1.64</v>
      </c>
      <c r="L1929" s="4">
        <v>2</v>
      </c>
      <c r="M1929" s="4">
        <v>116</v>
      </c>
      <c r="N1929" s="4">
        <v>90</v>
      </c>
      <c r="O1929" s="4" t="s">
        <v>21</v>
      </c>
      <c r="P1929" s="7" t="s">
        <v>19</v>
      </c>
    </row>
    <row r="1930" spans="2:16" x14ac:dyDescent="0.45">
      <c r="B1930" s="4">
        <v>1929</v>
      </c>
      <c r="C1930" s="4" t="s">
        <v>22</v>
      </c>
      <c r="D1930" s="4" t="s">
        <v>23</v>
      </c>
      <c r="E1930" s="4" t="s">
        <v>35</v>
      </c>
      <c r="F1930" s="4" t="s">
        <v>28</v>
      </c>
      <c r="G1930" s="4" t="s">
        <v>19</v>
      </c>
      <c r="H1930" s="4" t="s">
        <v>46</v>
      </c>
      <c r="I1930" s="4">
        <v>73</v>
      </c>
      <c r="J1930" s="5">
        <v>64.8</v>
      </c>
      <c r="K1930" s="6">
        <v>1.82</v>
      </c>
      <c r="L1930" s="4">
        <v>0</v>
      </c>
      <c r="M1930" s="4">
        <v>140</v>
      </c>
      <c r="N1930" s="4">
        <v>100</v>
      </c>
      <c r="O1930" s="4" t="s">
        <v>26</v>
      </c>
      <c r="P1930" s="7" t="s">
        <v>30</v>
      </c>
    </row>
    <row r="1931" spans="2:16" x14ac:dyDescent="0.45">
      <c r="B1931" s="4">
        <v>1930</v>
      </c>
      <c r="C1931" s="4" t="s">
        <v>29</v>
      </c>
      <c r="D1931" s="4" t="s">
        <v>23</v>
      </c>
      <c r="E1931" s="4" t="s">
        <v>17</v>
      </c>
      <c r="F1931" s="4" t="s">
        <v>24</v>
      </c>
      <c r="G1931" s="4" t="s">
        <v>19</v>
      </c>
      <c r="H1931" s="4" t="s">
        <v>28</v>
      </c>
      <c r="I1931" s="4">
        <v>12</v>
      </c>
      <c r="J1931" s="5">
        <v>63.1</v>
      </c>
      <c r="K1931" s="6">
        <v>1.52</v>
      </c>
      <c r="L1931" s="4">
        <v>4</v>
      </c>
      <c r="M1931" s="4">
        <v>114</v>
      </c>
      <c r="N1931" s="4">
        <v>103</v>
      </c>
      <c r="O1931" s="4" t="s">
        <v>26</v>
      </c>
      <c r="P1931" s="7" t="s">
        <v>19</v>
      </c>
    </row>
    <row r="1932" spans="2:16" x14ac:dyDescent="0.45">
      <c r="B1932" s="4">
        <v>1931</v>
      </c>
      <c r="C1932" s="4" t="s">
        <v>27</v>
      </c>
      <c r="D1932" s="4" t="s">
        <v>16</v>
      </c>
      <c r="E1932" s="4" t="s">
        <v>35</v>
      </c>
      <c r="F1932" s="4" t="s">
        <v>24</v>
      </c>
      <c r="G1932" s="4" t="s">
        <v>19</v>
      </c>
      <c r="H1932" s="4" t="s">
        <v>34</v>
      </c>
      <c r="I1932" s="4">
        <v>14</v>
      </c>
      <c r="J1932" s="5">
        <v>60.1</v>
      </c>
      <c r="K1932" s="6">
        <v>1.67</v>
      </c>
      <c r="L1932" s="4">
        <v>5</v>
      </c>
      <c r="M1932" s="4">
        <v>98</v>
      </c>
      <c r="N1932" s="4">
        <v>100</v>
      </c>
      <c r="O1932" s="4" t="s">
        <v>21</v>
      </c>
      <c r="P1932" s="7" t="s">
        <v>19</v>
      </c>
    </row>
    <row r="1933" spans="2:16" x14ac:dyDescent="0.45">
      <c r="B1933" s="4">
        <v>1932</v>
      </c>
      <c r="C1933" s="4" t="s">
        <v>27</v>
      </c>
      <c r="D1933" s="4" t="s">
        <v>23</v>
      </c>
      <c r="E1933" s="4" t="s">
        <v>17</v>
      </c>
      <c r="F1933" s="4" t="s">
        <v>28</v>
      </c>
      <c r="G1933" s="4" t="s">
        <v>19</v>
      </c>
      <c r="H1933" s="4" t="s">
        <v>28</v>
      </c>
      <c r="I1933" s="4">
        <v>8</v>
      </c>
      <c r="J1933" s="5">
        <v>23.7</v>
      </c>
      <c r="K1933" s="6">
        <v>1.36</v>
      </c>
      <c r="L1933" s="4">
        <v>6</v>
      </c>
      <c r="M1933" s="4">
        <v>113</v>
      </c>
      <c r="N1933" s="4">
        <v>74</v>
      </c>
      <c r="O1933" s="4" t="s">
        <v>26</v>
      </c>
      <c r="P1933" s="7" t="s">
        <v>19</v>
      </c>
    </row>
    <row r="1934" spans="2:16" x14ac:dyDescent="0.45">
      <c r="B1934" s="4">
        <v>1933</v>
      </c>
      <c r="C1934" s="4" t="s">
        <v>15</v>
      </c>
      <c r="D1934" s="4" t="s">
        <v>16</v>
      </c>
      <c r="E1934" s="4" t="s">
        <v>35</v>
      </c>
      <c r="F1934" s="4" t="s">
        <v>24</v>
      </c>
      <c r="G1934" s="4" t="s">
        <v>30</v>
      </c>
      <c r="H1934" s="4" t="s">
        <v>20</v>
      </c>
      <c r="I1934" s="4">
        <v>11</v>
      </c>
      <c r="J1934" s="5">
        <v>18.2</v>
      </c>
      <c r="K1934" s="6">
        <v>1.44</v>
      </c>
      <c r="L1934" s="4">
        <v>2</v>
      </c>
      <c r="M1934" s="4">
        <v>111</v>
      </c>
      <c r="N1934" s="4">
        <v>74</v>
      </c>
      <c r="O1934" s="4" t="s">
        <v>21</v>
      </c>
      <c r="P1934" s="7" t="s">
        <v>19</v>
      </c>
    </row>
    <row r="1935" spans="2:16" x14ac:dyDescent="0.45">
      <c r="B1935" s="4">
        <v>1934</v>
      </c>
      <c r="C1935" s="4" t="s">
        <v>43</v>
      </c>
      <c r="D1935" s="4" t="s">
        <v>16</v>
      </c>
      <c r="E1935" s="4" t="s">
        <v>35</v>
      </c>
      <c r="F1935" s="4" t="s">
        <v>28</v>
      </c>
      <c r="G1935" s="4" t="s">
        <v>19</v>
      </c>
      <c r="H1935" s="4" t="s">
        <v>20</v>
      </c>
      <c r="I1935" s="4">
        <v>6</v>
      </c>
      <c r="J1935" s="5">
        <v>34.299999999999997</v>
      </c>
      <c r="K1935" s="6">
        <v>1.07</v>
      </c>
      <c r="L1935" s="4">
        <v>2</v>
      </c>
      <c r="M1935" s="4">
        <v>102</v>
      </c>
      <c r="N1935" s="4">
        <v>81</v>
      </c>
      <c r="O1935" s="4" t="s">
        <v>26</v>
      </c>
      <c r="P1935" s="7" t="s">
        <v>19</v>
      </c>
    </row>
    <row r="1936" spans="2:16" x14ac:dyDescent="0.45">
      <c r="B1936" s="4">
        <v>1935</v>
      </c>
      <c r="C1936" s="4" t="s">
        <v>40</v>
      </c>
      <c r="D1936" s="4" t="s">
        <v>23</v>
      </c>
      <c r="E1936" s="4" t="s">
        <v>35</v>
      </c>
      <c r="F1936" s="4" t="s">
        <v>24</v>
      </c>
      <c r="G1936" s="4" t="s">
        <v>19</v>
      </c>
      <c r="H1936" s="4" t="s">
        <v>36</v>
      </c>
      <c r="I1936" s="4">
        <v>24</v>
      </c>
      <c r="J1936" s="5">
        <v>91.9</v>
      </c>
      <c r="K1936" s="6">
        <v>1.51</v>
      </c>
      <c r="L1936" s="4">
        <v>1</v>
      </c>
      <c r="M1936" s="4">
        <v>136</v>
      </c>
      <c r="N1936" s="4">
        <v>80</v>
      </c>
      <c r="O1936" s="4" t="s">
        <v>26</v>
      </c>
      <c r="P1936" s="7" t="s">
        <v>19</v>
      </c>
    </row>
    <row r="1937" spans="2:16" x14ac:dyDescent="0.45">
      <c r="B1937" s="4">
        <v>1936</v>
      </c>
      <c r="C1937" s="4" t="s">
        <v>41</v>
      </c>
      <c r="D1937" s="4" t="s">
        <v>16</v>
      </c>
      <c r="E1937" s="4" t="s">
        <v>17</v>
      </c>
      <c r="F1937" s="4" t="s">
        <v>18</v>
      </c>
      <c r="G1937" s="4" t="s">
        <v>30</v>
      </c>
      <c r="H1937" s="4" t="s">
        <v>28</v>
      </c>
      <c r="I1937" s="4">
        <v>29</v>
      </c>
      <c r="J1937" s="5">
        <v>91.8</v>
      </c>
      <c r="K1937" s="6">
        <v>1.62</v>
      </c>
      <c r="L1937" s="4">
        <v>4</v>
      </c>
      <c r="M1937" s="4">
        <v>120</v>
      </c>
      <c r="N1937" s="4">
        <v>85</v>
      </c>
      <c r="O1937" s="4" t="s">
        <v>21</v>
      </c>
      <c r="P1937" s="7" t="s">
        <v>19</v>
      </c>
    </row>
    <row r="1938" spans="2:16" x14ac:dyDescent="0.45">
      <c r="B1938" s="4">
        <v>1937</v>
      </c>
      <c r="C1938" s="4" t="s">
        <v>40</v>
      </c>
      <c r="D1938" s="4" t="s">
        <v>23</v>
      </c>
      <c r="E1938" s="4" t="s">
        <v>17</v>
      </c>
      <c r="F1938" s="4" t="s">
        <v>18</v>
      </c>
      <c r="G1938" s="4" t="s">
        <v>30</v>
      </c>
      <c r="H1938" s="4" t="s">
        <v>25</v>
      </c>
      <c r="I1938" s="4">
        <v>33</v>
      </c>
      <c r="J1938" s="5">
        <v>47.3</v>
      </c>
      <c r="K1938" s="6">
        <v>1.76</v>
      </c>
      <c r="L1938" s="4">
        <v>1</v>
      </c>
      <c r="M1938" s="4">
        <v>110</v>
      </c>
      <c r="N1938" s="4">
        <v>91</v>
      </c>
      <c r="O1938" s="4" t="s">
        <v>21</v>
      </c>
      <c r="P1938" s="7" t="s">
        <v>19</v>
      </c>
    </row>
    <row r="1939" spans="2:16" x14ac:dyDescent="0.45">
      <c r="B1939" s="4">
        <v>1938</v>
      </c>
      <c r="C1939" s="4" t="s">
        <v>27</v>
      </c>
      <c r="D1939" s="4" t="s">
        <v>16</v>
      </c>
      <c r="E1939" s="4" t="s">
        <v>35</v>
      </c>
      <c r="F1939" s="4" t="s">
        <v>24</v>
      </c>
      <c r="G1939" s="4" t="s">
        <v>19</v>
      </c>
      <c r="H1939" s="4" t="s">
        <v>36</v>
      </c>
      <c r="I1939" s="4">
        <v>22</v>
      </c>
      <c r="J1939" s="5">
        <v>58.1</v>
      </c>
      <c r="K1939" s="6">
        <v>1.79</v>
      </c>
      <c r="L1939" s="4">
        <v>0</v>
      </c>
      <c r="M1939" s="4">
        <v>131</v>
      </c>
      <c r="N1939" s="4">
        <v>96</v>
      </c>
      <c r="O1939" s="4" t="s">
        <v>21</v>
      </c>
      <c r="P1939" s="7" t="s">
        <v>19</v>
      </c>
    </row>
    <row r="1940" spans="2:16" x14ac:dyDescent="0.45">
      <c r="B1940" s="4">
        <v>1939</v>
      </c>
      <c r="C1940" s="4" t="s">
        <v>41</v>
      </c>
      <c r="D1940" s="4" t="s">
        <v>16</v>
      </c>
      <c r="E1940" s="4" t="s">
        <v>35</v>
      </c>
      <c r="F1940" s="4" t="s">
        <v>18</v>
      </c>
      <c r="G1940" s="4" t="s">
        <v>19</v>
      </c>
      <c r="H1940" s="4" t="s">
        <v>32</v>
      </c>
      <c r="I1940" s="4">
        <v>12</v>
      </c>
      <c r="J1940" s="5">
        <v>38.299999999999997</v>
      </c>
      <c r="K1940" s="6">
        <v>1.69</v>
      </c>
      <c r="L1940" s="4">
        <v>1</v>
      </c>
      <c r="M1940" s="4">
        <v>97</v>
      </c>
      <c r="N1940" s="4">
        <v>144</v>
      </c>
      <c r="O1940" s="4" t="s">
        <v>26</v>
      </c>
      <c r="P1940" s="7" t="s">
        <v>19</v>
      </c>
    </row>
    <row r="1941" spans="2:16" x14ac:dyDescent="0.45">
      <c r="B1941" s="4">
        <v>1940</v>
      </c>
      <c r="C1941" s="4" t="s">
        <v>39</v>
      </c>
      <c r="D1941" s="4" t="s">
        <v>16</v>
      </c>
      <c r="E1941" s="4" t="s">
        <v>17</v>
      </c>
      <c r="F1941" s="4" t="s">
        <v>24</v>
      </c>
      <c r="G1941" s="4" t="s">
        <v>30</v>
      </c>
      <c r="H1941" s="4" t="s">
        <v>28</v>
      </c>
      <c r="I1941" s="4">
        <v>9</v>
      </c>
      <c r="J1941" s="5">
        <v>29.7</v>
      </c>
      <c r="K1941" s="6">
        <v>1.24</v>
      </c>
      <c r="L1941" s="4">
        <v>10</v>
      </c>
      <c r="M1941" s="4">
        <v>112</v>
      </c>
      <c r="N1941" s="4">
        <v>72</v>
      </c>
      <c r="O1941" s="4" t="s">
        <v>21</v>
      </c>
      <c r="P1941" s="7" t="s">
        <v>19</v>
      </c>
    </row>
    <row r="1942" spans="2:16" x14ac:dyDescent="0.45">
      <c r="B1942" s="4">
        <v>1941</v>
      </c>
      <c r="C1942" s="4" t="s">
        <v>22</v>
      </c>
      <c r="D1942" s="4" t="s">
        <v>23</v>
      </c>
      <c r="E1942" s="4" t="s">
        <v>35</v>
      </c>
      <c r="F1942" s="4" t="s">
        <v>24</v>
      </c>
      <c r="G1942" s="4" t="s">
        <v>19</v>
      </c>
      <c r="H1942" s="4" t="s">
        <v>28</v>
      </c>
      <c r="I1942" s="4">
        <v>47</v>
      </c>
      <c r="J1942" s="5">
        <v>46</v>
      </c>
      <c r="K1942" s="6">
        <v>1.59</v>
      </c>
      <c r="L1942" s="4">
        <v>6</v>
      </c>
      <c r="M1942" s="4">
        <v>104</v>
      </c>
      <c r="N1942" s="4">
        <v>95</v>
      </c>
      <c r="O1942" s="4" t="s">
        <v>26</v>
      </c>
      <c r="P1942" s="7" t="s">
        <v>19</v>
      </c>
    </row>
    <row r="1943" spans="2:16" x14ac:dyDescent="0.45">
      <c r="B1943" s="4">
        <v>1942</v>
      </c>
      <c r="C1943" s="4" t="s">
        <v>40</v>
      </c>
      <c r="D1943" s="4" t="s">
        <v>16</v>
      </c>
      <c r="E1943" s="4" t="s">
        <v>35</v>
      </c>
      <c r="F1943" s="4" t="s">
        <v>28</v>
      </c>
      <c r="G1943" s="4" t="s">
        <v>19</v>
      </c>
      <c r="H1943" s="4" t="s">
        <v>20</v>
      </c>
      <c r="I1943" s="4">
        <v>9</v>
      </c>
      <c r="J1943" s="5">
        <v>19.899999999999999</v>
      </c>
      <c r="K1943" s="6">
        <v>1.1499999999999999</v>
      </c>
      <c r="L1943" s="4">
        <v>1</v>
      </c>
      <c r="M1943" s="4">
        <v>104</v>
      </c>
      <c r="N1943" s="4">
        <v>103</v>
      </c>
      <c r="O1943" s="4" t="s">
        <v>21</v>
      </c>
      <c r="P1943" s="7" t="s">
        <v>19</v>
      </c>
    </row>
    <row r="1944" spans="2:16" x14ac:dyDescent="0.45">
      <c r="B1944" s="4">
        <v>1943</v>
      </c>
      <c r="C1944" s="4" t="s">
        <v>22</v>
      </c>
      <c r="D1944" s="4" t="s">
        <v>16</v>
      </c>
      <c r="E1944" s="4" t="s">
        <v>17</v>
      </c>
      <c r="F1944" s="4" t="s">
        <v>18</v>
      </c>
      <c r="G1944" s="4" t="s">
        <v>19</v>
      </c>
      <c r="H1944" s="4" t="s">
        <v>25</v>
      </c>
      <c r="I1944" s="4">
        <v>54</v>
      </c>
      <c r="J1944" s="5">
        <v>52.4</v>
      </c>
      <c r="K1944" s="6">
        <v>1.66</v>
      </c>
      <c r="L1944" s="4">
        <v>4</v>
      </c>
      <c r="M1944" s="4">
        <v>115</v>
      </c>
      <c r="N1944" s="4">
        <v>103</v>
      </c>
      <c r="O1944" s="4" t="s">
        <v>21</v>
      </c>
      <c r="P1944" s="7" t="s">
        <v>19</v>
      </c>
    </row>
    <row r="1945" spans="2:16" x14ac:dyDescent="0.45">
      <c r="B1945" s="4">
        <v>1944</v>
      </c>
      <c r="C1945" s="4" t="s">
        <v>22</v>
      </c>
      <c r="D1945" s="4" t="s">
        <v>16</v>
      </c>
      <c r="E1945" s="4" t="s">
        <v>44</v>
      </c>
      <c r="F1945" s="4" t="s">
        <v>24</v>
      </c>
      <c r="G1945" s="4" t="s">
        <v>30</v>
      </c>
      <c r="H1945" s="4" t="s">
        <v>34</v>
      </c>
      <c r="I1945" s="4">
        <v>15</v>
      </c>
      <c r="J1945" s="5">
        <v>64</v>
      </c>
      <c r="K1945" s="6">
        <v>1.75</v>
      </c>
      <c r="L1945" s="4">
        <v>1</v>
      </c>
      <c r="M1945" s="4">
        <v>111</v>
      </c>
      <c r="N1945" s="4">
        <v>100</v>
      </c>
      <c r="O1945" s="4" t="s">
        <v>26</v>
      </c>
      <c r="P1945" s="7" t="s">
        <v>19</v>
      </c>
    </row>
    <row r="1946" spans="2:16" x14ac:dyDescent="0.45">
      <c r="B1946" s="4">
        <v>1945</v>
      </c>
      <c r="C1946" s="4" t="s">
        <v>27</v>
      </c>
      <c r="D1946" s="4" t="s">
        <v>23</v>
      </c>
      <c r="E1946" s="4" t="s">
        <v>35</v>
      </c>
      <c r="F1946" s="4" t="s">
        <v>28</v>
      </c>
      <c r="G1946" s="4" t="s">
        <v>19</v>
      </c>
      <c r="H1946" s="4" t="s">
        <v>25</v>
      </c>
      <c r="I1946" s="4">
        <v>7</v>
      </c>
      <c r="J1946" s="5">
        <v>28</v>
      </c>
      <c r="K1946" s="6">
        <v>1.2</v>
      </c>
      <c r="L1946" s="4">
        <v>2</v>
      </c>
      <c r="M1946" s="4">
        <v>109</v>
      </c>
      <c r="N1946" s="4">
        <v>77</v>
      </c>
      <c r="O1946" s="4" t="s">
        <v>26</v>
      </c>
      <c r="P1946" s="7" t="s">
        <v>19</v>
      </c>
    </row>
    <row r="1947" spans="2:16" x14ac:dyDescent="0.45">
      <c r="B1947" s="4">
        <v>1946</v>
      </c>
      <c r="C1947" s="4" t="s">
        <v>43</v>
      </c>
      <c r="D1947" s="4" t="s">
        <v>23</v>
      </c>
      <c r="E1947" s="4" t="s">
        <v>17</v>
      </c>
      <c r="F1947" s="4" t="s">
        <v>24</v>
      </c>
      <c r="G1947" s="4" t="s">
        <v>30</v>
      </c>
      <c r="H1947" s="4" t="s">
        <v>32</v>
      </c>
      <c r="I1947" s="4">
        <v>6</v>
      </c>
      <c r="J1947" s="5">
        <v>23.7</v>
      </c>
      <c r="K1947" s="6">
        <v>1.06</v>
      </c>
      <c r="L1947" s="4">
        <v>1</v>
      </c>
      <c r="M1947" s="4">
        <v>113</v>
      </c>
      <c r="N1947" s="4">
        <v>162</v>
      </c>
      <c r="O1947" s="4" t="s">
        <v>26</v>
      </c>
      <c r="P1947" s="7" t="s">
        <v>19</v>
      </c>
    </row>
    <row r="1948" spans="2:16" x14ac:dyDescent="0.45">
      <c r="B1948" s="4">
        <v>1947</v>
      </c>
      <c r="C1948" s="4" t="s">
        <v>39</v>
      </c>
      <c r="D1948" s="4" t="s">
        <v>23</v>
      </c>
      <c r="E1948" s="4" t="s">
        <v>17</v>
      </c>
      <c r="F1948" s="4" t="s">
        <v>28</v>
      </c>
      <c r="G1948" s="4" t="s">
        <v>19</v>
      </c>
      <c r="H1948" s="4" t="s">
        <v>46</v>
      </c>
      <c r="I1948" s="4">
        <v>45</v>
      </c>
      <c r="J1948" s="5">
        <v>66.099999999999994</v>
      </c>
      <c r="K1948" s="6">
        <v>1.8</v>
      </c>
      <c r="L1948" s="4">
        <v>8</v>
      </c>
      <c r="M1948" s="4">
        <v>111</v>
      </c>
      <c r="N1948" s="4">
        <v>78</v>
      </c>
      <c r="O1948" s="4" t="s">
        <v>26</v>
      </c>
      <c r="P1948" s="7" t="s">
        <v>19</v>
      </c>
    </row>
    <row r="1949" spans="2:16" x14ac:dyDescent="0.45">
      <c r="B1949" s="4">
        <v>1948</v>
      </c>
      <c r="C1949" s="4" t="s">
        <v>40</v>
      </c>
      <c r="D1949" s="4" t="s">
        <v>16</v>
      </c>
      <c r="E1949" s="4" t="s">
        <v>35</v>
      </c>
      <c r="F1949" s="4" t="s">
        <v>24</v>
      </c>
      <c r="G1949" s="4" t="s">
        <v>19</v>
      </c>
      <c r="H1949" s="4" t="s">
        <v>20</v>
      </c>
      <c r="I1949" s="4">
        <v>29</v>
      </c>
      <c r="J1949" s="5">
        <v>84.5</v>
      </c>
      <c r="K1949" s="6">
        <v>1.57</v>
      </c>
      <c r="L1949" s="4">
        <v>3</v>
      </c>
      <c r="M1949" s="4">
        <v>101</v>
      </c>
      <c r="N1949" s="4">
        <v>95</v>
      </c>
      <c r="O1949" s="4" t="s">
        <v>26</v>
      </c>
      <c r="P1949" s="7" t="s">
        <v>19</v>
      </c>
    </row>
    <row r="1950" spans="2:16" x14ac:dyDescent="0.45">
      <c r="B1950" s="4">
        <v>1949</v>
      </c>
      <c r="C1950" s="4" t="s">
        <v>41</v>
      </c>
      <c r="D1950" s="4" t="s">
        <v>23</v>
      </c>
      <c r="E1950" s="4" t="s">
        <v>35</v>
      </c>
      <c r="F1950" s="4" t="s">
        <v>42</v>
      </c>
      <c r="G1950" s="4" t="s">
        <v>19</v>
      </c>
      <c r="H1950" s="4" t="s">
        <v>28</v>
      </c>
      <c r="I1950" s="4">
        <v>11</v>
      </c>
      <c r="J1950" s="5">
        <v>21.3</v>
      </c>
      <c r="K1950" s="6">
        <v>1.18</v>
      </c>
      <c r="L1950" s="4">
        <v>3</v>
      </c>
      <c r="M1950" s="4">
        <v>105</v>
      </c>
      <c r="N1950" s="4">
        <v>96</v>
      </c>
      <c r="O1950" s="4" t="s">
        <v>21</v>
      </c>
      <c r="P1950" s="7" t="s">
        <v>19</v>
      </c>
    </row>
    <row r="1951" spans="2:16" x14ac:dyDescent="0.45">
      <c r="B1951" s="4">
        <v>1950</v>
      </c>
      <c r="C1951" s="4" t="s">
        <v>22</v>
      </c>
      <c r="D1951" s="4" t="s">
        <v>16</v>
      </c>
      <c r="E1951" s="4" t="s">
        <v>35</v>
      </c>
      <c r="F1951" s="4" t="s">
        <v>24</v>
      </c>
      <c r="G1951" s="4" t="s">
        <v>19</v>
      </c>
      <c r="H1951" s="4" t="s">
        <v>38</v>
      </c>
      <c r="I1951" s="4">
        <v>18</v>
      </c>
      <c r="J1951" s="5">
        <v>67.8</v>
      </c>
      <c r="K1951" s="6">
        <v>1.55</v>
      </c>
      <c r="L1951" s="4">
        <v>2</v>
      </c>
      <c r="M1951" s="4">
        <v>104</v>
      </c>
      <c r="N1951" s="4">
        <v>71</v>
      </c>
      <c r="O1951" s="4" t="s">
        <v>21</v>
      </c>
      <c r="P1951" s="7" t="s">
        <v>19</v>
      </c>
    </row>
    <row r="1952" spans="2:16" x14ac:dyDescent="0.45">
      <c r="B1952" s="4">
        <v>1951</v>
      </c>
      <c r="C1952" s="4" t="s">
        <v>27</v>
      </c>
      <c r="D1952" s="4" t="s">
        <v>16</v>
      </c>
      <c r="E1952" s="4" t="s">
        <v>17</v>
      </c>
      <c r="F1952" s="4" t="s">
        <v>18</v>
      </c>
      <c r="G1952" s="4" t="s">
        <v>19</v>
      </c>
      <c r="H1952" s="4" t="s">
        <v>20</v>
      </c>
      <c r="I1952" s="4">
        <v>4</v>
      </c>
      <c r="J1952" s="5">
        <v>9.1</v>
      </c>
      <c r="K1952" s="6">
        <v>0.91</v>
      </c>
      <c r="L1952" s="4">
        <v>6</v>
      </c>
      <c r="M1952" s="4">
        <v>94</v>
      </c>
      <c r="N1952" s="4">
        <v>90</v>
      </c>
      <c r="O1952" s="4" t="s">
        <v>21</v>
      </c>
      <c r="P1952" s="7" t="s">
        <v>19</v>
      </c>
    </row>
    <row r="1953" spans="2:16" x14ac:dyDescent="0.45">
      <c r="B1953" s="4">
        <v>1952</v>
      </c>
      <c r="C1953" s="4" t="s">
        <v>22</v>
      </c>
      <c r="D1953" s="4" t="s">
        <v>23</v>
      </c>
      <c r="E1953" s="4" t="s">
        <v>35</v>
      </c>
      <c r="F1953" s="4" t="s">
        <v>24</v>
      </c>
      <c r="G1953" s="4" t="s">
        <v>19</v>
      </c>
      <c r="H1953" s="4" t="s">
        <v>20</v>
      </c>
      <c r="I1953" s="4">
        <v>18</v>
      </c>
      <c r="J1953" s="5">
        <v>59.9</v>
      </c>
      <c r="K1953" s="6">
        <v>1.61</v>
      </c>
      <c r="L1953" s="4">
        <v>4</v>
      </c>
      <c r="M1953" s="4">
        <v>99</v>
      </c>
      <c r="N1953" s="4">
        <v>71</v>
      </c>
      <c r="O1953" s="4" t="s">
        <v>21</v>
      </c>
      <c r="P1953" s="7" t="s">
        <v>19</v>
      </c>
    </row>
    <row r="1954" spans="2:16" x14ac:dyDescent="0.45">
      <c r="B1954" s="4">
        <v>1953</v>
      </c>
      <c r="C1954" s="4" t="s">
        <v>39</v>
      </c>
      <c r="D1954" s="4" t="s">
        <v>23</v>
      </c>
      <c r="E1954" s="4" t="s">
        <v>17</v>
      </c>
      <c r="F1954" s="4" t="s">
        <v>24</v>
      </c>
      <c r="G1954" s="4" t="s">
        <v>19</v>
      </c>
      <c r="H1954" s="4" t="s">
        <v>25</v>
      </c>
      <c r="I1954" s="4">
        <v>21</v>
      </c>
      <c r="J1954" s="5">
        <v>47.3</v>
      </c>
      <c r="K1954" s="6">
        <v>1.59</v>
      </c>
      <c r="L1954" s="4">
        <v>0</v>
      </c>
      <c r="M1954" s="4">
        <v>118</v>
      </c>
      <c r="N1954" s="4">
        <v>88</v>
      </c>
      <c r="O1954" s="4" t="s">
        <v>26</v>
      </c>
      <c r="P1954" s="7" t="s">
        <v>30</v>
      </c>
    </row>
    <row r="1955" spans="2:16" x14ac:dyDescent="0.45">
      <c r="B1955" s="4">
        <v>1954</v>
      </c>
      <c r="C1955" s="4" t="s">
        <v>22</v>
      </c>
      <c r="D1955" s="4" t="s">
        <v>16</v>
      </c>
      <c r="E1955" s="4" t="s">
        <v>17</v>
      </c>
      <c r="F1955" s="4" t="s">
        <v>24</v>
      </c>
      <c r="G1955" s="4" t="s">
        <v>19</v>
      </c>
      <c r="H1955" s="4" t="s">
        <v>38</v>
      </c>
      <c r="I1955" s="4">
        <v>11</v>
      </c>
      <c r="J1955" s="5">
        <v>36.6</v>
      </c>
      <c r="K1955" s="6">
        <v>1.32</v>
      </c>
      <c r="L1955" s="4">
        <v>1</v>
      </c>
      <c r="M1955" s="4">
        <v>116</v>
      </c>
      <c r="N1955" s="4">
        <v>103</v>
      </c>
      <c r="O1955" s="4" t="s">
        <v>26</v>
      </c>
      <c r="P1955" s="7" t="s">
        <v>19</v>
      </c>
    </row>
    <row r="1956" spans="2:16" x14ac:dyDescent="0.45">
      <c r="B1956" s="4">
        <v>1955</v>
      </c>
      <c r="C1956" s="4" t="s">
        <v>27</v>
      </c>
      <c r="D1956" s="4" t="s">
        <v>16</v>
      </c>
      <c r="E1956" s="4" t="s">
        <v>35</v>
      </c>
      <c r="F1956" s="4" t="s">
        <v>18</v>
      </c>
      <c r="G1956" s="4" t="s">
        <v>19</v>
      </c>
      <c r="H1956" s="4" t="s">
        <v>28</v>
      </c>
      <c r="I1956" s="4">
        <v>7</v>
      </c>
      <c r="J1956" s="5">
        <v>34.700000000000003</v>
      </c>
      <c r="K1956" s="6">
        <v>1.0900000000000001</v>
      </c>
      <c r="L1956" s="4">
        <v>0</v>
      </c>
      <c r="M1956" s="4">
        <v>97</v>
      </c>
      <c r="N1956" s="4">
        <v>92</v>
      </c>
      <c r="O1956" s="4" t="s">
        <v>26</v>
      </c>
      <c r="P1956" s="7" t="s">
        <v>19</v>
      </c>
    </row>
    <row r="1957" spans="2:16" x14ac:dyDescent="0.45">
      <c r="B1957" s="4">
        <v>1956</v>
      </c>
      <c r="C1957" s="4" t="s">
        <v>33</v>
      </c>
      <c r="D1957" s="4" t="s">
        <v>23</v>
      </c>
      <c r="E1957" s="4" t="s">
        <v>17</v>
      </c>
      <c r="F1957" s="4" t="s">
        <v>42</v>
      </c>
      <c r="G1957" s="4" t="s">
        <v>30</v>
      </c>
      <c r="H1957" s="4" t="s">
        <v>20</v>
      </c>
      <c r="I1957" s="4">
        <v>33</v>
      </c>
      <c r="J1957" s="5">
        <v>57.2</v>
      </c>
      <c r="K1957" s="6">
        <v>1.58</v>
      </c>
      <c r="L1957" s="4">
        <v>5</v>
      </c>
      <c r="M1957" s="4">
        <v>101</v>
      </c>
      <c r="N1957" s="4">
        <v>88</v>
      </c>
      <c r="O1957" s="4" t="s">
        <v>26</v>
      </c>
      <c r="P1957" s="7" t="s">
        <v>19</v>
      </c>
    </row>
    <row r="1958" spans="2:16" x14ac:dyDescent="0.45">
      <c r="B1958" s="4">
        <v>1957</v>
      </c>
      <c r="C1958" s="4" t="s">
        <v>45</v>
      </c>
      <c r="D1958" s="4" t="s">
        <v>23</v>
      </c>
      <c r="E1958" s="4" t="s">
        <v>17</v>
      </c>
      <c r="F1958" s="4" t="s">
        <v>24</v>
      </c>
      <c r="G1958" s="4" t="s">
        <v>19</v>
      </c>
      <c r="H1958" s="4" t="s">
        <v>38</v>
      </c>
      <c r="I1958" s="4">
        <v>6</v>
      </c>
      <c r="J1958" s="5">
        <v>30.2</v>
      </c>
      <c r="K1958" s="6">
        <v>1.29</v>
      </c>
      <c r="L1958" s="4">
        <v>3</v>
      </c>
      <c r="M1958" s="4">
        <v>116</v>
      </c>
      <c r="N1958" s="4">
        <v>87</v>
      </c>
      <c r="O1958" s="4" t="s">
        <v>26</v>
      </c>
      <c r="P1958" s="7" t="s">
        <v>30</v>
      </c>
    </row>
    <row r="1959" spans="2:16" x14ac:dyDescent="0.45">
      <c r="B1959" s="4">
        <v>1958</v>
      </c>
      <c r="C1959" s="4" t="s">
        <v>15</v>
      </c>
      <c r="D1959" s="4" t="s">
        <v>16</v>
      </c>
      <c r="E1959" s="4" t="s">
        <v>17</v>
      </c>
      <c r="F1959" s="4" t="s">
        <v>42</v>
      </c>
      <c r="G1959" s="4" t="s">
        <v>30</v>
      </c>
      <c r="H1959" s="4" t="s">
        <v>20</v>
      </c>
      <c r="I1959" s="4">
        <v>63</v>
      </c>
      <c r="J1959" s="5">
        <v>56.8</v>
      </c>
      <c r="K1959" s="6">
        <v>1.53</v>
      </c>
      <c r="L1959" s="4">
        <v>2</v>
      </c>
      <c r="M1959" s="4">
        <v>110</v>
      </c>
      <c r="N1959" s="4">
        <v>72</v>
      </c>
      <c r="O1959" s="4" t="s">
        <v>21</v>
      </c>
      <c r="P1959" s="7" t="s">
        <v>19</v>
      </c>
    </row>
    <row r="1960" spans="2:16" x14ac:dyDescent="0.45">
      <c r="B1960" s="4">
        <v>1959</v>
      </c>
      <c r="C1960" s="4" t="s">
        <v>22</v>
      </c>
      <c r="D1960" s="4" t="s">
        <v>23</v>
      </c>
      <c r="E1960" s="4" t="s">
        <v>35</v>
      </c>
      <c r="F1960" s="4" t="s">
        <v>28</v>
      </c>
      <c r="G1960" s="4" t="s">
        <v>19</v>
      </c>
      <c r="H1960" s="4" t="s">
        <v>34</v>
      </c>
      <c r="I1960" s="4">
        <v>32</v>
      </c>
      <c r="J1960" s="5">
        <v>53.2</v>
      </c>
      <c r="K1960" s="6">
        <v>1.79</v>
      </c>
      <c r="L1960" s="4">
        <v>2</v>
      </c>
      <c r="M1960" s="4">
        <v>111</v>
      </c>
      <c r="N1960" s="4">
        <v>76</v>
      </c>
      <c r="O1960" s="4" t="s">
        <v>21</v>
      </c>
      <c r="P1960" s="7" t="s">
        <v>30</v>
      </c>
    </row>
    <row r="1961" spans="2:16" x14ac:dyDescent="0.45">
      <c r="B1961" s="4">
        <v>1960</v>
      </c>
      <c r="C1961" s="4" t="s">
        <v>40</v>
      </c>
      <c r="D1961" s="4" t="s">
        <v>16</v>
      </c>
      <c r="E1961" s="4" t="s">
        <v>17</v>
      </c>
      <c r="F1961" s="4" t="s">
        <v>24</v>
      </c>
      <c r="G1961" s="4" t="s">
        <v>30</v>
      </c>
      <c r="H1961" s="4" t="s">
        <v>20</v>
      </c>
      <c r="I1961" s="4">
        <v>20</v>
      </c>
      <c r="J1961" s="5">
        <v>45.2</v>
      </c>
      <c r="K1961" s="6">
        <v>1.89</v>
      </c>
      <c r="L1961" s="4">
        <v>4</v>
      </c>
      <c r="M1961" s="4">
        <v>110</v>
      </c>
      <c r="N1961" s="4">
        <v>74</v>
      </c>
      <c r="O1961" s="4" t="s">
        <v>21</v>
      </c>
      <c r="P1961" s="7" t="s">
        <v>30</v>
      </c>
    </row>
    <row r="1962" spans="2:16" x14ac:dyDescent="0.45">
      <c r="B1962" s="4">
        <v>1961</v>
      </c>
      <c r="C1962" s="4" t="s">
        <v>43</v>
      </c>
      <c r="D1962" s="4" t="s">
        <v>16</v>
      </c>
      <c r="E1962" s="4" t="s">
        <v>17</v>
      </c>
      <c r="F1962" s="4" t="s">
        <v>18</v>
      </c>
      <c r="G1962" s="4" t="s">
        <v>19</v>
      </c>
      <c r="H1962" s="4" t="s">
        <v>34</v>
      </c>
      <c r="I1962" s="4">
        <v>8</v>
      </c>
      <c r="J1962" s="5">
        <v>36.799999999999997</v>
      </c>
      <c r="K1962" s="6">
        <v>1.1499999999999999</v>
      </c>
      <c r="L1962" s="4">
        <v>5</v>
      </c>
      <c r="M1962" s="4">
        <v>102</v>
      </c>
      <c r="N1962" s="4">
        <v>79</v>
      </c>
      <c r="O1962" s="4" t="s">
        <v>26</v>
      </c>
      <c r="P1962" s="7" t="s">
        <v>19</v>
      </c>
    </row>
    <row r="1963" spans="2:16" x14ac:dyDescent="0.45">
      <c r="B1963" s="4">
        <v>1962</v>
      </c>
      <c r="C1963" s="4" t="s">
        <v>15</v>
      </c>
      <c r="D1963" s="4" t="s">
        <v>23</v>
      </c>
      <c r="E1963" s="4" t="s">
        <v>17</v>
      </c>
      <c r="F1963" s="4" t="s">
        <v>24</v>
      </c>
      <c r="G1963" s="4" t="s">
        <v>30</v>
      </c>
      <c r="H1963" s="4" t="s">
        <v>36</v>
      </c>
      <c r="I1963" s="4">
        <v>0</v>
      </c>
      <c r="J1963" s="5">
        <v>12.6</v>
      </c>
      <c r="K1963" s="6">
        <v>0.71</v>
      </c>
      <c r="L1963" s="4">
        <v>0</v>
      </c>
      <c r="M1963" s="4">
        <v>134</v>
      </c>
      <c r="N1963" s="4">
        <v>85</v>
      </c>
      <c r="O1963" s="4" t="s">
        <v>21</v>
      </c>
      <c r="P1963" s="7" t="s">
        <v>30</v>
      </c>
    </row>
    <row r="1964" spans="2:16" x14ac:dyDescent="0.45">
      <c r="B1964" s="4">
        <v>1963</v>
      </c>
      <c r="C1964" s="4" t="s">
        <v>22</v>
      </c>
      <c r="D1964" s="4" t="s">
        <v>23</v>
      </c>
      <c r="E1964" s="4" t="s">
        <v>17</v>
      </c>
      <c r="F1964" s="4" t="s">
        <v>24</v>
      </c>
      <c r="G1964" s="4" t="s">
        <v>30</v>
      </c>
      <c r="H1964" s="4" t="s">
        <v>25</v>
      </c>
      <c r="I1964" s="4">
        <v>64</v>
      </c>
      <c r="J1964" s="5">
        <v>58.7</v>
      </c>
      <c r="K1964" s="6">
        <v>1.72</v>
      </c>
      <c r="L1964" s="4">
        <v>8</v>
      </c>
      <c r="M1964" s="4">
        <v>117</v>
      </c>
      <c r="N1964" s="4">
        <v>94</v>
      </c>
      <c r="O1964" s="4" t="s">
        <v>26</v>
      </c>
      <c r="P1964" s="7" t="s">
        <v>30</v>
      </c>
    </row>
    <row r="1965" spans="2:16" x14ac:dyDescent="0.45">
      <c r="B1965" s="4">
        <v>1964</v>
      </c>
      <c r="C1965" s="4" t="s">
        <v>41</v>
      </c>
      <c r="D1965" s="4" t="s">
        <v>16</v>
      </c>
      <c r="E1965" s="4" t="s">
        <v>35</v>
      </c>
      <c r="F1965" s="4" t="s">
        <v>28</v>
      </c>
      <c r="G1965" s="4" t="s">
        <v>19</v>
      </c>
      <c r="H1965" s="4" t="s">
        <v>20</v>
      </c>
      <c r="I1965" s="4">
        <v>51</v>
      </c>
      <c r="J1965" s="5">
        <v>56</v>
      </c>
      <c r="K1965" s="6">
        <v>1.48</v>
      </c>
      <c r="L1965" s="4">
        <v>0</v>
      </c>
      <c r="M1965" s="4">
        <v>113</v>
      </c>
      <c r="N1965" s="4">
        <v>82</v>
      </c>
      <c r="O1965" s="4" t="s">
        <v>26</v>
      </c>
      <c r="P1965" s="7" t="s">
        <v>30</v>
      </c>
    </row>
    <row r="1966" spans="2:16" x14ac:dyDescent="0.45">
      <c r="B1966" s="4">
        <v>1965</v>
      </c>
      <c r="C1966" s="4" t="s">
        <v>41</v>
      </c>
      <c r="D1966" s="4" t="s">
        <v>16</v>
      </c>
      <c r="E1966" s="4" t="s">
        <v>17</v>
      </c>
      <c r="F1966" s="4" t="s">
        <v>24</v>
      </c>
      <c r="G1966" s="4" t="s">
        <v>30</v>
      </c>
      <c r="H1966" s="4" t="s">
        <v>20</v>
      </c>
      <c r="I1966" s="4">
        <v>21</v>
      </c>
      <c r="J1966" s="5">
        <v>88.2</v>
      </c>
      <c r="K1966" s="6">
        <v>1.54</v>
      </c>
      <c r="L1966" s="4">
        <v>1</v>
      </c>
      <c r="M1966" s="4">
        <v>113</v>
      </c>
      <c r="N1966" s="4">
        <v>77</v>
      </c>
      <c r="O1966" s="4" t="s">
        <v>21</v>
      </c>
      <c r="P1966" s="7" t="s">
        <v>30</v>
      </c>
    </row>
    <row r="1967" spans="2:16" x14ac:dyDescent="0.45">
      <c r="B1967" s="4">
        <v>1966</v>
      </c>
      <c r="C1967" s="4" t="s">
        <v>39</v>
      </c>
      <c r="D1967" s="4" t="s">
        <v>23</v>
      </c>
      <c r="E1967" s="4" t="s">
        <v>35</v>
      </c>
      <c r="F1967" s="4" t="s">
        <v>18</v>
      </c>
      <c r="G1967" s="4" t="s">
        <v>19</v>
      </c>
      <c r="H1967" s="4" t="s">
        <v>32</v>
      </c>
      <c r="I1967" s="4">
        <v>29</v>
      </c>
      <c r="J1967" s="5">
        <v>49.2</v>
      </c>
      <c r="K1967" s="6">
        <v>1.83</v>
      </c>
      <c r="L1967" s="4">
        <v>3</v>
      </c>
      <c r="M1967" s="4">
        <v>115</v>
      </c>
      <c r="N1967" s="4">
        <v>125</v>
      </c>
      <c r="O1967" s="4" t="s">
        <v>26</v>
      </c>
      <c r="P1967" s="7" t="s">
        <v>19</v>
      </c>
    </row>
    <row r="1968" spans="2:16" x14ac:dyDescent="0.45">
      <c r="B1968" s="4">
        <v>1967</v>
      </c>
      <c r="C1968" s="4" t="s">
        <v>31</v>
      </c>
      <c r="D1968" s="4" t="s">
        <v>16</v>
      </c>
      <c r="E1968" s="4" t="s">
        <v>17</v>
      </c>
      <c r="F1968" s="4" t="s">
        <v>18</v>
      </c>
      <c r="G1968" s="4" t="s">
        <v>19</v>
      </c>
      <c r="H1968" s="4" t="s">
        <v>36</v>
      </c>
      <c r="I1968" s="4">
        <v>1</v>
      </c>
      <c r="J1968" s="5">
        <v>7.4</v>
      </c>
      <c r="K1968" s="6">
        <v>0.87</v>
      </c>
      <c r="L1968" s="4">
        <v>3</v>
      </c>
      <c r="M1968" s="4">
        <v>130</v>
      </c>
      <c r="N1968" s="4">
        <v>102</v>
      </c>
      <c r="O1968" s="4" t="s">
        <v>21</v>
      </c>
      <c r="P1968" s="7" t="s">
        <v>19</v>
      </c>
    </row>
    <row r="1969" spans="2:16" x14ac:dyDescent="0.45">
      <c r="B1969" s="4">
        <v>1968</v>
      </c>
      <c r="C1969" s="4" t="s">
        <v>40</v>
      </c>
      <c r="D1969" s="4" t="s">
        <v>16</v>
      </c>
      <c r="E1969" s="4" t="s">
        <v>35</v>
      </c>
      <c r="F1969" s="4" t="s">
        <v>24</v>
      </c>
      <c r="G1969" s="4" t="s">
        <v>30</v>
      </c>
      <c r="H1969" s="4" t="s">
        <v>20</v>
      </c>
      <c r="I1969" s="4">
        <v>20</v>
      </c>
      <c r="J1969" s="5">
        <v>74.2</v>
      </c>
      <c r="K1969" s="6">
        <v>1.54</v>
      </c>
      <c r="L1969" s="4">
        <v>10</v>
      </c>
      <c r="M1969" s="4">
        <v>118</v>
      </c>
      <c r="N1969" s="4">
        <v>100</v>
      </c>
      <c r="O1969" s="4" t="s">
        <v>26</v>
      </c>
      <c r="P1969" s="7" t="s">
        <v>19</v>
      </c>
    </row>
    <row r="1970" spans="2:16" x14ac:dyDescent="0.45">
      <c r="B1970" s="4">
        <v>1969</v>
      </c>
      <c r="C1970" s="4" t="s">
        <v>40</v>
      </c>
      <c r="D1970" s="4" t="s">
        <v>16</v>
      </c>
      <c r="E1970" s="4" t="s">
        <v>37</v>
      </c>
      <c r="F1970" s="4" t="s">
        <v>18</v>
      </c>
      <c r="G1970" s="4" t="s">
        <v>19</v>
      </c>
      <c r="H1970" s="4" t="s">
        <v>28</v>
      </c>
      <c r="I1970" s="4">
        <v>73</v>
      </c>
      <c r="J1970" s="5">
        <v>73.900000000000006</v>
      </c>
      <c r="K1970" s="6">
        <v>1.7</v>
      </c>
      <c r="L1970" s="4">
        <v>1</v>
      </c>
      <c r="M1970" s="4">
        <v>127</v>
      </c>
      <c r="N1970" s="4">
        <v>93</v>
      </c>
      <c r="O1970" s="4" t="s">
        <v>26</v>
      </c>
      <c r="P1970" s="7" t="s">
        <v>19</v>
      </c>
    </row>
    <row r="1971" spans="2:16" x14ac:dyDescent="0.45">
      <c r="B1971" s="4">
        <v>1970</v>
      </c>
      <c r="C1971" s="4" t="s">
        <v>41</v>
      </c>
      <c r="D1971" s="4" t="s">
        <v>16</v>
      </c>
      <c r="E1971" s="4" t="s">
        <v>35</v>
      </c>
      <c r="F1971" s="4" t="s">
        <v>18</v>
      </c>
      <c r="G1971" s="4" t="s">
        <v>19</v>
      </c>
      <c r="H1971" s="4" t="s">
        <v>20</v>
      </c>
      <c r="I1971" s="4">
        <v>15</v>
      </c>
      <c r="J1971" s="5">
        <v>51.9</v>
      </c>
      <c r="K1971" s="6">
        <v>1.61</v>
      </c>
      <c r="L1971" s="4">
        <v>7</v>
      </c>
      <c r="M1971" s="4">
        <v>101</v>
      </c>
      <c r="N1971" s="4">
        <v>71</v>
      </c>
      <c r="O1971" s="4" t="s">
        <v>26</v>
      </c>
      <c r="P1971" s="7" t="s">
        <v>19</v>
      </c>
    </row>
    <row r="1972" spans="2:16" x14ac:dyDescent="0.45">
      <c r="B1972" s="4">
        <v>1971</v>
      </c>
      <c r="C1972" s="4" t="s">
        <v>33</v>
      </c>
      <c r="D1972" s="4" t="s">
        <v>16</v>
      </c>
      <c r="E1972" s="4" t="s">
        <v>35</v>
      </c>
      <c r="F1972" s="4" t="s">
        <v>28</v>
      </c>
      <c r="G1972" s="4" t="s">
        <v>19</v>
      </c>
      <c r="H1972" s="4" t="s">
        <v>20</v>
      </c>
      <c r="I1972" s="4">
        <v>39</v>
      </c>
      <c r="J1972" s="5">
        <v>65.099999999999994</v>
      </c>
      <c r="K1972" s="6">
        <v>1.55</v>
      </c>
      <c r="L1972" s="4">
        <v>5</v>
      </c>
      <c r="M1972" s="4">
        <v>127</v>
      </c>
      <c r="N1972" s="4">
        <v>83</v>
      </c>
      <c r="O1972" s="4" t="s">
        <v>26</v>
      </c>
      <c r="P1972" s="7" t="s">
        <v>30</v>
      </c>
    </row>
    <row r="1973" spans="2:16" x14ac:dyDescent="0.45">
      <c r="B1973" s="4">
        <v>1972</v>
      </c>
      <c r="C1973" s="4" t="s">
        <v>41</v>
      </c>
      <c r="D1973" s="4" t="s">
        <v>23</v>
      </c>
      <c r="E1973" s="4" t="s">
        <v>44</v>
      </c>
      <c r="F1973" s="4" t="s">
        <v>24</v>
      </c>
      <c r="G1973" s="4" t="s">
        <v>30</v>
      </c>
      <c r="H1973" s="4" t="s">
        <v>34</v>
      </c>
      <c r="I1973" s="4">
        <v>11</v>
      </c>
      <c r="J1973" s="5">
        <v>21.5</v>
      </c>
      <c r="K1973" s="6">
        <v>1.19</v>
      </c>
      <c r="L1973" s="4">
        <v>1</v>
      </c>
      <c r="M1973" s="4">
        <v>106</v>
      </c>
      <c r="N1973" s="4">
        <v>101</v>
      </c>
      <c r="O1973" s="4" t="s">
        <v>21</v>
      </c>
      <c r="P1973" s="7" t="s">
        <v>19</v>
      </c>
    </row>
    <row r="1974" spans="2:16" x14ac:dyDescent="0.45">
      <c r="B1974" s="4">
        <v>1973</v>
      </c>
      <c r="C1974" s="4" t="s">
        <v>40</v>
      </c>
      <c r="D1974" s="4" t="s">
        <v>16</v>
      </c>
      <c r="E1974" s="4" t="s">
        <v>37</v>
      </c>
      <c r="F1974" s="4" t="s">
        <v>18</v>
      </c>
      <c r="G1974" s="4" t="s">
        <v>30</v>
      </c>
      <c r="H1974" s="4" t="s">
        <v>25</v>
      </c>
      <c r="I1974" s="4">
        <v>13</v>
      </c>
      <c r="J1974" s="5">
        <v>64.8</v>
      </c>
      <c r="K1974" s="6">
        <v>1.62</v>
      </c>
      <c r="L1974" s="4">
        <v>4</v>
      </c>
      <c r="M1974" s="4">
        <v>101</v>
      </c>
      <c r="N1974" s="4">
        <v>79</v>
      </c>
      <c r="O1974" s="4" t="s">
        <v>21</v>
      </c>
      <c r="P1974" s="7" t="s">
        <v>19</v>
      </c>
    </row>
    <row r="1975" spans="2:16" x14ac:dyDescent="0.45">
      <c r="B1975" s="4">
        <v>1974</v>
      </c>
      <c r="C1975" s="4" t="s">
        <v>39</v>
      </c>
      <c r="D1975" s="4" t="s">
        <v>16</v>
      </c>
      <c r="E1975" s="4" t="s">
        <v>17</v>
      </c>
      <c r="F1975" s="4" t="s">
        <v>18</v>
      </c>
      <c r="G1975" s="4" t="s">
        <v>19</v>
      </c>
      <c r="H1975" s="4" t="s">
        <v>34</v>
      </c>
      <c r="I1975" s="4">
        <v>0</v>
      </c>
      <c r="J1975" s="5">
        <v>12</v>
      </c>
      <c r="K1975" s="6">
        <v>0.67</v>
      </c>
      <c r="L1975" s="4">
        <v>3</v>
      </c>
      <c r="M1975" s="4">
        <v>96</v>
      </c>
      <c r="N1975" s="4">
        <v>104</v>
      </c>
      <c r="O1975" s="4" t="s">
        <v>26</v>
      </c>
      <c r="P1975" s="7" t="s">
        <v>19</v>
      </c>
    </row>
    <row r="1976" spans="2:16" x14ac:dyDescent="0.45">
      <c r="B1976" s="4">
        <v>1975</v>
      </c>
      <c r="C1976" s="4" t="s">
        <v>31</v>
      </c>
      <c r="D1976" s="4" t="s">
        <v>16</v>
      </c>
      <c r="E1976" s="4" t="s">
        <v>17</v>
      </c>
      <c r="F1976" s="4" t="s">
        <v>18</v>
      </c>
      <c r="G1976" s="4" t="s">
        <v>19</v>
      </c>
      <c r="H1976" s="4" t="s">
        <v>36</v>
      </c>
      <c r="I1976" s="4">
        <v>9</v>
      </c>
      <c r="J1976" s="5">
        <v>35.4</v>
      </c>
      <c r="K1976" s="6">
        <v>1.44</v>
      </c>
      <c r="L1976" s="4">
        <v>1</v>
      </c>
      <c r="M1976" s="4">
        <v>131</v>
      </c>
      <c r="N1976" s="4">
        <v>99</v>
      </c>
      <c r="O1976" s="4" t="s">
        <v>26</v>
      </c>
      <c r="P1976" s="7" t="s">
        <v>19</v>
      </c>
    </row>
    <row r="1977" spans="2:16" x14ac:dyDescent="0.45">
      <c r="B1977" s="4">
        <v>1976</v>
      </c>
      <c r="C1977" s="4" t="s">
        <v>27</v>
      </c>
      <c r="D1977" s="4" t="s">
        <v>16</v>
      </c>
      <c r="E1977" s="4" t="s">
        <v>44</v>
      </c>
      <c r="F1977" s="4" t="s">
        <v>24</v>
      </c>
      <c r="G1977" s="4" t="s">
        <v>19</v>
      </c>
      <c r="H1977" s="4" t="s">
        <v>25</v>
      </c>
      <c r="I1977" s="4">
        <v>6</v>
      </c>
      <c r="J1977" s="5">
        <v>21.1</v>
      </c>
      <c r="K1977" s="6">
        <v>1.35</v>
      </c>
      <c r="L1977" s="4">
        <v>2</v>
      </c>
      <c r="M1977" s="4">
        <v>104</v>
      </c>
      <c r="N1977" s="4">
        <v>71</v>
      </c>
      <c r="O1977" s="4" t="s">
        <v>26</v>
      </c>
      <c r="P1977" s="7" t="s">
        <v>30</v>
      </c>
    </row>
    <row r="1978" spans="2:16" x14ac:dyDescent="0.45">
      <c r="B1978" s="4">
        <v>1977</v>
      </c>
      <c r="C1978" s="4" t="s">
        <v>45</v>
      </c>
      <c r="D1978" s="4" t="s">
        <v>16</v>
      </c>
      <c r="E1978" s="4" t="s">
        <v>17</v>
      </c>
      <c r="F1978" s="4" t="s">
        <v>18</v>
      </c>
      <c r="G1978" s="4" t="s">
        <v>19</v>
      </c>
      <c r="H1978" s="4" t="s">
        <v>28</v>
      </c>
      <c r="I1978" s="4">
        <v>14</v>
      </c>
      <c r="J1978" s="5">
        <v>60.1</v>
      </c>
      <c r="K1978" s="6">
        <v>1.45</v>
      </c>
      <c r="L1978" s="4">
        <v>9</v>
      </c>
      <c r="M1978" s="4">
        <v>110</v>
      </c>
      <c r="N1978" s="4">
        <v>74</v>
      </c>
      <c r="O1978" s="4" t="s">
        <v>26</v>
      </c>
      <c r="P1978" s="7" t="s">
        <v>30</v>
      </c>
    </row>
    <row r="1979" spans="2:16" x14ac:dyDescent="0.45">
      <c r="B1979" s="4">
        <v>1978</v>
      </c>
      <c r="C1979" s="4" t="s">
        <v>27</v>
      </c>
      <c r="D1979" s="4" t="s">
        <v>23</v>
      </c>
      <c r="E1979" s="4" t="s">
        <v>44</v>
      </c>
      <c r="F1979" s="4" t="s">
        <v>24</v>
      </c>
      <c r="G1979" s="4" t="s">
        <v>19</v>
      </c>
      <c r="H1979" s="4" t="s">
        <v>25</v>
      </c>
      <c r="I1979" s="4">
        <v>22</v>
      </c>
      <c r="J1979" s="5">
        <v>74</v>
      </c>
      <c r="K1979" s="6">
        <v>1.82</v>
      </c>
      <c r="L1979" s="4">
        <v>4</v>
      </c>
      <c r="M1979" s="4">
        <v>108</v>
      </c>
      <c r="N1979" s="4">
        <v>102</v>
      </c>
      <c r="O1979" s="4" t="s">
        <v>26</v>
      </c>
      <c r="P1979" s="7" t="s">
        <v>19</v>
      </c>
    </row>
    <row r="1980" spans="2:16" x14ac:dyDescent="0.45">
      <c r="B1980" s="4">
        <v>1979</v>
      </c>
      <c r="C1980" s="4" t="s">
        <v>40</v>
      </c>
      <c r="D1980" s="4" t="s">
        <v>16</v>
      </c>
      <c r="E1980" s="4" t="s">
        <v>17</v>
      </c>
      <c r="F1980" s="4" t="s">
        <v>24</v>
      </c>
      <c r="G1980" s="4" t="s">
        <v>19</v>
      </c>
      <c r="H1980" s="4" t="s">
        <v>28</v>
      </c>
      <c r="I1980" s="4">
        <v>30</v>
      </c>
      <c r="J1980" s="5">
        <v>58</v>
      </c>
      <c r="K1980" s="6">
        <v>1.52</v>
      </c>
      <c r="L1980" s="4">
        <v>2</v>
      </c>
      <c r="M1980" s="4">
        <v>124</v>
      </c>
      <c r="N1980" s="4">
        <v>92</v>
      </c>
      <c r="O1980" s="4" t="s">
        <v>21</v>
      </c>
      <c r="P1980" s="7" t="s">
        <v>19</v>
      </c>
    </row>
    <row r="1981" spans="2:16" x14ac:dyDescent="0.45">
      <c r="B1981" s="4">
        <v>1980</v>
      </c>
      <c r="C1981" s="4" t="s">
        <v>27</v>
      </c>
      <c r="D1981" s="4" t="s">
        <v>23</v>
      </c>
      <c r="E1981" s="4" t="s">
        <v>17</v>
      </c>
      <c r="F1981" s="4" t="s">
        <v>18</v>
      </c>
      <c r="G1981" s="4" t="s">
        <v>19</v>
      </c>
      <c r="H1981" s="4" t="s">
        <v>25</v>
      </c>
      <c r="I1981" s="4">
        <v>20</v>
      </c>
      <c r="J1981" s="5">
        <v>51.1</v>
      </c>
      <c r="K1981" s="6">
        <v>1.7</v>
      </c>
      <c r="L1981" s="4">
        <v>5</v>
      </c>
      <c r="M1981" s="4">
        <v>109</v>
      </c>
      <c r="N1981" s="4">
        <v>86</v>
      </c>
      <c r="O1981" s="4" t="s">
        <v>21</v>
      </c>
      <c r="P1981" s="7" t="s">
        <v>30</v>
      </c>
    </row>
    <row r="1982" spans="2:16" x14ac:dyDescent="0.45">
      <c r="B1982" s="4">
        <v>1981</v>
      </c>
      <c r="C1982" s="4" t="s">
        <v>40</v>
      </c>
      <c r="D1982" s="4" t="s">
        <v>23</v>
      </c>
      <c r="E1982" s="4" t="s">
        <v>35</v>
      </c>
      <c r="F1982" s="4" t="s">
        <v>42</v>
      </c>
      <c r="G1982" s="4" t="s">
        <v>30</v>
      </c>
      <c r="H1982" s="4" t="s">
        <v>20</v>
      </c>
      <c r="I1982" s="4">
        <v>17</v>
      </c>
      <c r="J1982" s="5">
        <v>61.9</v>
      </c>
      <c r="K1982" s="6">
        <v>1.6</v>
      </c>
      <c r="L1982" s="4">
        <v>1</v>
      </c>
      <c r="M1982" s="4">
        <v>110</v>
      </c>
      <c r="N1982" s="4">
        <v>100</v>
      </c>
      <c r="O1982" s="4" t="s">
        <v>26</v>
      </c>
      <c r="P1982" s="7" t="s">
        <v>19</v>
      </c>
    </row>
    <row r="1983" spans="2:16" x14ac:dyDescent="0.45">
      <c r="B1983" s="4">
        <v>1982</v>
      </c>
      <c r="C1983" s="4" t="s">
        <v>15</v>
      </c>
      <c r="D1983" s="4" t="s">
        <v>23</v>
      </c>
      <c r="E1983" s="4" t="s">
        <v>17</v>
      </c>
      <c r="F1983" s="4" t="s">
        <v>18</v>
      </c>
      <c r="G1983" s="4" t="s">
        <v>19</v>
      </c>
      <c r="H1983" s="4" t="s">
        <v>46</v>
      </c>
      <c r="I1983" s="4">
        <v>15</v>
      </c>
      <c r="J1983" s="5">
        <v>61.1</v>
      </c>
      <c r="K1983" s="6">
        <v>1.65</v>
      </c>
      <c r="L1983" s="4">
        <v>0</v>
      </c>
      <c r="M1983" s="4">
        <v>106</v>
      </c>
      <c r="N1983" s="4">
        <v>102</v>
      </c>
      <c r="O1983" s="4" t="s">
        <v>26</v>
      </c>
      <c r="P1983" s="7" t="s">
        <v>19</v>
      </c>
    </row>
    <row r="1984" spans="2:16" x14ac:dyDescent="0.45">
      <c r="B1984" s="4">
        <v>1983</v>
      </c>
      <c r="C1984" s="4" t="s">
        <v>41</v>
      </c>
      <c r="D1984" s="4" t="s">
        <v>16</v>
      </c>
      <c r="E1984" s="4" t="s">
        <v>17</v>
      </c>
      <c r="F1984" s="4" t="s">
        <v>24</v>
      </c>
      <c r="G1984" s="4" t="s">
        <v>19</v>
      </c>
      <c r="H1984" s="4" t="s">
        <v>34</v>
      </c>
      <c r="I1984" s="4">
        <v>35</v>
      </c>
      <c r="J1984" s="5">
        <v>55.1</v>
      </c>
      <c r="K1984" s="6">
        <v>1.81</v>
      </c>
      <c r="L1984" s="4">
        <v>4</v>
      </c>
      <c r="M1984" s="4">
        <v>107</v>
      </c>
      <c r="N1984" s="4">
        <v>97</v>
      </c>
      <c r="O1984" s="4" t="s">
        <v>21</v>
      </c>
      <c r="P1984" s="7" t="s">
        <v>30</v>
      </c>
    </row>
    <row r="1985" spans="2:16" x14ac:dyDescent="0.45">
      <c r="B1985" s="4">
        <v>1984</v>
      </c>
      <c r="C1985" s="4" t="s">
        <v>39</v>
      </c>
      <c r="D1985" s="4" t="s">
        <v>16</v>
      </c>
      <c r="E1985" s="4" t="s">
        <v>17</v>
      </c>
      <c r="F1985" s="4" t="s">
        <v>28</v>
      </c>
      <c r="G1985" s="4" t="s">
        <v>19</v>
      </c>
      <c r="H1985" s="4" t="s">
        <v>36</v>
      </c>
      <c r="I1985" s="4">
        <v>17</v>
      </c>
      <c r="J1985" s="5">
        <v>42.1</v>
      </c>
      <c r="K1985" s="6">
        <v>1.47</v>
      </c>
      <c r="L1985" s="4">
        <v>5</v>
      </c>
      <c r="M1985" s="4">
        <v>129</v>
      </c>
      <c r="N1985" s="4">
        <v>89</v>
      </c>
      <c r="O1985" s="4" t="s">
        <v>26</v>
      </c>
      <c r="P1985" s="7" t="s">
        <v>19</v>
      </c>
    </row>
    <row r="1986" spans="2:16" x14ac:dyDescent="0.45">
      <c r="B1986" s="4">
        <v>1985</v>
      </c>
      <c r="C1986" s="4" t="s">
        <v>31</v>
      </c>
      <c r="D1986" s="4" t="s">
        <v>23</v>
      </c>
      <c r="E1986" s="4" t="s">
        <v>17</v>
      </c>
      <c r="F1986" s="4" t="s">
        <v>18</v>
      </c>
      <c r="G1986" s="4" t="s">
        <v>30</v>
      </c>
      <c r="H1986" s="4" t="s">
        <v>20</v>
      </c>
      <c r="I1986" s="4">
        <v>72</v>
      </c>
      <c r="J1986" s="5">
        <v>65.900000000000006</v>
      </c>
      <c r="K1986" s="6">
        <v>1.86</v>
      </c>
      <c r="L1986" s="4">
        <v>1</v>
      </c>
      <c r="M1986" s="4">
        <v>114</v>
      </c>
      <c r="N1986" s="4">
        <v>82</v>
      </c>
      <c r="O1986" s="4" t="s">
        <v>26</v>
      </c>
      <c r="P1986" s="7" t="s">
        <v>19</v>
      </c>
    </row>
    <row r="1987" spans="2:16" x14ac:dyDescent="0.45">
      <c r="B1987" s="4">
        <v>1986</v>
      </c>
      <c r="C1987" s="4" t="s">
        <v>41</v>
      </c>
      <c r="D1987" s="4" t="s">
        <v>16</v>
      </c>
      <c r="E1987" s="4" t="s">
        <v>17</v>
      </c>
      <c r="F1987" s="4" t="s">
        <v>24</v>
      </c>
      <c r="G1987" s="4" t="s">
        <v>30</v>
      </c>
      <c r="H1987" s="4" t="s">
        <v>28</v>
      </c>
      <c r="I1987" s="4">
        <v>87</v>
      </c>
      <c r="J1987" s="5">
        <v>66.599999999999994</v>
      </c>
      <c r="K1987" s="6">
        <v>1.68</v>
      </c>
      <c r="L1987" s="4">
        <v>0</v>
      </c>
      <c r="M1987" s="4">
        <v>133</v>
      </c>
      <c r="N1987" s="4">
        <v>78</v>
      </c>
      <c r="O1987" s="4" t="s">
        <v>21</v>
      </c>
      <c r="P1987" s="7" t="s">
        <v>19</v>
      </c>
    </row>
    <row r="1988" spans="2:16" x14ac:dyDescent="0.45">
      <c r="B1988" s="4">
        <v>1987</v>
      </c>
      <c r="C1988" s="4" t="s">
        <v>33</v>
      </c>
      <c r="D1988" s="4" t="s">
        <v>16</v>
      </c>
      <c r="E1988" s="4" t="s">
        <v>35</v>
      </c>
      <c r="F1988" s="4" t="s">
        <v>18</v>
      </c>
      <c r="G1988" s="4" t="s">
        <v>30</v>
      </c>
      <c r="H1988" s="4" t="s">
        <v>34</v>
      </c>
      <c r="I1988" s="4">
        <v>2</v>
      </c>
      <c r="J1988" s="5">
        <v>13.4</v>
      </c>
      <c r="K1988" s="6">
        <v>0.85</v>
      </c>
      <c r="L1988" s="4">
        <v>4</v>
      </c>
      <c r="M1988" s="4">
        <v>101</v>
      </c>
      <c r="N1988" s="4">
        <v>93</v>
      </c>
      <c r="O1988" s="4" t="s">
        <v>21</v>
      </c>
      <c r="P1988" s="7" t="s">
        <v>19</v>
      </c>
    </row>
    <row r="1989" spans="2:16" x14ac:dyDescent="0.45">
      <c r="B1989" s="4">
        <v>1988</v>
      </c>
      <c r="C1989" s="4" t="s">
        <v>27</v>
      </c>
      <c r="D1989" s="4" t="s">
        <v>16</v>
      </c>
      <c r="E1989" s="4" t="s">
        <v>17</v>
      </c>
      <c r="F1989" s="4" t="s">
        <v>42</v>
      </c>
      <c r="G1989" s="4" t="s">
        <v>19</v>
      </c>
      <c r="H1989" s="4" t="s">
        <v>46</v>
      </c>
      <c r="I1989" s="4">
        <v>17</v>
      </c>
      <c r="J1989" s="5">
        <v>56.9</v>
      </c>
      <c r="K1989" s="6">
        <v>1.57</v>
      </c>
      <c r="L1989" s="4">
        <v>1</v>
      </c>
      <c r="M1989" s="4">
        <v>112</v>
      </c>
      <c r="N1989" s="4">
        <v>103</v>
      </c>
      <c r="O1989" s="4" t="s">
        <v>21</v>
      </c>
      <c r="P1989" s="7" t="s">
        <v>19</v>
      </c>
    </row>
    <row r="1990" spans="2:16" x14ac:dyDescent="0.45">
      <c r="B1990" s="4">
        <v>1989</v>
      </c>
      <c r="C1990" s="4" t="s">
        <v>40</v>
      </c>
      <c r="D1990" s="4" t="s">
        <v>16</v>
      </c>
      <c r="E1990" s="4" t="s">
        <v>17</v>
      </c>
      <c r="F1990" s="4" t="s">
        <v>28</v>
      </c>
      <c r="G1990" s="4" t="s">
        <v>19</v>
      </c>
      <c r="H1990" s="4" t="s">
        <v>20</v>
      </c>
      <c r="I1990" s="4">
        <v>20</v>
      </c>
      <c r="J1990" s="5">
        <v>49.4</v>
      </c>
      <c r="K1990" s="6">
        <v>1.79</v>
      </c>
      <c r="L1990" s="4">
        <v>1</v>
      </c>
      <c r="M1990" s="4">
        <v>120</v>
      </c>
      <c r="N1990" s="4">
        <v>105</v>
      </c>
      <c r="O1990" s="4" t="s">
        <v>21</v>
      </c>
      <c r="P1990" s="7" t="s">
        <v>19</v>
      </c>
    </row>
    <row r="1991" spans="2:16" x14ac:dyDescent="0.45">
      <c r="B1991" s="4">
        <v>1990</v>
      </c>
      <c r="C1991" s="4" t="s">
        <v>27</v>
      </c>
      <c r="D1991" s="4" t="s">
        <v>23</v>
      </c>
      <c r="E1991" s="4" t="s">
        <v>17</v>
      </c>
      <c r="F1991" s="4" t="s">
        <v>28</v>
      </c>
      <c r="G1991" s="4" t="s">
        <v>19</v>
      </c>
      <c r="H1991" s="4" t="s">
        <v>38</v>
      </c>
      <c r="I1991" s="4">
        <v>87</v>
      </c>
      <c r="J1991" s="5">
        <v>58.4</v>
      </c>
      <c r="K1991" s="6">
        <v>1.73</v>
      </c>
      <c r="L1991" s="4">
        <v>2</v>
      </c>
      <c r="M1991" s="4">
        <v>134</v>
      </c>
      <c r="N1991" s="4">
        <v>95</v>
      </c>
      <c r="O1991" s="4" t="s">
        <v>26</v>
      </c>
      <c r="P1991" s="7" t="s">
        <v>19</v>
      </c>
    </row>
    <row r="1992" spans="2:16" x14ac:dyDescent="0.45">
      <c r="B1992" s="4">
        <v>1991</v>
      </c>
      <c r="C1992" s="4" t="s">
        <v>27</v>
      </c>
      <c r="D1992" s="4" t="s">
        <v>23</v>
      </c>
      <c r="E1992" s="4" t="s">
        <v>17</v>
      </c>
      <c r="F1992" s="4" t="s">
        <v>18</v>
      </c>
      <c r="G1992" s="4" t="s">
        <v>19</v>
      </c>
      <c r="H1992" s="4" t="s">
        <v>20</v>
      </c>
      <c r="I1992" s="4">
        <v>23</v>
      </c>
      <c r="J1992" s="5">
        <v>80.3</v>
      </c>
      <c r="K1992" s="6">
        <v>1.51</v>
      </c>
      <c r="L1992" s="4">
        <v>6</v>
      </c>
      <c r="M1992" s="4">
        <v>119</v>
      </c>
      <c r="N1992" s="4">
        <v>72</v>
      </c>
      <c r="O1992" s="4" t="s">
        <v>21</v>
      </c>
      <c r="P1992" s="7" t="s">
        <v>30</v>
      </c>
    </row>
    <row r="1993" spans="2:16" x14ac:dyDescent="0.45">
      <c r="B1993" s="4">
        <v>1992</v>
      </c>
      <c r="C1993" s="4" t="s">
        <v>40</v>
      </c>
      <c r="D1993" s="4" t="s">
        <v>23</v>
      </c>
      <c r="E1993" s="4" t="s">
        <v>35</v>
      </c>
      <c r="F1993" s="4" t="s">
        <v>18</v>
      </c>
      <c r="G1993" s="4" t="s">
        <v>19</v>
      </c>
      <c r="H1993" s="4" t="s">
        <v>28</v>
      </c>
      <c r="I1993" s="4">
        <v>7</v>
      </c>
      <c r="J1993" s="5">
        <v>28.6</v>
      </c>
      <c r="K1993" s="6">
        <v>1.31</v>
      </c>
      <c r="L1993" s="4">
        <v>2</v>
      </c>
      <c r="M1993" s="4">
        <v>102</v>
      </c>
      <c r="N1993" s="4">
        <v>78</v>
      </c>
      <c r="O1993" s="4" t="s">
        <v>26</v>
      </c>
      <c r="P1993" s="7" t="s">
        <v>19</v>
      </c>
    </row>
    <row r="1994" spans="2:16" x14ac:dyDescent="0.45">
      <c r="B1994" s="4">
        <v>1993</v>
      </c>
      <c r="C1994" s="4" t="s">
        <v>40</v>
      </c>
      <c r="D1994" s="4" t="s">
        <v>23</v>
      </c>
      <c r="E1994" s="4" t="s">
        <v>35</v>
      </c>
      <c r="F1994" s="4" t="s">
        <v>24</v>
      </c>
      <c r="G1994" s="4" t="s">
        <v>19</v>
      </c>
      <c r="H1994" s="4" t="s">
        <v>20</v>
      </c>
      <c r="I1994" s="4">
        <v>4</v>
      </c>
      <c r="J1994" s="5">
        <v>8.4</v>
      </c>
      <c r="K1994" s="6">
        <v>0.94</v>
      </c>
      <c r="L1994" s="4">
        <v>0</v>
      </c>
      <c r="M1994" s="4">
        <v>101</v>
      </c>
      <c r="N1994" s="4">
        <v>71</v>
      </c>
      <c r="O1994" s="4" t="s">
        <v>21</v>
      </c>
      <c r="P1994" s="7" t="s">
        <v>19</v>
      </c>
    </row>
    <row r="1995" spans="2:16" x14ac:dyDescent="0.45">
      <c r="B1995" s="4">
        <v>1994</v>
      </c>
      <c r="C1995" s="4" t="s">
        <v>29</v>
      </c>
      <c r="D1995" s="4" t="s">
        <v>16</v>
      </c>
      <c r="E1995" s="4" t="s">
        <v>35</v>
      </c>
      <c r="F1995" s="4" t="s">
        <v>18</v>
      </c>
      <c r="G1995" s="4" t="s">
        <v>19</v>
      </c>
      <c r="H1995" s="4" t="s">
        <v>28</v>
      </c>
      <c r="I1995" s="4">
        <v>45</v>
      </c>
      <c r="J1995" s="5">
        <v>81.3</v>
      </c>
      <c r="K1995" s="6">
        <v>1.52</v>
      </c>
      <c r="L1995" s="4">
        <v>7</v>
      </c>
      <c r="M1995" s="4">
        <v>122</v>
      </c>
      <c r="N1995" s="4">
        <v>103</v>
      </c>
      <c r="O1995" s="4" t="s">
        <v>26</v>
      </c>
      <c r="P1995" s="7" t="s">
        <v>19</v>
      </c>
    </row>
    <row r="1996" spans="2:16" x14ac:dyDescent="0.45">
      <c r="B1996" s="4">
        <v>1995</v>
      </c>
      <c r="C1996" s="4" t="s">
        <v>39</v>
      </c>
      <c r="D1996" s="4" t="s">
        <v>23</v>
      </c>
      <c r="E1996" s="4" t="s">
        <v>37</v>
      </c>
      <c r="F1996" s="4" t="s">
        <v>24</v>
      </c>
      <c r="G1996" s="4" t="s">
        <v>19</v>
      </c>
      <c r="H1996" s="4" t="s">
        <v>32</v>
      </c>
      <c r="I1996" s="4">
        <v>19</v>
      </c>
      <c r="J1996" s="5">
        <v>72.599999999999994</v>
      </c>
      <c r="K1996" s="6">
        <v>1.73</v>
      </c>
      <c r="L1996" s="4">
        <v>5</v>
      </c>
      <c r="M1996" s="4">
        <v>113</v>
      </c>
      <c r="N1996" s="4">
        <v>177</v>
      </c>
      <c r="O1996" s="4" t="s">
        <v>26</v>
      </c>
      <c r="P1996" s="7" t="s">
        <v>30</v>
      </c>
    </row>
    <row r="1997" spans="2:16" x14ac:dyDescent="0.45">
      <c r="B1997" s="4">
        <v>1996</v>
      </c>
      <c r="C1997" s="4" t="s">
        <v>15</v>
      </c>
      <c r="D1997" s="4" t="s">
        <v>23</v>
      </c>
      <c r="E1997" s="4" t="s">
        <v>17</v>
      </c>
      <c r="F1997" s="4" t="s">
        <v>42</v>
      </c>
      <c r="G1997" s="4" t="s">
        <v>19</v>
      </c>
      <c r="H1997" s="4" t="s">
        <v>34</v>
      </c>
      <c r="I1997" s="4">
        <v>18</v>
      </c>
      <c r="J1997" s="5">
        <v>69.8</v>
      </c>
      <c r="K1997" s="6">
        <v>1.51</v>
      </c>
      <c r="L1997" s="4">
        <v>5</v>
      </c>
      <c r="M1997" s="4">
        <v>108</v>
      </c>
      <c r="N1997" s="4">
        <v>102</v>
      </c>
      <c r="O1997" s="4" t="s">
        <v>26</v>
      </c>
      <c r="P1997" s="7" t="s">
        <v>19</v>
      </c>
    </row>
    <row r="1998" spans="2:16" x14ac:dyDescent="0.45">
      <c r="B1998" s="4">
        <v>1997</v>
      </c>
      <c r="C1998" s="4" t="s">
        <v>43</v>
      </c>
      <c r="D1998" s="4" t="s">
        <v>16</v>
      </c>
      <c r="E1998" s="4" t="s">
        <v>17</v>
      </c>
      <c r="F1998" s="4" t="s">
        <v>24</v>
      </c>
      <c r="G1998" s="4" t="s">
        <v>19</v>
      </c>
      <c r="H1998" s="4" t="s">
        <v>20</v>
      </c>
      <c r="I1998" s="4">
        <v>3</v>
      </c>
      <c r="J1998" s="5">
        <v>17</v>
      </c>
      <c r="K1998" s="6">
        <v>1</v>
      </c>
      <c r="L1998" s="4">
        <v>2</v>
      </c>
      <c r="M1998" s="4">
        <v>106</v>
      </c>
      <c r="N1998" s="4">
        <v>90</v>
      </c>
      <c r="O1998" s="4" t="s">
        <v>21</v>
      </c>
      <c r="P1998" s="7" t="s">
        <v>19</v>
      </c>
    </row>
    <row r="1999" spans="2:16" x14ac:dyDescent="0.45">
      <c r="B1999" s="4">
        <v>1998</v>
      </c>
      <c r="C1999" s="4" t="s">
        <v>22</v>
      </c>
      <c r="D1999" s="4" t="s">
        <v>16</v>
      </c>
      <c r="E1999" s="4" t="s">
        <v>44</v>
      </c>
      <c r="F1999" s="4" t="s">
        <v>24</v>
      </c>
      <c r="G1999" s="4" t="s">
        <v>19</v>
      </c>
      <c r="H1999" s="4" t="s">
        <v>32</v>
      </c>
      <c r="I1999" s="4">
        <v>18</v>
      </c>
      <c r="J1999" s="5">
        <v>51.7</v>
      </c>
      <c r="K1999" s="6">
        <v>1.84</v>
      </c>
      <c r="L1999" s="4">
        <v>1</v>
      </c>
      <c r="M1999" s="4">
        <v>118</v>
      </c>
      <c r="N1999" s="4">
        <v>153</v>
      </c>
      <c r="O1999" s="4" t="s">
        <v>26</v>
      </c>
      <c r="P1999" s="7" t="s">
        <v>19</v>
      </c>
    </row>
    <row r="2000" spans="2:16" x14ac:dyDescent="0.45">
      <c r="B2000" s="4">
        <v>1999</v>
      </c>
      <c r="C2000" s="4" t="s">
        <v>27</v>
      </c>
      <c r="D2000" s="4" t="s">
        <v>16</v>
      </c>
      <c r="E2000" s="4" t="s">
        <v>35</v>
      </c>
      <c r="F2000" s="4" t="s">
        <v>24</v>
      </c>
      <c r="G2000" s="4" t="s">
        <v>19</v>
      </c>
      <c r="H2000" s="4" t="s">
        <v>36</v>
      </c>
      <c r="I2000" s="4">
        <v>4</v>
      </c>
      <c r="J2000" s="5">
        <v>14.2</v>
      </c>
      <c r="K2000" s="6">
        <v>0.92</v>
      </c>
      <c r="L2000" s="4">
        <v>1</v>
      </c>
      <c r="M2000" s="4">
        <v>117</v>
      </c>
      <c r="N2000" s="4">
        <v>80</v>
      </c>
      <c r="O2000" s="4" t="s">
        <v>21</v>
      </c>
      <c r="P2000" s="7" t="s">
        <v>19</v>
      </c>
    </row>
    <row r="2001" spans="2:16" x14ac:dyDescent="0.45">
      <c r="B2001" s="4">
        <v>2000</v>
      </c>
      <c r="C2001" s="4" t="s">
        <v>15</v>
      </c>
      <c r="D2001" s="4" t="s">
        <v>23</v>
      </c>
      <c r="E2001" s="4" t="s">
        <v>17</v>
      </c>
      <c r="F2001" s="4" t="s">
        <v>24</v>
      </c>
      <c r="G2001" s="4" t="s">
        <v>19</v>
      </c>
      <c r="H2001" s="4" t="s">
        <v>34</v>
      </c>
      <c r="I2001" s="4">
        <v>4</v>
      </c>
      <c r="J2001" s="5">
        <v>15.6</v>
      </c>
      <c r="K2001" s="6">
        <v>0.83</v>
      </c>
      <c r="L2001" s="4">
        <v>4</v>
      </c>
      <c r="M2001" s="4">
        <v>115</v>
      </c>
      <c r="N2001" s="4">
        <v>103</v>
      </c>
      <c r="O2001" s="4" t="s">
        <v>26</v>
      </c>
      <c r="P2001" s="7" t="s">
        <v>19</v>
      </c>
    </row>
    <row r="2002" spans="2:16" x14ac:dyDescent="0.45">
      <c r="B2002" s="4">
        <v>2001</v>
      </c>
      <c r="C2002" s="4" t="s">
        <v>33</v>
      </c>
      <c r="D2002" s="4" t="s">
        <v>23</v>
      </c>
      <c r="E2002" s="4" t="s">
        <v>35</v>
      </c>
      <c r="F2002" s="4" t="s">
        <v>24</v>
      </c>
      <c r="G2002" s="4" t="s">
        <v>19</v>
      </c>
      <c r="H2002" s="4" t="s">
        <v>28</v>
      </c>
      <c r="I2002" s="4">
        <v>37</v>
      </c>
      <c r="J2002" s="5">
        <v>48.1</v>
      </c>
      <c r="K2002" s="6">
        <v>1.5</v>
      </c>
      <c r="L2002" s="4">
        <v>4</v>
      </c>
      <c r="M2002" s="4">
        <v>104</v>
      </c>
      <c r="N2002" s="4">
        <v>96</v>
      </c>
      <c r="O2002" s="4" t="s">
        <v>26</v>
      </c>
      <c r="P2002" s="7" t="s">
        <v>19</v>
      </c>
    </row>
    <row r="2003" spans="2:16" x14ac:dyDescent="0.45">
      <c r="B2003" s="4">
        <v>2002</v>
      </c>
      <c r="C2003" s="4" t="s">
        <v>22</v>
      </c>
      <c r="D2003" s="4" t="s">
        <v>16</v>
      </c>
      <c r="E2003" s="4" t="s">
        <v>17</v>
      </c>
      <c r="F2003" s="4" t="s">
        <v>18</v>
      </c>
      <c r="G2003" s="4" t="s">
        <v>30</v>
      </c>
      <c r="H2003" s="4" t="s">
        <v>28</v>
      </c>
      <c r="I2003" s="4">
        <v>37</v>
      </c>
      <c r="J2003" s="5">
        <v>49.8</v>
      </c>
      <c r="K2003" s="6">
        <v>1.5</v>
      </c>
      <c r="L2003" s="4">
        <v>9</v>
      </c>
      <c r="M2003" s="4">
        <v>121</v>
      </c>
      <c r="N2003" s="4">
        <v>89</v>
      </c>
      <c r="O2003" s="4" t="s">
        <v>26</v>
      </c>
      <c r="P2003" s="7" t="s">
        <v>19</v>
      </c>
    </row>
    <row r="2004" spans="2:16" x14ac:dyDescent="0.45">
      <c r="B2004" s="4">
        <v>2003</v>
      </c>
      <c r="C2004" s="4" t="s">
        <v>27</v>
      </c>
      <c r="D2004" s="4" t="s">
        <v>23</v>
      </c>
      <c r="E2004" s="4" t="s">
        <v>35</v>
      </c>
      <c r="F2004" s="4" t="s">
        <v>24</v>
      </c>
      <c r="G2004" s="4" t="s">
        <v>19</v>
      </c>
      <c r="H2004" s="4" t="s">
        <v>38</v>
      </c>
      <c r="I2004" s="4">
        <v>17</v>
      </c>
      <c r="J2004" s="5">
        <v>59</v>
      </c>
      <c r="K2004" s="6">
        <v>1.55</v>
      </c>
      <c r="L2004" s="4">
        <v>6</v>
      </c>
      <c r="M2004" s="4">
        <v>115</v>
      </c>
      <c r="N2004" s="4">
        <v>94</v>
      </c>
      <c r="O2004" s="4" t="s">
        <v>21</v>
      </c>
      <c r="P2004" s="7" t="s">
        <v>19</v>
      </c>
    </row>
    <row r="2005" spans="2:16" x14ac:dyDescent="0.45">
      <c r="B2005" s="4">
        <v>2004</v>
      </c>
      <c r="C2005" s="4" t="s">
        <v>41</v>
      </c>
      <c r="D2005" s="4" t="s">
        <v>16</v>
      </c>
      <c r="E2005" s="4" t="s">
        <v>17</v>
      </c>
      <c r="F2005" s="4" t="s">
        <v>24</v>
      </c>
      <c r="G2005" s="4" t="s">
        <v>19</v>
      </c>
      <c r="H2005" s="4" t="s">
        <v>34</v>
      </c>
      <c r="I2005" s="4">
        <v>11</v>
      </c>
      <c r="J2005" s="5">
        <v>34.799999999999997</v>
      </c>
      <c r="K2005" s="6">
        <v>1.07</v>
      </c>
      <c r="L2005" s="4">
        <v>2</v>
      </c>
      <c r="M2005" s="4">
        <v>94</v>
      </c>
      <c r="N2005" s="4">
        <v>95</v>
      </c>
      <c r="O2005" s="4" t="s">
        <v>26</v>
      </c>
      <c r="P2005" s="7" t="s">
        <v>19</v>
      </c>
    </row>
    <row r="2006" spans="2:16" x14ac:dyDescent="0.45">
      <c r="B2006" s="4">
        <v>2005</v>
      </c>
      <c r="C2006" s="4" t="s">
        <v>41</v>
      </c>
      <c r="D2006" s="4" t="s">
        <v>23</v>
      </c>
      <c r="E2006" s="4" t="s">
        <v>35</v>
      </c>
      <c r="F2006" s="4" t="s">
        <v>24</v>
      </c>
      <c r="G2006" s="4" t="s">
        <v>19</v>
      </c>
      <c r="H2006" s="4" t="s">
        <v>20</v>
      </c>
      <c r="I2006" s="4">
        <v>27</v>
      </c>
      <c r="J2006" s="5">
        <v>50</v>
      </c>
      <c r="K2006" s="6">
        <v>1.57</v>
      </c>
      <c r="L2006" s="4">
        <v>3</v>
      </c>
      <c r="M2006" s="4">
        <v>130</v>
      </c>
      <c r="N2006" s="4">
        <v>73</v>
      </c>
      <c r="O2006" s="4" t="s">
        <v>21</v>
      </c>
      <c r="P2006" s="7" t="s">
        <v>30</v>
      </c>
    </row>
    <row r="2007" spans="2:16" x14ac:dyDescent="0.45">
      <c r="B2007" s="4">
        <v>2006</v>
      </c>
      <c r="C2007" s="4" t="s">
        <v>43</v>
      </c>
      <c r="D2007" s="4" t="s">
        <v>16</v>
      </c>
      <c r="E2007" s="4" t="s">
        <v>37</v>
      </c>
      <c r="F2007" s="4" t="s">
        <v>24</v>
      </c>
      <c r="G2007" s="4" t="s">
        <v>30</v>
      </c>
      <c r="H2007" s="4" t="s">
        <v>28</v>
      </c>
      <c r="I2007" s="4">
        <v>33</v>
      </c>
      <c r="J2007" s="5">
        <v>71.400000000000006</v>
      </c>
      <c r="K2007" s="6">
        <v>1.55</v>
      </c>
      <c r="L2007" s="4">
        <v>9</v>
      </c>
      <c r="M2007" s="4">
        <v>112</v>
      </c>
      <c r="N2007" s="4">
        <v>86</v>
      </c>
      <c r="O2007" s="4" t="s">
        <v>21</v>
      </c>
      <c r="P2007" s="7" t="s">
        <v>19</v>
      </c>
    </row>
    <row r="2008" spans="2:16" x14ac:dyDescent="0.45">
      <c r="B2008" s="4">
        <v>2007</v>
      </c>
      <c r="C2008" s="4" t="s">
        <v>29</v>
      </c>
      <c r="D2008" s="4" t="s">
        <v>16</v>
      </c>
      <c r="E2008" s="4" t="s">
        <v>17</v>
      </c>
      <c r="F2008" s="4" t="s">
        <v>18</v>
      </c>
      <c r="G2008" s="4" t="s">
        <v>30</v>
      </c>
      <c r="H2008" s="4" t="s">
        <v>20</v>
      </c>
      <c r="I2008" s="4">
        <v>4</v>
      </c>
      <c r="J2008" s="5">
        <v>11.7</v>
      </c>
      <c r="K2008" s="6">
        <v>0.6</v>
      </c>
      <c r="L2008" s="4">
        <v>0</v>
      </c>
      <c r="M2008" s="4">
        <v>113</v>
      </c>
      <c r="N2008" s="4">
        <v>73</v>
      </c>
      <c r="O2008" s="4" t="s">
        <v>26</v>
      </c>
      <c r="P2008" s="7" t="s">
        <v>19</v>
      </c>
    </row>
    <row r="2009" spans="2:16" x14ac:dyDescent="0.45">
      <c r="B2009" s="4">
        <v>2008</v>
      </c>
      <c r="C2009" s="4" t="s">
        <v>40</v>
      </c>
      <c r="D2009" s="4" t="s">
        <v>16</v>
      </c>
      <c r="E2009" s="4" t="s">
        <v>17</v>
      </c>
      <c r="F2009" s="4" t="s">
        <v>28</v>
      </c>
      <c r="G2009" s="4" t="s">
        <v>19</v>
      </c>
      <c r="H2009" s="4" t="s">
        <v>46</v>
      </c>
      <c r="I2009" s="4">
        <v>50</v>
      </c>
      <c r="J2009" s="5">
        <v>94.4</v>
      </c>
      <c r="K2009" s="6">
        <v>1.65</v>
      </c>
      <c r="L2009" s="4">
        <v>1</v>
      </c>
      <c r="M2009" s="4">
        <v>125</v>
      </c>
      <c r="N2009" s="4">
        <v>73</v>
      </c>
      <c r="O2009" s="4" t="s">
        <v>26</v>
      </c>
      <c r="P2009" s="7" t="s">
        <v>19</v>
      </c>
    </row>
    <row r="2010" spans="2:16" x14ac:dyDescent="0.45">
      <c r="B2010" s="4">
        <v>2009</v>
      </c>
      <c r="C2010" s="4" t="s">
        <v>41</v>
      </c>
      <c r="D2010" s="4" t="s">
        <v>16</v>
      </c>
      <c r="E2010" s="4" t="s">
        <v>17</v>
      </c>
      <c r="F2010" s="4" t="s">
        <v>24</v>
      </c>
      <c r="G2010" s="4" t="s">
        <v>19</v>
      </c>
      <c r="H2010" s="4" t="s">
        <v>20</v>
      </c>
      <c r="I2010" s="4">
        <v>38</v>
      </c>
      <c r="J2010" s="5">
        <v>60.5</v>
      </c>
      <c r="K2010" s="6">
        <v>1.88</v>
      </c>
      <c r="L2010" s="4">
        <v>3</v>
      </c>
      <c r="M2010" s="4">
        <v>107</v>
      </c>
      <c r="N2010" s="4">
        <v>97</v>
      </c>
      <c r="O2010" s="4" t="s">
        <v>21</v>
      </c>
      <c r="P2010" s="7" t="s">
        <v>19</v>
      </c>
    </row>
    <row r="2011" spans="2:16" x14ac:dyDescent="0.45">
      <c r="B2011" s="4">
        <v>2010</v>
      </c>
      <c r="C2011" s="4" t="s">
        <v>22</v>
      </c>
      <c r="D2011" s="4" t="s">
        <v>16</v>
      </c>
      <c r="E2011" s="4" t="s">
        <v>17</v>
      </c>
      <c r="F2011" s="4" t="s">
        <v>18</v>
      </c>
      <c r="G2011" s="4" t="s">
        <v>30</v>
      </c>
      <c r="H2011" s="4" t="s">
        <v>20</v>
      </c>
      <c r="I2011" s="4">
        <v>41</v>
      </c>
      <c r="J2011" s="5">
        <v>86.2</v>
      </c>
      <c r="K2011" s="6">
        <v>1.75</v>
      </c>
      <c r="L2011" s="4">
        <v>2</v>
      </c>
      <c r="M2011" s="4">
        <v>125</v>
      </c>
      <c r="N2011" s="4">
        <v>102</v>
      </c>
      <c r="O2011" s="4" t="s">
        <v>26</v>
      </c>
      <c r="P2011" s="7" t="s">
        <v>19</v>
      </c>
    </row>
    <row r="2012" spans="2:16" x14ac:dyDescent="0.45">
      <c r="B2012" s="4">
        <v>2011</v>
      </c>
      <c r="C2012" s="4" t="s">
        <v>45</v>
      </c>
      <c r="D2012" s="4" t="s">
        <v>23</v>
      </c>
      <c r="E2012" s="4" t="s">
        <v>44</v>
      </c>
      <c r="F2012" s="4" t="s">
        <v>18</v>
      </c>
      <c r="G2012" s="4" t="s">
        <v>19</v>
      </c>
      <c r="H2012" s="4" t="s">
        <v>20</v>
      </c>
      <c r="I2012" s="4">
        <v>7</v>
      </c>
      <c r="J2012" s="5">
        <v>18.100000000000001</v>
      </c>
      <c r="K2012" s="6">
        <v>1.0900000000000001</v>
      </c>
      <c r="L2012" s="4">
        <v>0</v>
      </c>
      <c r="M2012" s="4">
        <v>98</v>
      </c>
      <c r="N2012" s="4">
        <v>90</v>
      </c>
      <c r="O2012" s="4" t="s">
        <v>26</v>
      </c>
      <c r="P2012" s="7" t="s">
        <v>19</v>
      </c>
    </row>
    <row r="2013" spans="2:16" x14ac:dyDescent="0.45">
      <c r="B2013" s="4">
        <v>2012</v>
      </c>
      <c r="C2013" s="4" t="s">
        <v>29</v>
      </c>
      <c r="D2013" s="4" t="s">
        <v>16</v>
      </c>
      <c r="E2013" s="4" t="s">
        <v>17</v>
      </c>
      <c r="F2013" s="4" t="s">
        <v>24</v>
      </c>
      <c r="G2013" s="4" t="s">
        <v>19</v>
      </c>
      <c r="H2013" s="4" t="s">
        <v>46</v>
      </c>
      <c r="I2013" s="4">
        <v>19</v>
      </c>
      <c r="J2013" s="5">
        <v>48.3</v>
      </c>
      <c r="K2013" s="6">
        <v>1.87</v>
      </c>
      <c r="L2013" s="4">
        <v>4</v>
      </c>
      <c r="M2013" s="4">
        <v>109</v>
      </c>
      <c r="N2013" s="4">
        <v>86</v>
      </c>
      <c r="O2013" s="4" t="s">
        <v>26</v>
      </c>
      <c r="P2013" s="7" t="s">
        <v>30</v>
      </c>
    </row>
    <row r="2014" spans="2:16" x14ac:dyDescent="0.45">
      <c r="B2014" s="4">
        <v>2013</v>
      </c>
      <c r="C2014" s="4" t="s">
        <v>29</v>
      </c>
      <c r="D2014" s="4" t="s">
        <v>23</v>
      </c>
      <c r="E2014" s="4" t="s">
        <v>17</v>
      </c>
      <c r="F2014" s="4" t="s">
        <v>18</v>
      </c>
      <c r="G2014" s="4" t="s">
        <v>19</v>
      </c>
      <c r="H2014" s="4" t="s">
        <v>20</v>
      </c>
      <c r="I2014" s="4">
        <v>42</v>
      </c>
      <c r="J2014" s="5">
        <v>71.3</v>
      </c>
      <c r="K2014" s="6">
        <v>1.72</v>
      </c>
      <c r="L2014" s="4">
        <v>5</v>
      </c>
      <c r="M2014" s="4">
        <v>107</v>
      </c>
      <c r="N2014" s="4">
        <v>98</v>
      </c>
      <c r="O2014" s="4" t="s">
        <v>21</v>
      </c>
      <c r="P2014" s="7" t="s">
        <v>19</v>
      </c>
    </row>
    <row r="2015" spans="2:16" x14ac:dyDescent="0.45">
      <c r="B2015" s="4">
        <v>2014</v>
      </c>
      <c r="C2015" s="4" t="s">
        <v>43</v>
      </c>
      <c r="D2015" s="4" t="s">
        <v>16</v>
      </c>
      <c r="E2015" s="4" t="s">
        <v>17</v>
      </c>
      <c r="F2015" s="4" t="s">
        <v>42</v>
      </c>
      <c r="G2015" s="4" t="s">
        <v>19</v>
      </c>
      <c r="H2015" s="4" t="s">
        <v>46</v>
      </c>
      <c r="I2015" s="4">
        <v>2</v>
      </c>
      <c r="J2015" s="5">
        <v>12.2</v>
      </c>
      <c r="K2015" s="6">
        <v>0.72</v>
      </c>
      <c r="L2015" s="4">
        <v>1</v>
      </c>
      <c r="M2015" s="4">
        <v>105</v>
      </c>
      <c r="N2015" s="4">
        <v>89</v>
      </c>
      <c r="O2015" s="4" t="s">
        <v>26</v>
      </c>
      <c r="P2015" s="7" t="s">
        <v>19</v>
      </c>
    </row>
    <row r="2016" spans="2:16" x14ac:dyDescent="0.45">
      <c r="B2016" s="4">
        <v>2015</v>
      </c>
      <c r="C2016" s="4" t="s">
        <v>22</v>
      </c>
      <c r="D2016" s="4" t="s">
        <v>16</v>
      </c>
      <c r="E2016" s="4" t="s">
        <v>17</v>
      </c>
      <c r="F2016" s="4" t="s">
        <v>24</v>
      </c>
      <c r="G2016" s="4" t="s">
        <v>19</v>
      </c>
      <c r="H2016" s="4" t="s">
        <v>20</v>
      </c>
      <c r="I2016" s="4">
        <v>57</v>
      </c>
      <c r="J2016" s="5">
        <v>92.6</v>
      </c>
      <c r="K2016" s="6">
        <v>1.78</v>
      </c>
      <c r="L2016" s="4">
        <v>3</v>
      </c>
      <c r="M2016" s="4">
        <v>116</v>
      </c>
      <c r="N2016" s="4">
        <v>81</v>
      </c>
      <c r="O2016" s="4" t="s">
        <v>26</v>
      </c>
      <c r="P2016" s="7" t="s">
        <v>19</v>
      </c>
    </row>
    <row r="2017" spans="2:16" x14ac:dyDescent="0.45">
      <c r="B2017" s="4">
        <v>2016</v>
      </c>
      <c r="C2017" s="4" t="s">
        <v>39</v>
      </c>
      <c r="D2017" s="4" t="s">
        <v>16</v>
      </c>
      <c r="E2017" s="4" t="s">
        <v>17</v>
      </c>
      <c r="F2017" s="4" t="s">
        <v>24</v>
      </c>
      <c r="G2017" s="4" t="s">
        <v>19</v>
      </c>
      <c r="H2017" s="4" t="s">
        <v>20</v>
      </c>
      <c r="I2017" s="4">
        <v>56</v>
      </c>
      <c r="J2017" s="5">
        <v>87.6</v>
      </c>
      <c r="K2017" s="6">
        <v>1.83</v>
      </c>
      <c r="L2017" s="4">
        <v>6</v>
      </c>
      <c r="M2017" s="4">
        <v>129</v>
      </c>
      <c r="N2017" s="4">
        <v>75</v>
      </c>
      <c r="O2017" s="4" t="s">
        <v>21</v>
      </c>
      <c r="P2017" s="7" t="s">
        <v>19</v>
      </c>
    </row>
    <row r="2018" spans="2:16" x14ac:dyDescent="0.45">
      <c r="B2018" s="4">
        <v>2017</v>
      </c>
      <c r="C2018" s="4" t="s">
        <v>29</v>
      </c>
      <c r="D2018" s="4" t="s">
        <v>23</v>
      </c>
      <c r="E2018" s="4" t="s">
        <v>37</v>
      </c>
      <c r="F2018" s="4" t="s">
        <v>28</v>
      </c>
      <c r="G2018" s="4" t="s">
        <v>19</v>
      </c>
      <c r="H2018" s="4" t="s">
        <v>28</v>
      </c>
      <c r="I2018" s="4">
        <v>48</v>
      </c>
      <c r="J2018" s="5">
        <v>52.5</v>
      </c>
      <c r="K2018" s="6">
        <v>1.55</v>
      </c>
      <c r="L2018" s="4">
        <v>2</v>
      </c>
      <c r="M2018" s="4">
        <v>122</v>
      </c>
      <c r="N2018" s="4">
        <v>75</v>
      </c>
      <c r="O2018" s="4" t="s">
        <v>26</v>
      </c>
      <c r="P2018" s="7" t="s">
        <v>19</v>
      </c>
    </row>
    <row r="2019" spans="2:16" x14ac:dyDescent="0.45">
      <c r="B2019" s="4">
        <v>2018</v>
      </c>
      <c r="C2019" s="4" t="s">
        <v>27</v>
      </c>
      <c r="D2019" s="4" t="s">
        <v>16</v>
      </c>
      <c r="E2019" s="4" t="s">
        <v>35</v>
      </c>
      <c r="F2019" s="4" t="s">
        <v>24</v>
      </c>
      <c r="G2019" s="4" t="s">
        <v>19</v>
      </c>
      <c r="H2019" s="4" t="s">
        <v>25</v>
      </c>
      <c r="I2019" s="4">
        <v>11</v>
      </c>
      <c r="J2019" s="5">
        <v>37</v>
      </c>
      <c r="K2019" s="6">
        <v>1.1000000000000001</v>
      </c>
      <c r="L2019" s="4">
        <v>2</v>
      </c>
      <c r="M2019" s="4">
        <v>97</v>
      </c>
      <c r="N2019" s="4">
        <v>96</v>
      </c>
      <c r="O2019" s="4" t="s">
        <v>26</v>
      </c>
      <c r="P2019" s="7" t="s">
        <v>19</v>
      </c>
    </row>
    <row r="2020" spans="2:16" x14ac:dyDescent="0.45">
      <c r="B2020" s="4">
        <v>2019</v>
      </c>
      <c r="C2020" s="4" t="s">
        <v>22</v>
      </c>
      <c r="D2020" s="4" t="s">
        <v>23</v>
      </c>
      <c r="E2020" s="4" t="s">
        <v>17</v>
      </c>
      <c r="F2020" s="4" t="s">
        <v>18</v>
      </c>
      <c r="G2020" s="4" t="s">
        <v>19</v>
      </c>
      <c r="H2020" s="4" t="s">
        <v>28</v>
      </c>
      <c r="I2020" s="4">
        <v>54</v>
      </c>
      <c r="J2020" s="5">
        <v>81.8</v>
      </c>
      <c r="K2020" s="6">
        <v>1.63</v>
      </c>
      <c r="L2020" s="4">
        <v>8</v>
      </c>
      <c r="M2020" s="4">
        <v>113</v>
      </c>
      <c r="N2020" s="4">
        <v>73</v>
      </c>
      <c r="O2020" s="4" t="s">
        <v>26</v>
      </c>
      <c r="P2020" s="7" t="s">
        <v>19</v>
      </c>
    </row>
    <row r="2021" spans="2:16" x14ac:dyDescent="0.45">
      <c r="B2021" s="4">
        <v>2020</v>
      </c>
      <c r="C2021" s="4" t="s">
        <v>27</v>
      </c>
      <c r="D2021" s="4" t="s">
        <v>16</v>
      </c>
      <c r="E2021" s="4" t="s">
        <v>35</v>
      </c>
      <c r="F2021" s="4" t="s">
        <v>18</v>
      </c>
      <c r="G2021" s="4" t="s">
        <v>19</v>
      </c>
      <c r="H2021" s="4" t="s">
        <v>28</v>
      </c>
      <c r="I2021" s="4">
        <v>7</v>
      </c>
      <c r="J2021" s="5">
        <v>20.399999999999999</v>
      </c>
      <c r="K2021" s="6">
        <v>1.21</v>
      </c>
      <c r="L2021" s="4">
        <v>4</v>
      </c>
      <c r="M2021" s="4">
        <v>99</v>
      </c>
      <c r="N2021" s="4">
        <v>79</v>
      </c>
      <c r="O2021" s="4" t="s">
        <v>21</v>
      </c>
      <c r="P2021" s="7" t="s">
        <v>19</v>
      </c>
    </row>
    <row r="2022" spans="2:16" x14ac:dyDescent="0.45">
      <c r="B2022" s="4">
        <v>2021</v>
      </c>
      <c r="C2022" s="4" t="s">
        <v>43</v>
      </c>
      <c r="D2022" s="4" t="s">
        <v>23</v>
      </c>
      <c r="E2022" s="4" t="s">
        <v>17</v>
      </c>
      <c r="F2022" s="4" t="s">
        <v>24</v>
      </c>
      <c r="G2022" s="4" t="s">
        <v>19</v>
      </c>
      <c r="H2022" s="4" t="s">
        <v>32</v>
      </c>
      <c r="I2022" s="4">
        <v>16</v>
      </c>
      <c r="J2022" s="5">
        <v>58.2</v>
      </c>
      <c r="K2022" s="6">
        <v>1.62</v>
      </c>
      <c r="L2022" s="4">
        <v>1</v>
      </c>
      <c r="M2022" s="4">
        <v>108</v>
      </c>
      <c r="N2022" s="4">
        <v>135</v>
      </c>
      <c r="O2022" s="4" t="s">
        <v>21</v>
      </c>
      <c r="P2022" s="7" t="s">
        <v>19</v>
      </c>
    </row>
    <row r="2023" spans="2:16" x14ac:dyDescent="0.45">
      <c r="B2023" s="4">
        <v>2022</v>
      </c>
      <c r="C2023" s="4" t="s">
        <v>29</v>
      </c>
      <c r="D2023" s="4" t="s">
        <v>16</v>
      </c>
      <c r="E2023" s="4" t="s">
        <v>17</v>
      </c>
      <c r="F2023" s="4" t="s">
        <v>24</v>
      </c>
      <c r="G2023" s="4" t="s">
        <v>19</v>
      </c>
      <c r="H2023" s="4" t="s">
        <v>36</v>
      </c>
      <c r="I2023" s="4">
        <v>59</v>
      </c>
      <c r="J2023" s="5">
        <v>82.3</v>
      </c>
      <c r="K2023" s="6">
        <v>1.52</v>
      </c>
      <c r="L2023" s="4">
        <v>3</v>
      </c>
      <c r="M2023" s="4">
        <v>147</v>
      </c>
      <c r="N2023" s="4">
        <v>85</v>
      </c>
      <c r="O2023" s="4" t="s">
        <v>26</v>
      </c>
      <c r="P2023" s="7" t="s">
        <v>19</v>
      </c>
    </row>
    <row r="2024" spans="2:16" x14ac:dyDescent="0.45">
      <c r="B2024" s="4">
        <v>2023</v>
      </c>
      <c r="C2024" s="4" t="s">
        <v>27</v>
      </c>
      <c r="D2024" s="4" t="s">
        <v>23</v>
      </c>
      <c r="E2024" s="4" t="s">
        <v>17</v>
      </c>
      <c r="F2024" s="4" t="s">
        <v>24</v>
      </c>
      <c r="G2024" s="4" t="s">
        <v>19</v>
      </c>
      <c r="H2024" s="4" t="s">
        <v>28</v>
      </c>
      <c r="I2024" s="4">
        <v>16</v>
      </c>
      <c r="J2024" s="5">
        <v>40.700000000000003</v>
      </c>
      <c r="K2024" s="6">
        <v>1.74</v>
      </c>
      <c r="L2024" s="4">
        <v>5</v>
      </c>
      <c r="M2024" s="4">
        <v>112</v>
      </c>
      <c r="N2024" s="4">
        <v>100</v>
      </c>
      <c r="O2024" s="4" t="s">
        <v>26</v>
      </c>
      <c r="P2024" s="7" t="s">
        <v>30</v>
      </c>
    </row>
    <row r="2025" spans="2:16" x14ac:dyDescent="0.45">
      <c r="B2025" s="4">
        <v>2024</v>
      </c>
      <c r="C2025" s="4" t="s">
        <v>31</v>
      </c>
      <c r="D2025" s="4" t="s">
        <v>23</v>
      </c>
      <c r="E2025" s="4" t="s">
        <v>35</v>
      </c>
      <c r="F2025" s="4" t="s">
        <v>18</v>
      </c>
      <c r="G2025" s="4" t="s">
        <v>19</v>
      </c>
      <c r="H2025" s="4" t="s">
        <v>34</v>
      </c>
      <c r="I2025" s="4">
        <v>5</v>
      </c>
      <c r="J2025" s="5">
        <v>21.8</v>
      </c>
      <c r="K2025" s="6">
        <v>1.44</v>
      </c>
      <c r="L2025" s="4">
        <v>1</v>
      </c>
      <c r="M2025" s="4">
        <v>96</v>
      </c>
      <c r="N2025" s="4">
        <v>82</v>
      </c>
      <c r="O2025" s="4" t="s">
        <v>21</v>
      </c>
      <c r="P2025" s="7" t="s">
        <v>19</v>
      </c>
    </row>
    <row r="2026" spans="2:16" x14ac:dyDescent="0.45">
      <c r="B2026" s="4">
        <v>2025</v>
      </c>
      <c r="C2026" s="4" t="s">
        <v>43</v>
      </c>
      <c r="D2026" s="4" t="s">
        <v>16</v>
      </c>
      <c r="E2026" s="4" t="s">
        <v>17</v>
      </c>
      <c r="F2026" s="4" t="s">
        <v>24</v>
      </c>
      <c r="G2026" s="4" t="s">
        <v>19</v>
      </c>
      <c r="H2026" s="4" t="s">
        <v>34</v>
      </c>
      <c r="I2026" s="4">
        <v>39</v>
      </c>
      <c r="J2026" s="5">
        <v>67.8</v>
      </c>
      <c r="K2026" s="6">
        <v>1.8</v>
      </c>
      <c r="L2026" s="4">
        <v>5</v>
      </c>
      <c r="M2026" s="4">
        <v>114</v>
      </c>
      <c r="N2026" s="4">
        <v>91</v>
      </c>
      <c r="O2026" s="4" t="s">
        <v>26</v>
      </c>
      <c r="P2026" s="7" t="s">
        <v>19</v>
      </c>
    </row>
    <row r="2027" spans="2:16" x14ac:dyDescent="0.45">
      <c r="B2027" s="4">
        <v>2026</v>
      </c>
      <c r="C2027" s="4" t="s">
        <v>31</v>
      </c>
      <c r="D2027" s="4" t="s">
        <v>16</v>
      </c>
      <c r="E2027" s="4" t="s">
        <v>35</v>
      </c>
      <c r="F2027" s="4" t="s">
        <v>18</v>
      </c>
      <c r="G2027" s="4" t="s">
        <v>19</v>
      </c>
      <c r="H2027" s="4" t="s">
        <v>32</v>
      </c>
      <c r="I2027" s="4">
        <v>8</v>
      </c>
      <c r="J2027" s="5">
        <v>37.1</v>
      </c>
      <c r="K2027" s="6">
        <v>1.1499999999999999</v>
      </c>
      <c r="L2027" s="4">
        <v>8</v>
      </c>
      <c r="M2027" s="4">
        <v>97</v>
      </c>
      <c r="N2027" s="4">
        <v>125</v>
      </c>
      <c r="O2027" s="4" t="s">
        <v>26</v>
      </c>
      <c r="P2027" s="7" t="s">
        <v>19</v>
      </c>
    </row>
    <row r="2028" spans="2:16" x14ac:dyDescent="0.45">
      <c r="B2028" s="4">
        <v>2027</v>
      </c>
      <c r="C2028" s="4" t="s">
        <v>22</v>
      </c>
      <c r="D2028" s="4" t="s">
        <v>16</v>
      </c>
      <c r="E2028" s="4" t="s">
        <v>35</v>
      </c>
      <c r="F2028" s="4" t="s">
        <v>24</v>
      </c>
      <c r="G2028" s="4" t="s">
        <v>19</v>
      </c>
      <c r="H2028" s="4" t="s">
        <v>34</v>
      </c>
      <c r="I2028" s="4">
        <v>16</v>
      </c>
      <c r="J2028" s="5">
        <v>48.8</v>
      </c>
      <c r="K2028" s="6">
        <v>1.67</v>
      </c>
      <c r="L2028" s="4">
        <v>5</v>
      </c>
      <c r="M2028" s="4">
        <v>118</v>
      </c>
      <c r="N2028" s="4">
        <v>91</v>
      </c>
      <c r="O2028" s="4" t="s">
        <v>21</v>
      </c>
      <c r="P2028" s="7" t="s">
        <v>19</v>
      </c>
    </row>
    <row r="2029" spans="2:16" x14ac:dyDescent="0.45">
      <c r="B2029" s="4">
        <v>2028</v>
      </c>
      <c r="C2029" s="4" t="s">
        <v>27</v>
      </c>
      <c r="D2029" s="4" t="s">
        <v>23</v>
      </c>
      <c r="E2029" s="4" t="s">
        <v>17</v>
      </c>
      <c r="F2029" s="4" t="s">
        <v>24</v>
      </c>
      <c r="G2029" s="4" t="s">
        <v>19</v>
      </c>
      <c r="H2029" s="4" t="s">
        <v>20</v>
      </c>
      <c r="I2029" s="4">
        <v>1</v>
      </c>
      <c r="J2029" s="5">
        <v>9.6</v>
      </c>
      <c r="K2029" s="6">
        <v>1.02</v>
      </c>
      <c r="L2029" s="4">
        <v>7</v>
      </c>
      <c r="M2029" s="4">
        <v>100</v>
      </c>
      <c r="N2029" s="4">
        <v>103</v>
      </c>
      <c r="O2029" s="4" t="s">
        <v>26</v>
      </c>
      <c r="P2029" s="7" t="s">
        <v>30</v>
      </c>
    </row>
    <row r="2030" spans="2:16" x14ac:dyDescent="0.45">
      <c r="B2030" s="4">
        <v>2029</v>
      </c>
      <c r="C2030" s="4" t="s">
        <v>39</v>
      </c>
      <c r="D2030" s="4" t="s">
        <v>16</v>
      </c>
      <c r="E2030" s="4" t="s">
        <v>35</v>
      </c>
      <c r="F2030" s="4" t="s">
        <v>24</v>
      </c>
      <c r="G2030" s="4" t="s">
        <v>30</v>
      </c>
      <c r="H2030" s="4" t="s">
        <v>28</v>
      </c>
      <c r="I2030" s="4">
        <v>0</v>
      </c>
      <c r="J2030" s="5">
        <v>6.7</v>
      </c>
      <c r="K2030" s="6">
        <v>0.9</v>
      </c>
      <c r="L2030" s="4">
        <v>4</v>
      </c>
      <c r="M2030" s="4">
        <v>99</v>
      </c>
      <c r="N2030" s="4">
        <v>78</v>
      </c>
      <c r="O2030" s="4" t="s">
        <v>26</v>
      </c>
      <c r="P2030" s="7" t="s">
        <v>19</v>
      </c>
    </row>
    <row r="2031" spans="2:16" x14ac:dyDescent="0.45">
      <c r="B2031" s="4">
        <v>2030</v>
      </c>
      <c r="C2031" s="4" t="s">
        <v>45</v>
      </c>
      <c r="D2031" s="4" t="s">
        <v>16</v>
      </c>
      <c r="E2031" s="4" t="s">
        <v>35</v>
      </c>
      <c r="F2031" s="4" t="s">
        <v>24</v>
      </c>
      <c r="G2031" s="4" t="s">
        <v>19</v>
      </c>
      <c r="H2031" s="4" t="s">
        <v>28</v>
      </c>
      <c r="I2031" s="4">
        <v>38</v>
      </c>
      <c r="J2031" s="5">
        <v>72.8</v>
      </c>
      <c r="K2031" s="6">
        <v>1.87</v>
      </c>
      <c r="L2031" s="4">
        <v>5</v>
      </c>
      <c r="M2031" s="4">
        <v>107</v>
      </c>
      <c r="N2031" s="4">
        <v>74</v>
      </c>
      <c r="O2031" s="4" t="s">
        <v>26</v>
      </c>
      <c r="P2031" s="7" t="s">
        <v>19</v>
      </c>
    </row>
    <row r="2032" spans="2:16" x14ac:dyDescent="0.45">
      <c r="B2032" s="4">
        <v>2031</v>
      </c>
      <c r="C2032" s="4" t="s">
        <v>40</v>
      </c>
      <c r="D2032" s="4" t="s">
        <v>23</v>
      </c>
      <c r="E2032" s="4" t="s">
        <v>35</v>
      </c>
      <c r="F2032" s="4" t="s">
        <v>42</v>
      </c>
      <c r="G2032" s="4" t="s">
        <v>19</v>
      </c>
      <c r="H2032" s="4" t="s">
        <v>28</v>
      </c>
      <c r="I2032" s="4">
        <v>27</v>
      </c>
      <c r="J2032" s="5">
        <v>92.7</v>
      </c>
      <c r="K2032" s="6">
        <v>1.66</v>
      </c>
      <c r="L2032" s="4">
        <v>3</v>
      </c>
      <c r="M2032" s="4">
        <v>111</v>
      </c>
      <c r="N2032" s="4">
        <v>96</v>
      </c>
      <c r="O2032" s="4" t="s">
        <v>21</v>
      </c>
      <c r="P2032" s="7" t="s">
        <v>19</v>
      </c>
    </row>
    <row r="2033" spans="2:16" x14ac:dyDescent="0.45">
      <c r="B2033" s="4">
        <v>2032</v>
      </c>
      <c r="C2033" s="4" t="s">
        <v>40</v>
      </c>
      <c r="D2033" s="4" t="s">
        <v>16</v>
      </c>
      <c r="E2033" s="4" t="s">
        <v>17</v>
      </c>
      <c r="F2033" s="4" t="s">
        <v>18</v>
      </c>
      <c r="G2033" s="4" t="s">
        <v>30</v>
      </c>
      <c r="H2033" s="4" t="s">
        <v>34</v>
      </c>
      <c r="I2033" s="4">
        <v>66</v>
      </c>
      <c r="J2033" s="5">
        <v>72.8</v>
      </c>
      <c r="K2033" s="6">
        <v>1.7</v>
      </c>
      <c r="L2033" s="4">
        <v>2</v>
      </c>
      <c r="M2033" s="4">
        <v>118</v>
      </c>
      <c r="N2033" s="4">
        <v>75</v>
      </c>
      <c r="O2033" s="4" t="s">
        <v>21</v>
      </c>
      <c r="P2033" s="7" t="s">
        <v>19</v>
      </c>
    </row>
    <row r="2034" spans="2:16" x14ac:dyDescent="0.45">
      <c r="B2034" s="4">
        <v>2033</v>
      </c>
      <c r="C2034" s="4" t="s">
        <v>27</v>
      </c>
      <c r="D2034" s="4" t="s">
        <v>16</v>
      </c>
      <c r="E2034" s="4" t="s">
        <v>17</v>
      </c>
      <c r="F2034" s="4" t="s">
        <v>24</v>
      </c>
      <c r="G2034" s="4" t="s">
        <v>19</v>
      </c>
      <c r="H2034" s="4" t="s">
        <v>20</v>
      </c>
      <c r="I2034" s="4">
        <v>14</v>
      </c>
      <c r="J2034" s="5">
        <v>41.6</v>
      </c>
      <c r="K2034" s="6">
        <v>1.73</v>
      </c>
      <c r="L2034" s="4">
        <v>1</v>
      </c>
      <c r="M2034" s="4">
        <v>105</v>
      </c>
      <c r="N2034" s="4">
        <v>98</v>
      </c>
      <c r="O2034" s="4" t="s">
        <v>21</v>
      </c>
      <c r="P2034" s="7" t="s">
        <v>19</v>
      </c>
    </row>
    <row r="2035" spans="2:16" x14ac:dyDescent="0.45">
      <c r="B2035" s="4">
        <v>2034</v>
      </c>
      <c r="C2035" s="4" t="s">
        <v>29</v>
      </c>
      <c r="D2035" s="4" t="s">
        <v>16</v>
      </c>
      <c r="E2035" s="4" t="s">
        <v>44</v>
      </c>
      <c r="F2035" s="4" t="s">
        <v>28</v>
      </c>
      <c r="G2035" s="4" t="s">
        <v>19</v>
      </c>
      <c r="H2035" s="4" t="s">
        <v>20</v>
      </c>
      <c r="I2035" s="4">
        <v>67</v>
      </c>
      <c r="J2035" s="5">
        <v>70.099999999999994</v>
      </c>
      <c r="K2035" s="6">
        <v>1.82</v>
      </c>
      <c r="L2035" s="4">
        <v>3</v>
      </c>
      <c r="M2035" s="4">
        <v>115</v>
      </c>
      <c r="N2035" s="4">
        <v>91</v>
      </c>
      <c r="O2035" s="4" t="s">
        <v>26</v>
      </c>
      <c r="P2035" s="7" t="s">
        <v>19</v>
      </c>
    </row>
    <row r="2036" spans="2:16" x14ac:dyDescent="0.45">
      <c r="B2036" s="4">
        <v>2035</v>
      </c>
      <c r="C2036" s="4" t="s">
        <v>22</v>
      </c>
      <c r="D2036" s="4" t="s">
        <v>16</v>
      </c>
      <c r="E2036" s="4" t="s">
        <v>17</v>
      </c>
      <c r="F2036" s="4" t="s">
        <v>18</v>
      </c>
      <c r="G2036" s="4" t="s">
        <v>30</v>
      </c>
      <c r="H2036" s="4" t="s">
        <v>36</v>
      </c>
      <c r="I2036" s="4">
        <v>14</v>
      </c>
      <c r="J2036" s="5">
        <v>47.9</v>
      </c>
      <c r="K2036" s="6">
        <v>1.59</v>
      </c>
      <c r="L2036" s="4">
        <v>6</v>
      </c>
      <c r="M2036" s="4">
        <v>131</v>
      </c>
      <c r="N2036" s="4">
        <v>81</v>
      </c>
      <c r="O2036" s="4" t="s">
        <v>21</v>
      </c>
      <c r="P2036" s="7" t="s">
        <v>19</v>
      </c>
    </row>
    <row r="2037" spans="2:16" x14ac:dyDescent="0.45">
      <c r="B2037" s="4">
        <v>2036</v>
      </c>
      <c r="C2037" s="4" t="s">
        <v>29</v>
      </c>
      <c r="D2037" s="4" t="s">
        <v>16</v>
      </c>
      <c r="E2037" s="4" t="s">
        <v>35</v>
      </c>
      <c r="F2037" s="4" t="s">
        <v>24</v>
      </c>
      <c r="G2037" s="4" t="s">
        <v>19</v>
      </c>
      <c r="H2037" s="4" t="s">
        <v>28</v>
      </c>
      <c r="I2037" s="4">
        <v>23</v>
      </c>
      <c r="J2037" s="5">
        <v>63.2</v>
      </c>
      <c r="K2037" s="6">
        <v>1.73</v>
      </c>
      <c r="L2037" s="4">
        <v>4</v>
      </c>
      <c r="M2037" s="4">
        <v>101</v>
      </c>
      <c r="N2037" s="4">
        <v>93</v>
      </c>
      <c r="O2037" s="4" t="s">
        <v>26</v>
      </c>
      <c r="P2037" s="7" t="s">
        <v>19</v>
      </c>
    </row>
    <row r="2038" spans="2:16" x14ac:dyDescent="0.45">
      <c r="B2038" s="4">
        <v>2037</v>
      </c>
      <c r="C2038" s="4" t="s">
        <v>15</v>
      </c>
      <c r="D2038" s="4" t="s">
        <v>16</v>
      </c>
      <c r="E2038" s="4" t="s">
        <v>17</v>
      </c>
      <c r="F2038" s="4" t="s">
        <v>24</v>
      </c>
      <c r="G2038" s="4" t="s">
        <v>19</v>
      </c>
      <c r="H2038" s="4" t="s">
        <v>36</v>
      </c>
      <c r="I2038" s="4">
        <v>49</v>
      </c>
      <c r="J2038" s="5">
        <v>70.2</v>
      </c>
      <c r="K2038" s="6">
        <v>1.52</v>
      </c>
      <c r="L2038" s="4">
        <v>10</v>
      </c>
      <c r="M2038" s="4">
        <v>133</v>
      </c>
      <c r="N2038" s="4">
        <v>78</v>
      </c>
      <c r="O2038" s="4" t="s">
        <v>26</v>
      </c>
      <c r="P2038" s="7" t="s">
        <v>19</v>
      </c>
    </row>
    <row r="2039" spans="2:16" x14ac:dyDescent="0.45">
      <c r="B2039" s="4">
        <v>2038</v>
      </c>
      <c r="C2039" s="4" t="s">
        <v>22</v>
      </c>
      <c r="D2039" s="4" t="s">
        <v>16</v>
      </c>
      <c r="E2039" s="4" t="s">
        <v>35</v>
      </c>
      <c r="F2039" s="4" t="s">
        <v>24</v>
      </c>
      <c r="G2039" s="4" t="s">
        <v>19</v>
      </c>
      <c r="H2039" s="4" t="s">
        <v>28</v>
      </c>
      <c r="I2039" s="4">
        <v>0</v>
      </c>
      <c r="J2039" s="5">
        <v>7</v>
      </c>
      <c r="K2039" s="6">
        <v>0.77</v>
      </c>
      <c r="L2039" s="4">
        <v>0</v>
      </c>
      <c r="M2039" s="4">
        <v>114</v>
      </c>
      <c r="N2039" s="4">
        <v>86</v>
      </c>
      <c r="O2039" s="4" t="s">
        <v>26</v>
      </c>
      <c r="P2039" s="7" t="s">
        <v>19</v>
      </c>
    </row>
    <row r="2040" spans="2:16" x14ac:dyDescent="0.45">
      <c r="B2040" s="4">
        <v>2039</v>
      </c>
      <c r="C2040" s="4" t="s">
        <v>15</v>
      </c>
      <c r="D2040" s="4" t="s">
        <v>16</v>
      </c>
      <c r="E2040" s="4" t="s">
        <v>17</v>
      </c>
      <c r="F2040" s="4" t="s">
        <v>18</v>
      </c>
      <c r="G2040" s="4" t="s">
        <v>19</v>
      </c>
      <c r="H2040" s="4" t="s">
        <v>28</v>
      </c>
      <c r="I2040" s="4">
        <v>0</v>
      </c>
      <c r="J2040" s="5">
        <v>16.399999999999999</v>
      </c>
      <c r="K2040" s="6">
        <v>0.99</v>
      </c>
      <c r="L2040" s="4">
        <v>8</v>
      </c>
      <c r="M2040" s="4">
        <v>94</v>
      </c>
      <c r="N2040" s="4">
        <v>95</v>
      </c>
      <c r="O2040" s="4" t="s">
        <v>26</v>
      </c>
      <c r="P2040" s="7" t="s">
        <v>19</v>
      </c>
    </row>
    <row r="2041" spans="2:16" x14ac:dyDescent="0.45">
      <c r="B2041" s="4">
        <v>2040</v>
      </c>
      <c r="C2041" s="4" t="s">
        <v>40</v>
      </c>
      <c r="D2041" s="4" t="s">
        <v>16</v>
      </c>
      <c r="E2041" s="4" t="s">
        <v>37</v>
      </c>
      <c r="F2041" s="4" t="s">
        <v>18</v>
      </c>
      <c r="G2041" s="4" t="s">
        <v>19</v>
      </c>
      <c r="H2041" s="4" t="s">
        <v>20</v>
      </c>
      <c r="I2041" s="4">
        <v>5</v>
      </c>
      <c r="J2041" s="5">
        <v>27.6</v>
      </c>
      <c r="K2041" s="6">
        <v>1.24</v>
      </c>
      <c r="L2041" s="4">
        <v>5</v>
      </c>
      <c r="M2041" s="4">
        <v>97</v>
      </c>
      <c r="N2041" s="4">
        <v>75</v>
      </c>
      <c r="O2041" s="4" t="s">
        <v>26</v>
      </c>
      <c r="P2041" s="7" t="s">
        <v>19</v>
      </c>
    </row>
    <row r="2042" spans="2:16" x14ac:dyDescent="0.45">
      <c r="B2042" s="4">
        <v>2041</v>
      </c>
      <c r="C2042" s="4" t="s">
        <v>22</v>
      </c>
      <c r="D2042" s="4" t="s">
        <v>16</v>
      </c>
      <c r="E2042" s="4" t="s">
        <v>35</v>
      </c>
      <c r="F2042" s="4" t="s">
        <v>24</v>
      </c>
      <c r="G2042" s="4" t="s">
        <v>30</v>
      </c>
      <c r="H2042" s="4" t="s">
        <v>25</v>
      </c>
      <c r="I2042" s="4">
        <v>1</v>
      </c>
      <c r="J2042" s="5">
        <v>7.1</v>
      </c>
      <c r="K2042" s="6">
        <v>0.89</v>
      </c>
      <c r="L2042" s="4">
        <v>2</v>
      </c>
      <c r="M2042" s="4">
        <v>97</v>
      </c>
      <c r="N2042" s="4">
        <v>103</v>
      </c>
      <c r="O2042" s="4" t="s">
        <v>21</v>
      </c>
      <c r="P2042" s="7" t="s">
        <v>19</v>
      </c>
    </row>
    <row r="2043" spans="2:16" x14ac:dyDescent="0.45">
      <c r="B2043" s="4">
        <v>2042</v>
      </c>
      <c r="C2043" s="4" t="s">
        <v>43</v>
      </c>
      <c r="D2043" s="4" t="s">
        <v>16</v>
      </c>
      <c r="E2043" s="4" t="s">
        <v>17</v>
      </c>
      <c r="F2043" s="4" t="s">
        <v>24</v>
      </c>
      <c r="G2043" s="4" t="s">
        <v>30</v>
      </c>
      <c r="H2043" s="4" t="s">
        <v>32</v>
      </c>
      <c r="I2043" s="4">
        <v>10</v>
      </c>
      <c r="J2043" s="5">
        <v>20.100000000000001</v>
      </c>
      <c r="K2043" s="6">
        <v>1.3</v>
      </c>
      <c r="L2043" s="4">
        <v>5</v>
      </c>
      <c r="M2043" s="4">
        <v>96</v>
      </c>
      <c r="N2043" s="4">
        <v>143</v>
      </c>
      <c r="O2043" s="4" t="s">
        <v>21</v>
      </c>
      <c r="P2043" s="7" t="s">
        <v>19</v>
      </c>
    </row>
    <row r="2044" spans="2:16" x14ac:dyDescent="0.45">
      <c r="B2044" s="4">
        <v>2043</v>
      </c>
      <c r="C2044" s="4" t="s">
        <v>15</v>
      </c>
      <c r="D2044" s="4" t="s">
        <v>16</v>
      </c>
      <c r="E2044" s="4" t="s">
        <v>37</v>
      </c>
      <c r="F2044" s="4" t="s">
        <v>24</v>
      </c>
      <c r="G2044" s="4" t="s">
        <v>19</v>
      </c>
      <c r="H2044" s="4" t="s">
        <v>25</v>
      </c>
      <c r="I2044" s="4">
        <v>84</v>
      </c>
      <c r="J2044" s="5">
        <v>74.8</v>
      </c>
      <c r="K2044" s="6">
        <v>1.86</v>
      </c>
      <c r="L2044" s="4">
        <v>3</v>
      </c>
      <c r="M2044" s="4">
        <v>120</v>
      </c>
      <c r="N2044" s="4">
        <v>85</v>
      </c>
      <c r="O2044" s="4" t="s">
        <v>26</v>
      </c>
      <c r="P2044" s="7" t="s">
        <v>19</v>
      </c>
    </row>
    <row r="2045" spans="2:16" x14ac:dyDescent="0.45">
      <c r="B2045" s="4">
        <v>2044</v>
      </c>
      <c r="C2045" s="4" t="s">
        <v>45</v>
      </c>
      <c r="D2045" s="4" t="s">
        <v>23</v>
      </c>
      <c r="E2045" s="4" t="s">
        <v>17</v>
      </c>
      <c r="F2045" s="4" t="s">
        <v>42</v>
      </c>
      <c r="G2045" s="4" t="s">
        <v>19</v>
      </c>
      <c r="H2045" s="4" t="s">
        <v>20</v>
      </c>
      <c r="I2045" s="4">
        <v>52</v>
      </c>
      <c r="J2045" s="5">
        <v>52.3</v>
      </c>
      <c r="K2045" s="6">
        <v>1.69</v>
      </c>
      <c r="L2045" s="4">
        <v>2</v>
      </c>
      <c r="M2045" s="4">
        <v>120</v>
      </c>
      <c r="N2045" s="4">
        <v>95</v>
      </c>
      <c r="O2045" s="4" t="s">
        <v>21</v>
      </c>
      <c r="P2045" s="7" t="s">
        <v>19</v>
      </c>
    </row>
    <row r="2046" spans="2:16" x14ac:dyDescent="0.45">
      <c r="B2046" s="4">
        <v>2045</v>
      </c>
      <c r="C2046" s="4" t="s">
        <v>33</v>
      </c>
      <c r="D2046" s="4" t="s">
        <v>16</v>
      </c>
      <c r="E2046" s="4" t="s">
        <v>35</v>
      </c>
      <c r="F2046" s="4" t="s">
        <v>18</v>
      </c>
      <c r="G2046" s="4" t="s">
        <v>30</v>
      </c>
      <c r="H2046" s="4" t="s">
        <v>25</v>
      </c>
      <c r="I2046" s="4">
        <v>9</v>
      </c>
      <c r="J2046" s="5">
        <v>26.4</v>
      </c>
      <c r="K2046" s="6">
        <v>1.0900000000000001</v>
      </c>
      <c r="L2046" s="4">
        <v>3</v>
      </c>
      <c r="M2046" s="4">
        <v>105</v>
      </c>
      <c r="N2046" s="4">
        <v>104</v>
      </c>
      <c r="O2046" s="4" t="s">
        <v>26</v>
      </c>
      <c r="P2046" s="7" t="s">
        <v>19</v>
      </c>
    </row>
    <row r="2047" spans="2:16" x14ac:dyDescent="0.45">
      <c r="B2047" s="4">
        <v>2046</v>
      </c>
      <c r="C2047" s="4" t="s">
        <v>27</v>
      </c>
      <c r="D2047" s="4" t="s">
        <v>16</v>
      </c>
      <c r="E2047" s="4" t="s">
        <v>35</v>
      </c>
      <c r="F2047" s="4" t="s">
        <v>24</v>
      </c>
      <c r="G2047" s="4" t="s">
        <v>19</v>
      </c>
      <c r="H2047" s="4" t="s">
        <v>32</v>
      </c>
      <c r="I2047" s="4">
        <v>70</v>
      </c>
      <c r="J2047" s="5">
        <v>65.099999999999994</v>
      </c>
      <c r="K2047" s="6">
        <v>1.8</v>
      </c>
      <c r="L2047" s="4">
        <v>0</v>
      </c>
      <c r="M2047" s="4">
        <v>129</v>
      </c>
      <c r="N2047" s="4">
        <v>165</v>
      </c>
      <c r="O2047" s="4" t="s">
        <v>26</v>
      </c>
      <c r="P2047" s="7" t="s">
        <v>19</v>
      </c>
    </row>
    <row r="2048" spans="2:16" x14ac:dyDescent="0.45">
      <c r="B2048" s="4">
        <v>2047</v>
      </c>
      <c r="C2048" s="4" t="s">
        <v>22</v>
      </c>
      <c r="D2048" s="4" t="s">
        <v>16</v>
      </c>
      <c r="E2048" s="4" t="s">
        <v>35</v>
      </c>
      <c r="F2048" s="4" t="s">
        <v>18</v>
      </c>
      <c r="G2048" s="4" t="s">
        <v>30</v>
      </c>
      <c r="H2048" s="4" t="s">
        <v>25</v>
      </c>
      <c r="I2048" s="4">
        <v>17</v>
      </c>
      <c r="J2048" s="5">
        <v>62.1</v>
      </c>
      <c r="K2048" s="6">
        <v>1.68</v>
      </c>
      <c r="L2048" s="4">
        <v>5</v>
      </c>
      <c r="M2048" s="4">
        <v>105</v>
      </c>
      <c r="N2048" s="4">
        <v>89</v>
      </c>
      <c r="O2048" s="4" t="s">
        <v>21</v>
      </c>
      <c r="P2048" s="7" t="s">
        <v>19</v>
      </c>
    </row>
    <row r="2049" spans="2:16" x14ac:dyDescent="0.45">
      <c r="B2049" s="4">
        <v>2048</v>
      </c>
      <c r="C2049" s="4" t="s">
        <v>31</v>
      </c>
      <c r="D2049" s="4" t="s">
        <v>16</v>
      </c>
      <c r="E2049" s="4" t="s">
        <v>17</v>
      </c>
      <c r="F2049" s="4" t="s">
        <v>18</v>
      </c>
      <c r="G2049" s="4" t="s">
        <v>19</v>
      </c>
      <c r="H2049" s="4" t="s">
        <v>28</v>
      </c>
      <c r="I2049" s="4">
        <v>63</v>
      </c>
      <c r="J2049" s="5">
        <v>82.7</v>
      </c>
      <c r="K2049" s="6">
        <v>1.62</v>
      </c>
      <c r="L2049" s="4">
        <v>2</v>
      </c>
      <c r="M2049" s="4">
        <v>123</v>
      </c>
      <c r="N2049" s="4">
        <v>103</v>
      </c>
      <c r="O2049" s="4" t="s">
        <v>26</v>
      </c>
      <c r="P2049" s="7" t="s">
        <v>19</v>
      </c>
    </row>
    <row r="2050" spans="2:16" x14ac:dyDescent="0.45">
      <c r="B2050" s="4">
        <v>2049</v>
      </c>
      <c r="C2050" s="4" t="s">
        <v>33</v>
      </c>
      <c r="D2050" s="4" t="s">
        <v>16</v>
      </c>
      <c r="E2050" s="4" t="s">
        <v>17</v>
      </c>
      <c r="F2050" s="4" t="s">
        <v>18</v>
      </c>
      <c r="G2050" s="4" t="s">
        <v>19</v>
      </c>
      <c r="H2050" s="4" t="s">
        <v>34</v>
      </c>
      <c r="I2050" s="4">
        <v>85</v>
      </c>
      <c r="J2050" s="5">
        <v>84</v>
      </c>
      <c r="K2050" s="6">
        <v>1.53</v>
      </c>
      <c r="L2050" s="4">
        <v>3</v>
      </c>
      <c r="M2050" s="4">
        <v>126</v>
      </c>
      <c r="N2050" s="4">
        <v>79</v>
      </c>
      <c r="O2050" s="4" t="s">
        <v>21</v>
      </c>
      <c r="P2050" s="7" t="s">
        <v>30</v>
      </c>
    </row>
    <row r="2051" spans="2:16" x14ac:dyDescent="0.45">
      <c r="B2051" s="4">
        <v>2050</v>
      </c>
      <c r="C2051" s="4" t="s">
        <v>39</v>
      </c>
      <c r="D2051" s="4" t="s">
        <v>16</v>
      </c>
      <c r="E2051" s="4" t="s">
        <v>17</v>
      </c>
      <c r="F2051" s="4" t="s">
        <v>24</v>
      </c>
      <c r="G2051" s="4" t="s">
        <v>19</v>
      </c>
      <c r="H2051" s="4" t="s">
        <v>46</v>
      </c>
      <c r="I2051" s="4">
        <v>16</v>
      </c>
      <c r="J2051" s="5">
        <v>55.4</v>
      </c>
      <c r="K2051" s="6">
        <v>1.7</v>
      </c>
      <c r="L2051" s="4">
        <v>0</v>
      </c>
      <c r="M2051" s="4">
        <v>111</v>
      </c>
      <c r="N2051" s="4">
        <v>90</v>
      </c>
      <c r="O2051" s="4" t="s">
        <v>26</v>
      </c>
      <c r="P2051" s="7" t="s">
        <v>30</v>
      </c>
    </row>
    <row r="2052" spans="2:16" x14ac:dyDescent="0.45">
      <c r="B2052" s="4">
        <v>2051</v>
      </c>
      <c r="C2052" s="4" t="s">
        <v>22</v>
      </c>
      <c r="D2052" s="4" t="s">
        <v>16</v>
      </c>
      <c r="E2052" s="4" t="s">
        <v>17</v>
      </c>
      <c r="F2052" s="4" t="s">
        <v>18</v>
      </c>
      <c r="G2052" s="4" t="s">
        <v>30</v>
      </c>
      <c r="H2052" s="4" t="s">
        <v>28</v>
      </c>
      <c r="I2052" s="4">
        <v>22</v>
      </c>
      <c r="J2052" s="5">
        <v>94.9</v>
      </c>
      <c r="K2052" s="6">
        <v>1.63</v>
      </c>
      <c r="L2052" s="4">
        <v>2</v>
      </c>
      <c r="M2052" s="4">
        <v>123</v>
      </c>
      <c r="N2052" s="4">
        <v>104</v>
      </c>
      <c r="O2052" s="4" t="s">
        <v>21</v>
      </c>
      <c r="P2052" s="7" t="s">
        <v>30</v>
      </c>
    </row>
    <row r="2053" spans="2:16" x14ac:dyDescent="0.45">
      <c r="B2053" s="4">
        <v>2052</v>
      </c>
      <c r="C2053" s="4" t="s">
        <v>40</v>
      </c>
      <c r="D2053" s="4" t="s">
        <v>23</v>
      </c>
      <c r="E2053" s="4" t="s">
        <v>17</v>
      </c>
      <c r="F2053" s="4" t="s">
        <v>24</v>
      </c>
      <c r="G2053" s="4" t="s">
        <v>19</v>
      </c>
      <c r="H2053" s="4" t="s">
        <v>34</v>
      </c>
      <c r="I2053" s="4">
        <v>9</v>
      </c>
      <c r="J2053" s="5">
        <v>27</v>
      </c>
      <c r="K2053" s="6">
        <v>1.18</v>
      </c>
      <c r="L2053" s="4">
        <v>2</v>
      </c>
      <c r="M2053" s="4">
        <v>111</v>
      </c>
      <c r="N2053" s="4">
        <v>99</v>
      </c>
      <c r="O2053" s="4" t="s">
        <v>26</v>
      </c>
      <c r="P2053" s="7" t="s">
        <v>19</v>
      </c>
    </row>
    <row r="2054" spans="2:16" x14ac:dyDescent="0.45">
      <c r="B2054" s="4">
        <v>2053</v>
      </c>
      <c r="C2054" s="4" t="s">
        <v>22</v>
      </c>
      <c r="D2054" s="4" t="s">
        <v>23</v>
      </c>
      <c r="E2054" s="4" t="s">
        <v>17</v>
      </c>
      <c r="F2054" s="4" t="s">
        <v>18</v>
      </c>
      <c r="G2054" s="4" t="s">
        <v>19</v>
      </c>
      <c r="H2054" s="4" t="s">
        <v>20</v>
      </c>
      <c r="I2054" s="4">
        <v>35</v>
      </c>
      <c r="J2054" s="5">
        <v>48.1</v>
      </c>
      <c r="K2054" s="6">
        <v>1.76</v>
      </c>
      <c r="L2054" s="4">
        <v>3</v>
      </c>
      <c r="M2054" s="4">
        <v>108</v>
      </c>
      <c r="N2054" s="4">
        <v>102</v>
      </c>
      <c r="O2054" s="4" t="s">
        <v>21</v>
      </c>
      <c r="P2054" s="7" t="s">
        <v>30</v>
      </c>
    </row>
    <row r="2055" spans="2:16" x14ac:dyDescent="0.45">
      <c r="B2055" s="4">
        <v>2054</v>
      </c>
      <c r="C2055" s="4" t="s">
        <v>33</v>
      </c>
      <c r="D2055" s="4" t="s">
        <v>23</v>
      </c>
      <c r="E2055" s="4" t="s">
        <v>17</v>
      </c>
      <c r="F2055" s="4" t="s">
        <v>24</v>
      </c>
      <c r="G2055" s="4" t="s">
        <v>19</v>
      </c>
      <c r="H2055" s="4" t="s">
        <v>28</v>
      </c>
      <c r="I2055" s="4">
        <v>2</v>
      </c>
      <c r="J2055" s="5">
        <v>8.8000000000000007</v>
      </c>
      <c r="K2055" s="6">
        <v>0.83</v>
      </c>
      <c r="L2055" s="4">
        <v>0</v>
      </c>
      <c r="M2055" s="4">
        <v>116</v>
      </c>
      <c r="N2055" s="4">
        <v>73</v>
      </c>
      <c r="O2055" s="4" t="s">
        <v>26</v>
      </c>
      <c r="P2055" s="7" t="s">
        <v>19</v>
      </c>
    </row>
    <row r="2056" spans="2:16" x14ac:dyDescent="0.45">
      <c r="B2056" s="4">
        <v>2055</v>
      </c>
      <c r="C2056" s="4" t="s">
        <v>15</v>
      </c>
      <c r="D2056" s="4" t="s">
        <v>23</v>
      </c>
      <c r="E2056" s="4" t="s">
        <v>17</v>
      </c>
      <c r="F2056" s="4" t="s">
        <v>18</v>
      </c>
      <c r="G2056" s="4" t="s">
        <v>19</v>
      </c>
      <c r="H2056" s="4" t="s">
        <v>28</v>
      </c>
      <c r="I2056" s="4">
        <v>21</v>
      </c>
      <c r="J2056" s="5">
        <v>67.7</v>
      </c>
      <c r="K2056" s="6">
        <v>1.85</v>
      </c>
      <c r="L2056" s="4">
        <v>3</v>
      </c>
      <c r="M2056" s="4">
        <v>103</v>
      </c>
      <c r="N2056" s="4">
        <v>79</v>
      </c>
      <c r="O2056" s="4" t="s">
        <v>26</v>
      </c>
      <c r="P2056" s="7" t="s">
        <v>19</v>
      </c>
    </row>
    <row r="2057" spans="2:16" x14ac:dyDescent="0.45">
      <c r="B2057" s="4">
        <v>2056</v>
      </c>
      <c r="C2057" s="4" t="s">
        <v>31</v>
      </c>
      <c r="D2057" s="4" t="s">
        <v>23</v>
      </c>
      <c r="E2057" s="4" t="s">
        <v>17</v>
      </c>
      <c r="F2057" s="4" t="s">
        <v>24</v>
      </c>
      <c r="G2057" s="4" t="s">
        <v>30</v>
      </c>
      <c r="H2057" s="4" t="s">
        <v>34</v>
      </c>
      <c r="I2057" s="4">
        <v>54</v>
      </c>
      <c r="J2057" s="5">
        <v>65.099999999999994</v>
      </c>
      <c r="K2057" s="6">
        <v>1.81</v>
      </c>
      <c r="L2057" s="4">
        <v>7</v>
      </c>
      <c r="M2057" s="4">
        <v>124</v>
      </c>
      <c r="N2057" s="4">
        <v>71</v>
      </c>
      <c r="O2057" s="4" t="s">
        <v>21</v>
      </c>
      <c r="P2057" s="7" t="s">
        <v>19</v>
      </c>
    </row>
    <row r="2058" spans="2:16" x14ac:dyDescent="0.45">
      <c r="B2058" s="4">
        <v>2057</v>
      </c>
      <c r="C2058" s="4" t="s">
        <v>29</v>
      </c>
      <c r="D2058" s="4" t="s">
        <v>23</v>
      </c>
      <c r="E2058" s="4" t="s">
        <v>17</v>
      </c>
      <c r="F2058" s="4" t="s">
        <v>24</v>
      </c>
      <c r="G2058" s="4" t="s">
        <v>19</v>
      </c>
      <c r="H2058" s="4" t="s">
        <v>34</v>
      </c>
      <c r="I2058" s="4">
        <v>24</v>
      </c>
      <c r="J2058" s="5">
        <v>61.1</v>
      </c>
      <c r="K2058" s="6">
        <v>1.49</v>
      </c>
      <c r="L2058" s="4">
        <v>1</v>
      </c>
      <c r="M2058" s="4">
        <v>98</v>
      </c>
      <c r="N2058" s="4">
        <v>91</v>
      </c>
      <c r="O2058" s="4" t="s">
        <v>21</v>
      </c>
      <c r="P2058" s="7" t="s">
        <v>19</v>
      </c>
    </row>
    <row r="2059" spans="2:16" x14ac:dyDescent="0.45">
      <c r="B2059" s="4">
        <v>2058</v>
      </c>
      <c r="C2059" s="4" t="s">
        <v>27</v>
      </c>
      <c r="D2059" s="4" t="s">
        <v>23</v>
      </c>
      <c r="E2059" s="4" t="s">
        <v>35</v>
      </c>
      <c r="F2059" s="4" t="s">
        <v>18</v>
      </c>
      <c r="G2059" s="4" t="s">
        <v>19</v>
      </c>
      <c r="H2059" s="4" t="s">
        <v>36</v>
      </c>
      <c r="I2059" s="4">
        <v>55</v>
      </c>
      <c r="J2059" s="5">
        <v>72.599999999999994</v>
      </c>
      <c r="K2059" s="6">
        <v>1.69</v>
      </c>
      <c r="L2059" s="4">
        <v>0</v>
      </c>
      <c r="M2059" s="4">
        <v>150</v>
      </c>
      <c r="N2059" s="4">
        <v>95</v>
      </c>
      <c r="O2059" s="4" t="s">
        <v>26</v>
      </c>
      <c r="P2059" s="7" t="s">
        <v>30</v>
      </c>
    </row>
    <row r="2060" spans="2:16" x14ac:dyDescent="0.45">
      <c r="B2060" s="4">
        <v>2059</v>
      </c>
      <c r="C2060" s="4" t="s">
        <v>39</v>
      </c>
      <c r="D2060" s="4" t="s">
        <v>23</v>
      </c>
      <c r="E2060" s="4" t="s">
        <v>17</v>
      </c>
      <c r="F2060" s="4" t="s">
        <v>18</v>
      </c>
      <c r="G2060" s="4" t="s">
        <v>19</v>
      </c>
      <c r="H2060" s="4" t="s">
        <v>28</v>
      </c>
      <c r="I2060" s="4">
        <v>10</v>
      </c>
      <c r="J2060" s="5">
        <v>26.5</v>
      </c>
      <c r="K2060" s="6">
        <v>1.43</v>
      </c>
      <c r="L2060" s="4">
        <v>3</v>
      </c>
      <c r="M2060" s="4">
        <v>95</v>
      </c>
      <c r="N2060" s="4">
        <v>89</v>
      </c>
      <c r="O2060" s="4" t="s">
        <v>21</v>
      </c>
      <c r="P2060" s="7" t="s">
        <v>19</v>
      </c>
    </row>
    <row r="2061" spans="2:16" x14ac:dyDescent="0.45">
      <c r="B2061" s="4">
        <v>2060</v>
      </c>
      <c r="C2061" s="4" t="s">
        <v>41</v>
      </c>
      <c r="D2061" s="4" t="s">
        <v>16</v>
      </c>
      <c r="E2061" s="4" t="s">
        <v>35</v>
      </c>
      <c r="F2061" s="4" t="s">
        <v>24</v>
      </c>
      <c r="G2061" s="4" t="s">
        <v>19</v>
      </c>
      <c r="H2061" s="4" t="s">
        <v>32</v>
      </c>
      <c r="I2061" s="4">
        <v>0</v>
      </c>
      <c r="J2061" s="5">
        <v>15.5</v>
      </c>
      <c r="K2061" s="6">
        <v>0.77</v>
      </c>
      <c r="L2061" s="4">
        <v>1</v>
      </c>
      <c r="M2061" s="4">
        <v>113</v>
      </c>
      <c r="N2061" s="4">
        <v>177</v>
      </c>
      <c r="O2061" s="4" t="s">
        <v>26</v>
      </c>
      <c r="P2061" s="7" t="s">
        <v>19</v>
      </c>
    </row>
    <row r="2062" spans="2:16" x14ac:dyDescent="0.45">
      <c r="B2062" s="4">
        <v>2061</v>
      </c>
      <c r="C2062" s="4" t="s">
        <v>15</v>
      </c>
      <c r="D2062" s="4" t="s">
        <v>23</v>
      </c>
      <c r="E2062" s="4" t="s">
        <v>17</v>
      </c>
      <c r="F2062" s="4" t="s">
        <v>18</v>
      </c>
      <c r="G2062" s="4" t="s">
        <v>19</v>
      </c>
      <c r="H2062" s="4" t="s">
        <v>20</v>
      </c>
      <c r="I2062" s="4">
        <v>10</v>
      </c>
      <c r="J2062" s="5">
        <v>25</v>
      </c>
      <c r="K2062" s="6">
        <v>1.23</v>
      </c>
      <c r="L2062" s="4">
        <v>1</v>
      </c>
      <c r="M2062" s="4">
        <v>94</v>
      </c>
      <c r="N2062" s="4">
        <v>89</v>
      </c>
      <c r="O2062" s="4" t="s">
        <v>26</v>
      </c>
      <c r="P2062" s="7" t="s">
        <v>19</v>
      </c>
    </row>
    <row r="2063" spans="2:16" x14ac:dyDescent="0.45">
      <c r="B2063" s="4">
        <v>2062</v>
      </c>
      <c r="C2063" s="4" t="s">
        <v>39</v>
      </c>
      <c r="D2063" s="4" t="s">
        <v>23</v>
      </c>
      <c r="E2063" s="4" t="s">
        <v>17</v>
      </c>
      <c r="F2063" s="4" t="s">
        <v>24</v>
      </c>
      <c r="G2063" s="4" t="s">
        <v>19</v>
      </c>
      <c r="H2063" s="4" t="s">
        <v>34</v>
      </c>
      <c r="I2063" s="4">
        <v>29</v>
      </c>
      <c r="J2063" s="5">
        <v>81.599999999999994</v>
      </c>
      <c r="K2063" s="6">
        <v>1.85</v>
      </c>
      <c r="L2063" s="4">
        <v>1</v>
      </c>
      <c r="M2063" s="4">
        <v>112</v>
      </c>
      <c r="N2063" s="4">
        <v>84</v>
      </c>
      <c r="O2063" s="4" t="s">
        <v>26</v>
      </c>
      <c r="P2063" s="7" t="s">
        <v>19</v>
      </c>
    </row>
    <row r="2064" spans="2:16" x14ac:dyDescent="0.45">
      <c r="B2064" s="4">
        <v>2063</v>
      </c>
      <c r="C2064" s="4" t="s">
        <v>27</v>
      </c>
      <c r="D2064" s="4" t="s">
        <v>16</v>
      </c>
      <c r="E2064" s="4" t="s">
        <v>17</v>
      </c>
      <c r="F2064" s="4" t="s">
        <v>24</v>
      </c>
      <c r="G2064" s="4" t="s">
        <v>30</v>
      </c>
      <c r="H2064" s="4" t="s">
        <v>34</v>
      </c>
      <c r="I2064" s="4">
        <v>23</v>
      </c>
      <c r="J2064" s="5">
        <v>76.3</v>
      </c>
      <c r="K2064" s="6">
        <v>1.5</v>
      </c>
      <c r="L2064" s="4">
        <v>4</v>
      </c>
      <c r="M2064" s="4">
        <v>98</v>
      </c>
      <c r="N2064" s="4">
        <v>86</v>
      </c>
      <c r="O2064" s="4" t="s">
        <v>21</v>
      </c>
      <c r="P2064" s="7" t="s">
        <v>19</v>
      </c>
    </row>
    <row r="2065" spans="2:16" x14ac:dyDescent="0.45">
      <c r="B2065" s="4">
        <v>2064</v>
      </c>
      <c r="C2065" s="4" t="s">
        <v>15</v>
      </c>
      <c r="D2065" s="4" t="s">
        <v>16</v>
      </c>
      <c r="E2065" s="4" t="s">
        <v>37</v>
      </c>
      <c r="F2065" s="4" t="s">
        <v>24</v>
      </c>
      <c r="G2065" s="4" t="s">
        <v>19</v>
      </c>
      <c r="H2065" s="4" t="s">
        <v>32</v>
      </c>
      <c r="I2065" s="4">
        <v>5</v>
      </c>
      <c r="J2065" s="5">
        <v>37.6</v>
      </c>
      <c r="K2065" s="6">
        <v>1.23</v>
      </c>
      <c r="L2065" s="4">
        <v>4</v>
      </c>
      <c r="M2065" s="4">
        <v>105</v>
      </c>
      <c r="N2065" s="4">
        <v>173</v>
      </c>
      <c r="O2065" s="4" t="s">
        <v>21</v>
      </c>
      <c r="P2065" s="7" t="s">
        <v>19</v>
      </c>
    </row>
    <row r="2066" spans="2:16" x14ac:dyDescent="0.45">
      <c r="B2066" s="4">
        <v>2065</v>
      </c>
      <c r="C2066" s="4" t="s">
        <v>22</v>
      </c>
      <c r="D2066" s="4" t="s">
        <v>23</v>
      </c>
      <c r="E2066" s="4" t="s">
        <v>35</v>
      </c>
      <c r="F2066" s="4" t="s">
        <v>18</v>
      </c>
      <c r="G2066" s="4" t="s">
        <v>19</v>
      </c>
      <c r="H2066" s="4" t="s">
        <v>36</v>
      </c>
      <c r="I2066" s="4">
        <v>15</v>
      </c>
      <c r="J2066" s="5">
        <v>57.9</v>
      </c>
      <c r="K2066" s="6">
        <v>1.72</v>
      </c>
      <c r="L2066" s="4">
        <v>8</v>
      </c>
      <c r="M2066" s="4">
        <v>135</v>
      </c>
      <c r="N2066" s="4">
        <v>77</v>
      </c>
      <c r="O2066" s="4" t="s">
        <v>26</v>
      </c>
      <c r="P2066" s="7" t="s">
        <v>30</v>
      </c>
    </row>
    <row r="2067" spans="2:16" x14ac:dyDescent="0.45">
      <c r="B2067" s="4">
        <v>2066</v>
      </c>
      <c r="C2067" s="4" t="s">
        <v>22</v>
      </c>
      <c r="D2067" s="4" t="s">
        <v>23</v>
      </c>
      <c r="E2067" s="4" t="s">
        <v>35</v>
      </c>
      <c r="F2067" s="4" t="s">
        <v>24</v>
      </c>
      <c r="G2067" s="4" t="s">
        <v>19</v>
      </c>
      <c r="H2067" s="4" t="s">
        <v>28</v>
      </c>
      <c r="I2067" s="4">
        <v>18</v>
      </c>
      <c r="J2067" s="5">
        <v>85.9</v>
      </c>
      <c r="K2067" s="6">
        <v>1.82</v>
      </c>
      <c r="L2067" s="4">
        <v>2</v>
      </c>
      <c r="M2067" s="4">
        <v>109</v>
      </c>
      <c r="N2067" s="4">
        <v>93</v>
      </c>
      <c r="O2067" s="4" t="s">
        <v>26</v>
      </c>
      <c r="P2067" s="7" t="s">
        <v>19</v>
      </c>
    </row>
    <row r="2068" spans="2:16" x14ac:dyDescent="0.45">
      <c r="B2068" s="4">
        <v>2067</v>
      </c>
      <c r="C2068" s="4" t="s">
        <v>39</v>
      </c>
      <c r="D2068" s="4" t="s">
        <v>23</v>
      </c>
      <c r="E2068" s="4" t="s">
        <v>17</v>
      </c>
      <c r="F2068" s="4" t="s">
        <v>24</v>
      </c>
      <c r="G2068" s="4" t="s">
        <v>30</v>
      </c>
      <c r="H2068" s="4" t="s">
        <v>34</v>
      </c>
      <c r="I2068" s="4">
        <v>14</v>
      </c>
      <c r="J2068" s="5">
        <v>51.1</v>
      </c>
      <c r="K2068" s="6">
        <v>1.49</v>
      </c>
      <c r="L2068" s="4">
        <v>4</v>
      </c>
      <c r="M2068" s="4">
        <v>115</v>
      </c>
      <c r="N2068" s="4">
        <v>101</v>
      </c>
      <c r="O2068" s="4" t="s">
        <v>21</v>
      </c>
      <c r="P2068" s="7" t="s">
        <v>19</v>
      </c>
    </row>
    <row r="2069" spans="2:16" x14ac:dyDescent="0.45">
      <c r="B2069" s="4">
        <v>2068</v>
      </c>
      <c r="C2069" s="4" t="s">
        <v>27</v>
      </c>
      <c r="D2069" s="4" t="s">
        <v>16</v>
      </c>
      <c r="E2069" s="4" t="s">
        <v>17</v>
      </c>
      <c r="F2069" s="4" t="s">
        <v>18</v>
      </c>
      <c r="G2069" s="4" t="s">
        <v>30</v>
      </c>
      <c r="H2069" s="4" t="s">
        <v>36</v>
      </c>
      <c r="I2069" s="4">
        <v>41</v>
      </c>
      <c r="J2069" s="5">
        <v>64.2</v>
      </c>
      <c r="K2069" s="6">
        <v>1.64</v>
      </c>
      <c r="L2069" s="4">
        <v>4</v>
      </c>
      <c r="M2069" s="4">
        <v>142</v>
      </c>
      <c r="N2069" s="4">
        <v>80</v>
      </c>
      <c r="O2069" s="4" t="s">
        <v>26</v>
      </c>
      <c r="P2069" s="7" t="s">
        <v>30</v>
      </c>
    </row>
    <row r="2070" spans="2:16" x14ac:dyDescent="0.45">
      <c r="B2070" s="4">
        <v>2069</v>
      </c>
      <c r="C2070" s="4" t="s">
        <v>43</v>
      </c>
      <c r="D2070" s="4" t="s">
        <v>16</v>
      </c>
      <c r="E2070" s="4" t="s">
        <v>17</v>
      </c>
      <c r="F2070" s="4" t="s">
        <v>28</v>
      </c>
      <c r="G2070" s="4" t="s">
        <v>19</v>
      </c>
      <c r="H2070" s="4" t="s">
        <v>20</v>
      </c>
      <c r="I2070" s="4">
        <v>9</v>
      </c>
      <c r="J2070" s="5">
        <v>22.7</v>
      </c>
      <c r="K2070" s="6">
        <v>1.4</v>
      </c>
      <c r="L2070" s="4">
        <v>8</v>
      </c>
      <c r="M2070" s="4">
        <v>116</v>
      </c>
      <c r="N2070" s="4">
        <v>101</v>
      </c>
      <c r="O2070" s="4" t="s">
        <v>26</v>
      </c>
      <c r="P2070" s="7" t="s">
        <v>30</v>
      </c>
    </row>
    <row r="2071" spans="2:16" x14ac:dyDescent="0.45">
      <c r="B2071" s="4">
        <v>2070</v>
      </c>
      <c r="C2071" s="4" t="s">
        <v>22</v>
      </c>
      <c r="D2071" s="4" t="s">
        <v>23</v>
      </c>
      <c r="E2071" s="4" t="s">
        <v>35</v>
      </c>
      <c r="F2071" s="4" t="s">
        <v>24</v>
      </c>
      <c r="G2071" s="4" t="s">
        <v>19</v>
      </c>
      <c r="H2071" s="4" t="s">
        <v>20</v>
      </c>
      <c r="I2071" s="4">
        <v>26</v>
      </c>
      <c r="J2071" s="5">
        <v>64.5</v>
      </c>
      <c r="K2071" s="6">
        <v>1.5</v>
      </c>
      <c r="L2071" s="4">
        <v>1</v>
      </c>
      <c r="M2071" s="4">
        <v>113</v>
      </c>
      <c r="N2071" s="4">
        <v>81</v>
      </c>
      <c r="O2071" s="4" t="s">
        <v>26</v>
      </c>
      <c r="P2071" s="7" t="s">
        <v>19</v>
      </c>
    </row>
    <row r="2072" spans="2:16" x14ac:dyDescent="0.45">
      <c r="B2072" s="4">
        <v>2071</v>
      </c>
      <c r="C2072" s="4" t="s">
        <v>41</v>
      </c>
      <c r="D2072" s="4" t="s">
        <v>16</v>
      </c>
      <c r="E2072" s="4" t="s">
        <v>17</v>
      </c>
      <c r="F2072" s="4" t="s">
        <v>24</v>
      </c>
      <c r="G2072" s="4" t="s">
        <v>19</v>
      </c>
      <c r="H2072" s="4" t="s">
        <v>20</v>
      </c>
      <c r="I2072" s="4">
        <v>52</v>
      </c>
      <c r="J2072" s="5">
        <v>79.099999999999994</v>
      </c>
      <c r="K2072" s="6">
        <v>1.48</v>
      </c>
      <c r="L2072" s="4">
        <v>1</v>
      </c>
      <c r="M2072" s="4">
        <v>136</v>
      </c>
      <c r="N2072" s="4">
        <v>98</v>
      </c>
      <c r="O2072" s="4" t="s">
        <v>21</v>
      </c>
      <c r="P2072" s="7" t="s">
        <v>30</v>
      </c>
    </row>
    <row r="2073" spans="2:16" x14ac:dyDescent="0.45">
      <c r="B2073" s="4">
        <v>2072</v>
      </c>
      <c r="C2073" s="4" t="s">
        <v>15</v>
      </c>
      <c r="D2073" s="4" t="s">
        <v>23</v>
      </c>
      <c r="E2073" s="4" t="s">
        <v>35</v>
      </c>
      <c r="F2073" s="4" t="s">
        <v>18</v>
      </c>
      <c r="G2073" s="4" t="s">
        <v>19</v>
      </c>
      <c r="H2073" s="4" t="s">
        <v>46</v>
      </c>
      <c r="I2073" s="4">
        <v>36</v>
      </c>
      <c r="J2073" s="5">
        <v>61.7</v>
      </c>
      <c r="K2073" s="6">
        <v>1.66</v>
      </c>
      <c r="L2073" s="4">
        <v>2</v>
      </c>
      <c r="M2073" s="4">
        <v>118</v>
      </c>
      <c r="N2073" s="4">
        <v>99</v>
      </c>
      <c r="O2073" s="4" t="s">
        <v>26</v>
      </c>
      <c r="P2073" s="7" t="s">
        <v>19</v>
      </c>
    </row>
    <row r="2074" spans="2:16" x14ac:dyDescent="0.45">
      <c r="B2074" s="4">
        <v>2073</v>
      </c>
      <c r="C2074" s="4" t="s">
        <v>41</v>
      </c>
      <c r="D2074" s="4" t="s">
        <v>23</v>
      </c>
      <c r="E2074" s="4" t="s">
        <v>35</v>
      </c>
      <c r="F2074" s="4" t="s">
        <v>18</v>
      </c>
      <c r="G2074" s="4" t="s">
        <v>19</v>
      </c>
      <c r="H2074" s="4" t="s">
        <v>32</v>
      </c>
      <c r="I2074" s="4">
        <v>0</v>
      </c>
      <c r="J2074" s="5">
        <v>7.8</v>
      </c>
      <c r="K2074" s="6">
        <v>0.61</v>
      </c>
      <c r="L2074" s="4">
        <v>2</v>
      </c>
      <c r="M2074" s="4">
        <v>92</v>
      </c>
      <c r="N2074" s="4">
        <v>144</v>
      </c>
      <c r="O2074" s="4" t="s">
        <v>26</v>
      </c>
      <c r="P2074" s="7" t="s">
        <v>19</v>
      </c>
    </row>
    <row r="2075" spans="2:16" x14ac:dyDescent="0.45">
      <c r="B2075" s="4">
        <v>2074</v>
      </c>
      <c r="C2075" s="4" t="s">
        <v>41</v>
      </c>
      <c r="D2075" s="4" t="s">
        <v>16</v>
      </c>
      <c r="E2075" s="4" t="s">
        <v>35</v>
      </c>
      <c r="F2075" s="4" t="s">
        <v>18</v>
      </c>
      <c r="G2075" s="4" t="s">
        <v>19</v>
      </c>
      <c r="H2075" s="4" t="s">
        <v>36</v>
      </c>
      <c r="I2075" s="4">
        <v>40</v>
      </c>
      <c r="J2075" s="5">
        <v>82.5</v>
      </c>
      <c r="K2075" s="6">
        <v>1.55</v>
      </c>
      <c r="L2075" s="4">
        <v>4</v>
      </c>
      <c r="M2075" s="4">
        <v>133</v>
      </c>
      <c r="N2075" s="4">
        <v>102</v>
      </c>
      <c r="O2075" s="4" t="s">
        <v>21</v>
      </c>
      <c r="P2075" s="7" t="s">
        <v>19</v>
      </c>
    </row>
    <row r="2076" spans="2:16" x14ac:dyDescent="0.45">
      <c r="B2076" s="4">
        <v>2075</v>
      </c>
      <c r="C2076" s="4" t="s">
        <v>33</v>
      </c>
      <c r="D2076" s="4" t="s">
        <v>23</v>
      </c>
      <c r="E2076" s="4" t="s">
        <v>17</v>
      </c>
      <c r="F2076" s="4" t="s">
        <v>24</v>
      </c>
      <c r="G2076" s="4" t="s">
        <v>19</v>
      </c>
      <c r="H2076" s="4" t="s">
        <v>20</v>
      </c>
      <c r="I2076" s="4">
        <v>10</v>
      </c>
      <c r="J2076" s="5">
        <v>33.799999999999997</v>
      </c>
      <c r="K2076" s="6">
        <v>1.1599999999999999</v>
      </c>
      <c r="L2076" s="4">
        <v>1</v>
      </c>
      <c r="M2076" s="4">
        <v>118</v>
      </c>
      <c r="N2076" s="4">
        <v>105</v>
      </c>
      <c r="O2076" s="4" t="s">
        <v>26</v>
      </c>
      <c r="P2076" s="7" t="s">
        <v>19</v>
      </c>
    </row>
    <row r="2077" spans="2:16" x14ac:dyDescent="0.45">
      <c r="B2077" s="4">
        <v>2076</v>
      </c>
      <c r="C2077" s="4" t="s">
        <v>31</v>
      </c>
      <c r="D2077" s="4" t="s">
        <v>23</v>
      </c>
      <c r="E2077" s="4" t="s">
        <v>35</v>
      </c>
      <c r="F2077" s="4" t="s">
        <v>24</v>
      </c>
      <c r="G2077" s="4" t="s">
        <v>19</v>
      </c>
      <c r="H2077" s="4" t="s">
        <v>34</v>
      </c>
      <c r="I2077" s="4">
        <v>61</v>
      </c>
      <c r="J2077" s="5">
        <v>50.2</v>
      </c>
      <c r="K2077" s="6">
        <v>1.73</v>
      </c>
      <c r="L2077" s="4">
        <v>1</v>
      </c>
      <c r="M2077" s="4">
        <v>127</v>
      </c>
      <c r="N2077" s="4">
        <v>71</v>
      </c>
      <c r="O2077" s="4" t="s">
        <v>26</v>
      </c>
      <c r="P2077" s="7" t="s">
        <v>19</v>
      </c>
    </row>
    <row r="2078" spans="2:16" x14ac:dyDescent="0.45">
      <c r="B2078" s="4">
        <v>2077</v>
      </c>
      <c r="C2078" s="4" t="s">
        <v>31</v>
      </c>
      <c r="D2078" s="4" t="s">
        <v>16</v>
      </c>
      <c r="E2078" s="4" t="s">
        <v>35</v>
      </c>
      <c r="F2078" s="4" t="s">
        <v>18</v>
      </c>
      <c r="G2078" s="4" t="s">
        <v>19</v>
      </c>
      <c r="H2078" s="4" t="s">
        <v>36</v>
      </c>
      <c r="I2078" s="4">
        <v>5</v>
      </c>
      <c r="J2078" s="5">
        <v>32.9</v>
      </c>
      <c r="K2078" s="6">
        <v>1.36</v>
      </c>
      <c r="L2078" s="4">
        <v>5</v>
      </c>
      <c r="M2078" s="4">
        <v>132</v>
      </c>
      <c r="N2078" s="4">
        <v>99</v>
      </c>
      <c r="O2078" s="4" t="s">
        <v>26</v>
      </c>
      <c r="P2078" s="7" t="s">
        <v>19</v>
      </c>
    </row>
    <row r="2079" spans="2:16" x14ac:dyDescent="0.45">
      <c r="B2079" s="4">
        <v>2078</v>
      </c>
      <c r="C2079" s="4" t="s">
        <v>45</v>
      </c>
      <c r="D2079" s="4" t="s">
        <v>16</v>
      </c>
      <c r="E2079" s="4" t="s">
        <v>35</v>
      </c>
      <c r="F2079" s="4" t="s">
        <v>18</v>
      </c>
      <c r="G2079" s="4" t="s">
        <v>19</v>
      </c>
      <c r="H2079" s="4" t="s">
        <v>25</v>
      </c>
      <c r="I2079" s="4">
        <v>2</v>
      </c>
      <c r="J2079" s="5">
        <v>14.3</v>
      </c>
      <c r="K2079" s="6">
        <v>0.81</v>
      </c>
      <c r="L2079" s="4">
        <v>2</v>
      </c>
      <c r="M2079" s="4">
        <v>114</v>
      </c>
      <c r="N2079" s="4">
        <v>86</v>
      </c>
      <c r="O2079" s="4" t="s">
        <v>26</v>
      </c>
      <c r="P2079" s="7" t="s">
        <v>19</v>
      </c>
    </row>
    <row r="2080" spans="2:16" x14ac:dyDescent="0.45">
      <c r="B2080" s="4">
        <v>2079</v>
      </c>
      <c r="C2080" s="4" t="s">
        <v>43</v>
      </c>
      <c r="D2080" s="4" t="s">
        <v>16</v>
      </c>
      <c r="E2080" s="4" t="s">
        <v>35</v>
      </c>
      <c r="F2080" s="4" t="s">
        <v>28</v>
      </c>
      <c r="G2080" s="4" t="s">
        <v>19</v>
      </c>
      <c r="H2080" s="4" t="s">
        <v>36</v>
      </c>
      <c r="I2080" s="4">
        <v>13</v>
      </c>
      <c r="J2080" s="5">
        <v>45.5</v>
      </c>
      <c r="K2080" s="6">
        <v>1.75</v>
      </c>
      <c r="L2080" s="4">
        <v>4</v>
      </c>
      <c r="M2080" s="4">
        <v>124</v>
      </c>
      <c r="N2080" s="4">
        <v>99</v>
      </c>
      <c r="O2080" s="4" t="s">
        <v>26</v>
      </c>
      <c r="P2080" s="7" t="s">
        <v>19</v>
      </c>
    </row>
    <row r="2081" spans="2:16" x14ac:dyDescent="0.45">
      <c r="B2081" s="4">
        <v>2080</v>
      </c>
      <c r="C2081" s="4" t="s">
        <v>39</v>
      </c>
      <c r="D2081" s="4" t="s">
        <v>16</v>
      </c>
      <c r="E2081" s="4" t="s">
        <v>17</v>
      </c>
      <c r="F2081" s="4" t="s">
        <v>28</v>
      </c>
      <c r="G2081" s="4" t="s">
        <v>30</v>
      </c>
      <c r="H2081" s="4" t="s">
        <v>34</v>
      </c>
      <c r="I2081" s="4">
        <v>1</v>
      </c>
      <c r="J2081" s="5">
        <v>6.4</v>
      </c>
      <c r="K2081" s="6">
        <v>0.73</v>
      </c>
      <c r="L2081" s="4">
        <v>6</v>
      </c>
      <c r="M2081" s="4">
        <v>99</v>
      </c>
      <c r="N2081" s="4">
        <v>102</v>
      </c>
      <c r="O2081" s="4" t="s">
        <v>26</v>
      </c>
      <c r="P2081" s="7" t="s">
        <v>19</v>
      </c>
    </row>
    <row r="2082" spans="2:16" x14ac:dyDescent="0.45">
      <c r="B2082" s="4">
        <v>2081</v>
      </c>
      <c r="C2082" s="4" t="s">
        <v>31</v>
      </c>
      <c r="D2082" s="4" t="s">
        <v>23</v>
      </c>
      <c r="E2082" s="4" t="s">
        <v>35</v>
      </c>
      <c r="F2082" s="4" t="s">
        <v>24</v>
      </c>
      <c r="G2082" s="4" t="s">
        <v>19</v>
      </c>
      <c r="H2082" s="4" t="s">
        <v>20</v>
      </c>
      <c r="I2082" s="4">
        <v>65</v>
      </c>
      <c r="J2082" s="5">
        <v>61.1</v>
      </c>
      <c r="K2082" s="6">
        <v>1.87</v>
      </c>
      <c r="L2082" s="4">
        <v>2</v>
      </c>
      <c r="M2082" s="4">
        <v>126</v>
      </c>
      <c r="N2082" s="4">
        <v>87</v>
      </c>
      <c r="O2082" s="4" t="s">
        <v>26</v>
      </c>
      <c r="P2082" s="7" t="s">
        <v>19</v>
      </c>
    </row>
    <row r="2083" spans="2:16" x14ac:dyDescent="0.45">
      <c r="B2083" s="4">
        <v>2082</v>
      </c>
      <c r="C2083" s="4" t="s">
        <v>22</v>
      </c>
      <c r="D2083" s="4" t="s">
        <v>23</v>
      </c>
      <c r="E2083" s="4" t="s">
        <v>17</v>
      </c>
      <c r="F2083" s="4" t="s">
        <v>24</v>
      </c>
      <c r="G2083" s="4" t="s">
        <v>19</v>
      </c>
      <c r="H2083" s="4" t="s">
        <v>32</v>
      </c>
      <c r="I2083" s="4">
        <v>6</v>
      </c>
      <c r="J2083" s="5">
        <v>33.5</v>
      </c>
      <c r="K2083" s="6">
        <v>1.22</v>
      </c>
      <c r="L2083" s="4">
        <v>5</v>
      </c>
      <c r="M2083" s="4">
        <v>98</v>
      </c>
      <c r="N2083" s="4">
        <v>140</v>
      </c>
      <c r="O2083" s="4" t="s">
        <v>21</v>
      </c>
      <c r="P2083" s="7" t="s">
        <v>19</v>
      </c>
    </row>
    <row r="2084" spans="2:16" x14ac:dyDescent="0.45">
      <c r="B2084" s="4">
        <v>2083</v>
      </c>
      <c r="C2084" s="4" t="s">
        <v>27</v>
      </c>
      <c r="D2084" s="4" t="s">
        <v>23</v>
      </c>
      <c r="E2084" s="4" t="s">
        <v>35</v>
      </c>
      <c r="F2084" s="4" t="s">
        <v>24</v>
      </c>
      <c r="G2084" s="4" t="s">
        <v>19</v>
      </c>
      <c r="H2084" s="4" t="s">
        <v>32</v>
      </c>
      <c r="I2084" s="4">
        <v>7</v>
      </c>
      <c r="J2084" s="5">
        <v>21.3</v>
      </c>
      <c r="K2084" s="6">
        <v>1.3</v>
      </c>
      <c r="L2084" s="4">
        <v>4</v>
      </c>
      <c r="M2084" s="4">
        <v>108</v>
      </c>
      <c r="N2084" s="4">
        <v>133</v>
      </c>
      <c r="O2084" s="4" t="s">
        <v>26</v>
      </c>
      <c r="P2084" s="7" t="s">
        <v>19</v>
      </c>
    </row>
    <row r="2085" spans="2:16" x14ac:dyDescent="0.45">
      <c r="B2085" s="4">
        <v>2084</v>
      </c>
      <c r="C2085" s="4" t="s">
        <v>29</v>
      </c>
      <c r="D2085" s="4" t="s">
        <v>16</v>
      </c>
      <c r="E2085" s="4" t="s">
        <v>17</v>
      </c>
      <c r="F2085" s="4" t="s">
        <v>24</v>
      </c>
      <c r="G2085" s="4" t="s">
        <v>19</v>
      </c>
      <c r="H2085" s="4" t="s">
        <v>32</v>
      </c>
      <c r="I2085" s="4">
        <v>40</v>
      </c>
      <c r="J2085" s="5">
        <v>64.099999999999994</v>
      </c>
      <c r="K2085" s="6">
        <v>1.63</v>
      </c>
      <c r="L2085" s="4">
        <v>2</v>
      </c>
      <c r="M2085" s="4">
        <v>115</v>
      </c>
      <c r="N2085" s="4">
        <v>153</v>
      </c>
      <c r="O2085" s="4" t="s">
        <v>21</v>
      </c>
      <c r="P2085" s="7" t="s">
        <v>19</v>
      </c>
    </row>
    <row r="2086" spans="2:16" x14ac:dyDescent="0.45">
      <c r="B2086" s="4">
        <v>2085</v>
      </c>
      <c r="C2086" s="4" t="s">
        <v>33</v>
      </c>
      <c r="D2086" s="4" t="s">
        <v>16</v>
      </c>
      <c r="E2086" s="4" t="s">
        <v>35</v>
      </c>
      <c r="F2086" s="4" t="s">
        <v>24</v>
      </c>
      <c r="G2086" s="4" t="s">
        <v>19</v>
      </c>
      <c r="H2086" s="4" t="s">
        <v>38</v>
      </c>
      <c r="I2086" s="4">
        <v>0</v>
      </c>
      <c r="J2086" s="5">
        <v>9.1</v>
      </c>
      <c r="K2086" s="6">
        <v>1.04</v>
      </c>
      <c r="L2086" s="4">
        <v>1</v>
      </c>
      <c r="M2086" s="4">
        <v>105</v>
      </c>
      <c r="N2086" s="4">
        <v>92</v>
      </c>
      <c r="O2086" s="4" t="s">
        <v>21</v>
      </c>
      <c r="P2086" s="7" t="s">
        <v>19</v>
      </c>
    </row>
    <row r="2087" spans="2:16" x14ac:dyDescent="0.45">
      <c r="B2087" s="4">
        <v>2086</v>
      </c>
      <c r="C2087" s="4" t="s">
        <v>45</v>
      </c>
      <c r="D2087" s="4" t="s">
        <v>16</v>
      </c>
      <c r="E2087" s="4" t="s">
        <v>37</v>
      </c>
      <c r="F2087" s="4" t="s">
        <v>18</v>
      </c>
      <c r="G2087" s="4" t="s">
        <v>19</v>
      </c>
      <c r="H2087" s="4" t="s">
        <v>25</v>
      </c>
      <c r="I2087" s="4">
        <v>48</v>
      </c>
      <c r="J2087" s="5">
        <v>77.900000000000006</v>
      </c>
      <c r="K2087" s="6">
        <v>1.68</v>
      </c>
      <c r="L2087" s="4">
        <v>3</v>
      </c>
      <c r="M2087" s="4">
        <v>119</v>
      </c>
      <c r="N2087" s="4">
        <v>76</v>
      </c>
      <c r="O2087" s="4" t="s">
        <v>21</v>
      </c>
      <c r="P2087" s="7" t="s">
        <v>19</v>
      </c>
    </row>
    <row r="2088" spans="2:16" x14ac:dyDescent="0.45">
      <c r="B2088" s="4">
        <v>2087</v>
      </c>
      <c r="C2088" s="4" t="s">
        <v>41</v>
      </c>
      <c r="D2088" s="4" t="s">
        <v>23</v>
      </c>
      <c r="E2088" s="4" t="s">
        <v>37</v>
      </c>
      <c r="F2088" s="4" t="s">
        <v>24</v>
      </c>
      <c r="G2088" s="4" t="s">
        <v>19</v>
      </c>
      <c r="H2088" s="4" t="s">
        <v>28</v>
      </c>
      <c r="I2088" s="4">
        <v>36</v>
      </c>
      <c r="J2088" s="5">
        <v>60.6</v>
      </c>
      <c r="K2088" s="6">
        <v>1.59</v>
      </c>
      <c r="L2088" s="4">
        <v>3</v>
      </c>
      <c r="M2088" s="4">
        <v>105</v>
      </c>
      <c r="N2088" s="4">
        <v>83</v>
      </c>
      <c r="O2088" s="4" t="s">
        <v>26</v>
      </c>
      <c r="P2088" s="7" t="s">
        <v>19</v>
      </c>
    </row>
    <row r="2089" spans="2:16" x14ac:dyDescent="0.45">
      <c r="B2089" s="4">
        <v>2088</v>
      </c>
      <c r="C2089" s="4" t="s">
        <v>27</v>
      </c>
      <c r="D2089" s="4" t="s">
        <v>16</v>
      </c>
      <c r="E2089" s="4" t="s">
        <v>17</v>
      </c>
      <c r="F2089" s="4" t="s">
        <v>18</v>
      </c>
      <c r="G2089" s="4" t="s">
        <v>19</v>
      </c>
      <c r="H2089" s="4" t="s">
        <v>46</v>
      </c>
      <c r="I2089" s="4">
        <v>21</v>
      </c>
      <c r="J2089" s="5">
        <v>54.6</v>
      </c>
      <c r="K2089" s="6">
        <v>1.51</v>
      </c>
      <c r="L2089" s="4">
        <v>7</v>
      </c>
      <c r="M2089" s="4">
        <v>97</v>
      </c>
      <c r="N2089" s="4">
        <v>94</v>
      </c>
      <c r="O2089" s="4" t="s">
        <v>26</v>
      </c>
      <c r="P2089" s="7" t="s">
        <v>19</v>
      </c>
    </row>
    <row r="2090" spans="2:16" x14ac:dyDescent="0.45">
      <c r="B2090" s="4">
        <v>2089</v>
      </c>
      <c r="C2090" s="4" t="s">
        <v>29</v>
      </c>
      <c r="D2090" s="4" t="s">
        <v>16</v>
      </c>
      <c r="E2090" s="4" t="s">
        <v>17</v>
      </c>
      <c r="F2090" s="4" t="s">
        <v>28</v>
      </c>
      <c r="G2090" s="4" t="s">
        <v>19</v>
      </c>
      <c r="H2090" s="4" t="s">
        <v>38</v>
      </c>
      <c r="I2090" s="4">
        <v>37</v>
      </c>
      <c r="J2090" s="5">
        <v>74.900000000000006</v>
      </c>
      <c r="K2090" s="6">
        <v>1.8</v>
      </c>
      <c r="L2090" s="4">
        <v>0</v>
      </c>
      <c r="M2090" s="4">
        <v>121</v>
      </c>
      <c r="N2090" s="4">
        <v>78</v>
      </c>
      <c r="O2090" s="4" t="s">
        <v>26</v>
      </c>
      <c r="P2090" s="7" t="s">
        <v>19</v>
      </c>
    </row>
    <row r="2091" spans="2:16" x14ac:dyDescent="0.45">
      <c r="B2091" s="4">
        <v>2090</v>
      </c>
      <c r="C2091" s="4" t="s">
        <v>22</v>
      </c>
      <c r="D2091" s="4" t="s">
        <v>23</v>
      </c>
      <c r="E2091" s="4" t="s">
        <v>35</v>
      </c>
      <c r="F2091" s="4" t="s">
        <v>28</v>
      </c>
      <c r="G2091" s="4" t="s">
        <v>19</v>
      </c>
      <c r="H2091" s="4" t="s">
        <v>28</v>
      </c>
      <c r="I2091" s="4">
        <v>22</v>
      </c>
      <c r="J2091" s="5">
        <v>62.5</v>
      </c>
      <c r="K2091" s="6">
        <v>1.6</v>
      </c>
      <c r="L2091" s="4">
        <v>2</v>
      </c>
      <c r="M2091" s="4">
        <v>101</v>
      </c>
      <c r="N2091" s="4">
        <v>81</v>
      </c>
      <c r="O2091" s="4" t="s">
        <v>21</v>
      </c>
      <c r="P2091" s="7" t="s">
        <v>30</v>
      </c>
    </row>
    <row r="2092" spans="2:16" x14ac:dyDescent="0.45">
      <c r="B2092" s="4">
        <v>2091</v>
      </c>
      <c r="C2092" s="4" t="s">
        <v>15</v>
      </c>
      <c r="D2092" s="4" t="s">
        <v>16</v>
      </c>
      <c r="E2092" s="4" t="s">
        <v>17</v>
      </c>
      <c r="F2092" s="4" t="s">
        <v>24</v>
      </c>
      <c r="G2092" s="4" t="s">
        <v>19</v>
      </c>
      <c r="H2092" s="4" t="s">
        <v>34</v>
      </c>
      <c r="I2092" s="4">
        <v>7</v>
      </c>
      <c r="J2092" s="5">
        <v>32.9</v>
      </c>
      <c r="K2092" s="6">
        <v>1.38</v>
      </c>
      <c r="L2092" s="4">
        <v>6</v>
      </c>
      <c r="M2092" s="4">
        <v>114</v>
      </c>
      <c r="N2092" s="4">
        <v>91</v>
      </c>
      <c r="O2092" s="4" t="s">
        <v>26</v>
      </c>
      <c r="P2092" s="7" t="s">
        <v>19</v>
      </c>
    </row>
    <row r="2093" spans="2:16" x14ac:dyDescent="0.45">
      <c r="B2093" s="4">
        <v>2092</v>
      </c>
      <c r="C2093" s="4" t="s">
        <v>41</v>
      </c>
      <c r="D2093" s="4" t="s">
        <v>23</v>
      </c>
      <c r="E2093" s="4" t="s">
        <v>44</v>
      </c>
      <c r="F2093" s="4" t="s">
        <v>24</v>
      </c>
      <c r="G2093" s="4" t="s">
        <v>19</v>
      </c>
      <c r="H2093" s="4" t="s">
        <v>28</v>
      </c>
      <c r="I2093" s="4">
        <v>36</v>
      </c>
      <c r="J2093" s="5">
        <v>74.900000000000006</v>
      </c>
      <c r="K2093" s="6">
        <v>1.8</v>
      </c>
      <c r="L2093" s="4">
        <v>1</v>
      </c>
      <c r="M2093" s="4">
        <v>111</v>
      </c>
      <c r="N2093" s="4">
        <v>99</v>
      </c>
      <c r="O2093" s="4" t="s">
        <v>26</v>
      </c>
      <c r="P2093" s="7" t="s">
        <v>19</v>
      </c>
    </row>
    <row r="2094" spans="2:16" x14ac:dyDescent="0.45">
      <c r="B2094" s="4">
        <v>2093</v>
      </c>
      <c r="C2094" s="4" t="s">
        <v>43</v>
      </c>
      <c r="D2094" s="4" t="s">
        <v>16</v>
      </c>
      <c r="E2094" s="4" t="s">
        <v>17</v>
      </c>
      <c r="F2094" s="4" t="s">
        <v>18</v>
      </c>
      <c r="G2094" s="4" t="s">
        <v>19</v>
      </c>
      <c r="H2094" s="4" t="s">
        <v>25</v>
      </c>
      <c r="I2094" s="4">
        <v>21</v>
      </c>
      <c r="J2094" s="5">
        <v>50.4</v>
      </c>
      <c r="K2094" s="6">
        <v>1.78</v>
      </c>
      <c r="L2094" s="4">
        <v>2</v>
      </c>
      <c r="M2094" s="4">
        <v>104</v>
      </c>
      <c r="N2094" s="4">
        <v>77</v>
      </c>
      <c r="O2094" s="4" t="s">
        <v>26</v>
      </c>
      <c r="P2094" s="7" t="s">
        <v>19</v>
      </c>
    </row>
    <row r="2095" spans="2:16" x14ac:dyDescent="0.45">
      <c r="B2095" s="4">
        <v>2094</v>
      </c>
      <c r="C2095" s="4" t="s">
        <v>39</v>
      </c>
      <c r="D2095" s="4" t="s">
        <v>16</v>
      </c>
      <c r="E2095" s="4" t="s">
        <v>17</v>
      </c>
      <c r="F2095" s="4" t="s">
        <v>28</v>
      </c>
      <c r="G2095" s="4" t="s">
        <v>19</v>
      </c>
      <c r="H2095" s="4" t="s">
        <v>36</v>
      </c>
      <c r="I2095" s="4">
        <v>64</v>
      </c>
      <c r="J2095" s="5">
        <v>56.8</v>
      </c>
      <c r="K2095" s="6">
        <v>1.68</v>
      </c>
      <c r="L2095" s="4">
        <v>1</v>
      </c>
      <c r="M2095" s="4">
        <v>133</v>
      </c>
      <c r="N2095" s="4">
        <v>86</v>
      </c>
      <c r="O2095" s="4" t="s">
        <v>26</v>
      </c>
      <c r="P2095" s="7" t="s">
        <v>19</v>
      </c>
    </row>
    <row r="2096" spans="2:16" x14ac:dyDescent="0.45">
      <c r="B2096" s="4">
        <v>2095</v>
      </c>
      <c r="C2096" s="4" t="s">
        <v>31</v>
      </c>
      <c r="D2096" s="4" t="s">
        <v>16</v>
      </c>
      <c r="E2096" s="4" t="s">
        <v>35</v>
      </c>
      <c r="F2096" s="4" t="s">
        <v>28</v>
      </c>
      <c r="G2096" s="4" t="s">
        <v>19</v>
      </c>
      <c r="H2096" s="4" t="s">
        <v>20</v>
      </c>
      <c r="I2096" s="4">
        <v>50</v>
      </c>
      <c r="J2096" s="5">
        <v>65.8</v>
      </c>
      <c r="K2096" s="6">
        <v>1.61</v>
      </c>
      <c r="L2096" s="4">
        <v>7</v>
      </c>
      <c r="M2096" s="4">
        <v>129</v>
      </c>
      <c r="N2096" s="4">
        <v>101</v>
      </c>
      <c r="O2096" s="4" t="s">
        <v>26</v>
      </c>
      <c r="P2096" s="7" t="s">
        <v>19</v>
      </c>
    </row>
    <row r="2097" spans="2:16" x14ac:dyDescent="0.45">
      <c r="B2097" s="4">
        <v>2096</v>
      </c>
      <c r="C2097" s="4" t="s">
        <v>41</v>
      </c>
      <c r="D2097" s="4" t="s">
        <v>23</v>
      </c>
      <c r="E2097" s="4" t="s">
        <v>35</v>
      </c>
      <c r="F2097" s="4" t="s">
        <v>28</v>
      </c>
      <c r="G2097" s="4" t="s">
        <v>19</v>
      </c>
      <c r="H2097" s="4" t="s">
        <v>46</v>
      </c>
      <c r="I2097" s="4">
        <v>26</v>
      </c>
      <c r="J2097" s="5">
        <v>70</v>
      </c>
      <c r="K2097" s="6">
        <v>1.56</v>
      </c>
      <c r="L2097" s="4">
        <v>2</v>
      </c>
      <c r="M2097" s="4">
        <v>107</v>
      </c>
      <c r="N2097" s="4">
        <v>105</v>
      </c>
      <c r="O2097" s="4" t="s">
        <v>26</v>
      </c>
      <c r="P2097" s="7" t="s">
        <v>19</v>
      </c>
    </row>
    <row r="2098" spans="2:16" x14ac:dyDescent="0.45">
      <c r="B2098" s="4">
        <v>2097</v>
      </c>
      <c r="C2098" s="4" t="s">
        <v>29</v>
      </c>
      <c r="D2098" s="4" t="s">
        <v>16</v>
      </c>
      <c r="E2098" s="4" t="s">
        <v>44</v>
      </c>
      <c r="F2098" s="4" t="s">
        <v>24</v>
      </c>
      <c r="G2098" s="4" t="s">
        <v>19</v>
      </c>
      <c r="H2098" s="4" t="s">
        <v>36</v>
      </c>
      <c r="I2098" s="4">
        <v>12</v>
      </c>
      <c r="J2098" s="5">
        <v>44.2</v>
      </c>
      <c r="K2098" s="6">
        <v>1.47</v>
      </c>
      <c r="L2098" s="4">
        <v>3</v>
      </c>
      <c r="M2098" s="4">
        <v>124</v>
      </c>
      <c r="N2098" s="4">
        <v>71</v>
      </c>
      <c r="O2098" s="4" t="s">
        <v>26</v>
      </c>
      <c r="P2098" s="7" t="s">
        <v>19</v>
      </c>
    </row>
    <row r="2099" spans="2:16" x14ac:dyDescent="0.45">
      <c r="B2099" s="4">
        <v>2098</v>
      </c>
      <c r="C2099" s="4" t="s">
        <v>22</v>
      </c>
      <c r="D2099" s="4" t="s">
        <v>23</v>
      </c>
      <c r="E2099" s="4" t="s">
        <v>35</v>
      </c>
      <c r="F2099" s="4" t="s">
        <v>24</v>
      </c>
      <c r="G2099" s="4" t="s">
        <v>19</v>
      </c>
      <c r="H2099" s="4" t="s">
        <v>20</v>
      </c>
      <c r="I2099" s="4">
        <v>5</v>
      </c>
      <c r="J2099" s="5">
        <v>25.8</v>
      </c>
      <c r="K2099" s="6">
        <v>1.1599999999999999</v>
      </c>
      <c r="L2099" s="4">
        <v>3</v>
      </c>
      <c r="M2099" s="4">
        <v>117</v>
      </c>
      <c r="N2099" s="4">
        <v>97</v>
      </c>
      <c r="O2099" s="4" t="s">
        <v>26</v>
      </c>
      <c r="P2099" s="7" t="s">
        <v>30</v>
      </c>
    </row>
    <row r="2100" spans="2:16" x14ac:dyDescent="0.45">
      <c r="B2100" s="4">
        <v>2099</v>
      </c>
      <c r="C2100" s="4" t="s">
        <v>15</v>
      </c>
      <c r="D2100" s="4" t="s">
        <v>16</v>
      </c>
      <c r="E2100" s="4" t="s">
        <v>17</v>
      </c>
      <c r="F2100" s="4" t="s">
        <v>24</v>
      </c>
      <c r="G2100" s="4" t="s">
        <v>30</v>
      </c>
      <c r="H2100" s="4" t="s">
        <v>28</v>
      </c>
      <c r="I2100" s="4">
        <v>14</v>
      </c>
      <c r="J2100" s="5">
        <v>51</v>
      </c>
      <c r="K2100" s="6">
        <v>1.51</v>
      </c>
      <c r="L2100" s="4">
        <v>4</v>
      </c>
      <c r="M2100" s="4">
        <v>108</v>
      </c>
      <c r="N2100" s="4">
        <v>94</v>
      </c>
      <c r="O2100" s="4" t="s">
        <v>21</v>
      </c>
      <c r="P2100" s="7" t="s">
        <v>19</v>
      </c>
    </row>
    <row r="2101" spans="2:16" x14ac:dyDescent="0.45">
      <c r="B2101" s="4">
        <v>2100</v>
      </c>
      <c r="C2101" s="4" t="s">
        <v>40</v>
      </c>
      <c r="D2101" s="4" t="s">
        <v>23</v>
      </c>
      <c r="E2101" s="4" t="s">
        <v>17</v>
      </c>
      <c r="F2101" s="4" t="s">
        <v>18</v>
      </c>
      <c r="G2101" s="4" t="s">
        <v>19</v>
      </c>
      <c r="H2101" s="4" t="s">
        <v>28</v>
      </c>
      <c r="I2101" s="4">
        <v>7</v>
      </c>
      <c r="J2101" s="5">
        <v>25.2</v>
      </c>
      <c r="K2101" s="6">
        <v>1.1599999999999999</v>
      </c>
      <c r="L2101" s="4">
        <v>4</v>
      </c>
      <c r="M2101" s="4">
        <v>108</v>
      </c>
      <c r="N2101" s="4">
        <v>85</v>
      </c>
      <c r="O2101" s="4" t="s">
        <v>26</v>
      </c>
      <c r="P2101" s="7" t="s">
        <v>30</v>
      </c>
    </row>
    <row r="2102" spans="2:16" x14ac:dyDescent="0.45">
      <c r="B2102" s="4">
        <v>2101</v>
      </c>
      <c r="C2102" s="4" t="s">
        <v>45</v>
      </c>
      <c r="D2102" s="4" t="s">
        <v>23</v>
      </c>
      <c r="E2102" s="4" t="s">
        <v>35</v>
      </c>
      <c r="F2102" s="4" t="s">
        <v>18</v>
      </c>
      <c r="G2102" s="4" t="s">
        <v>19</v>
      </c>
      <c r="H2102" s="4" t="s">
        <v>20</v>
      </c>
      <c r="I2102" s="4">
        <v>7</v>
      </c>
      <c r="J2102" s="5">
        <v>24.6</v>
      </c>
      <c r="K2102" s="6">
        <v>1.26</v>
      </c>
      <c r="L2102" s="4">
        <v>5</v>
      </c>
      <c r="M2102" s="4">
        <v>101</v>
      </c>
      <c r="N2102" s="4">
        <v>96</v>
      </c>
      <c r="O2102" s="4" t="s">
        <v>26</v>
      </c>
      <c r="P2102" s="7" t="s">
        <v>19</v>
      </c>
    </row>
    <row r="2103" spans="2:16" x14ac:dyDescent="0.45">
      <c r="B2103" s="4">
        <v>2102</v>
      </c>
      <c r="C2103" s="4" t="s">
        <v>45</v>
      </c>
      <c r="D2103" s="4" t="s">
        <v>16</v>
      </c>
      <c r="E2103" s="4" t="s">
        <v>17</v>
      </c>
      <c r="F2103" s="4" t="s">
        <v>24</v>
      </c>
      <c r="G2103" s="4" t="s">
        <v>30</v>
      </c>
      <c r="H2103" s="4" t="s">
        <v>25</v>
      </c>
      <c r="I2103" s="4">
        <v>50</v>
      </c>
      <c r="J2103" s="5">
        <v>72.2</v>
      </c>
      <c r="K2103" s="6">
        <v>1.55</v>
      </c>
      <c r="L2103" s="4">
        <v>3</v>
      </c>
      <c r="M2103" s="4">
        <v>119</v>
      </c>
      <c r="N2103" s="4">
        <v>91</v>
      </c>
      <c r="O2103" s="4" t="s">
        <v>21</v>
      </c>
      <c r="P2103" s="7" t="s">
        <v>30</v>
      </c>
    </row>
    <row r="2104" spans="2:16" x14ac:dyDescent="0.45">
      <c r="B2104" s="4">
        <v>2103</v>
      </c>
      <c r="C2104" s="4" t="s">
        <v>33</v>
      </c>
      <c r="D2104" s="4" t="s">
        <v>16</v>
      </c>
      <c r="E2104" s="4" t="s">
        <v>35</v>
      </c>
      <c r="F2104" s="4" t="s">
        <v>24</v>
      </c>
      <c r="G2104" s="4" t="s">
        <v>19</v>
      </c>
      <c r="H2104" s="4" t="s">
        <v>20</v>
      </c>
      <c r="I2104" s="4">
        <v>41</v>
      </c>
      <c r="J2104" s="5">
        <v>89.3</v>
      </c>
      <c r="K2104" s="6">
        <v>1.58</v>
      </c>
      <c r="L2104" s="4">
        <v>5</v>
      </c>
      <c r="M2104" s="4">
        <v>106</v>
      </c>
      <c r="N2104" s="4">
        <v>100</v>
      </c>
      <c r="O2104" s="4" t="s">
        <v>26</v>
      </c>
      <c r="P2104" s="7" t="s">
        <v>19</v>
      </c>
    </row>
    <row r="2105" spans="2:16" x14ac:dyDescent="0.45">
      <c r="B2105" s="4">
        <v>2104</v>
      </c>
      <c r="C2105" s="4" t="s">
        <v>41</v>
      </c>
      <c r="D2105" s="4" t="s">
        <v>23</v>
      </c>
      <c r="E2105" s="4" t="s">
        <v>44</v>
      </c>
      <c r="F2105" s="4" t="s">
        <v>18</v>
      </c>
      <c r="G2105" s="4" t="s">
        <v>30</v>
      </c>
      <c r="H2105" s="4" t="s">
        <v>38</v>
      </c>
      <c r="I2105" s="4">
        <v>27</v>
      </c>
      <c r="J2105" s="5">
        <v>89.6</v>
      </c>
      <c r="K2105" s="6">
        <v>1.64</v>
      </c>
      <c r="L2105" s="4">
        <v>2</v>
      </c>
      <c r="M2105" s="4">
        <v>103</v>
      </c>
      <c r="N2105" s="4">
        <v>80</v>
      </c>
      <c r="O2105" s="4" t="s">
        <v>21</v>
      </c>
      <c r="P2105" s="7" t="s">
        <v>30</v>
      </c>
    </row>
    <row r="2106" spans="2:16" x14ac:dyDescent="0.45">
      <c r="B2106" s="4">
        <v>2105</v>
      </c>
      <c r="C2106" s="4" t="s">
        <v>22</v>
      </c>
      <c r="D2106" s="4" t="s">
        <v>23</v>
      </c>
      <c r="E2106" s="4" t="s">
        <v>35</v>
      </c>
      <c r="F2106" s="4" t="s">
        <v>18</v>
      </c>
      <c r="G2106" s="4" t="s">
        <v>30</v>
      </c>
      <c r="H2106" s="4" t="s">
        <v>20</v>
      </c>
      <c r="I2106" s="4">
        <v>39</v>
      </c>
      <c r="J2106" s="5">
        <v>58.9</v>
      </c>
      <c r="K2106" s="6">
        <v>1.63</v>
      </c>
      <c r="L2106" s="4">
        <v>5</v>
      </c>
      <c r="M2106" s="4">
        <v>103</v>
      </c>
      <c r="N2106" s="4">
        <v>77</v>
      </c>
      <c r="O2106" s="4" t="s">
        <v>26</v>
      </c>
      <c r="P2106" s="7" t="s">
        <v>19</v>
      </c>
    </row>
    <row r="2107" spans="2:16" x14ac:dyDescent="0.45">
      <c r="B2107" s="4">
        <v>2106</v>
      </c>
      <c r="C2107" s="4" t="s">
        <v>33</v>
      </c>
      <c r="D2107" s="4" t="s">
        <v>23</v>
      </c>
      <c r="E2107" s="4" t="s">
        <v>17</v>
      </c>
      <c r="F2107" s="4" t="s">
        <v>18</v>
      </c>
      <c r="G2107" s="4" t="s">
        <v>19</v>
      </c>
      <c r="H2107" s="4" t="s">
        <v>36</v>
      </c>
      <c r="I2107" s="4">
        <v>11</v>
      </c>
      <c r="J2107" s="5">
        <v>26.3</v>
      </c>
      <c r="K2107" s="6">
        <v>1.25</v>
      </c>
      <c r="L2107" s="4">
        <v>3</v>
      </c>
      <c r="M2107" s="4">
        <v>150</v>
      </c>
      <c r="N2107" s="4">
        <v>71</v>
      </c>
      <c r="O2107" s="4" t="s">
        <v>21</v>
      </c>
      <c r="P2107" s="7" t="s">
        <v>30</v>
      </c>
    </row>
    <row r="2108" spans="2:16" x14ac:dyDescent="0.45">
      <c r="B2108" s="4">
        <v>2107</v>
      </c>
      <c r="C2108" s="4" t="s">
        <v>15</v>
      </c>
      <c r="D2108" s="4" t="s">
        <v>16</v>
      </c>
      <c r="E2108" s="4" t="s">
        <v>35</v>
      </c>
      <c r="F2108" s="4" t="s">
        <v>18</v>
      </c>
      <c r="G2108" s="4" t="s">
        <v>30</v>
      </c>
      <c r="H2108" s="4" t="s">
        <v>38</v>
      </c>
      <c r="I2108" s="4">
        <v>22</v>
      </c>
      <c r="J2108" s="5">
        <v>94.7</v>
      </c>
      <c r="K2108" s="6">
        <v>1.85</v>
      </c>
      <c r="L2108" s="4">
        <v>2</v>
      </c>
      <c r="M2108" s="4">
        <v>108</v>
      </c>
      <c r="N2108" s="4">
        <v>75</v>
      </c>
      <c r="O2108" s="4" t="s">
        <v>21</v>
      </c>
      <c r="P2108" s="7" t="s">
        <v>19</v>
      </c>
    </row>
    <row r="2109" spans="2:16" x14ac:dyDescent="0.45">
      <c r="B2109" s="4">
        <v>2108</v>
      </c>
      <c r="C2109" s="4" t="s">
        <v>15</v>
      </c>
      <c r="D2109" s="4" t="s">
        <v>16</v>
      </c>
      <c r="E2109" s="4" t="s">
        <v>44</v>
      </c>
      <c r="F2109" s="4" t="s">
        <v>18</v>
      </c>
      <c r="G2109" s="4" t="s">
        <v>19</v>
      </c>
      <c r="H2109" s="4" t="s">
        <v>28</v>
      </c>
      <c r="I2109" s="4">
        <v>27</v>
      </c>
      <c r="J2109" s="5">
        <v>51.1</v>
      </c>
      <c r="K2109" s="6">
        <v>1.82</v>
      </c>
      <c r="L2109" s="4">
        <v>0</v>
      </c>
      <c r="M2109" s="4">
        <v>124</v>
      </c>
      <c r="N2109" s="4">
        <v>103</v>
      </c>
      <c r="O2109" s="4" t="s">
        <v>21</v>
      </c>
      <c r="P2109" s="7" t="s">
        <v>30</v>
      </c>
    </row>
    <row r="2110" spans="2:16" x14ac:dyDescent="0.45">
      <c r="B2110" s="4">
        <v>2109</v>
      </c>
      <c r="C2110" s="4" t="s">
        <v>45</v>
      </c>
      <c r="D2110" s="4" t="s">
        <v>16</v>
      </c>
      <c r="E2110" s="4" t="s">
        <v>35</v>
      </c>
      <c r="F2110" s="4" t="s">
        <v>18</v>
      </c>
      <c r="G2110" s="4" t="s">
        <v>30</v>
      </c>
      <c r="H2110" s="4" t="s">
        <v>28</v>
      </c>
      <c r="I2110" s="4">
        <v>15</v>
      </c>
      <c r="J2110" s="5">
        <v>64.5</v>
      </c>
      <c r="K2110" s="6">
        <v>1.51</v>
      </c>
      <c r="L2110" s="4">
        <v>4</v>
      </c>
      <c r="M2110" s="4">
        <v>101</v>
      </c>
      <c r="N2110" s="4">
        <v>98</v>
      </c>
      <c r="O2110" s="4" t="s">
        <v>21</v>
      </c>
      <c r="P2110" s="7" t="s">
        <v>19</v>
      </c>
    </row>
    <row r="2111" spans="2:16" x14ac:dyDescent="0.45">
      <c r="B2111" s="4">
        <v>2110</v>
      </c>
      <c r="C2111" s="4" t="s">
        <v>22</v>
      </c>
      <c r="D2111" s="4" t="s">
        <v>23</v>
      </c>
      <c r="E2111" s="4" t="s">
        <v>17</v>
      </c>
      <c r="F2111" s="4" t="s">
        <v>24</v>
      </c>
      <c r="G2111" s="4" t="s">
        <v>19</v>
      </c>
      <c r="H2111" s="4" t="s">
        <v>36</v>
      </c>
      <c r="I2111" s="4">
        <v>57</v>
      </c>
      <c r="J2111" s="5">
        <v>63.2</v>
      </c>
      <c r="K2111" s="6">
        <v>1.49</v>
      </c>
      <c r="L2111" s="4">
        <v>3</v>
      </c>
      <c r="M2111" s="4">
        <v>154</v>
      </c>
      <c r="N2111" s="4">
        <v>97</v>
      </c>
      <c r="O2111" s="4" t="s">
        <v>21</v>
      </c>
      <c r="P2111" s="7" t="s">
        <v>19</v>
      </c>
    </row>
    <row r="2112" spans="2:16" x14ac:dyDescent="0.45">
      <c r="B2112" s="4">
        <v>2111</v>
      </c>
      <c r="C2112" s="4" t="s">
        <v>31</v>
      </c>
      <c r="D2112" s="4" t="s">
        <v>23</v>
      </c>
      <c r="E2112" s="4" t="s">
        <v>35</v>
      </c>
      <c r="F2112" s="4" t="s">
        <v>18</v>
      </c>
      <c r="G2112" s="4" t="s">
        <v>19</v>
      </c>
      <c r="H2112" s="4" t="s">
        <v>28</v>
      </c>
      <c r="I2112" s="4">
        <v>29</v>
      </c>
      <c r="J2112" s="5">
        <v>52.5</v>
      </c>
      <c r="K2112" s="6">
        <v>1.86</v>
      </c>
      <c r="L2112" s="4">
        <v>2</v>
      </c>
      <c r="M2112" s="4">
        <v>115</v>
      </c>
      <c r="N2112" s="4">
        <v>70</v>
      </c>
      <c r="O2112" s="4" t="s">
        <v>21</v>
      </c>
      <c r="P2112" s="7" t="s">
        <v>19</v>
      </c>
    </row>
    <row r="2113" spans="2:16" x14ac:dyDescent="0.45">
      <c r="B2113" s="4">
        <v>2112</v>
      </c>
      <c r="C2113" s="4" t="s">
        <v>45</v>
      </c>
      <c r="D2113" s="4" t="s">
        <v>23</v>
      </c>
      <c r="E2113" s="4" t="s">
        <v>17</v>
      </c>
      <c r="F2113" s="4" t="s">
        <v>28</v>
      </c>
      <c r="G2113" s="4" t="s">
        <v>19</v>
      </c>
      <c r="H2113" s="4" t="s">
        <v>28</v>
      </c>
      <c r="I2113" s="4">
        <v>79</v>
      </c>
      <c r="J2113" s="5">
        <v>84.4</v>
      </c>
      <c r="K2113" s="6">
        <v>1.89</v>
      </c>
      <c r="L2113" s="4">
        <v>6</v>
      </c>
      <c r="M2113" s="4">
        <v>133</v>
      </c>
      <c r="N2113" s="4">
        <v>73</v>
      </c>
      <c r="O2113" s="4" t="s">
        <v>26</v>
      </c>
      <c r="P2113" s="7" t="s">
        <v>19</v>
      </c>
    </row>
    <row r="2114" spans="2:16" x14ac:dyDescent="0.45">
      <c r="B2114" s="4">
        <v>2113</v>
      </c>
      <c r="C2114" s="4" t="s">
        <v>29</v>
      </c>
      <c r="D2114" s="4" t="s">
        <v>23</v>
      </c>
      <c r="E2114" s="4" t="s">
        <v>17</v>
      </c>
      <c r="F2114" s="4" t="s">
        <v>18</v>
      </c>
      <c r="G2114" s="4" t="s">
        <v>19</v>
      </c>
      <c r="H2114" s="4" t="s">
        <v>34</v>
      </c>
      <c r="I2114" s="4">
        <v>16</v>
      </c>
      <c r="J2114" s="5">
        <v>53.8</v>
      </c>
      <c r="K2114" s="6">
        <v>1.59</v>
      </c>
      <c r="L2114" s="4">
        <v>2</v>
      </c>
      <c r="M2114" s="4">
        <v>99</v>
      </c>
      <c r="N2114" s="4">
        <v>101</v>
      </c>
      <c r="O2114" s="4" t="s">
        <v>26</v>
      </c>
      <c r="P2114" s="7" t="s">
        <v>19</v>
      </c>
    </row>
    <row r="2115" spans="2:16" x14ac:dyDescent="0.45">
      <c r="B2115" s="4">
        <v>2114</v>
      </c>
      <c r="C2115" s="4" t="s">
        <v>33</v>
      </c>
      <c r="D2115" s="4" t="s">
        <v>16</v>
      </c>
      <c r="E2115" s="4" t="s">
        <v>17</v>
      </c>
      <c r="F2115" s="4" t="s">
        <v>18</v>
      </c>
      <c r="G2115" s="4" t="s">
        <v>19</v>
      </c>
      <c r="H2115" s="4" t="s">
        <v>34</v>
      </c>
      <c r="I2115" s="4">
        <v>12</v>
      </c>
      <c r="J2115" s="5">
        <v>57.4</v>
      </c>
      <c r="K2115" s="6">
        <v>1.58</v>
      </c>
      <c r="L2115" s="4">
        <v>5</v>
      </c>
      <c r="M2115" s="4">
        <v>103</v>
      </c>
      <c r="N2115" s="4">
        <v>92</v>
      </c>
      <c r="O2115" s="4" t="s">
        <v>21</v>
      </c>
      <c r="P2115" s="7" t="s">
        <v>19</v>
      </c>
    </row>
    <row r="2116" spans="2:16" x14ac:dyDescent="0.45">
      <c r="B2116" s="4">
        <v>2115</v>
      </c>
      <c r="C2116" s="4" t="s">
        <v>45</v>
      </c>
      <c r="D2116" s="4" t="s">
        <v>23</v>
      </c>
      <c r="E2116" s="4" t="s">
        <v>35</v>
      </c>
      <c r="F2116" s="4" t="s">
        <v>18</v>
      </c>
      <c r="G2116" s="4" t="s">
        <v>30</v>
      </c>
      <c r="H2116" s="4" t="s">
        <v>38</v>
      </c>
      <c r="I2116" s="4">
        <v>7</v>
      </c>
      <c r="J2116" s="5">
        <v>27.9</v>
      </c>
      <c r="K2116" s="6">
        <v>1.2</v>
      </c>
      <c r="L2116" s="4">
        <v>3</v>
      </c>
      <c r="M2116" s="4">
        <v>101</v>
      </c>
      <c r="N2116" s="4">
        <v>97</v>
      </c>
      <c r="O2116" s="4" t="s">
        <v>26</v>
      </c>
      <c r="P2116" s="7" t="s">
        <v>19</v>
      </c>
    </row>
    <row r="2117" spans="2:16" x14ac:dyDescent="0.45">
      <c r="B2117" s="4">
        <v>2116</v>
      </c>
      <c r="C2117" s="4" t="s">
        <v>45</v>
      </c>
      <c r="D2117" s="4" t="s">
        <v>16</v>
      </c>
      <c r="E2117" s="4" t="s">
        <v>37</v>
      </c>
      <c r="F2117" s="4" t="s">
        <v>42</v>
      </c>
      <c r="G2117" s="4" t="s">
        <v>30</v>
      </c>
      <c r="H2117" s="4" t="s">
        <v>20</v>
      </c>
      <c r="I2117" s="4">
        <v>11</v>
      </c>
      <c r="J2117" s="5">
        <v>23.6</v>
      </c>
      <c r="K2117" s="6">
        <v>1.24</v>
      </c>
      <c r="L2117" s="4">
        <v>2</v>
      </c>
      <c r="M2117" s="4">
        <v>98</v>
      </c>
      <c r="N2117" s="4">
        <v>79</v>
      </c>
      <c r="O2117" s="4" t="s">
        <v>26</v>
      </c>
      <c r="P2117" s="7" t="s">
        <v>19</v>
      </c>
    </row>
    <row r="2118" spans="2:16" x14ac:dyDescent="0.45">
      <c r="B2118" s="4">
        <v>2117</v>
      </c>
      <c r="C2118" s="4" t="s">
        <v>41</v>
      </c>
      <c r="D2118" s="4" t="s">
        <v>16</v>
      </c>
      <c r="E2118" s="4" t="s">
        <v>44</v>
      </c>
      <c r="F2118" s="4" t="s">
        <v>18</v>
      </c>
      <c r="G2118" s="4" t="s">
        <v>19</v>
      </c>
      <c r="H2118" s="4" t="s">
        <v>34</v>
      </c>
      <c r="I2118" s="4">
        <v>30</v>
      </c>
      <c r="J2118" s="5">
        <v>53.8</v>
      </c>
      <c r="K2118" s="6">
        <v>1.63</v>
      </c>
      <c r="L2118" s="4">
        <v>3</v>
      </c>
      <c r="M2118" s="4">
        <v>119</v>
      </c>
      <c r="N2118" s="4">
        <v>90</v>
      </c>
      <c r="O2118" s="4" t="s">
        <v>21</v>
      </c>
      <c r="P2118" s="7" t="s">
        <v>19</v>
      </c>
    </row>
    <row r="2119" spans="2:16" x14ac:dyDescent="0.45">
      <c r="B2119" s="4">
        <v>2118</v>
      </c>
      <c r="C2119" s="4" t="s">
        <v>43</v>
      </c>
      <c r="D2119" s="4" t="s">
        <v>23</v>
      </c>
      <c r="E2119" s="4" t="s">
        <v>17</v>
      </c>
      <c r="F2119" s="4" t="s">
        <v>18</v>
      </c>
      <c r="G2119" s="4" t="s">
        <v>19</v>
      </c>
      <c r="H2119" s="4" t="s">
        <v>28</v>
      </c>
      <c r="I2119" s="4">
        <v>57</v>
      </c>
      <c r="J2119" s="5">
        <v>46.9</v>
      </c>
      <c r="K2119" s="6">
        <v>1.87</v>
      </c>
      <c r="L2119" s="4">
        <v>4</v>
      </c>
      <c r="M2119" s="4">
        <v>115</v>
      </c>
      <c r="N2119" s="4">
        <v>79</v>
      </c>
      <c r="O2119" s="4" t="s">
        <v>26</v>
      </c>
      <c r="P2119" s="7" t="s">
        <v>19</v>
      </c>
    </row>
    <row r="2120" spans="2:16" x14ac:dyDescent="0.45">
      <c r="B2120" s="4">
        <v>2119</v>
      </c>
      <c r="C2120" s="4" t="s">
        <v>22</v>
      </c>
      <c r="D2120" s="4" t="s">
        <v>23</v>
      </c>
      <c r="E2120" s="4" t="s">
        <v>37</v>
      </c>
      <c r="F2120" s="4" t="s">
        <v>28</v>
      </c>
      <c r="G2120" s="4" t="s">
        <v>19</v>
      </c>
      <c r="H2120" s="4" t="s">
        <v>28</v>
      </c>
      <c r="I2120" s="4">
        <v>4</v>
      </c>
      <c r="J2120" s="5">
        <v>13.4</v>
      </c>
      <c r="K2120" s="6">
        <v>0.85</v>
      </c>
      <c r="L2120" s="4">
        <v>3</v>
      </c>
      <c r="M2120" s="4">
        <v>98</v>
      </c>
      <c r="N2120" s="4">
        <v>104</v>
      </c>
      <c r="O2120" s="4" t="s">
        <v>21</v>
      </c>
      <c r="P2120" s="7" t="s">
        <v>19</v>
      </c>
    </row>
    <row r="2121" spans="2:16" x14ac:dyDescent="0.45">
      <c r="B2121" s="4">
        <v>2120</v>
      </c>
      <c r="C2121" s="4" t="s">
        <v>22</v>
      </c>
      <c r="D2121" s="4" t="s">
        <v>16</v>
      </c>
      <c r="E2121" s="4" t="s">
        <v>17</v>
      </c>
      <c r="F2121" s="4" t="s">
        <v>28</v>
      </c>
      <c r="G2121" s="4" t="s">
        <v>19</v>
      </c>
      <c r="H2121" s="4" t="s">
        <v>36</v>
      </c>
      <c r="I2121" s="4">
        <v>17</v>
      </c>
      <c r="J2121" s="5">
        <v>45.4</v>
      </c>
      <c r="K2121" s="6">
        <v>1.52</v>
      </c>
      <c r="L2121" s="4">
        <v>0</v>
      </c>
      <c r="M2121" s="4">
        <v>134</v>
      </c>
      <c r="N2121" s="4">
        <v>99</v>
      </c>
      <c r="O2121" s="4" t="s">
        <v>26</v>
      </c>
      <c r="P2121" s="7" t="s">
        <v>19</v>
      </c>
    </row>
    <row r="2122" spans="2:16" x14ac:dyDescent="0.45">
      <c r="B2122" s="4">
        <v>2121</v>
      </c>
      <c r="C2122" s="4" t="s">
        <v>41</v>
      </c>
      <c r="D2122" s="4" t="s">
        <v>23</v>
      </c>
      <c r="E2122" s="4" t="s">
        <v>35</v>
      </c>
      <c r="F2122" s="4" t="s">
        <v>28</v>
      </c>
      <c r="G2122" s="4" t="s">
        <v>19</v>
      </c>
      <c r="H2122" s="4" t="s">
        <v>34</v>
      </c>
      <c r="I2122" s="4">
        <v>16</v>
      </c>
      <c r="J2122" s="5">
        <v>63.1</v>
      </c>
      <c r="K2122" s="6">
        <v>1.7</v>
      </c>
      <c r="L2122" s="4">
        <v>10</v>
      </c>
      <c r="M2122" s="4">
        <v>96</v>
      </c>
      <c r="N2122" s="4">
        <v>99</v>
      </c>
      <c r="O2122" s="4" t="s">
        <v>26</v>
      </c>
      <c r="P2122" s="7" t="s">
        <v>19</v>
      </c>
    </row>
    <row r="2123" spans="2:16" x14ac:dyDescent="0.45">
      <c r="B2123" s="4">
        <v>2122</v>
      </c>
      <c r="C2123" s="4" t="s">
        <v>27</v>
      </c>
      <c r="D2123" s="4" t="s">
        <v>23</v>
      </c>
      <c r="E2123" s="4" t="s">
        <v>17</v>
      </c>
      <c r="F2123" s="4" t="s">
        <v>24</v>
      </c>
      <c r="G2123" s="4" t="s">
        <v>19</v>
      </c>
      <c r="H2123" s="4" t="s">
        <v>25</v>
      </c>
      <c r="I2123" s="4">
        <v>21</v>
      </c>
      <c r="J2123" s="5">
        <v>72.5</v>
      </c>
      <c r="K2123" s="6">
        <v>1.59</v>
      </c>
      <c r="L2123" s="4">
        <v>6</v>
      </c>
      <c r="M2123" s="4">
        <v>110</v>
      </c>
      <c r="N2123" s="4">
        <v>83</v>
      </c>
      <c r="O2123" s="4" t="s">
        <v>26</v>
      </c>
      <c r="P2123" s="7" t="s">
        <v>19</v>
      </c>
    </row>
    <row r="2124" spans="2:16" x14ac:dyDescent="0.45">
      <c r="B2124" s="4">
        <v>2123</v>
      </c>
      <c r="C2124" s="4" t="s">
        <v>15</v>
      </c>
      <c r="D2124" s="4" t="s">
        <v>23</v>
      </c>
      <c r="E2124" s="4" t="s">
        <v>37</v>
      </c>
      <c r="F2124" s="4" t="s">
        <v>42</v>
      </c>
      <c r="G2124" s="4" t="s">
        <v>30</v>
      </c>
      <c r="H2124" s="4" t="s">
        <v>36</v>
      </c>
      <c r="I2124" s="4">
        <v>11</v>
      </c>
      <c r="J2124" s="5">
        <v>21.4</v>
      </c>
      <c r="K2124" s="6">
        <v>1.21</v>
      </c>
      <c r="L2124" s="4">
        <v>3</v>
      </c>
      <c r="M2124" s="4">
        <v>118</v>
      </c>
      <c r="N2124" s="4">
        <v>103</v>
      </c>
      <c r="O2124" s="4" t="s">
        <v>21</v>
      </c>
      <c r="P2124" s="7" t="s">
        <v>19</v>
      </c>
    </row>
    <row r="2125" spans="2:16" x14ac:dyDescent="0.45">
      <c r="B2125" s="4">
        <v>2124</v>
      </c>
      <c r="C2125" s="4" t="s">
        <v>45</v>
      </c>
      <c r="D2125" s="4" t="s">
        <v>23</v>
      </c>
      <c r="E2125" s="4" t="s">
        <v>17</v>
      </c>
      <c r="F2125" s="4" t="s">
        <v>28</v>
      </c>
      <c r="G2125" s="4" t="s">
        <v>19</v>
      </c>
      <c r="H2125" s="4" t="s">
        <v>32</v>
      </c>
      <c r="I2125" s="4">
        <v>23</v>
      </c>
      <c r="J2125" s="5">
        <v>57.3</v>
      </c>
      <c r="K2125" s="6">
        <v>1.54</v>
      </c>
      <c r="L2125" s="4">
        <v>1</v>
      </c>
      <c r="M2125" s="4">
        <v>112</v>
      </c>
      <c r="N2125" s="4">
        <v>134</v>
      </c>
      <c r="O2125" s="4" t="s">
        <v>26</v>
      </c>
      <c r="P2125" s="7" t="s">
        <v>19</v>
      </c>
    </row>
    <row r="2126" spans="2:16" x14ac:dyDescent="0.45">
      <c r="B2126" s="4">
        <v>2125</v>
      </c>
      <c r="C2126" s="4" t="s">
        <v>40</v>
      </c>
      <c r="D2126" s="4" t="s">
        <v>23</v>
      </c>
      <c r="E2126" s="4" t="s">
        <v>37</v>
      </c>
      <c r="F2126" s="4" t="s">
        <v>24</v>
      </c>
      <c r="G2126" s="4" t="s">
        <v>19</v>
      </c>
      <c r="H2126" s="4" t="s">
        <v>20</v>
      </c>
      <c r="I2126" s="4">
        <v>6</v>
      </c>
      <c r="J2126" s="5">
        <v>26.1</v>
      </c>
      <c r="K2126" s="6">
        <v>1.19</v>
      </c>
      <c r="L2126" s="4">
        <v>10</v>
      </c>
      <c r="M2126" s="4">
        <v>115</v>
      </c>
      <c r="N2126" s="4">
        <v>78</v>
      </c>
      <c r="O2126" s="4" t="s">
        <v>26</v>
      </c>
      <c r="P2126" s="7" t="s">
        <v>30</v>
      </c>
    </row>
    <row r="2127" spans="2:16" x14ac:dyDescent="0.45">
      <c r="B2127" s="4">
        <v>2126</v>
      </c>
      <c r="C2127" s="4" t="s">
        <v>39</v>
      </c>
      <c r="D2127" s="4" t="s">
        <v>16</v>
      </c>
      <c r="E2127" s="4" t="s">
        <v>17</v>
      </c>
      <c r="F2127" s="4" t="s">
        <v>18</v>
      </c>
      <c r="G2127" s="4" t="s">
        <v>30</v>
      </c>
      <c r="H2127" s="4" t="s">
        <v>38</v>
      </c>
      <c r="I2127" s="4">
        <v>37</v>
      </c>
      <c r="J2127" s="5">
        <v>75.099999999999994</v>
      </c>
      <c r="K2127" s="6">
        <v>1.64</v>
      </c>
      <c r="L2127" s="4">
        <v>0</v>
      </c>
      <c r="M2127" s="4">
        <v>124</v>
      </c>
      <c r="N2127" s="4">
        <v>87</v>
      </c>
      <c r="O2127" s="4" t="s">
        <v>26</v>
      </c>
      <c r="P2127" s="7" t="s">
        <v>19</v>
      </c>
    </row>
    <row r="2128" spans="2:16" x14ac:dyDescent="0.45">
      <c r="B2128" s="4">
        <v>2127</v>
      </c>
      <c r="C2128" s="4" t="s">
        <v>22</v>
      </c>
      <c r="D2128" s="4" t="s">
        <v>16</v>
      </c>
      <c r="E2128" s="4" t="s">
        <v>44</v>
      </c>
      <c r="F2128" s="4" t="s">
        <v>18</v>
      </c>
      <c r="G2128" s="4" t="s">
        <v>30</v>
      </c>
      <c r="H2128" s="4" t="s">
        <v>32</v>
      </c>
      <c r="I2128" s="4">
        <v>0</v>
      </c>
      <c r="J2128" s="5">
        <v>17.899999999999999</v>
      </c>
      <c r="K2128" s="6">
        <v>0.7</v>
      </c>
      <c r="L2128" s="4">
        <v>3</v>
      </c>
      <c r="M2128" s="4">
        <v>100</v>
      </c>
      <c r="N2128" s="4">
        <v>112</v>
      </c>
      <c r="O2128" s="4" t="s">
        <v>21</v>
      </c>
      <c r="P2128" s="7" t="s">
        <v>19</v>
      </c>
    </row>
    <row r="2129" spans="2:16" x14ac:dyDescent="0.45">
      <c r="B2129" s="4">
        <v>2128</v>
      </c>
      <c r="C2129" s="4" t="s">
        <v>43</v>
      </c>
      <c r="D2129" s="4" t="s">
        <v>16</v>
      </c>
      <c r="E2129" s="4" t="s">
        <v>35</v>
      </c>
      <c r="F2129" s="4" t="s">
        <v>18</v>
      </c>
      <c r="G2129" s="4" t="s">
        <v>30</v>
      </c>
      <c r="H2129" s="4" t="s">
        <v>20</v>
      </c>
      <c r="I2129" s="4">
        <v>77</v>
      </c>
      <c r="J2129" s="5">
        <v>71.2</v>
      </c>
      <c r="K2129" s="6">
        <v>1.66</v>
      </c>
      <c r="L2129" s="4">
        <v>3</v>
      </c>
      <c r="M2129" s="4">
        <v>135</v>
      </c>
      <c r="N2129" s="4">
        <v>74</v>
      </c>
      <c r="O2129" s="4" t="s">
        <v>26</v>
      </c>
      <c r="P2129" s="7" t="s">
        <v>19</v>
      </c>
    </row>
    <row r="2130" spans="2:16" x14ac:dyDescent="0.45">
      <c r="B2130" s="4">
        <v>2129</v>
      </c>
      <c r="C2130" s="4" t="s">
        <v>22</v>
      </c>
      <c r="D2130" s="4" t="s">
        <v>16</v>
      </c>
      <c r="E2130" s="4" t="s">
        <v>44</v>
      </c>
      <c r="F2130" s="4" t="s">
        <v>18</v>
      </c>
      <c r="G2130" s="4" t="s">
        <v>19</v>
      </c>
      <c r="H2130" s="4" t="s">
        <v>38</v>
      </c>
      <c r="I2130" s="4">
        <v>12</v>
      </c>
      <c r="J2130" s="5">
        <v>52.1</v>
      </c>
      <c r="K2130" s="6">
        <v>1.68</v>
      </c>
      <c r="L2130" s="4">
        <v>3</v>
      </c>
      <c r="M2130" s="4">
        <v>118</v>
      </c>
      <c r="N2130" s="4">
        <v>75</v>
      </c>
      <c r="O2130" s="4" t="s">
        <v>26</v>
      </c>
      <c r="P2130" s="7" t="s">
        <v>19</v>
      </c>
    </row>
    <row r="2131" spans="2:16" x14ac:dyDescent="0.45">
      <c r="B2131" s="4">
        <v>2130</v>
      </c>
      <c r="C2131" s="4" t="s">
        <v>45</v>
      </c>
      <c r="D2131" s="4" t="s">
        <v>23</v>
      </c>
      <c r="E2131" s="4" t="s">
        <v>35</v>
      </c>
      <c r="F2131" s="4" t="s">
        <v>24</v>
      </c>
      <c r="G2131" s="4" t="s">
        <v>19</v>
      </c>
      <c r="H2131" s="4" t="s">
        <v>25</v>
      </c>
      <c r="I2131" s="4">
        <v>29</v>
      </c>
      <c r="J2131" s="5">
        <v>82.5</v>
      </c>
      <c r="K2131" s="6">
        <v>1.72</v>
      </c>
      <c r="L2131" s="4">
        <v>6</v>
      </c>
      <c r="M2131" s="4">
        <v>114</v>
      </c>
      <c r="N2131" s="4">
        <v>92</v>
      </c>
      <c r="O2131" s="4" t="s">
        <v>26</v>
      </c>
      <c r="P2131" s="7" t="s">
        <v>19</v>
      </c>
    </row>
    <row r="2132" spans="2:16" x14ac:dyDescent="0.45">
      <c r="B2132" s="4">
        <v>2131</v>
      </c>
      <c r="C2132" s="4" t="s">
        <v>15</v>
      </c>
      <c r="D2132" s="4" t="s">
        <v>16</v>
      </c>
      <c r="E2132" s="4" t="s">
        <v>35</v>
      </c>
      <c r="F2132" s="4" t="s">
        <v>18</v>
      </c>
      <c r="G2132" s="4" t="s">
        <v>19</v>
      </c>
      <c r="H2132" s="4" t="s">
        <v>20</v>
      </c>
      <c r="I2132" s="4">
        <v>51</v>
      </c>
      <c r="J2132" s="5">
        <v>49.2</v>
      </c>
      <c r="K2132" s="6">
        <v>1.78</v>
      </c>
      <c r="L2132" s="4">
        <v>1</v>
      </c>
      <c r="M2132" s="4">
        <v>108</v>
      </c>
      <c r="N2132" s="4">
        <v>90</v>
      </c>
      <c r="O2132" s="4" t="s">
        <v>26</v>
      </c>
      <c r="P2132" s="7" t="s">
        <v>19</v>
      </c>
    </row>
    <row r="2133" spans="2:16" x14ac:dyDescent="0.45">
      <c r="B2133" s="4">
        <v>2132</v>
      </c>
      <c r="C2133" s="4" t="s">
        <v>27</v>
      </c>
      <c r="D2133" s="4" t="s">
        <v>23</v>
      </c>
      <c r="E2133" s="4" t="s">
        <v>17</v>
      </c>
      <c r="F2133" s="4" t="s">
        <v>18</v>
      </c>
      <c r="G2133" s="4" t="s">
        <v>19</v>
      </c>
      <c r="H2133" s="4" t="s">
        <v>28</v>
      </c>
      <c r="I2133" s="4">
        <v>41</v>
      </c>
      <c r="J2133" s="5">
        <v>45.6</v>
      </c>
      <c r="K2133" s="6">
        <v>1.65</v>
      </c>
      <c r="L2133" s="4">
        <v>3</v>
      </c>
      <c r="M2133" s="4">
        <v>112</v>
      </c>
      <c r="N2133" s="4">
        <v>83</v>
      </c>
      <c r="O2133" s="4" t="s">
        <v>26</v>
      </c>
      <c r="P2133" s="7" t="s">
        <v>30</v>
      </c>
    </row>
    <row r="2134" spans="2:16" x14ac:dyDescent="0.45">
      <c r="B2134" s="4">
        <v>2133</v>
      </c>
      <c r="C2134" s="4" t="s">
        <v>33</v>
      </c>
      <c r="D2134" s="4" t="s">
        <v>16</v>
      </c>
      <c r="E2134" s="4" t="s">
        <v>17</v>
      </c>
      <c r="F2134" s="4" t="s">
        <v>18</v>
      </c>
      <c r="G2134" s="4" t="s">
        <v>19</v>
      </c>
      <c r="H2134" s="4" t="s">
        <v>25</v>
      </c>
      <c r="I2134" s="4">
        <v>10</v>
      </c>
      <c r="J2134" s="5">
        <v>19.5</v>
      </c>
      <c r="K2134" s="6">
        <v>1.19</v>
      </c>
      <c r="L2134" s="4">
        <v>0</v>
      </c>
      <c r="M2134" s="4">
        <v>96</v>
      </c>
      <c r="N2134" s="4">
        <v>74</v>
      </c>
      <c r="O2134" s="4" t="s">
        <v>26</v>
      </c>
      <c r="P2134" s="7" t="s">
        <v>19</v>
      </c>
    </row>
    <row r="2135" spans="2:16" x14ac:dyDescent="0.45">
      <c r="B2135" s="4">
        <v>2134</v>
      </c>
      <c r="C2135" s="4" t="s">
        <v>22</v>
      </c>
      <c r="D2135" s="4" t="s">
        <v>16</v>
      </c>
      <c r="E2135" s="4" t="s">
        <v>35</v>
      </c>
      <c r="F2135" s="4" t="s">
        <v>24</v>
      </c>
      <c r="G2135" s="4" t="s">
        <v>30</v>
      </c>
      <c r="H2135" s="4" t="s">
        <v>28</v>
      </c>
      <c r="I2135" s="4">
        <v>24</v>
      </c>
      <c r="J2135" s="5">
        <v>51.8</v>
      </c>
      <c r="K2135" s="6">
        <v>1.62</v>
      </c>
      <c r="L2135" s="4">
        <v>2</v>
      </c>
      <c r="M2135" s="4">
        <v>98</v>
      </c>
      <c r="N2135" s="4">
        <v>88</v>
      </c>
      <c r="O2135" s="4" t="s">
        <v>21</v>
      </c>
      <c r="P2135" s="7" t="s">
        <v>19</v>
      </c>
    </row>
    <row r="2136" spans="2:16" x14ac:dyDescent="0.45">
      <c r="B2136" s="4">
        <v>2135</v>
      </c>
      <c r="C2136" s="4" t="s">
        <v>27</v>
      </c>
      <c r="D2136" s="4" t="s">
        <v>23</v>
      </c>
      <c r="E2136" s="4" t="s">
        <v>35</v>
      </c>
      <c r="F2136" s="4" t="s">
        <v>28</v>
      </c>
      <c r="G2136" s="4" t="s">
        <v>19</v>
      </c>
      <c r="H2136" s="4" t="s">
        <v>20</v>
      </c>
      <c r="I2136" s="4">
        <v>11</v>
      </c>
      <c r="J2136" s="5">
        <v>25.9</v>
      </c>
      <c r="K2136" s="6">
        <v>1.39</v>
      </c>
      <c r="L2136" s="4">
        <v>1</v>
      </c>
      <c r="M2136" s="4">
        <v>101</v>
      </c>
      <c r="N2136" s="4">
        <v>95</v>
      </c>
      <c r="O2136" s="4" t="s">
        <v>26</v>
      </c>
      <c r="P2136" s="7" t="s">
        <v>19</v>
      </c>
    </row>
    <row r="2137" spans="2:16" x14ac:dyDescent="0.45">
      <c r="B2137" s="4">
        <v>2136</v>
      </c>
      <c r="C2137" s="4" t="s">
        <v>27</v>
      </c>
      <c r="D2137" s="4" t="s">
        <v>16</v>
      </c>
      <c r="E2137" s="4" t="s">
        <v>17</v>
      </c>
      <c r="F2137" s="4" t="s">
        <v>24</v>
      </c>
      <c r="G2137" s="4" t="s">
        <v>30</v>
      </c>
      <c r="H2137" s="4" t="s">
        <v>20</v>
      </c>
      <c r="I2137" s="4">
        <v>39</v>
      </c>
      <c r="J2137" s="5">
        <v>75.400000000000006</v>
      </c>
      <c r="K2137" s="6">
        <v>1.69</v>
      </c>
      <c r="L2137" s="4">
        <v>5</v>
      </c>
      <c r="M2137" s="4">
        <v>110</v>
      </c>
      <c r="N2137" s="4">
        <v>82</v>
      </c>
      <c r="O2137" s="4" t="s">
        <v>21</v>
      </c>
      <c r="P2137" s="7" t="s">
        <v>19</v>
      </c>
    </row>
    <row r="2138" spans="2:16" x14ac:dyDescent="0.45">
      <c r="B2138" s="4">
        <v>2137</v>
      </c>
      <c r="C2138" s="4" t="s">
        <v>15</v>
      </c>
      <c r="D2138" s="4" t="s">
        <v>16</v>
      </c>
      <c r="E2138" s="4" t="s">
        <v>35</v>
      </c>
      <c r="F2138" s="4" t="s">
        <v>28</v>
      </c>
      <c r="G2138" s="4" t="s">
        <v>19</v>
      </c>
      <c r="H2138" s="4" t="s">
        <v>28</v>
      </c>
      <c r="I2138" s="4">
        <v>27</v>
      </c>
      <c r="J2138" s="5">
        <v>84</v>
      </c>
      <c r="K2138" s="6">
        <v>1.53</v>
      </c>
      <c r="L2138" s="4">
        <v>2</v>
      </c>
      <c r="M2138" s="4">
        <v>118</v>
      </c>
      <c r="N2138" s="4">
        <v>96</v>
      </c>
      <c r="O2138" s="4" t="s">
        <v>26</v>
      </c>
      <c r="P2138" s="7" t="s">
        <v>19</v>
      </c>
    </row>
    <row r="2139" spans="2:16" x14ac:dyDescent="0.45">
      <c r="B2139" s="4">
        <v>2138</v>
      </c>
      <c r="C2139" s="4" t="s">
        <v>39</v>
      </c>
      <c r="D2139" s="4" t="s">
        <v>23</v>
      </c>
      <c r="E2139" s="4" t="s">
        <v>35</v>
      </c>
      <c r="F2139" s="4" t="s">
        <v>24</v>
      </c>
      <c r="G2139" s="4" t="s">
        <v>19</v>
      </c>
      <c r="H2139" s="4" t="s">
        <v>20</v>
      </c>
      <c r="I2139" s="4">
        <v>60</v>
      </c>
      <c r="J2139" s="5">
        <v>81</v>
      </c>
      <c r="K2139" s="6">
        <v>1.84</v>
      </c>
      <c r="L2139" s="4">
        <v>0</v>
      </c>
      <c r="M2139" s="4">
        <v>118</v>
      </c>
      <c r="N2139" s="4">
        <v>94</v>
      </c>
      <c r="O2139" s="4" t="s">
        <v>21</v>
      </c>
      <c r="P2139" s="7" t="s">
        <v>19</v>
      </c>
    </row>
    <row r="2140" spans="2:16" x14ac:dyDescent="0.45">
      <c r="B2140" s="4">
        <v>2139</v>
      </c>
      <c r="C2140" s="4" t="s">
        <v>43</v>
      </c>
      <c r="D2140" s="4" t="s">
        <v>16</v>
      </c>
      <c r="E2140" s="4" t="s">
        <v>37</v>
      </c>
      <c r="F2140" s="4" t="s">
        <v>24</v>
      </c>
      <c r="G2140" s="4" t="s">
        <v>19</v>
      </c>
      <c r="H2140" s="4" t="s">
        <v>34</v>
      </c>
      <c r="I2140" s="4">
        <v>44</v>
      </c>
      <c r="J2140" s="5">
        <v>91.3</v>
      </c>
      <c r="K2140" s="6">
        <v>1.59</v>
      </c>
      <c r="L2140" s="4">
        <v>3</v>
      </c>
      <c r="M2140" s="4">
        <v>122</v>
      </c>
      <c r="N2140" s="4">
        <v>74</v>
      </c>
      <c r="O2140" s="4" t="s">
        <v>21</v>
      </c>
      <c r="P2140" s="7" t="s">
        <v>30</v>
      </c>
    </row>
    <row r="2141" spans="2:16" x14ac:dyDescent="0.45">
      <c r="B2141" s="4">
        <v>2140</v>
      </c>
      <c r="C2141" s="4" t="s">
        <v>41</v>
      </c>
      <c r="D2141" s="4" t="s">
        <v>16</v>
      </c>
      <c r="E2141" s="4" t="s">
        <v>37</v>
      </c>
      <c r="F2141" s="4" t="s">
        <v>42</v>
      </c>
      <c r="G2141" s="4" t="s">
        <v>19</v>
      </c>
      <c r="H2141" s="4" t="s">
        <v>20</v>
      </c>
      <c r="I2141" s="4">
        <v>39</v>
      </c>
      <c r="J2141" s="5">
        <v>68.3</v>
      </c>
      <c r="K2141" s="6">
        <v>1.84</v>
      </c>
      <c r="L2141" s="4">
        <v>2</v>
      </c>
      <c r="M2141" s="4">
        <v>105</v>
      </c>
      <c r="N2141" s="4">
        <v>95</v>
      </c>
      <c r="O2141" s="4" t="s">
        <v>26</v>
      </c>
      <c r="P2141" s="7" t="s">
        <v>19</v>
      </c>
    </row>
    <row r="2142" spans="2:16" x14ac:dyDescent="0.45">
      <c r="B2142" s="4">
        <v>2141</v>
      </c>
      <c r="C2142" s="4" t="s">
        <v>31</v>
      </c>
      <c r="D2142" s="4" t="s">
        <v>16</v>
      </c>
      <c r="E2142" s="4" t="s">
        <v>35</v>
      </c>
      <c r="F2142" s="4" t="s">
        <v>24</v>
      </c>
      <c r="G2142" s="4" t="s">
        <v>19</v>
      </c>
      <c r="H2142" s="4" t="s">
        <v>25</v>
      </c>
      <c r="I2142" s="4">
        <v>36</v>
      </c>
      <c r="J2142" s="5">
        <v>73.5</v>
      </c>
      <c r="K2142" s="6">
        <v>1.81</v>
      </c>
      <c r="L2142" s="4">
        <v>2</v>
      </c>
      <c r="M2142" s="4">
        <v>102</v>
      </c>
      <c r="N2142" s="4">
        <v>98</v>
      </c>
      <c r="O2142" s="4" t="s">
        <v>26</v>
      </c>
      <c r="P2142" s="7" t="s">
        <v>19</v>
      </c>
    </row>
    <row r="2143" spans="2:16" x14ac:dyDescent="0.45">
      <c r="B2143" s="4">
        <v>2142</v>
      </c>
      <c r="C2143" s="4" t="s">
        <v>27</v>
      </c>
      <c r="D2143" s="4" t="s">
        <v>16</v>
      </c>
      <c r="E2143" s="4" t="s">
        <v>17</v>
      </c>
      <c r="F2143" s="4" t="s">
        <v>18</v>
      </c>
      <c r="G2143" s="4" t="s">
        <v>19</v>
      </c>
      <c r="H2143" s="4" t="s">
        <v>20</v>
      </c>
      <c r="I2143" s="4">
        <v>18</v>
      </c>
      <c r="J2143" s="5">
        <v>52.1</v>
      </c>
      <c r="K2143" s="6">
        <v>1.82</v>
      </c>
      <c r="L2143" s="4">
        <v>2</v>
      </c>
      <c r="M2143" s="4">
        <v>102</v>
      </c>
      <c r="N2143" s="4">
        <v>102</v>
      </c>
      <c r="O2143" s="4" t="s">
        <v>26</v>
      </c>
      <c r="P2143" s="7" t="s">
        <v>30</v>
      </c>
    </row>
    <row r="2144" spans="2:16" x14ac:dyDescent="0.45">
      <c r="B2144" s="4">
        <v>2143</v>
      </c>
      <c r="C2144" s="4" t="s">
        <v>45</v>
      </c>
      <c r="D2144" s="4" t="s">
        <v>16</v>
      </c>
      <c r="E2144" s="4" t="s">
        <v>35</v>
      </c>
      <c r="F2144" s="4" t="s">
        <v>18</v>
      </c>
      <c r="G2144" s="4" t="s">
        <v>19</v>
      </c>
      <c r="H2144" s="4" t="s">
        <v>20</v>
      </c>
      <c r="I2144" s="4">
        <v>16</v>
      </c>
      <c r="J2144" s="5">
        <v>51.7</v>
      </c>
      <c r="K2144" s="6">
        <v>1.52</v>
      </c>
      <c r="L2144" s="4">
        <v>2</v>
      </c>
      <c r="M2144" s="4">
        <v>102</v>
      </c>
      <c r="N2144" s="4">
        <v>99</v>
      </c>
      <c r="O2144" s="4" t="s">
        <v>26</v>
      </c>
      <c r="P2144" s="7" t="s">
        <v>19</v>
      </c>
    </row>
    <row r="2145" spans="2:16" x14ac:dyDescent="0.45">
      <c r="B2145" s="4">
        <v>2144</v>
      </c>
      <c r="C2145" s="4" t="s">
        <v>43</v>
      </c>
      <c r="D2145" s="4" t="s">
        <v>16</v>
      </c>
      <c r="E2145" s="4" t="s">
        <v>35</v>
      </c>
      <c r="F2145" s="4" t="s">
        <v>24</v>
      </c>
      <c r="G2145" s="4" t="s">
        <v>19</v>
      </c>
      <c r="H2145" s="4" t="s">
        <v>28</v>
      </c>
      <c r="I2145" s="4">
        <v>8</v>
      </c>
      <c r="J2145" s="5">
        <v>36.4</v>
      </c>
      <c r="K2145" s="6">
        <v>1.1200000000000001</v>
      </c>
      <c r="L2145" s="4">
        <v>2</v>
      </c>
      <c r="M2145" s="4">
        <v>103</v>
      </c>
      <c r="N2145" s="4">
        <v>83</v>
      </c>
      <c r="O2145" s="4" t="s">
        <v>26</v>
      </c>
      <c r="P2145" s="7" t="s">
        <v>19</v>
      </c>
    </row>
    <row r="2146" spans="2:16" x14ac:dyDescent="0.45">
      <c r="B2146" s="4">
        <v>2145</v>
      </c>
      <c r="C2146" s="4" t="s">
        <v>31</v>
      </c>
      <c r="D2146" s="4" t="s">
        <v>23</v>
      </c>
      <c r="E2146" s="4" t="s">
        <v>35</v>
      </c>
      <c r="F2146" s="4" t="s">
        <v>24</v>
      </c>
      <c r="G2146" s="4" t="s">
        <v>19</v>
      </c>
      <c r="H2146" s="4" t="s">
        <v>28</v>
      </c>
      <c r="I2146" s="4">
        <v>1</v>
      </c>
      <c r="J2146" s="5">
        <v>16.5</v>
      </c>
      <c r="K2146" s="6">
        <v>0.88</v>
      </c>
      <c r="L2146" s="4">
        <v>2</v>
      </c>
      <c r="M2146" s="4">
        <v>92</v>
      </c>
      <c r="N2146" s="4">
        <v>79</v>
      </c>
      <c r="O2146" s="4" t="s">
        <v>26</v>
      </c>
      <c r="P2146" s="7" t="s">
        <v>19</v>
      </c>
    </row>
    <row r="2147" spans="2:16" x14ac:dyDescent="0.45">
      <c r="B2147" s="4">
        <v>2146</v>
      </c>
      <c r="C2147" s="4" t="s">
        <v>27</v>
      </c>
      <c r="D2147" s="4" t="s">
        <v>23</v>
      </c>
      <c r="E2147" s="4" t="s">
        <v>35</v>
      </c>
      <c r="F2147" s="4" t="s">
        <v>24</v>
      </c>
      <c r="G2147" s="4" t="s">
        <v>19</v>
      </c>
      <c r="H2147" s="4" t="s">
        <v>20</v>
      </c>
      <c r="I2147" s="4">
        <v>43</v>
      </c>
      <c r="J2147" s="5">
        <v>57.2</v>
      </c>
      <c r="K2147" s="6">
        <v>1.81</v>
      </c>
      <c r="L2147" s="4">
        <v>1</v>
      </c>
      <c r="M2147" s="4">
        <v>124</v>
      </c>
      <c r="N2147" s="4">
        <v>79</v>
      </c>
      <c r="O2147" s="4" t="s">
        <v>26</v>
      </c>
      <c r="P2147" s="7" t="s">
        <v>19</v>
      </c>
    </row>
    <row r="2148" spans="2:16" x14ac:dyDescent="0.45">
      <c r="B2148" s="4">
        <v>2147</v>
      </c>
      <c r="C2148" s="4" t="s">
        <v>22</v>
      </c>
      <c r="D2148" s="4" t="s">
        <v>16</v>
      </c>
      <c r="E2148" s="4" t="s">
        <v>17</v>
      </c>
      <c r="F2148" s="4" t="s">
        <v>24</v>
      </c>
      <c r="G2148" s="4" t="s">
        <v>19</v>
      </c>
      <c r="H2148" s="4" t="s">
        <v>28</v>
      </c>
      <c r="I2148" s="4">
        <v>3</v>
      </c>
      <c r="J2148" s="5">
        <v>17.899999999999999</v>
      </c>
      <c r="K2148" s="6">
        <v>0.65</v>
      </c>
      <c r="L2148" s="4">
        <v>1</v>
      </c>
      <c r="M2148" s="4">
        <v>95</v>
      </c>
      <c r="N2148" s="4">
        <v>72</v>
      </c>
      <c r="O2148" s="4" t="s">
        <v>26</v>
      </c>
      <c r="P2148" s="7" t="s">
        <v>19</v>
      </c>
    </row>
    <row r="2149" spans="2:16" x14ac:dyDescent="0.45">
      <c r="B2149" s="4">
        <v>2148</v>
      </c>
      <c r="C2149" s="4" t="s">
        <v>43</v>
      </c>
      <c r="D2149" s="4" t="s">
        <v>16</v>
      </c>
      <c r="E2149" s="4" t="s">
        <v>17</v>
      </c>
      <c r="F2149" s="4" t="s">
        <v>24</v>
      </c>
      <c r="G2149" s="4" t="s">
        <v>19</v>
      </c>
      <c r="H2149" s="4" t="s">
        <v>20</v>
      </c>
      <c r="I2149" s="4">
        <v>1</v>
      </c>
      <c r="J2149" s="5">
        <v>16</v>
      </c>
      <c r="K2149" s="6">
        <v>0.89</v>
      </c>
      <c r="L2149" s="4">
        <v>5</v>
      </c>
      <c r="M2149" s="4">
        <v>97</v>
      </c>
      <c r="N2149" s="4">
        <v>79</v>
      </c>
      <c r="O2149" s="4" t="s">
        <v>26</v>
      </c>
      <c r="P2149" s="7" t="s">
        <v>19</v>
      </c>
    </row>
    <row r="2150" spans="2:16" x14ac:dyDescent="0.45">
      <c r="B2150" s="4">
        <v>2149</v>
      </c>
      <c r="C2150" s="4" t="s">
        <v>31</v>
      </c>
      <c r="D2150" s="4" t="s">
        <v>16</v>
      </c>
      <c r="E2150" s="4" t="s">
        <v>17</v>
      </c>
      <c r="F2150" s="4" t="s">
        <v>24</v>
      </c>
      <c r="G2150" s="4" t="s">
        <v>19</v>
      </c>
      <c r="H2150" s="4" t="s">
        <v>34</v>
      </c>
      <c r="I2150" s="4">
        <v>31</v>
      </c>
      <c r="J2150" s="5">
        <v>93.1</v>
      </c>
      <c r="K2150" s="6">
        <v>1.84</v>
      </c>
      <c r="L2150" s="4">
        <v>10</v>
      </c>
      <c r="M2150" s="4">
        <v>127</v>
      </c>
      <c r="N2150" s="4">
        <v>71</v>
      </c>
      <c r="O2150" s="4" t="s">
        <v>26</v>
      </c>
      <c r="P2150" s="7" t="s">
        <v>30</v>
      </c>
    </row>
    <row r="2151" spans="2:16" x14ac:dyDescent="0.45">
      <c r="B2151" s="4">
        <v>2150</v>
      </c>
      <c r="C2151" s="4" t="s">
        <v>39</v>
      </c>
      <c r="D2151" s="4" t="s">
        <v>23</v>
      </c>
      <c r="E2151" s="4" t="s">
        <v>17</v>
      </c>
      <c r="F2151" s="4" t="s">
        <v>24</v>
      </c>
      <c r="G2151" s="4" t="s">
        <v>19</v>
      </c>
      <c r="H2151" s="4" t="s">
        <v>34</v>
      </c>
      <c r="I2151" s="4">
        <v>41</v>
      </c>
      <c r="J2151" s="5">
        <v>71.099999999999994</v>
      </c>
      <c r="K2151" s="6">
        <v>1.87</v>
      </c>
      <c r="L2151" s="4">
        <v>4</v>
      </c>
      <c r="M2151" s="4">
        <v>116</v>
      </c>
      <c r="N2151" s="4">
        <v>94</v>
      </c>
      <c r="O2151" s="4" t="s">
        <v>26</v>
      </c>
      <c r="P2151" s="7" t="s">
        <v>19</v>
      </c>
    </row>
    <row r="2152" spans="2:16" x14ac:dyDescent="0.45">
      <c r="B2152" s="4">
        <v>2151</v>
      </c>
      <c r="C2152" s="4" t="s">
        <v>39</v>
      </c>
      <c r="D2152" s="4" t="s">
        <v>23</v>
      </c>
      <c r="E2152" s="4" t="s">
        <v>35</v>
      </c>
      <c r="F2152" s="4" t="s">
        <v>18</v>
      </c>
      <c r="G2152" s="4" t="s">
        <v>19</v>
      </c>
      <c r="H2152" s="4" t="s">
        <v>38</v>
      </c>
      <c r="I2152" s="4">
        <v>12</v>
      </c>
      <c r="J2152" s="5">
        <v>57.1</v>
      </c>
      <c r="K2152" s="6">
        <v>1.5</v>
      </c>
      <c r="L2152" s="4">
        <v>4</v>
      </c>
      <c r="M2152" s="4">
        <v>110</v>
      </c>
      <c r="N2152" s="4">
        <v>91</v>
      </c>
      <c r="O2152" s="4" t="s">
        <v>26</v>
      </c>
      <c r="P2152" s="7" t="s">
        <v>19</v>
      </c>
    </row>
    <row r="2153" spans="2:16" x14ac:dyDescent="0.45">
      <c r="B2153" s="4">
        <v>2152</v>
      </c>
      <c r="C2153" s="4" t="s">
        <v>27</v>
      </c>
      <c r="D2153" s="4" t="s">
        <v>16</v>
      </c>
      <c r="E2153" s="4" t="s">
        <v>17</v>
      </c>
      <c r="F2153" s="4" t="s">
        <v>24</v>
      </c>
      <c r="G2153" s="4" t="s">
        <v>19</v>
      </c>
      <c r="H2153" s="4" t="s">
        <v>36</v>
      </c>
      <c r="I2153" s="4">
        <v>24</v>
      </c>
      <c r="J2153" s="5">
        <v>78.8</v>
      </c>
      <c r="K2153" s="6">
        <v>1.81</v>
      </c>
      <c r="L2153" s="4">
        <v>9</v>
      </c>
      <c r="M2153" s="4">
        <v>120</v>
      </c>
      <c r="N2153" s="4">
        <v>97</v>
      </c>
      <c r="O2153" s="4" t="s">
        <v>21</v>
      </c>
      <c r="P2153" s="7" t="s">
        <v>30</v>
      </c>
    </row>
    <row r="2154" spans="2:16" x14ac:dyDescent="0.45">
      <c r="B2154" s="4">
        <v>2153</v>
      </c>
      <c r="C2154" s="4" t="s">
        <v>27</v>
      </c>
      <c r="D2154" s="4" t="s">
        <v>16</v>
      </c>
      <c r="E2154" s="4" t="s">
        <v>35</v>
      </c>
      <c r="F2154" s="4" t="s">
        <v>24</v>
      </c>
      <c r="G2154" s="4" t="s">
        <v>30</v>
      </c>
      <c r="H2154" s="4" t="s">
        <v>46</v>
      </c>
      <c r="I2154" s="4">
        <v>24</v>
      </c>
      <c r="J2154" s="5">
        <v>49.3</v>
      </c>
      <c r="K2154" s="6">
        <v>1.71</v>
      </c>
      <c r="L2154" s="4">
        <v>1</v>
      </c>
      <c r="M2154" s="4">
        <v>113</v>
      </c>
      <c r="N2154" s="4">
        <v>85</v>
      </c>
      <c r="O2154" s="4" t="s">
        <v>21</v>
      </c>
      <c r="P2154" s="7" t="s">
        <v>19</v>
      </c>
    </row>
    <row r="2155" spans="2:16" x14ac:dyDescent="0.45">
      <c r="B2155" s="4">
        <v>2154</v>
      </c>
      <c r="C2155" s="4" t="s">
        <v>15</v>
      </c>
      <c r="D2155" s="4" t="s">
        <v>23</v>
      </c>
      <c r="E2155" s="4" t="s">
        <v>17</v>
      </c>
      <c r="F2155" s="4" t="s">
        <v>24</v>
      </c>
      <c r="G2155" s="4" t="s">
        <v>19</v>
      </c>
      <c r="H2155" s="4" t="s">
        <v>46</v>
      </c>
      <c r="I2155" s="4">
        <v>21</v>
      </c>
      <c r="J2155" s="5">
        <v>80.099999999999994</v>
      </c>
      <c r="K2155" s="6">
        <v>1.64</v>
      </c>
      <c r="L2155" s="4">
        <v>2</v>
      </c>
      <c r="M2155" s="4">
        <v>111</v>
      </c>
      <c r="N2155" s="4">
        <v>92</v>
      </c>
      <c r="O2155" s="4" t="s">
        <v>26</v>
      </c>
      <c r="P2155" s="7" t="s">
        <v>19</v>
      </c>
    </row>
    <row r="2156" spans="2:16" x14ac:dyDescent="0.45">
      <c r="B2156" s="4">
        <v>2155</v>
      </c>
      <c r="C2156" s="4" t="s">
        <v>27</v>
      </c>
      <c r="D2156" s="4" t="s">
        <v>16</v>
      </c>
      <c r="E2156" s="4" t="s">
        <v>17</v>
      </c>
      <c r="F2156" s="4" t="s">
        <v>28</v>
      </c>
      <c r="G2156" s="4" t="s">
        <v>19</v>
      </c>
      <c r="H2156" s="4" t="s">
        <v>32</v>
      </c>
      <c r="I2156" s="4">
        <v>0</v>
      </c>
      <c r="J2156" s="5">
        <v>13.1</v>
      </c>
      <c r="K2156" s="6">
        <v>0.84</v>
      </c>
      <c r="L2156" s="4">
        <v>1</v>
      </c>
      <c r="M2156" s="4">
        <v>107</v>
      </c>
      <c r="N2156" s="4">
        <v>138</v>
      </c>
      <c r="O2156" s="4" t="s">
        <v>26</v>
      </c>
      <c r="P2156" s="7" t="s">
        <v>19</v>
      </c>
    </row>
    <row r="2157" spans="2:16" x14ac:dyDescent="0.45">
      <c r="B2157" s="4">
        <v>2156</v>
      </c>
      <c r="C2157" s="4" t="s">
        <v>41</v>
      </c>
      <c r="D2157" s="4" t="s">
        <v>23</v>
      </c>
      <c r="E2157" s="4" t="s">
        <v>17</v>
      </c>
      <c r="F2157" s="4" t="s">
        <v>24</v>
      </c>
      <c r="G2157" s="4" t="s">
        <v>19</v>
      </c>
      <c r="H2157" s="4" t="s">
        <v>46</v>
      </c>
      <c r="I2157" s="4">
        <v>3</v>
      </c>
      <c r="J2157" s="5">
        <v>8</v>
      </c>
      <c r="K2157" s="6">
        <v>0.81</v>
      </c>
      <c r="L2157" s="4">
        <v>1</v>
      </c>
      <c r="M2157" s="4">
        <v>99</v>
      </c>
      <c r="N2157" s="4">
        <v>89</v>
      </c>
      <c r="O2157" s="4" t="s">
        <v>26</v>
      </c>
      <c r="P2157" s="7" t="s">
        <v>19</v>
      </c>
    </row>
    <row r="2158" spans="2:16" x14ac:dyDescent="0.45">
      <c r="B2158" s="4">
        <v>2157</v>
      </c>
      <c r="C2158" s="4" t="s">
        <v>31</v>
      </c>
      <c r="D2158" s="4" t="s">
        <v>16</v>
      </c>
      <c r="E2158" s="4" t="s">
        <v>17</v>
      </c>
      <c r="F2158" s="4" t="s">
        <v>24</v>
      </c>
      <c r="G2158" s="4" t="s">
        <v>30</v>
      </c>
      <c r="H2158" s="4" t="s">
        <v>20</v>
      </c>
      <c r="I2158" s="4">
        <v>33</v>
      </c>
      <c r="J2158" s="5">
        <v>51.9</v>
      </c>
      <c r="K2158" s="6">
        <v>1.61</v>
      </c>
      <c r="L2158" s="4">
        <v>3</v>
      </c>
      <c r="M2158" s="4">
        <v>116</v>
      </c>
      <c r="N2158" s="4">
        <v>94</v>
      </c>
      <c r="O2158" s="4" t="s">
        <v>21</v>
      </c>
      <c r="P2158" s="7" t="s">
        <v>19</v>
      </c>
    </row>
    <row r="2159" spans="2:16" x14ac:dyDescent="0.45">
      <c r="B2159" s="4">
        <v>2158</v>
      </c>
      <c r="C2159" s="4" t="s">
        <v>22</v>
      </c>
      <c r="D2159" s="4" t="s">
        <v>23</v>
      </c>
      <c r="E2159" s="4" t="s">
        <v>35</v>
      </c>
      <c r="F2159" s="4" t="s">
        <v>24</v>
      </c>
      <c r="G2159" s="4" t="s">
        <v>30</v>
      </c>
      <c r="H2159" s="4" t="s">
        <v>28</v>
      </c>
      <c r="I2159" s="4">
        <v>56</v>
      </c>
      <c r="J2159" s="5">
        <v>75.099999999999994</v>
      </c>
      <c r="K2159" s="6">
        <v>1.78</v>
      </c>
      <c r="L2159" s="4">
        <v>1</v>
      </c>
      <c r="M2159" s="4">
        <v>108</v>
      </c>
      <c r="N2159" s="4">
        <v>86</v>
      </c>
      <c r="O2159" s="4" t="s">
        <v>21</v>
      </c>
      <c r="P2159" s="7" t="s">
        <v>19</v>
      </c>
    </row>
    <row r="2160" spans="2:16" x14ac:dyDescent="0.45">
      <c r="B2160" s="4">
        <v>2159</v>
      </c>
      <c r="C2160" s="4" t="s">
        <v>31</v>
      </c>
      <c r="D2160" s="4" t="s">
        <v>16</v>
      </c>
      <c r="E2160" s="4" t="s">
        <v>44</v>
      </c>
      <c r="F2160" s="4" t="s">
        <v>24</v>
      </c>
      <c r="G2160" s="4" t="s">
        <v>19</v>
      </c>
      <c r="H2160" s="4" t="s">
        <v>36</v>
      </c>
      <c r="I2160" s="4">
        <v>14</v>
      </c>
      <c r="J2160" s="5">
        <v>64.5</v>
      </c>
      <c r="K2160" s="6">
        <v>1.64</v>
      </c>
      <c r="L2160" s="4">
        <v>6</v>
      </c>
      <c r="M2160" s="4">
        <v>130</v>
      </c>
      <c r="N2160" s="4">
        <v>89</v>
      </c>
      <c r="O2160" s="4" t="s">
        <v>26</v>
      </c>
      <c r="P2160" s="7" t="s">
        <v>19</v>
      </c>
    </row>
    <row r="2161" spans="2:16" x14ac:dyDescent="0.45">
      <c r="B2161" s="4">
        <v>2160</v>
      </c>
      <c r="C2161" s="4" t="s">
        <v>22</v>
      </c>
      <c r="D2161" s="4" t="s">
        <v>16</v>
      </c>
      <c r="E2161" s="4" t="s">
        <v>17</v>
      </c>
      <c r="F2161" s="4" t="s">
        <v>24</v>
      </c>
      <c r="G2161" s="4" t="s">
        <v>19</v>
      </c>
      <c r="H2161" s="4" t="s">
        <v>36</v>
      </c>
      <c r="I2161" s="4">
        <v>17</v>
      </c>
      <c r="J2161" s="5">
        <v>56.2</v>
      </c>
      <c r="K2161" s="6">
        <v>1.51</v>
      </c>
      <c r="L2161" s="4">
        <v>5</v>
      </c>
      <c r="M2161" s="4">
        <v>119</v>
      </c>
      <c r="N2161" s="4">
        <v>71</v>
      </c>
      <c r="O2161" s="4" t="s">
        <v>26</v>
      </c>
      <c r="P2161" s="7" t="s">
        <v>19</v>
      </c>
    </row>
    <row r="2162" spans="2:16" x14ac:dyDescent="0.45">
      <c r="B2162" s="4">
        <v>2161</v>
      </c>
      <c r="C2162" s="4" t="s">
        <v>27</v>
      </c>
      <c r="D2162" s="4" t="s">
        <v>16</v>
      </c>
      <c r="E2162" s="4" t="s">
        <v>17</v>
      </c>
      <c r="F2162" s="4" t="s">
        <v>18</v>
      </c>
      <c r="G2162" s="4" t="s">
        <v>30</v>
      </c>
      <c r="H2162" s="4" t="s">
        <v>32</v>
      </c>
      <c r="I2162" s="4">
        <v>62</v>
      </c>
      <c r="J2162" s="5">
        <v>92.6</v>
      </c>
      <c r="K2162" s="6">
        <v>1.86</v>
      </c>
      <c r="L2162" s="4">
        <v>2</v>
      </c>
      <c r="M2162" s="4">
        <v>133</v>
      </c>
      <c r="N2162" s="4">
        <v>144</v>
      </c>
      <c r="O2162" s="4" t="s">
        <v>26</v>
      </c>
      <c r="P2162" s="7" t="s">
        <v>30</v>
      </c>
    </row>
    <row r="2163" spans="2:16" x14ac:dyDescent="0.45">
      <c r="B2163" s="4">
        <v>2162</v>
      </c>
      <c r="C2163" s="4" t="s">
        <v>22</v>
      </c>
      <c r="D2163" s="4" t="s">
        <v>23</v>
      </c>
      <c r="E2163" s="4" t="s">
        <v>17</v>
      </c>
      <c r="F2163" s="4" t="s">
        <v>42</v>
      </c>
      <c r="G2163" s="4" t="s">
        <v>30</v>
      </c>
      <c r="H2163" s="4" t="s">
        <v>36</v>
      </c>
      <c r="I2163" s="4">
        <v>2</v>
      </c>
      <c r="J2163" s="5">
        <v>6.2</v>
      </c>
      <c r="K2163" s="6">
        <v>0.82</v>
      </c>
      <c r="L2163" s="4">
        <v>3</v>
      </c>
      <c r="M2163" s="4">
        <v>122</v>
      </c>
      <c r="N2163" s="4">
        <v>71</v>
      </c>
      <c r="O2163" s="4" t="s">
        <v>26</v>
      </c>
      <c r="P2163" s="7" t="s">
        <v>30</v>
      </c>
    </row>
    <row r="2164" spans="2:16" x14ac:dyDescent="0.45">
      <c r="B2164" s="4">
        <v>2163</v>
      </c>
      <c r="C2164" s="4" t="s">
        <v>39</v>
      </c>
      <c r="D2164" s="4" t="s">
        <v>23</v>
      </c>
      <c r="E2164" s="4" t="s">
        <v>37</v>
      </c>
      <c r="F2164" s="4" t="s">
        <v>18</v>
      </c>
      <c r="G2164" s="4" t="s">
        <v>19</v>
      </c>
      <c r="H2164" s="4" t="s">
        <v>38</v>
      </c>
      <c r="I2164" s="4">
        <v>9</v>
      </c>
      <c r="J2164" s="5">
        <v>26.1</v>
      </c>
      <c r="K2164" s="6">
        <v>1.35</v>
      </c>
      <c r="L2164" s="4">
        <v>0</v>
      </c>
      <c r="M2164" s="4">
        <v>97</v>
      </c>
      <c r="N2164" s="4">
        <v>99</v>
      </c>
      <c r="O2164" s="4" t="s">
        <v>21</v>
      </c>
      <c r="P2164" s="7" t="s">
        <v>19</v>
      </c>
    </row>
    <row r="2165" spans="2:16" x14ac:dyDescent="0.45">
      <c r="B2165" s="4">
        <v>2164</v>
      </c>
      <c r="C2165" s="4" t="s">
        <v>27</v>
      </c>
      <c r="D2165" s="4" t="s">
        <v>16</v>
      </c>
      <c r="E2165" s="4" t="s">
        <v>17</v>
      </c>
      <c r="F2165" s="4" t="s">
        <v>28</v>
      </c>
      <c r="G2165" s="4" t="s">
        <v>19</v>
      </c>
      <c r="H2165" s="4" t="s">
        <v>25</v>
      </c>
      <c r="I2165" s="4">
        <v>56</v>
      </c>
      <c r="J2165" s="5">
        <v>63.8</v>
      </c>
      <c r="K2165" s="6">
        <v>1.52</v>
      </c>
      <c r="L2165" s="4">
        <v>5</v>
      </c>
      <c r="M2165" s="4">
        <v>112</v>
      </c>
      <c r="N2165" s="4">
        <v>75</v>
      </c>
      <c r="O2165" s="4" t="s">
        <v>21</v>
      </c>
      <c r="P2165" s="7" t="s">
        <v>19</v>
      </c>
    </row>
    <row r="2166" spans="2:16" x14ac:dyDescent="0.45">
      <c r="B2166" s="4">
        <v>2165</v>
      </c>
      <c r="C2166" s="4" t="s">
        <v>39</v>
      </c>
      <c r="D2166" s="4" t="s">
        <v>16</v>
      </c>
      <c r="E2166" s="4" t="s">
        <v>17</v>
      </c>
      <c r="F2166" s="4" t="s">
        <v>28</v>
      </c>
      <c r="G2166" s="4" t="s">
        <v>30</v>
      </c>
      <c r="H2166" s="4" t="s">
        <v>25</v>
      </c>
      <c r="I2166" s="4">
        <v>41</v>
      </c>
      <c r="J2166" s="5">
        <v>74.8</v>
      </c>
      <c r="K2166" s="6">
        <v>1.53</v>
      </c>
      <c r="L2166" s="4">
        <v>2</v>
      </c>
      <c r="M2166" s="4">
        <v>111</v>
      </c>
      <c r="N2166" s="4">
        <v>77</v>
      </c>
      <c r="O2166" s="4" t="s">
        <v>26</v>
      </c>
      <c r="P2166" s="7" t="s">
        <v>19</v>
      </c>
    </row>
    <row r="2167" spans="2:16" x14ac:dyDescent="0.45">
      <c r="B2167" s="4">
        <v>2166</v>
      </c>
      <c r="C2167" s="4" t="s">
        <v>43</v>
      </c>
      <c r="D2167" s="4" t="s">
        <v>23</v>
      </c>
      <c r="E2167" s="4" t="s">
        <v>35</v>
      </c>
      <c r="F2167" s="4" t="s">
        <v>24</v>
      </c>
      <c r="G2167" s="4" t="s">
        <v>19</v>
      </c>
      <c r="H2167" s="4" t="s">
        <v>36</v>
      </c>
      <c r="I2167" s="4">
        <v>53</v>
      </c>
      <c r="J2167" s="5">
        <v>54.9</v>
      </c>
      <c r="K2167" s="6">
        <v>1.5</v>
      </c>
      <c r="L2167" s="4">
        <v>1</v>
      </c>
      <c r="M2167" s="4">
        <v>137</v>
      </c>
      <c r="N2167" s="4">
        <v>83</v>
      </c>
      <c r="O2167" s="4" t="s">
        <v>26</v>
      </c>
      <c r="P2167" s="7" t="s">
        <v>19</v>
      </c>
    </row>
    <row r="2168" spans="2:16" x14ac:dyDescent="0.45">
      <c r="B2168" s="4">
        <v>2167</v>
      </c>
      <c r="C2168" s="4" t="s">
        <v>31</v>
      </c>
      <c r="D2168" s="4" t="s">
        <v>23</v>
      </c>
      <c r="E2168" s="4" t="s">
        <v>44</v>
      </c>
      <c r="F2168" s="4" t="s">
        <v>42</v>
      </c>
      <c r="G2168" s="4" t="s">
        <v>19</v>
      </c>
      <c r="H2168" s="4" t="s">
        <v>36</v>
      </c>
      <c r="I2168" s="4">
        <v>4</v>
      </c>
      <c r="J2168" s="5">
        <v>8.6</v>
      </c>
      <c r="K2168" s="6">
        <v>0.62</v>
      </c>
      <c r="L2168" s="4">
        <v>5</v>
      </c>
      <c r="M2168" s="4">
        <v>138</v>
      </c>
      <c r="N2168" s="4">
        <v>85</v>
      </c>
      <c r="O2168" s="4" t="s">
        <v>21</v>
      </c>
      <c r="P2168" s="7" t="s">
        <v>19</v>
      </c>
    </row>
    <row r="2169" spans="2:16" x14ac:dyDescent="0.45">
      <c r="B2169" s="4">
        <v>2168</v>
      </c>
      <c r="C2169" s="4" t="s">
        <v>41</v>
      </c>
      <c r="D2169" s="4" t="s">
        <v>23</v>
      </c>
      <c r="E2169" s="4" t="s">
        <v>44</v>
      </c>
      <c r="F2169" s="4" t="s">
        <v>18</v>
      </c>
      <c r="G2169" s="4" t="s">
        <v>19</v>
      </c>
      <c r="H2169" s="4" t="s">
        <v>32</v>
      </c>
      <c r="I2169" s="4">
        <v>11</v>
      </c>
      <c r="J2169" s="5">
        <v>27.9</v>
      </c>
      <c r="K2169" s="6">
        <v>1.31</v>
      </c>
      <c r="L2169" s="4">
        <v>1</v>
      </c>
      <c r="M2169" s="4">
        <v>115</v>
      </c>
      <c r="N2169" s="4">
        <v>138</v>
      </c>
      <c r="O2169" s="4" t="s">
        <v>21</v>
      </c>
      <c r="P2169" s="7" t="s">
        <v>19</v>
      </c>
    </row>
    <row r="2170" spans="2:16" x14ac:dyDescent="0.45">
      <c r="B2170" s="4">
        <v>2169</v>
      </c>
      <c r="C2170" s="4" t="s">
        <v>43</v>
      </c>
      <c r="D2170" s="4" t="s">
        <v>16</v>
      </c>
      <c r="E2170" s="4" t="s">
        <v>35</v>
      </c>
      <c r="F2170" s="4" t="s">
        <v>24</v>
      </c>
      <c r="G2170" s="4" t="s">
        <v>19</v>
      </c>
      <c r="H2170" s="4" t="s">
        <v>38</v>
      </c>
      <c r="I2170" s="4">
        <v>26</v>
      </c>
      <c r="J2170" s="5">
        <v>87.1</v>
      </c>
      <c r="K2170" s="6">
        <v>1.6</v>
      </c>
      <c r="L2170" s="4">
        <v>4</v>
      </c>
      <c r="M2170" s="4">
        <v>110</v>
      </c>
      <c r="N2170" s="4">
        <v>80</v>
      </c>
      <c r="O2170" s="4" t="s">
        <v>26</v>
      </c>
      <c r="P2170" s="7" t="s">
        <v>19</v>
      </c>
    </row>
    <row r="2171" spans="2:16" x14ac:dyDescent="0.45">
      <c r="B2171" s="4">
        <v>2170</v>
      </c>
      <c r="C2171" s="4" t="s">
        <v>39</v>
      </c>
      <c r="D2171" s="4" t="s">
        <v>23</v>
      </c>
      <c r="E2171" s="4" t="s">
        <v>35</v>
      </c>
      <c r="F2171" s="4" t="s">
        <v>28</v>
      </c>
      <c r="G2171" s="4" t="s">
        <v>19</v>
      </c>
      <c r="H2171" s="4" t="s">
        <v>28</v>
      </c>
      <c r="I2171" s="4">
        <v>36</v>
      </c>
      <c r="J2171" s="5">
        <v>75.8</v>
      </c>
      <c r="K2171" s="6">
        <v>1.67</v>
      </c>
      <c r="L2171" s="4">
        <v>1</v>
      </c>
      <c r="M2171" s="4">
        <v>113</v>
      </c>
      <c r="N2171" s="4">
        <v>74</v>
      </c>
      <c r="O2171" s="4" t="s">
        <v>26</v>
      </c>
      <c r="P2171" s="7" t="s">
        <v>19</v>
      </c>
    </row>
    <row r="2172" spans="2:16" x14ac:dyDescent="0.45">
      <c r="B2172" s="4">
        <v>2171</v>
      </c>
      <c r="C2172" s="4" t="s">
        <v>40</v>
      </c>
      <c r="D2172" s="4" t="s">
        <v>23</v>
      </c>
      <c r="E2172" s="4" t="s">
        <v>17</v>
      </c>
      <c r="F2172" s="4" t="s">
        <v>28</v>
      </c>
      <c r="G2172" s="4" t="s">
        <v>19</v>
      </c>
      <c r="H2172" s="4" t="s">
        <v>38</v>
      </c>
      <c r="I2172" s="4">
        <v>4</v>
      </c>
      <c r="J2172" s="5">
        <v>10.1</v>
      </c>
      <c r="K2172" s="6">
        <v>0.86</v>
      </c>
      <c r="L2172" s="4">
        <v>5</v>
      </c>
      <c r="M2172" s="4">
        <v>110</v>
      </c>
      <c r="N2172" s="4">
        <v>74</v>
      </c>
      <c r="O2172" s="4" t="s">
        <v>26</v>
      </c>
      <c r="P2172" s="7" t="s">
        <v>30</v>
      </c>
    </row>
    <row r="2173" spans="2:16" x14ac:dyDescent="0.45">
      <c r="B2173" s="4">
        <v>2172</v>
      </c>
      <c r="C2173" s="4" t="s">
        <v>31</v>
      </c>
      <c r="D2173" s="4" t="s">
        <v>23</v>
      </c>
      <c r="E2173" s="4" t="s">
        <v>37</v>
      </c>
      <c r="F2173" s="4" t="s">
        <v>18</v>
      </c>
      <c r="G2173" s="4" t="s">
        <v>19</v>
      </c>
      <c r="H2173" s="4" t="s">
        <v>28</v>
      </c>
      <c r="I2173" s="4">
        <v>2</v>
      </c>
      <c r="J2173" s="5">
        <v>15.8</v>
      </c>
      <c r="K2173" s="6">
        <v>0.67</v>
      </c>
      <c r="L2173" s="4">
        <v>4</v>
      </c>
      <c r="M2173" s="4">
        <v>102</v>
      </c>
      <c r="N2173" s="4">
        <v>85</v>
      </c>
      <c r="O2173" s="4" t="s">
        <v>26</v>
      </c>
      <c r="P2173" s="7" t="s">
        <v>19</v>
      </c>
    </row>
    <row r="2174" spans="2:16" x14ac:dyDescent="0.45">
      <c r="B2174" s="4">
        <v>2173</v>
      </c>
      <c r="C2174" s="4" t="s">
        <v>15</v>
      </c>
      <c r="D2174" s="4" t="s">
        <v>16</v>
      </c>
      <c r="E2174" s="4" t="s">
        <v>17</v>
      </c>
      <c r="F2174" s="4" t="s">
        <v>18</v>
      </c>
      <c r="G2174" s="4" t="s">
        <v>19</v>
      </c>
      <c r="H2174" s="4" t="s">
        <v>28</v>
      </c>
      <c r="I2174" s="4">
        <v>20</v>
      </c>
      <c r="J2174" s="5">
        <v>92.4</v>
      </c>
      <c r="K2174" s="6">
        <v>1.85</v>
      </c>
      <c r="L2174" s="4">
        <v>1</v>
      </c>
      <c r="M2174" s="4">
        <v>119</v>
      </c>
      <c r="N2174" s="4">
        <v>85</v>
      </c>
      <c r="O2174" s="4" t="s">
        <v>26</v>
      </c>
      <c r="P2174" s="7" t="s">
        <v>19</v>
      </c>
    </row>
    <row r="2175" spans="2:16" x14ac:dyDescent="0.45">
      <c r="B2175" s="4">
        <v>2174</v>
      </c>
      <c r="C2175" s="4" t="s">
        <v>31</v>
      </c>
      <c r="D2175" s="4" t="s">
        <v>23</v>
      </c>
      <c r="E2175" s="4" t="s">
        <v>35</v>
      </c>
      <c r="F2175" s="4" t="s">
        <v>18</v>
      </c>
      <c r="G2175" s="4" t="s">
        <v>19</v>
      </c>
      <c r="H2175" s="4" t="s">
        <v>38</v>
      </c>
      <c r="I2175" s="4">
        <v>40</v>
      </c>
      <c r="J2175" s="5">
        <v>74.099999999999994</v>
      </c>
      <c r="K2175" s="6">
        <v>1.5</v>
      </c>
      <c r="L2175" s="4">
        <v>1</v>
      </c>
      <c r="M2175" s="4">
        <v>125</v>
      </c>
      <c r="N2175" s="4">
        <v>79</v>
      </c>
      <c r="O2175" s="4" t="s">
        <v>26</v>
      </c>
      <c r="P2175" s="7" t="s">
        <v>30</v>
      </c>
    </row>
    <row r="2176" spans="2:16" x14ac:dyDescent="0.45">
      <c r="B2176" s="4">
        <v>2175</v>
      </c>
      <c r="C2176" s="4" t="s">
        <v>29</v>
      </c>
      <c r="D2176" s="4" t="s">
        <v>23</v>
      </c>
      <c r="E2176" s="4" t="s">
        <v>35</v>
      </c>
      <c r="F2176" s="4" t="s">
        <v>18</v>
      </c>
      <c r="G2176" s="4" t="s">
        <v>19</v>
      </c>
      <c r="H2176" s="4" t="s">
        <v>46</v>
      </c>
      <c r="I2176" s="4">
        <v>17</v>
      </c>
      <c r="J2176" s="5">
        <v>43</v>
      </c>
      <c r="K2176" s="6">
        <v>1.52</v>
      </c>
      <c r="L2176" s="4">
        <v>3</v>
      </c>
      <c r="M2176" s="4">
        <v>119</v>
      </c>
      <c r="N2176" s="4">
        <v>82</v>
      </c>
      <c r="O2176" s="4" t="s">
        <v>21</v>
      </c>
      <c r="P2176" s="7" t="s">
        <v>19</v>
      </c>
    </row>
    <row r="2177" spans="2:16" x14ac:dyDescent="0.45">
      <c r="B2177" s="4">
        <v>2176</v>
      </c>
      <c r="C2177" s="4" t="s">
        <v>45</v>
      </c>
      <c r="D2177" s="4" t="s">
        <v>16</v>
      </c>
      <c r="E2177" s="4" t="s">
        <v>35</v>
      </c>
      <c r="F2177" s="4" t="s">
        <v>18</v>
      </c>
      <c r="G2177" s="4" t="s">
        <v>19</v>
      </c>
      <c r="H2177" s="4" t="s">
        <v>20</v>
      </c>
      <c r="I2177" s="4">
        <v>9</v>
      </c>
      <c r="J2177" s="5">
        <v>29.3</v>
      </c>
      <c r="K2177" s="6">
        <v>1.08</v>
      </c>
      <c r="L2177" s="4">
        <v>0</v>
      </c>
      <c r="M2177" s="4">
        <v>114</v>
      </c>
      <c r="N2177" s="4">
        <v>73</v>
      </c>
      <c r="O2177" s="4" t="s">
        <v>26</v>
      </c>
      <c r="P2177" s="7" t="s">
        <v>19</v>
      </c>
    </row>
    <row r="2178" spans="2:16" x14ac:dyDescent="0.45">
      <c r="B2178" s="4">
        <v>2177</v>
      </c>
      <c r="C2178" s="4" t="s">
        <v>31</v>
      </c>
      <c r="D2178" s="4" t="s">
        <v>16</v>
      </c>
      <c r="E2178" s="4" t="s">
        <v>35</v>
      </c>
      <c r="F2178" s="4" t="s">
        <v>18</v>
      </c>
      <c r="G2178" s="4" t="s">
        <v>19</v>
      </c>
      <c r="H2178" s="4" t="s">
        <v>28</v>
      </c>
      <c r="I2178" s="4">
        <v>25</v>
      </c>
      <c r="J2178" s="5">
        <v>82.5</v>
      </c>
      <c r="K2178" s="6">
        <v>1.87</v>
      </c>
      <c r="L2178" s="4">
        <v>2</v>
      </c>
      <c r="M2178" s="4">
        <v>121</v>
      </c>
      <c r="N2178" s="4">
        <v>85</v>
      </c>
      <c r="O2178" s="4" t="s">
        <v>26</v>
      </c>
      <c r="P2178" s="7" t="s">
        <v>19</v>
      </c>
    </row>
    <row r="2179" spans="2:16" x14ac:dyDescent="0.45">
      <c r="B2179" s="4">
        <v>2178</v>
      </c>
      <c r="C2179" s="4" t="s">
        <v>40</v>
      </c>
      <c r="D2179" s="4" t="s">
        <v>23</v>
      </c>
      <c r="E2179" s="4" t="s">
        <v>17</v>
      </c>
      <c r="F2179" s="4" t="s">
        <v>28</v>
      </c>
      <c r="G2179" s="4" t="s">
        <v>19</v>
      </c>
      <c r="H2179" s="4" t="s">
        <v>32</v>
      </c>
      <c r="I2179" s="4">
        <v>45</v>
      </c>
      <c r="J2179" s="5">
        <v>93.9</v>
      </c>
      <c r="K2179" s="6">
        <v>1.71</v>
      </c>
      <c r="L2179" s="4">
        <v>1</v>
      </c>
      <c r="M2179" s="4">
        <v>117</v>
      </c>
      <c r="N2179" s="4">
        <v>155</v>
      </c>
      <c r="O2179" s="4" t="s">
        <v>21</v>
      </c>
      <c r="P2179" s="7" t="s">
        <v>19</v>
      </c>
    </row>
    <row r="2180" spans="2:16" x14ac:dyDescent="0.45">
      <c r="B2180" s="4">
        <v>2179</v>
      </c>
      <c r="C2180" s="4" t="s">
        <v>39</v>
      </c>
      <c r="D2180" s="4" t="s">
        <v>23</v>
      </c>
      <c r="E2180" s="4" t="s">
        <v>17</v>
      </c>
      <c r="F2180" s="4" t="s">
        <v>24</v>
      </c>
      <c r="G2180" s="4" t="s">
        <v>19</v>
      </c>
      <c r="H2180" s="4" t="s">
        <v>34</v>
      </c>
      <c r="I2180" s="4">
        <v>11</v>
      </c>
      <c r="J2180" s="5">
        <v>21.5</v>
      </c>
      <c r="K2180" s="6">
        <v>1.1200000000000001</v>
      </c>
      <c r="L2180" s="4">
        <v>1</v>
      </c>
      <c r="M2180" s="4">
        <v>96</v>
      </c>
      <c r="N2180" s="4">
        <v>74</v>
      </c>
      <c r="O2180" s="4" t="s">
        <v>21</v>
      </c>
      <c r="P2180" s="7" t="s">
        <v>19</v>
      </c>
    </row>
    <row r="2181" spans="2:16" x14ac:dyDescent="0.45">
      <c r="B2181" s="4">
        <v>2180</v>
      </c>
      <c r="C2181" s="4" t="s">
        <v>29</v>
      </c>
      <c r="D2181" s="4" t="s">
        <v>16</v>
      </c>
      <c r="E2181" s="4" t="s">
        <v>17</v>
      </c>
      <c r="F2181" s="4" t="s">
        <v>18</v>
      </c>
      <c r="G2181" s="4" t="s">
        <v>30</v>
      </c>
      <c r="H2181" s="4" t="s">
        <v>28</v>
      </c>
      <c r="I2181" s="4">
        <v>22</v>
      </c>
      <c r="J2181" s="5">
        <v>81.099999999999994</v>
      </c>
      <c r="K2181" s="6">
        <v>1.73</v>
      </c>
      <c r="L2181" s="4">
        <v>5</v>
      </c>
      <c r="M2181" s="4">
        <v>120</v>
      </c>
      <c r="N2181" s="4">
        <v>78</v>
      </c>
      <c r="O2181" s="4" t="s">
        <v>26</v>
      </c>
      <c r="P2181" s="7" t="s">
        <v>19</v>
      </c>
    </row>
    <row r="2182" spans="2:16" x14ac:dyDescent="0.45">
      <c r="B2182" s="4">
        <v>2181</v>
      </c>
      <c r="C2182" s="4" t="s">
        <v>41</v>
      </c>
      <c r="D2182" s="4" t="s">
        <v>16</v>
      </c>
      <c r="E2182" s="4" t="s">
        <v>44</v>
      </c>
      <c r="F2182" s="4" t="s">
        <v>24</v>
      </c>
      <c r="G2182" s="4" t="s">
        <v>19</v>
      </c>
      <c r="H2182" s="4" t="s">
        <v>28</v>
      </c>
      <c r="I2182" s="4">
        <v>8</v>
      </c>
      <c r="J2182" s="5">
        <v>37.799999999999997</v>
      </c>
      <c r="K2182" s="6">
        <v>1.41</v>
      </c>
      <c r="L2182" s="4">
        <v>2</v>
      </c>
      <c r="M2182" s="4">
        <v>112</v>
      </c>
      <c r="N2182" s="4">
        <v>85</v>
      </c>
      <c r="O2182" s="4" t="s">
        <v>26</v>
      </c>
      <c r="P2182" s="7" t="s">
        <v>19</v>
      </c>
    </row>
    <row r="2183" spans="2:16" x14ac:dyDescent="0.45">
      <c r="B2183" s="4">
        <v>2182</v>
      </c>
      <c r="C2183" s="4" t="s">
        <v>22</v>
      </c>
      <c r="D2183" s="4" t="s">
        <v>23</v>
      </c>
      <c r="E2183" s="4" t="s">
        <v>17</v>
      </c>
      <c r="F2183" s="4" t="s">
        <v>24</v>
      </c>
      <c r="G2183" s="4" t="s">
        <v>30</v>
      </c>
      <c r="H2183" s="4" t="s">
        <v>20</v>
      </c>
      <c r="I2183" s="4">
        <v>16</v>
      </c>
      <c r="J2183" s="5">
        <v>46</v>
      </c>
      <c r="K2183" s="6">
        <v>1.46</v>
      </c>
      <c r="L2183" s="4">
        <v>1</v>
      </c>
      <c r="M2183" s="4">
        <v>114</v>
      </c>
      <c r="N2183" s="4">
        <v>87</v>
      </c>
      <c r="O2183" s="4" t="s">
        <v>26</v>
      </c>
      <c r="P2183" s="7" t="s">
        <v>19</v>
      </c>
    </row>
    <row r="2184" spans="2:16" x14ac:dyDescent="0.45">
      <c r="B2184" s="4">
        <v>2183</v>
      </c>
      <c r="C2184" s="4" t="s">
        <v>41</v>
      </c>
      <c r="D2184" s="4" t="s">
        <v>23</v>
      </c>
      <c r="E2184" s="4" t="s">
        <v>17</v>
      </c>
      <c r="F2184" s="4" t="s">
        <v>24</v>
      </c>
      <c r="G2184" s="4" t="s">
        <v>19</v>
      </c>
      <c r="H2184" s="4" t="s">
        <v>32</v>
      </c>
      <c r="I2184" s="4">
        <v>16</v>
      </c>
      <c r="J2184" s="5">
        <v>42.7</v>
      </c>
      <c r="K2184" s="6">
        <v>1.51</v>
      </c>
      <c r="L2184" s="4">
        <v>3</v>
      </c>
      <c r="M2184" s="4">
        <v>99</v>
      </c>
      <c r="N2184" s="4">
        <v>133</v>
      </c>
      <c r="O2184" s="4" t="s">
        <v>26</v>
      </c>
      <c r="P2184" s="7" t="s">
        <v>19</v>
      </c>
    </row>
    <row r="2185" spans="2:16" x14ac:dyDescent="0.45">
      <c r="B2185" s="4">
        <v>2184</v>
      </c>
      <c r="C2185" s="4" t="s">
        <v>45</v>
      </c>
      <c r="D2185" s="4" t="s">
        <v>23</v>
      </c>
      <c r="E2185" s="4" t="s">
        <v>17</v>
      </c>
      <c r="F2185" s="4" t="s">
        <v>24</v>
      </c>
      <c r="G2185" s="4" t="s">
        <v>19</v>
      </c>
      <c r="H2185" s="4" t="s">
        <v>20</v>
      </c>
      <c r="I2185" s="4">
        <v>6</v>
      </c>
      <c r="J2185" s="5">
        <v>30.7</v>
      </c>
      <c r="K2185" s="6">
        <v>1.42</v>
      </c>
      <c r="L2185" s="4">
        <v>2</v>
      </c>
      <c r="M2185" s="4">
        <v>106</v>
      </c>
      <c r="N2185" s="4">
        <v>91</v>
      </c>
      <c r="O2185" s="4" t="s">
        <v>21</v>
      </c>
      <c r="P2185" s="7" t="s">
        <v>19</v>
      </c>
    </row>
    <row r="2186" spans="2:16" x14ac:dyDescent="0.45">
      <c r="B2186" s="4">
        <v>2185</v>
      </c>
      <c r="C2186" s="4" t="s">
        <v>22</v>
      </c>
      <c r="D2186" s="4" t="s">
        <v>23</v>
      </c>
      <c r="E2186" s="4" t="s">
        <v>17</v>
      </c>
      <c r="F2186" s="4" t="s">
        <v>24</v>
      </c>
      <c r="G2186" s="4" t="s">
        <v>19</v>
      </c>
      <c r="H2186" s="4" t="s">
        <v>36</v>
      </c>
      <c r="I2186" s="4">
        <v>64</v>
      </c>
      <c r="J2186" s="5">
        <v>87</v>
      </c>
      <c r="K2186" s="6">
        <v>1.62</v>
      </c>
      <c r="L2186" s="4">
        <v>3</v>
      </c>
      <c r="M2186" s="4">
        <v>156</v>
      </c>
      <c r="N2186" s="4">
        <v>71</v>
      </c>
      <c r="O2186" s="4" t="s">
        <v>21</v>
      </c>
      <c r="P2186" s="7" t="s">
        <v>19</v>
      </c>
    </row>
    <row r="2187" spans="2:16" x14ac:dyDescent="0.45">
      <c r="B2187" s="4">
        <v>2186</v>
      </c>
      <c r="C2187" s="4" t="s">
        <v>22</v>
      </c>
      <c r="D2187" s="4" t="s">
        <v>16</v>
      </c>
      <c r="E2187" s="4" t="s">
        <v>35</v>
      </c>
      <c r="F2187" s="4" t="s">
        <v>24</v>
      </c>
      <c r="G2187" s="4" t="s">
        <v>19</v>
      </c>
      <c r="H2187" s="4" t="s">
        <v>32</v>
      </c>
      <c r="I2187" s="4">
        <v>19</v>
      </c>
      <c r="J2187" s="5">
        <v>82.9</v>
      </c>
      <c r="K2187" s="6">
        <v>1.76</v>
      </c>
      <c r="L2187" s="4">
        <v>5</v>
      </c>
      <c r="M2187" s="4">
        <v>111</v>
      </c>
      <c r="N2187" s="4">
        <v>145</v>
      </c>
      <c r="O2187" s="4" t="s">
        <v>26</v>
      </c>
      <c r="P2187" s="7" t="s">
        <v>19</v>
      </c>
    </row>
    <row r="2188" spans="2:16" x14ac:dyDescent="0.45">
      <c r="B2188" s="4">
        <v>2187</v>
      </c>
      <c r="C2188" s="4" t="s">
        <v>27</v>
      </c>
      <c r="D2188" s="4" t="s">
        <v>23</v>
      </c>
      <c r="E2188" s="4" t="s">
        <v>35</v>
      </c>
      <c r="F2188" s="4" t="s">
        <v>24</v>
      </c>
      <c r="G2188" s="4" t="s">
        <v>19</v>
      </c>
      <c r="H2188" s="4" t="s">
        <v>38</v>
      </c>
      <c r="I2188" s="4">
        <v>11</v>
      </c>
      <c r="J2188" s="5">
        <v>31.6</v>
      </c>
      <c r="K2188" s="6">
        <v>1.35</v>
      </c>
      <c r="L2188" s="4">
        <v>9</v>
      </c>
      <c r="M2188" s="4">
        <v>114</v>
      </c>
      <c r="N2188" s="4">
        <v>85</v>
      </c>
      <c r="O2188" s="4" t="s">
        <v>26</v>
      </c>
      <c r="P2188" s="7" t="s">
        <v>19</v>
      </c>
    </row>
    <row r="2189" spans="2:16" x14ac:dyDescent="0.45">
      <c r="B2189" s="4">
        <v>2188</v>
      </c>
      <c r="C2189" s="4" t="s">
        <v>33</v>
      </c>
      <c r="D2189" s="4" t="s">
        <v>23</v>
      </c>
      <c r="E2189" s="4" t="s">
        <v>17</v>
      </c>
      <c r="F2189" s="4" t="s">
        <v>28</v>
      </c>
      <c r="G2189" s="4" t="s">
        <v>19</v>
      </c>
      <c r="H2189" s="4" t="s">
        <v>46</v>
      </c>
      <c r="I2189" s="4">
        <v>62</v>
      </c>
      <c r="J2189" s="5">
        <v>90.4</v>
      </c>
      <c r="K2189" s="6">
        <v>1.59</v>
      </c>
      <c r="L2189" s="4">
        <v>3</v>
      </c>
      <c r="M2189" s="4">
        <v>127</v>
      </c>
      <c r="N2189" s="4">
        <v>87</v>
      </c>
      <c r="O2189" s="4" t="s">
        <v>26</v>
      </c>
      <c r="P2189" s="7" t="s">
        <v>19</v>
      </c>
    </row>
    <row r="2190" spans="2:16" x14ac:dyDescent="0.45">
      <c r="B2190" s="4">
        <v>2189</v>
      </c>
      <c r="C2190" s="4" t="s">
        <v>27</v>
      </c>
      <c r="D2190" s="4" t="s">
        <v>16</v>
      </c>
      <c r="E2190" s="4" t="s">
        <v>35</v>
      </c>
      <c r="F2190" s="4" t="s">
        <v>28</v>
      </c>
      <c r="G2190" s="4" t="s">
        <v>19</v>
      </c>
      <c r="H2190" s="4" t="s">
        <v>32</v>
      </c>
      <c r="I2190" s="4">
        <v>46</v>
      </c>
      <c r="J2190" s="5">
        <v>52.5</v>
      </c>
      <c r="K2190" s="6">
        <v>1.48</v>
      </c>
      <c r="L2190" s="4">
        <v>3</v>
      </c>
      <c r="M2190" s="4">
        <v>105</v>
      </c>
      <c r="N2190" s="4">
        <v>169</v>
      </c>
      <c r="O2190" s="4" t="s">
        <v>21</v>
      </c>
      <c r="P2190" s="7" t="s">
        <v>19</v>
      </c>
    </row>
    <row r="2191" spans="2:16" x14ac:dyDescent="0.45">
      <c r="B2191" s="4">
        <v>2190</v>
      </c>
      <c r="C2191" s="4" t="s">
        <v>27</v>
      </c>
      <c r="D2191" s="4" t="s">
        <v>16</v>
      </c>
      <c r="E2191" s="4" t="s">
        <v>35</v>
      </c>
      <c r="F2191" s="4" t="s">
        <v>18</v>
      </c>
      <c r="G2191" s="4" t="s">
        <v>19</v>
      </c>
      <c r="H2191" s="4" t="s">
        <v>46</v>
      </c>
      <c r="I2191" s="4">
        <v>50</v>
      </c>
      <c r="J2191" s="5">
        <v>53.7</v>
      </c>
      <c r="K2191" s="6">
        <v>1.6</v>
      </c>
      <c r="L2191" s="4">
        <v>4</v>
      </c>
      <c r="M2191" s="4">
        <v>122</v>
      </c>
      <c r="N2191" s="4">
        <v>73</v>
      </c>
      <c r="O2191" s="4" t="s">
        <v>21</v>
      </c>
      <c r="P2191" s="7" t="s">
        <v>19</v>
      </c>
    </row>
    <row r="2192" spans="2:16" x14ac:dyDescent="0.45">
      <c r="B2192" s="4">
        <v>2191</v>
      </c>
      <c r="C2192" s="4" t="s">
        <v>41</v>
      </c>
      <c r="D2192" s="4" t="s">
        <v>16</v>
      </c>
      <c r="E2192" s="4" t="s">
        <v>35</v>
      </c>
      <c r="F2192" s="4" t="s">
        <v>18</v>
      </c>
      <c r="G2192" s="4" t="s">
        <v>19</v>
      </c>
      <c r="H2192" s="4" t="s">
        <v>20</v>
      </c>
      <c r="I2192" s="4">
        <v>79</v>
      </c>
      <c r="J2192" s="5">
        <v>91.1</v>
      </c>
      <c r="K2192" s="6">
        <v>1.77</v>
      </c>
      <c r="L2192" s="4">
        <v>2</v>
      </c>
      <c r="M2192" s="4">
        <v>128</v>
      </c>
      <c r="N2192" s="4">
        <v>104</v>
      </c>
      <c r="O2192" s="4" t="s">
        <v>26</v>
      </c>
      <c r="P2192" s="7" t="s">
        <v>19</v>
      </c>
    </row>
    <row r="2193" spans="2:16" x14ac:dyDescent="0.45">
      <c r="B2193" s="4">
        <v>2192</v>
      </c>
      <c r="C2193" s="4" t="s">
        <v>22</v>
      </c>
      <c r="D2193" s="4" t="s">
        <v>16</v>
      </c>
      <c r="E2193" s="4" t="s">
        <v>35</v>
      </c>
      <c r="F2193" s="4" t="s">
        <v>24</v>
      </c>
      <c r="G2193" s="4" t="s">
        <v>19</v>
      </c>
      <c r="H2193" s="4" t="s">
        <v>20</v>
      </c>
      <c r="I2193" s="4">
        <v>52</v>
      </c>
      <c r="J2193" s="5">
        <v>71.3</v>
      </c>
      <c r="K2193" s="6">
        <v>1.5</v>
      </c>
      <c r="L2193" s="4">
        <v>3</v>
      </c>
      <c r="M2193" s="4">
        <v>110</v>
      </c>
      <c r="N2193" s="4">
        <v>81</v>
      </c>
      <c r="O2193" s="4" t="s">
        <v>21</v>
      </c>
      <c r="P2193" s="7" t="s">
        <v>19</v>
      </c>
    </row>
    <row r="2194" spans="2:16" x14ac:dyDescent="0.45">
      <c r="B2194" s="4">
        <v>2193</v>
      </c>
      <c r="C2194" s="4" t="s">
        <v>15</v>
      </c>
      <c r="D2194" s="4" t="s">
        <v>16</v>
      </c>
      <c r="E2194" s="4" t="s">
        <v>35</v>
      </c>
      <c r="F2194" s="4" t="s">
        <v>28</v>
      </c>
      <c r="G2194" s="4" t="s">
        <v>19</v>
      </c>
      <c r="H2194" s="4" t="s">
        <v>36</v>
      </c>
      <c r="I2194" s="4">
        <v>27</v>
      </c>
      <c r="J2194" s="5">
        <v>47.2</v>
      </c>
      <c r="K2194" s="6">
        <v>1.9</v>
      </c>
      <c r="L2194" s="4">
        <v>6</v>
      </c>
      <c r="M2194" s="4">
        <v>131</v>
      </c>
      <c r="N2194" s="4">
        <v>81</v>
      </c>
      <c r="O2194" s="4" t="s">
        <v>21</v>
      </c>
      <c r="P2194" s="7" t="s">
        <v>30</v>
      </c>
    </row>
    <row r="2195" spans="2:16" x14ac:dyDescent="0.45">
      <c r="B2195" s="4">
        <v>2194</v>
      </c>
      <c r="C2195" s="4" t="s">
        <v>29</v>
      </c>
      <c r="D2195" s="4" t="s">
        <v>23</v>
      </c>
      <c r="E2195" s="4" t="s">
        <v>17</v>
      </c>
      <c r="F2195" s="4" t="s">
        <v>18</v>
      </c>
      <c r="G2195" s="4" t="s">
        <v>19</v>
      </c>
      <c r="H2195" s="4" t="s">
        <v>28</v>
      </c>
      <c r="I2195" s="4">
        <v>16</v>
      </c>
      <c r="J2195" s="5">
        <v>40.700000000000003</v>
      </c>
      <c r="K2195" s="6">
        <v>1.56</v>
      </c>
      <c r="L2195" s="4">
        <v>4</v>
      </c>
      <c r="M2195" s="4">
        <v>99</v>
      </c>
      <c r="N2195" s="4">
        <v>95</v>
      </c>
      <c r="O2195" s="4" t="s">
        <v>26</v>
      </c>
      <c r="P2195" s="7" t="s">
        <v>19</v>
      </c>
    </row>
    <row r="2196" spans="2:16" x14ac:dyDescent="0.45">
      <c r="B2196" s="4">
        <v>2195</v>
      </c>
      <c r="C2196" s="4" t="s">
        <v>33</v>
      </c>
      <c r="D2196" s="4" t="s">
        <v>16</v>
      </c>
      <c r="E2196" s="4" t="s">
        <v>35</v>
      </c>
      <c r="F2196" s="4" t="s">
        <v>18</v>
      </c>
      <c r="G2196" s="4" t="s">
        <v>19</v>
      </c>
      <c r="H2196" s="4" t="s">
        <v>25</v>
      </c>
      <c r="I2196" s="4">
        <v>63</v>
      </c>
      <c r="J2196" s="5">
        <v>63</v>
      </c>
      <c r="K2196" s="6">
        <v>1.57</v>
      </c>
      <c r="L2196" s="4">
        <v>10</v>
      </c>
      <c r="M2196" s="4">
        <v>120</v>
      </c>
      <c r="N2196" s="4">
        <v>76</v>
      </c>
      <c r="O2196" s="4" t="s">
        <v>26</v>
      </c>
      <c r="P2196" s="7" t="s">
        <v>19</v>
      </c>
    </row>
    <row r="2197" spans="2:16" x14ac:dyDescent="0.45">
      <c r="B2197" s="4">
        <v>2196</v>
      </c>
      <c r="C2197" s="4" t="s">
        <v>41</v>
      </c>
      <c r="D2197" s="4" t="s">
        <v>23</v>
      </c>
      <c r="E2197" s="4" t="s">
        <v>35</v>
      </c>
      <c r="F2197" s="4" t="s">
        <v>18</v>
      </c>
      <c r="G2197" s="4" t="s">
        <v>30</v>
      </c>
      <c r="H2197" s="4" t="s">
        <v>20</v>
      </c>
      <c r="I2197" s="4">
        <v>33</v>
      </c>
      <c r="J2197" s="5">
        <v>88.3</v>
      </c>
      <c r="K2197" s="6">
        <v>1.78</v>
      </c>
      <c r="L2197" s="4">
        <v>0</v>
      </c>
      <c r="M2197" s="4">
        <v>112</v>
      </c>
      <c r="N2197" s="4">
        <v>100</v>
      </c>
      <c r="O2197" s="4" t="s">
        <v>21</v>
      </c>
      <c r="P2197" s="7" t="s">
        <v>30</v>
      </c>
    </row>
    <row r="2198" spans="2:16" x14ac:dyDescent="0.45">
      <c r="B2198" s="4">
        <v>2197</v>
      </c>
      <c r="C2198" s="4" t="s">
        <v>33</v>
      </c>
      <c r="D2198" s="4" t="s">
        <v>16</v>
      </c>
      <c r="E2198" s="4" t="s">
        <v>35</v>
      </c>
      <c r="F2198" s="4" t="s">
        <v>18</v>
      </c>
      <c r="G2198" s="4" t="s">
        <v>30</v>
      </c>
      <c r="H2198" s="4" t="s">
        <v>25</v>
      </c>
      <c r="I2198" s="4">
        <v>29</v>
      </c>
      <c r="J2198" s="5">
        <v>83</v>
      </c>
      <c r="K2198" s="6">
        <v>1.58</v>
      </c>
      <c r="L2198" s="4">
        <v>4</v>
      </c>
      <c r="M2198" s="4">
        <v>123</v>
      </c>
      <c r="N2198" s="4">
        <v>101</v>
      </c>
      <c r="O2198" s="4" t="s">
        <v>21</v>
      </c>
      <c r="P2198" s="7" t="s">
        <v>19</v>
      </c>
    </row>
    <row r="2199" spans="2:16" x14ac:dyDescent="0.45">
      <c r="B2199" s="4">
        <v>2198</v>
      </c>
      <c r="C2199" s="4" t="s">
        <v>45</v>
      </c>
      <c r="D2199" s="4" t="s">
        <v>23</v>
      </c>
      <c r="E2199" s="4" t="s">
        <v>35</v>
      </c>
      <c r="F2199" s="4" t="s">
        <v>18</v>
      </c>
      <c r="G2199" s="4" t="s">
        <v>30</v>
      </c>
      <c r="H2199" s="4" t="s">
        <v>28</v>
      </c>
      <c r="I2199" s="4">
        <v>3</v>
      </c>
      <c r="J2199" s="5">
        <v>7.2</v>
      </c>
      <c r="K2199" s="6">
        <v>1.02</v>
      </c>
      <c r="L2199" s="4">
        <v>0</v>
      </c>
      <c r="M2199" s="4">
        <v>92</v>
      </c>
      <c r="N2199" s="4">
        <v>73</v>
      </c>
      <c r="O2199" s="4" t="s">
        <v>21</v>
      </c>
      <c r="P2199" s="7" t="s">
        <v>19</v>
      </c>
    </row>
    <row r="2200" spans="2:16" x14ac:dyDescent="0.45">
      <c r="B2200" s="4">
        <v>2199</v>
      </c>
      <c r="C2200" s="4" t="s">
        <v>29</v>
      </c>
      <c r="D2200" s="4" t="s">
        <v>16</v>
      </c>
      <c r="E2200" s="4" t="s">
        <v>35</v>
      </c>
      <c r="F2200" s="4" t="s">
        <v>28</v>
      </c>
      <c r="G2200" s="4" t="s">
        <v>19</v>
      </c>
      <c r="H2200" s="4" t="s">
        <v>36</v>
      </c>
      <c r="I2200" s="4">
        <v>19</v>
      </c>
      <c r="J2200" s="5">
        <v>60.2</v>
      </c>
      <c r="K2200" s="6">
        <v>1.83</v>
      </c>
      <c r="L2200" s="4">
        <v>1</v>
      </c>
      <c r="M2200" s="4">
        <v>133</v>
      </c>
      <c r="N2200" s="4">
        <v>103</v>
      </c>
      <c r="O2200" s="4" t="s">
        <v>21</v>
      </c>
      <c r="P2200" s="7" t="s">
        <v>30</v>
      </c>
    </row>
    <row r="2201" spans="2:16" x14ac:dyDescent="0.45">
      <c r="B2201" s="4">
        <v>2200</v>
      </c>
      <c r="C2201" s="4" t="s">
        <v>31</v>
      </c>
      <c r="D2201" s="4" t="s">
        <v>23</v>
      </c>
      <c r="E2201" s="4" t="s">
        <v>17</v>
      </c>
      <c r="F2201" s="4" t="s">
        <v>24</v>
      </c>
      <c r="G2201" s="4" t="s">
        <v>19</v>
      </c>
      <c r="H2201" s="4" t="s">
        <v>38</v>
      </c>
      <c r="I2201" s="4">
        <v>16</v>
      </c>
      <c r="J2201" s="5">
        <v>47.2</v>
      </c>
      <c r="K2201" s="6">
        <v>1.63</v>
      </c>
      <c r="L2201" s="4">
        <v>0</v>
      </c>
      <c r="M2201" s="4">
        <v>110</v>
      </c>
      <c r="N2201" s="4">
        <v>76</v>
      </c>
      <c r="O2201" s="4" t="s">
        <v>21</v>
      </c>
      <c r="P2201" s="7" t="s">
        <v>19</v>
      </c>
    </row>
    <row r="2202" spans="2:16" x14ac:dyDescent="0.45">
      <c r="B2202" s="4">
        <v>2201</v>
      </c>
      <c r="C2202" s="4" t="s">
        <v>22</v>
      </c>
      <c r="D2202" s="4" t="s">
        <v>23</v>
      </c>
      <c r="E2202" s="4" t="s">
        <v>35</v>
      </c>
      <c r="F2202" s="4" t="s">
        <v>24</v>
      </c>
      <c r="G2202" s="4" t="s">
        <v>19</v>
      </c>
      <c r="H2202" s="4" t="s">
        <v>34</v>
      </c>
      <c r="I2202" s="4">
        <v>8</v>
      </c>
      <c r="J2202" s="5">
        <v>20.8</v>
      </c>
      <c r="K2202" s="6">
        <v>1.0900000000000001</v>
      </c>
      <c r="L2202" s="4">
        <v>6</v>
      </c>
      <c r="M2202" s="4">
        <v>111</v>
      </c>
      <c r="N2202" s="4">
        <v>99</v>
      </c>
      <c r="O2202" s="4" t="s">
        <v>26</v>
      </c>
      <c r="P2202" s="7" t="s">
        <v>19</v>
      </c>
    </row>
    <row r="2203" spans="2:16" x14ac:dyDescent="0.45">
      <c r="B2203" s="4">
        <v>2202</v>
      </c>
      <c r="C2203" s="4" t="s">
        <v>29</v>
      </c>
      <c r="D2203" s="4" t="s">
        <v>23</v>
      </c>
      <c r="E2203" s="4" t="s">
        <v>17</v>
      </c>
      <c r="F2203" s="4" t="s">
        <v>24</v>
      </c>
      <c r="G2203" s="4" t="s">
        <v>30</v>
      </c>
      <c r="H2203" s="4" t="s">
        <v>25</v>
      </c>
      <c r="I2203" s="4">
        <v>84</v>
      </c>
      <c r="J2203" s="5">
        <v>92</v>
      </c>
      <c r="K2203" s="6">
        <v>1.62</v>
      </c>
      <c r="L2203" s="4">
        <v>2</v>
      </c>
      <c r="M2203" s="4">
        <v>129</v>
      </c>
      <c r="N2203" s="4">
        <v>73</v>
      </c>
      <c r="O2203" s="4" t="s">
        <v>21</v>
      </c>
      <c r="P2203" s="7" t="s">
        <v>19</v>
      </c>
    </row>
    <row r="2204" spans="2:16" x14ac:dyDescent="0.45">
      <c r="B2204" s="4">
        <v>2203</v>
      </c>
      <c r="C2204" s="4" t="s">
        <v>27</v>
      </c>
      <c r="D2204" s="4" t="s">
        <v>16</v>
      </c>
      <c r="E2204" s="4" t="s">
        <v>44</v>
      </c>
      <c r="F2204" s="4" t="s">
        <v>24</v>
      </c>
      <c r="G2204" s="4" t="s">
        <v>19</v>
      </c>
      <c r="H2204" s="4" t="s">
        <v>28</v>
      </c>
      <c r="I2204" s="4">
        <v>37</v>
      </c>
      <c r="J2204" s="5">
        <v>61.8</v>
      </c>
      <c r="K2204" s="6">
        <v>1.73</v>
      </c>
      <c r="L2204" s="4">
        <v>1</v>
      </c>
      <c r="M2204" s="4">
        <v>109</v>
      </c>
      <c r="N2204" s="4">
        <v>72</v>
      </c>
      <c r="O2204" s="4" t="s">
        <v>21</v>
      </c>
      <c r="P2204" s="7" t="s">
        <v>19</v>
      </c>
    </row>
    <row r="2205" spans="2:16" x14ac:dyDescent="0.45">
      <c r="B2205" s="4">
        <v>2204</v>
      </c>
      <c r="C2205" s="4" t="s">
        <v>43</v>
      </c>
      <c r="D2205" s="4" t="s">
        <v>16</v>
      </c>
      <c r="E2205" s="4" t="s">
        <v>17</v>
      </c>
      <c r="F2205" s="4" t="s">
        <v>18</v>
      </c>
      <c r="G2205" s="4" t="s">
        <v>30</v>
      </c>
      <c r="H2205" s="4" t="s">
        <v>20</v>
      </c>
      <c r="I2205" s="4">
        <v>14</v>
      </c>
      <c r="J2205" s="5">
        <v>56</v>
      </c>
      <c r="K2205" s="6">
        <v>1.64</v>
      </c>
      <c r="L2205" s="4">
        <v>5</v>
      </c>
      <c r="M2205" s="4">
        <v>109</v>
      </c>
      <c r="N2205" s="4">
        <v>97</v>
      </c>
      <c r="O2205" s="4" t="s">
        <v>21</v>
      </c>
      <c r="P2205" s="7" t="s">
        <v>19</v>
      </c>
    </row>
    <row r="2206" spans="2:16" x14ac:dyDescent="0.45">
      <c r="B2206" s="4">
        <v>2205</v>
      </c>
      <c r="C2206" s="4" t="s">
        <v>43</v>
      </c>
      <c r="D2206" s="4" t="s">
        <v>23</v>
      </c>
      <c r="E2206" s="4" t="s">
        <v>17</v>
      </c>
      <c r="F2206" s="4" t="s">
        <v>28</v>
      </c>
      <c r="G2206" s="4" t="s">
        <v>19</v>
      </c>
      <c r="H2206" s="4" t="s">
        <v>46</v>
      </c>
      <c r="I2206" s="4">
        <v>35</v>
      </c>
      <c r="J2206" s="5">
        <v>52.4</v>
      </c>
      <c r="K2206" s="6">
        <v>1.82</v>
      </c>
      <c r="L2206" s="4">
        <v>4</v>
      </c>
      <c r="M2206" s="4">
        <v>112</v>
      </c>
      <c r="N2206" s="4">
        <v>100</v>
      </c>
      <c r="O2206" s="4" t="s">
        <v>21</v>
      </c>
      <c r="P2206" s="7" t="s">
        <v>30</v>
      </c>
    </row>
    <row r="2207" spans="2:16" x14ac:dyDescent="0.45">
      <c r="B2207" s="4">
        <v>2206</v>
      </c>
      <c r="C2207" s="4" t="s">
        <v>22</v>
      </c>
      <c r="D2207" s="4" t="s">
        <v>16</v>
      </c>
      <c r="E2207" s="4" t="s">
        <v>35</v>
      </c>
      <c r="F2207" s="4" t="s">
        <v>18</v>
      </c>
      <c r="G2207" s="4" t="s">
        <v>19</v>
      </c>
      <c r="H2207" s="4" t="s">
        <v>20</v>
      </c>
      <c r="I2207" s="4">
        <v>24</v>
      </c>
      <c r="J2207" s="5">
        <v>85.6</v>
      </c>
      <c r="K2207" s="6">
        <v>1.89</v>
      </c>
      <c r="L2207" s="4">
        <v>2</v>
      </c>
      <c r="M2207" s="4">
        <v>127</v>
      </c>
      <c r="N2207" s="4">
        <v>86</v>
      </c>
      <c r="O2207" s="4" t="s">
        <v>26</v>
      </c>
      <c r="P2207" s="7" t="s">
        <v>30</v>
      </c>
    </row>
    <row r="2208" spans="2:16" x14ac:dyDescent="0.45">
      <c r="B2208" s="4">
        <v>2207</v>
      </c>
      <c r="C2208" s="4" t="s">
        <v>45</v>
      </c>
      <c r="D2208" s="4" t="s">
        <v>16</v>
      </c>
      <c r="E2208" s="4" t="s">
        <v>17</v>
      </c>
      <c r="F2208" s="4" t="s">
        <v>28</v>
      </c>
      <c r="G2208" s="4" t="s">
        <v>19</v>
      </c>
      <c r="H2208" s="4" t="s">
        <v>20</v>
      </c>
      <c r="I2208" s="4">
        <v>29</v>
      </c>
      <c r="J2208" s="5">
        <v>85.9</v>
      </c>
      <c r="K2208" s="6">
        <v>1.73</v>
      </c>
      <c r="L2208" s="4">
        <v>2</v>
      </c>
      <c r="M2208" s="4">
        <v>101</v>
      </c>
      <c r="N2208" s="4">
        <v>97</v>
      </c>
      <c r="O2208" s="4" t="s">
        <v>26</v>
      </c>
      <c r="P2208" s="7" t="s">
        <v>19</v>
      </c>
    </row>
    <row r="2209" spans="2:16" x14ac:dyDescent="0.45">
      <c r="B2209" s="4">
        <v>2208</v>
      </c>
      <c r="C2209" s="4" t="s">
        <v>22</v>
      </c>
      <c r="D2209" s="4" t="s">
        <v>23</v>
      </c>
      <c r="E2209" s="4" t="s">
        <v>37</v>
      </c>
      <c r="F2209" s="4" t="s">
        <v>18</v>
      </c>
      <c r="G2209" s="4" t="s">
        <v>19</v>
      </c>
      <c r="H2209" s="4" t="s">
        <v>46</v>
      </c>
      <c r="I2209" s="4">
        <v>62</v>
      </c>
      <c r="J2209" s="5">
        <v>53</v>
      </c>
      <c r="K2209" s="6">
        <v>1.87</v>
      </c>
      <c r="L2209" s="4">
        <v>2</v>
      </c>
      <c r="M2209" s="4">
        <v>123</v>
      </c>
      <c r="N2209" s="4">
        <v>95</v>
      </c>
      <c r="O2209" s="4" t="s">
        <v>21</v>
      </c>
      <c r="P2209" s="7" t="s">
        <v>19</v>
      </c>
    </row>
    <row r="2210" spans="2:16" x14ac:dyDescent="0.45">
      <c r="B2210" s="4">
        <v>2209</v>
      </c>
      <c r="C2210" s="4" t="s">
        <v>15</v>
      </c>
      <c r="D2210" s="4" t="s">
        <v>23</v>
      </c>
      <c r="E2210" s="4" t="s">
        <v>17</v>
      </c>
      <c r="F2210" s="4" t="s">
        <v>18</v>
      </c>
      <c r="G2210" s="4" t="s">
        <v>19</v>
      </c>
      <c r="H2210" s="4" t="s">
        <v>38</v>
      </c>
      <c r="I2210" s="4">
        <v>15</v>
      </c>
      <c r="J2210" s="5">
        <v>53.3</v>
      </c>
      <c r="K2210" s="6">
        <v>1.47</v>
      </c>
      <c r="L2210" s="4">
        <v>2</v>
      </c>
      <c r="M2210" s="4">
        <v>98</v>
      </c>
      <c r="N2210" s="4">
        <v>82</v>
      </c>
      <c r="O2210" s="4" t="s">
        <v>26</v>
      </c>
      <c r="P2210" s="7" t="s">
        <v>19</v>
      </c>
    </row>
    <row r="2211" spans="2:16" x14ac:dyDescent="0.45">
      <c r="B2211" s="4">
        <v>2210</v>
      </c>
      <c r="C2211" s="4" t="s">
        <v>45</v>
      </c>
      <c r="D2211" s="4" t="s">
        <v>16</v>
      </c>
      <c r="E2211" s="4" t="s">
        <v>35</v>
      </c>
      <c r="F2211" s="4" t="s">
        <v>18</v>
      </c>
      <c r="G2211" s="4" t="s">
        <v>19</v>
      </c>
      <c r="H2211" s="4" t="s">
        <v>25</v>
      </c>
      <c r="I2211" s="4">
        <v>60</v>
      </c>
      <c r="J2211" s="5">
        <v>89.2</v>
      </c>
      <c r="K2211" s="6">
        <v>1.71</v>
      </c>
      <c r="L2211" s="4">
        <v>1</v>
      </c>
      <c r="M2211" s="4">
        <v>122</v>
      </c>
      <c r="N2211" s="4">
        <v>103</v>
      </c>
      <c r="O2211" s="4" t="s">
        <v>21</v>
      </c>
      <c r="P2211" s="7" t="s">
        <v>30</v>
      </c>
    </row>
    <row r="2212" spans="2:16" x14ac:dyDescent="0.45">
      <c r="B2212" s="4">
        <v>2211</v>
      </c>
      <c r="C2212" s="4" t="s">
        <v>43</v>
      </c>
      <c r="D2212" s="4" t="s">
        <v>16</v>
      </c>
      <c r="E2212" s="4" t="s">
        <v>35</v>
      </c>
      <c r="F2212" s="4" t="s">
        <v>18</v>
      </c>
      <c r="G2212" s="4" t="s">
        <v>19</v>
      </c>
      <c r="H2212" s="4" t="s">
        <v>20</v>
      </c>
      <c r="I2212" s="4">
        <v>52</v>
      </c>
      <c r="J2212" s="5">
        <v>54.9</v>
      </c>
      <c r="K2212" s="6">
        <v>1.77</v>
      </c>
      <c r="L2212" s="4">
        <v>1</v>
      </c>
      <c r="M2212" s="4">
        <v>131</v>
      </c>
      <c r="N2212" s="4">
        <v>85</v>
      </c>
      <c r="O2212" s="4" t="s">
        <v>26</v>
      </c>
      <c r="P2212" s="7" t="s">
        <v>30</v>
      </c>
    </row>
    <row r="2213" spans="2:16" x14ac:dyDescent="0.45">
      <c r="B2213" s="4">
        <v>2212</v>
      </c>
      <c r="C2213" s="4" t="s">
        <v>41</v>
      </c>
      <c r="D2213" s="4" t="s">
        <v>16</v>
      </c>
      <c r="E2213" s="4" t="s">
        <v>37</v>
      </c>
      <c r="F2213" s="4" t="s">
        <v>28</v>
      </c>
      <c r="G2213" s="4" t="s">
        <v>19</v>
      </c>
      <c r="H2213" s="4" t="s">
        <v>36</v>
      </c>
      <c r="I2213" s="4">
        <v>12</v>
      </c>
      <c r="J2213" s="5">
        <v>49.5</v>
      </c>
      <c r="K2213" s="6">
        <v>1.49</v>
      </c>
      <c r="L2213" s="4">
        <v>5</v>
      </c>
      <c r="M2213" s="4">
        <v>113</v>
      </c>
      <c r="N2213" s="4">
        <v>102</v>
      </c>
      <c r="O2213" s="4" t="s">
        <v>26</v>
      </c>
      <c r="P2213" s="7" t="s">
        <v>19</v>
      </c>
    </row>
    <row r="2214" spans="2:16" x14ac:dyDescent="0.45">
      <c r="B2214" s="4">
        <v>2213</v>
      </c>
      <c r="C2214" s="4" t="s">
        <v>22</v>
      </c>
      <c r="D2214" s="4" t="s">
        <v>23</v>
      </c>
      <c r="E2214" s="4" t="s">
        <v>35</v>
      </c>
      <c r="F2214" s="4" t="s">
        <v>18</v>
      </c>
      <c r="G2214" s="4" t="s">
        <v>19</v>
      </c>
      <c r="H2214" s="4" t="s">
        <v>34</v>
      </c>
      <c r="I2214" s="4">
        <v>20</v>
      </c>
      <c r="J2214" s="5">
        <v>61.9</v>
      </c>
      <c r="K2214" s="6">
        <v>1.56</v>
      </c>
      <c r="L2214" s="4">
        <v>6</v>
      </c>
      <c r="M2214" s="4">
        <v>113</v>
      </c>
      <c r="N2214" s="4">
        <v>101</v>
      </c>
      <c r="O2214" s="4" t="s">
        <v>26</v>
      </c>
      <c r="P2214" s="7" t="s">
        <v>19</v>
      </c>
    </row>
    <row r="2215" spans="2:16" x14ac:dyDescent="0.45">
      <c r="B2215" s="4">
        <v>2214</v>
      </c>
      <c r="C2215" s="4" t="s">
        <v>22</v>
      </c>
      <c r="D2215" s="4" t="s">
        <v>16</v>
      </c>
      <c r="E2215" s="4" t="s">
        <v>17</v>
      </c>
      <c r="F2215" s="4" t="s">
        <v>24</v>
      </c>
      <c r="G2215" s="4" t="s">
        <v>30</v>
      </c>
      <c r="H2215" s="4" t="s">
        <v>36</v>
      </c>
      <c r="I2215" s="4">
        <v>45</v>
      </c>
      <c r="J2215" s="5">
        <v>47.5</v>
      </c>
      <c r="K2215" s="6">
        <v>1.61</v>
      </c>
      <c r="L2215" s="4">
        <v>2</v>
      </c>
      <c r="M2215" s="4">
        <v>123</v>
      </c>
      <c r="N2215" s="4">
        <v>103</v>
      </c>
      <c r="O2215" s="4" t="s">
        <v>21</v>
      </c>
      <c r="P2215" s="7" t="s">
        <v>19</v>
      </c>
    </row>
    <row r="2216" spans="2:16" x14ac:dyDescent="0.45">
      <c r="B2216" s="4">
        <v>2215</v>
      </c>
      <c r="C2216" s="4" t="s">
        <v>15</v>
      </c>
      <c r="D2216" s="4" t="s">
        <v>23</v>
      </c>
      <c r="E2216" s="4" t="s">
        <v>44</v>
      </c>
      <c r="F2216" s="4" t="s">
        <v>18</v>
      </c>
      <c r="G2216" s="4" t="s">
        <v>30</v>
      </c>
      <c r="H2216" s="4" t="s">
        <v>28</v>
      </c>
      <c r="I2216" s="4">
        <v>4</v>
      </c>
      <c r="J2216" s="5">
        <v>13.8</v>
      </c>
      <c r="K2216" s="6">
        <v>0.77</v>
      </c>
      <c r="L2216" s="4">
        <v>10</v>
      </c>
      <c r="M2216" s="4">
        <v>105</v>
      </c>
      <c r="N2216" s="4">
        <v>81</v>
      </c>
      <c r="O2216" s="4" t="s">
        <v>21</v>
      </c>
      <c r="P2216" s="7" t="s">
        <v>19</v>
      </c>
    </row>
    <row r="2217" spans="2:16" x14ac:dyDescent="0.45">
      <c r="B2217" s="4">
        <v>2216</v>
      </c>
      <c r="C2217" s="4" t="s">
        <v>40</v>
      </c>
      <c r="D2217" s="4" t="s">
        <v>16</v>
      </c>
      <c r="E2217" s="4" t="s">
        <v>37</v>
      </c>
      <c r="F2217" s="4" t="s">
        <v>28</v>
      </c>
      <c r="G2217" s="4" t="s">
        <v>19</v>
      </c>
      <c r="H2217" s="4" t="s">
        <v>36</v>
      </c>
      <c r="I2217" s="4">
        <v>63</v>
      </c>
      <c r="J2217" s="5">
        <v>93.4</v>
      </c>
      <c r="K2217" s="6">
        <v>1.7</v>
      </c>
      <c r="L2217" s="4">
        <v>7</v>
      </c>
      <c r="M2217" s="4">
        <v>137</v>
      </c>
      <c r="N2217" s="4">
        <v>71</v>
      </c>
      <c r="O2217" s="4" t="s">
        <v>21</v>
      </c>
      <c r="P2217" s="7" t="s">
        <v>19</v>
      </c>
    </row>
    <row r="2218" spans="2:16" x14ac:dyDescent="0.45">
      <c r="B2218" s="4">
        <v>2217</v>
      </c>
      <c r="C2218" s="4" t="s">
        <v>39</v>
      </c>
      <c r="D2218" s="4" t="s">
        <v>16</v>
      </c>
      <c r="E2218" s="4" t="s">
        <v>44</v>
      </c>
      <c r="F2218" s="4" t="s">
        <v>24</v>
      </c>
      <c r="G2218" s="4" t="s">
        <v>19</v>
      </c>
      <c r="H2218" s="4" t="s">
        <v>46</v>
      </c>
      <c r="I2218" s="4">
        <v>41</v>
      </c>
      <c r="J2218" s="5">
        <v>76</v>
      </c>
      <c r="K2218" s="6">
        <v>1.49</v>
      </c>
      <c r="L2218" s="4">
        <v>7</v>
      </c>
      <c r="M2218" s="4">
        <v>121</v>
      </c>
      <c r="N2218" s="4">
        <v>71</v>
      </c>
      <c r="O2218" s="4" t="s">
        <v>26</v>
      </c>
      <c r="P2218" s="7" t="s">
        <v>19</v>
      </c>
    </row>
    <row r="2219" spans="2:16" x14ac:dyDescent="0.45">
      <c r="B2219" s="4">
        <v>2218</v>
      </c>
      <c r="C2219" s="4" t="s">
        <v>27</v>
      </c>
      <c r="D2219" s="4" t="s">
        <v>23</v>
      </c>
      <c r="E2219" s="4" t="s">
        <v>17</v>
      </c>
      <c r="F2219" s="4" t="s">
        <v>24</v>
      </c>
      <c r="G2219" s="4" t="s">
        <v>19</v>
      </c>
      <c r="H2219" s="4" t="s">
        <v>28</v>
      </c>
      <c r="I2219" s="4">
        <v>5</v>
      </c>
      <c r="J2219" s="5">
        <v>19.899999999999999</v>
      </c>
      <c r="K2219" s="6">
        <v>1.35</v>
      </c>
      <c r="L2219" s="4">
        <v>1</v>
      </c>
      <c r="M2219" s="4">
        <v>109</v>
      </c>
      <c r="N2219" s="4">
        <v>73</v>
      </c>
      <c r="O2219" s="4" t="s">
        <v>26</v>
      </c>
      <c r="P2219" s="7" t="s">
        <v>19</v>
      </c>
    </row>
    <row r="2220" spans="2:16" x14ac:dyDescent="0.45">
      <c r="B2220" s="4">
        <v>2219</v>
      </c>
      <c r="C2220" s="4" t="s">
        <v>45</v>
      </c>
      <c r="D2220" s="4" t="s">
        <v>16</v>
      </c>
      <c r="E2220" s="4" t="s">
        <v>17</v>
      </c>
      <c r="F2220" s="4" t="s">
        <v>24</v>
      </c>
      <c r="G2220" s="4" t="s">
        <v>19</v>
      </c>
      <c r="H2220" s="4" t="s">
        <v>46</v>
      </c>
      <c r="I2220" s="4">
        <v>36</v>
      </c>
      <c r="J2220" s="5">
        <v>61.6</v>
      </c>
      <c r="K2220" s="6">
        <v>1.7</v>
      </c>
      <c r="L2220" s="4">
        <v>1</v>
      </c>
      <c r="M2220" s="4">
        <v>123</v>
      </c>
      <c r="N2220" s="4">
        <v>90</v>
      </c>
      <c r="O2220" s="4" t="s">
        <v>26</v>
      </c>
      <c r="P2220" s="7" t="s">
        <v>19</v>
      </c>
    </row>
    <row r="2221" spans="2:16" x14ac:dyDescent="0.45">
      <c r="B2221" s="4">
        <v>2220</v>
      </c>
      <c r="C2221" s="4" t="s">
        <v>41</v>
      </c>
      <c r="D2221" s="4" t="s">
        <v>23</v>
      </c>
      <c r="E2221" s="4" t="s">
        <v>17</v>
      </c>
      <c r="F2221" s="4" t="s">
        <v>42</v>
      </c>
      <c r="G2221" s="4" t="s">
        <v>30</v>
      </c>
      <c r="H2221" s="4" t="s">
        <v>20</v>
      </c>
      <c r="I2221" s="4">
        <v>14</v>
      </c>
      <c r="J2221" s="5">
        <v>48.1</v>
      </c>
      <c r="K2221" s="6">
        <v>1.58</v>
      </c>
      <c r="L2221" s="4">
        <v>3</v>
      </c>
      <c r="M2221" s="4">
        <v>116</v>
      </c>
      <c r="N2221" s="4">
        <v>91</v>
      </c>
      <c r="O2221" s="4" t="s">
        <v>21</v>
      </c>
      <c r="P2221" s="7" t="s">
        <v>19</v>
      </c>
    </row>
    <row r="2222" spans="2:16" x14ac:dyDescent="0.45">
      <c r="B2222" s="4">
        <v>2221</v>
      </c>
      <c r="C2222" s="4" t="s">
        <v>15</v>
      </c>
      <c r="D2222" s="4" t="s">
        <v>16</v>
      </c>
      <c r="E2222" s="4" t="s">
        <v>17</v>
      </c>
      <c r="F2222" s="4" t="s">
        <v>24</v>
      </c>
      <c r="G2222" s="4" t="s">
        <v>19</v>
      </c>
      <c r="H2222" s="4" t="s">
        <v>36</v>
      </c>
      <c r="I2222" s="4">
        <v>16</v>
      </c>
      <c r="J2222" s="5">
        <v>47.4</v>
      </c>
      <c r="K2222" s="6">
        <v>1.64</v>
      </c>
      <c r="L2222" s="4">
        <v>6</v>
      </c>
      <c r="M2222" s="4">
        <v>121</v>
      </c>
      <c r="N2222" s="4">
        <v>75</v>
      </c>
      <c r="O2222" s="4" t="s">
        <v>26</v>
      </c>
      <c r="P2222" s="7" t="s">
        <v>19</v>
      </c>
    </row>
    <row r="2223" spans="2:16" x14ac:dyDescent="0.45">
      <c r="B2223" s="4">
        <v>2222</v>
      </c>
      <c r="C2223" s="4" t="s">
        <v>43</v>
      </c>
      <c r="D2223" s="4" t="s">
        <v>23</v>
      </c>
      <c r="E2223" s="4" t="s">
        <v>17</v>
      </c>
      <c r="F2223" s="4" t="s">
        <v>24</v>
      </c>
      <c r="G2223" s="4" t="s">
        <v>30</v>
      </c>
      <c r="H2223" s="4" t="s">
        <v>28</v>
      </c>
      <c r="I2223" s="4">
        <v>17</v>
      </c>
      <c r="J2223" s="5">
        <v>45</v>
      </c>
      <c r="K2223" s="6">
        <v>1.61</v>
      </c>
      <c r="L2223" s="4">
        <v>3</v>
      </c>
      <c r="M2223" s="4">
        <v>99</v>
      </c>
      <c r="N2223" s="4">
        <v>78</v>
      </c>
      <c r="O2223" s="4" t="s">
        <v>26</v>
      </c>
      <c r="P2223" s="7" t="s">
        <v>19</v>
      </c>
    </row>
    <row r="2224" spans="2:16" x14ac:dyDescent="0.45">
      <c r="B2224" s="4">
        <v>2223</v>
      </c>
      <c r="C2224" s="4" t="s">
        <v>27</v>
      </c>
      <c r="D2224" s="4" t="s">
        <v>23</v>
      </c>
      <c r="E2224" s="4" t="s">
        <v>35</v>
      </c>
      <c r="F2224" s="4" t="s">
        <v>28</v>
      </c>
      <c r="G2224" s="4" t="s">
        <v>19</v>
      </c>
      <c r="H2224" s="4" t="s">
        <v>28</v>
      </c>
      <c r="I2224" s="4">
        <v>71</v>
      </c>
      <c r="J2224" s="5">
        <v>70.7</v>
      </c>
      <c r="K2224" s="6">
        <v>1.54</v>
      </c>
      <c r="L2224" s="4">
        <v>2</v>
      </c>
      <c r="M2224" s="4">
        <v>140</v>
      </c>
      <c r="N2224" s="4">
        <v>93</v>
      </c>
      <c r="O2224" s="4" t="s">
        <v>26</v>
      </c>
      <c r="P2224" s="7" t="s">
        <v>30</v>
      </c>
    </row>
    <row r="2225" spans="2:16" x14ac:dyDescent="0.45">
      <c r="B2225" s="4">
        <v>2224</v>
      </c>
      <c r="C2225" s="4" t="s">
        <v>15</v>
      </c>
      <c r="D2225" s="4" t="s">
        <v>16</v>
      </c>
      <c r="E2225" s="4" t="s">
        <v>44</v>
      </c>
      <c r="F2225" s="4" t="s">
        <v>24</v>
      </c>
      <c r="G2225" s="4" t="s">
        <v>19</v>
      </c>
      <c r="H2225" s="4" t="s">
        <v>20</v>
      </c>
      <c r="I2225" s="4">
        <v>8</v>
      </c>
      <c r="J2225" s="5">
        <v>24.6</v>
      </c>
      <c r="K2225" s="6">
        <v>1.28</v>
      </c>
      <c r="L2225" s="4">
        <v>4</v>
      </c>
      <c r="M2225" s="4">
        <v>104</v>
      </c>
      <c r="N2225" s="4">
        <v>73</v>
      </c>
      <c r="O2225" s="4" t="s">
        <v>21</v>
      </c>
      <c r="P2225" s="7" t="s">
        <v>19</v>
      </c>
    </row>
    <row r="2226" spans="2:16" x14ac:dyDescent="0.45">
      <c r="B2226" s="4">
        <v>2225</v>
      </c>
      <c r="C2226" s="4" t="s">
        <v>29</v>
      </c>
      <c r="D2226" s="4" t="s">
        <v>16</v>
      </c>
      <c r="E2226" s="4" t="s">
        <v>35</v>
      </c>
      <c r="F2226" s="4" t="s">
        <v>28</v>
      </c>
      <c r="G2226" s="4" t="s">
        <v>19</v>
      </c>
      <c r="H2226" s="4" t="s">
        <v>25</v>
      </c>
      <c r="I2226" s="4">
        <v>3</v>
      </c>
      <c r="J2226" s="5">
        <v>11.4</v>
      </c>
      <c r="K2226" s="6">
        <v>0.85</v>
      </c>
      <c r="L2226" s="4">
        <v>3</v>
      </c>
      <c r="M2226" s="4">
        <v>111</v>
      </c>
      <c r="N2226" s="4">
        <v>77</v>
      </c>
      <c r="O2226" s="4" t="s">
        <v>21</v>
      </c>
      <c r="P2226" s="7" t="s">
        <v>19</v>
      </c>
    </row>
    <row r="2227" spans="2:16" x14ac:dyDescent="0.45">
      <c r="B2227" s="4">
        <v>2226</v>
      </c>
      <c r="C2227" s="4" t="s">
        <v>40</v>
      </c>
      <c r="D2227" s="4" t="s">
        <v>23</v>
      </c>
      <c r="E2227" s="4" t="s">
        <v>44</v>
      </c>
      <c r="F2227" s="4" t="s">
        <v>28</v>
      </c>
      <c r="G2227" s="4" t="s">
        <v>30</v>
      </c>
      <c r="H2227" s="4" t="s">
        <v>36</v>
      </c>
      <c r="I2227" s="4">
        <v>19</v>
      </c>
      <c r="J2227" s="5">
        <v>74.5</v>
      </c>
      <c r="K2227" s="6">
        <v>1.66</v>
      </c>
      <c r="L2227" s="4">
        <v>5</v>
      </c>
      <c r="M2227" s="4">
        <v>120</v>
      </c>
      <c r="N2227" s="4">
        <v>84</v>
      </c>
      <c r="O2227" s="4" t="s">
        <v>21</v>
      </c>
      <c r="P2227" s="7" t="s">
        <v>19</v>
      </c>
    </row>
    <row r="2228" spans="2:16" x14ac:dyDescent="0.45">
      <c r="B2228" s="4">
        <v>2227</v>
      </c>
      <c r="C2228" s="4" t="s">
        <v>40</v>
      </c>
      <c r="D2228" s="4" t="s">
        <v>16</v>
      </c>
      <c r="E2228" s="4" t="s">
        <v>17</v>
      </c>
      <c r="F2228" s="4" t="s">
        <v>28</v>
      </c>
      <c r="G2228" s="4" t="s">
        <v>30</v>
      </c>
      <c r="H2228" s="4" t="s">
        <v>32</v>
      </c>
      <c r="I2228" s="4">
        <v>9</v>
      </c>
      <c r="J2228" s="5">
        <v>37.299999999999997</v>
      </c>
      <c r="K2228" s="6">
        <v>1.26</v>
      </c>
      <c r="L2228" s="4">
        <v>2</v>
      </c>
      <c r="M2228" s="4">
        <v>116</v>
      </c>
      <c r="N2228" s="4">
        <v>177</v>
      </c>
      <c r="O2228" s="4" t="s">
        <v>26</v>
      </c>
      <c r="P2228" s="7" t="s">
        <v>19</v>
      </c>
    </row>
    <row r="2229" spans="2:16" x14ac:dyDescent="0.45">
      <c r="B2229" s="4">
        <v>2228</v>
      </c>
      <c r="C2229" s="4" t="s">
        <v>43</v>
      </c>
      <c r="D2229" s="4" t="s">
        <v>23</v>
      </c>
      <c r="E2229" s="4" t="s">
        <v>35</v>
      </c>
      <c r="F2229" s="4" t="s">
        <v>42</v>
      </c>
      <c r="G2229" s="4" t="s">
        <v>19</v>
      </c>
      <c r="H2229" s="4" t="s">
        <v>36</v>
      </c>
      <c r="I2229" s="4">
        <v>6</v>
      </c>
      <c r="J2229" s="5">
        <v>18.899999999999999</v>
      </c>
      <c r="K2229" s="6">
        <v>1.39</v>
      </c>
      <c r="L2229" s="4">
        <v>9</v>
      </c>
      <c r="M2229" s="4">
        <v>121</v>
      </c>
      <c r="N2229" s="4">
        <v>97</v>
      </c>
      <c r="O2229" s="4" t="s">
        <v>26</v>
      </c>
      <c r="P2229" s="7" t="s">
        <v>30</v>
      </c>
    </row>
    <row r="2230" spans="2:16" x14ac:dyDescent="0.45">
      <c r="B2230" s="4">
        <v>2229</v>
      </c>
      <c r="C2230" s="4" t="s">
        <v>22</v>
      </c>
      <c r="D2230" s="4" t="s">
        <v>23</v>
      </c>
      <c r="E2230" s="4" t="s">
        <v>35</v>
      </c>
      <c r="F2230" s="4" t="s">
        <v>24</v>
      </c>
      <c r="G2230" s="4" t="s">
        <v>19</v>
      </c>
      <c r="H2230" s="4" t="s">
        <v>38</v>
      </c>
      <c r="I2230" s="4">
        <v>16</v>
      </c>
      <c r="J2230" s="5">
        <v>58.3</v>
      </c>
      <c r="K2230" s="6">
        <v>1.6</v>
      </c>
      <c r="L2230" s="4">
        <v>5</v>
      </c>
      <c r="M2230" s="4">
        <v>126</v>
      </c>
      <c r="N2230" s="4">
        <v>87</v>
      </c>
      <c r="O2230" s="4" t="s">
        <v>26</v>
      </c>
      <c r="P2230" s="7" t="s">
        <v>30</v>
      </c>
    </row>
    <row r="2231" spans="2:16" x14ac:dyDescent="0.45">
      <c r="B2231" s="4">
        <v>2230</v>
      </c>
      <c r="C2231" s="4" t="s">
        <v>43</v>
      </c>
      <c r="D2231" s="4" t="s">
        <v>23</v>
      </c>
      <c r="E2231" s="4" t="s">
        <v>35</v>
      </c>
      <c r="F2231" s="4" t="s">
        <v>18</v>
      </c>
      <c r="G2231" s="4" t="s">
        <v>30</v>
      </c>
      <c r="H2231" s="4" t="s">
        <v>32</v>
      </c>
      <c r="I2231" s="4">
        <v>1</v>
      </c>
      <c r="J2231" s="5">
        <v>14.9</v>
      </c>
      <c r="K2231" s="6">
        <v>0.75</v>
      </c>
      <c r="L2231" s="4">
        <v>4</v>
      </c>
      <c r="M2231" s="4">
        <v>124</v>
      </c>
      <c r="N2231" s="4">
        <v>120</v>
      </c>
      <c r="O2231" s="4" t="s">
        <v>21</v>
      </c>
      <c r="P2231" s="7" t="s">
        <v>30</v>
      </c>
    </row>
    <row r="2232" spans="2:16" x14ac:dyDescent="0.45">
      <c r="B2232" s="4">
        <v>2231</v>
      </c>
      <c r="C2232" s="4" t="s">
        <v>27</v>
      </c>
      <c r="D2232" s="4" t="s">
        <v>23</v>
      </c>
      <c r="E2232" s="4" t="s">
        <v>35</v>
      </c>
      <c r="F2232" s="4" t="s">
        <v>18</v>
      </c>
      <c r="G2232" s="4" t="s">
        <v>19</v>
      </c>
      <c r="H2232" s="4" t="s">
        <v>20</v>
      </c>
      <c r="I2232" s="4">
        <v>0</v>
      </c>
      <c r="J2232" s="5">
        <v>9.9</v>
      </c>
      <c r="K2232" s="6">
        <v>0.98</v>
      </c>
      <c r="L2232" s="4">
        <v>1</v>
      </c>
      <c r="M2232" s="4">
        <v>111</v>
      </c>
      <c r="N2232" s="4">
        <v>80</v>
      </c>
      <c r="O2232" s="4" t="s">
        <v>26</v>
      </c>
      <c r="P2232" s="7" t="s">
        <v>19</v>
      </c>
    </row>
    <row r="2233" spans="2:16" x14ac:dyDescent="0.45">
      <c r="B2233" s="4">
        <v>2232</v>
      </c>
      <c r="C2233" s="4" t="s">
        <v>22</v>
      </c>
      <c r="D2233" s="4" t="s">
        <v>16</v>
      </c>
      <c r="E2233" s="4" t="s">
        <v>35</v>
      </c>
      <c r="F2233" s="4" t="s">
        <v>28</v>
      </c>
      <c r="G2233" s="4" t="s">
        <v>19</v>
      </c>
      <c r="H2233" s="4" t="s">
        <v>28</v>
      </c>
      <c r="I2233" s="4">
        <v>10</v>
      </c>
      <c r="J2233" s="5">
        <v>32.200000000000003</v>
      </c>
      <c r="K2233" s="6">
        <v>1.4</v>
      </c>
      <c r="L2233" s="4">
        <v>9</v>
      </c>
      <c r="M2233" s="4">
        <v>117</v>
      </c>
      <c r="N2233" s="4">
        <v>88</v>
      </c>
      <c r="O2233" s="4" t="s">
        <v>21</v>
      </c>
      <c r="P2233" s="7" t="s">
        <v>19</v>
      </c>
    </row>
    <row r="2234" spans="2:16" x14ac:dyDescent="0.45">
      <c r="B2234" s="4">
        <v>2233</v>
      </c>
      <c r="C2234" s="4" t="s">
        <v>27</v>
      </c>
      <c r="D2234" s="4" t="s">
        <v>16</v>
      </c>
      <c r="E2234" s="4" t="s">
        <v>35</v>
      </c>
      <c r="F2234" s="4" t="s">
        <v>28</v>
      </c>
      <c r="G2234" s="4" t="s">
        <v>19</v>
      </c>
      <c r="H2234" s="4" t="s">
        <v>20</v>
      </c>
      <c r="I2234" s="4">
        <v>52</v>
      </c>
      <c r="J2234" s="5">
        <v>63</v>
      </c>
      <c r="K2234" s="6">
        <v>1.58</v>
      </c>
      <c r="L2234" s="4">
        <v>2</v>
      </c>
      <c r="M2234" s="4">
        <v>111</v>
      </c>
      <c r="N2234" s="4">
        <v>95</v>
      </c>
      <c r="O2234" s="4" t="s">
        <v>26</v>
      </c>
      <c r="P2234" s="7" t="s">
        <v>19</v>
      </c>
    </row>
    <row r="2235" spans="2:16" x14ac:dyDescent="0.45">
      <c r="B2235" s="4">
        <v>2234</v>
      </c>
      <c r="C2235" s="4" t="s">
        <v>29</v>
      </c>
      <c r="D2235" s="4" t="s">
        <v>23</v>
      </c>
      <c r="E2235" s="4" t="s">
        <v>35</v>
      </c>
      <c r="F2235" s="4" t="s">
        <v>28</v>
      </c>
      <c r="G2235" s="4" t="s">
        <v>19</v>
      </c>
      <c r="H2235" s="4" t="s">
        <v>28</v>
      </c>
      <c r="I2235" s="4">
        <v>1</v>
      </c>
      <c r="J2235" s="5">
        <v>9.8000000000000007</v>
      </c>
      <c r="K2235" s="6">
        <v>0.87</v>
      </c>
      <c r="L2235" s="4">
        <v>4</v>
      </c>
      <c r="M2235" s="4">
        <v>112</v>
      </c>
      <c r="N2235" s="4">
        <v>86</v>
      </c>
      <c r="O2235" s="4" t="s">
        <v>26</v>
      </c>
      <c r="P2235" s="7" t="s">
        <v>30</v>
      </c>
    </row>
    <row r="2236" spans="2:16" x14ac:dyDescent="0.45">
      <c r="B2236" s="4">
        <v>2235</v>
      </c>
      <c r="C2236" s="4" t="s">
        <v>41</v>
      </c>
      <c r="D2236" s="4" t="s">
        <v>23</v>
      </c>
      <c r="E2236" s="4" t="s">
        <v>44</v>
      </c>
      <c r="F2236" s="4" t="s">
        <v>18</v>
      </c>
      <c r="G2236" s="4" t="s">
        <v>19</v>
      </c>
      <c r="H2236" s="4" t="s">
        <v>34</v>
      </c>
      <c r="I2236" s="4">
        <v>31</v>
      </c>
      <c r="J2236" s="5">
        <v>56.5</v>
      </c>
      <c r="K2236" s="6">
        <v>1.53</v>
      </c>
      <c r="L2236" s="4">
        <v>3</v>
      </c>
      <c r="M2236" s="4">
        <v>126</v>
      </c>
      <c r="N2236" s="4">
        <v>88</v>
      </c>
      <c r="O2236" s="4" t="s">
        <v>26</v>
      </c>
      <c r="P2236" s="7" t="s">
        <v>30</v>
      </c>
    </row>
    <row r="2237" spans="2:16" x14ac:dyDescent="0.45">
      <c r="B2237" s="4">
        <v>2236</v>
      </c>
      <c r="C2237" s="4" t="s">
        <v>41</v>
      </c>
      <c r="D2237" s="4" t="s">
        <v>23</v>
      </c>
      <c r="E2237" s="4" t="s">
        <v>17</v>
      </c>
      <c r="F2237" s="4" t="s">
        <v>24</v>
      </c>
      <c r="G2237" s="4" t="s">
        <v>19</v>
      </c>
      <c r="H2237" s="4" t="s">
        <v>38</v>
      </c>
      <c r="I2237" s="4">
        <v>12</v>
      </c>
      <c r="J2237" s="5">
        <v>55.2</v>
      </c>
      <c r="K2237" s="6">
        <v>1.72</v>
      </c>
      <c r="L2237" s="4">
        <v>1</v>
      </c>
      <c r="M2237" s="4">
        <v>107</v>
      </c>
      <c r="N2237" s="4">
        <v>82</v>
      </c>
      <c r="O2237" s="4" t="s">
        <v>21</v>
      </c>
      <c r="P2237" s="7" t="s">
        <v>19</v>
      </c>
    </row>
    <row r="2238" spans="2:16" x14ac:dyDescent="0.45">
      <c r="B2238" s="4">
        <v>2237</v>
      </c>
      <c r="C2238" s="4" t="s">
        <v>27</v>
      </c>
      <c r="D2238" s="4" t="s">
        <v>23</v>
      </c>
      <c r="E2238" s="4" t="s">
        <v>17</v>
      </c>
      <c r="F2238" s="4" t="s">
        <v>18</v>
      </c>
      <c r="G2238" s="4" t="s">
        <v>19</v>
      </c>
      <c r="H2238" s="4" t="s">
        <v>20</v>
      </c>
      <c r="I2238" s="4">
        <v>47</v>
      </c>
      <c r="J2238" s="5">
        <v>70.8</v>
      </c>
      <c r="K2238" s="6">
        <v>1.76</v>
      </c>
      <c r="L2238" s="4">
        <v>2</v>
      </c>
      <c r="M2238" s="4">
        <v>110</v>
      </c>
      <c r="N2238" s="4">
        <v>102</v>
      </c>
      <c r="O2238" s="4" t="s">
        <v>21</v>
      </c>
      <c r="P2238" s="7" t="s">
        <v>19</v>
      </c>
    </row>
    <row r="2239" spans="2:16" x14ac:dyDescent="0.45">
      <c r="B2239" s="4">
        <v>2238</v>
      </c>
      <c r="C2239" s="4" t="s">
        <v>39</v>
      </c>
      <c r="D2239" s="4" t="s">
        <v>16</v>
      </c>
      <c r="E2239" s="4" t="s">
        <v>17</v>
      </c>
      <c r="F2239" s="4" t="s">
        <v>28</v>
      </c>
      <c r="G2239" s="4" t="s">
        <v>19</v>
      </c>
      <c r="H2239" s="4" t="s">
        <v>20</v>
      </c>
      <c r="I2239" s="4">
        <v>59</v>
      </c>
      <c r="J2239" s="5">
        <v>67</v>
      </c>
      <c r="K2239" s="6">
        <v>1.67</v>
      </c>
      <c r="L2239" s="4">
        <v>1</v>
      </c>
      <c r="M2239" s="4">
        <v>139</v>
      </c>
      <c r="N2239" s="4">
        <v>98</v>
      </c>
      <c r="O2239" s="4" t="s">
        <v>21</v>
      </c>
      <c r="P2239" s="7" t="s">
        <v>30</v>
      </c>
    </row>
    <row r="2240" spans="2:16" x14ac:dyDescent="0.45">
      <c r="B2240" s="4">
        <v>2239</v>
      </c>
      <c r="C2240" s="4" t="s">
        <v>45</v>
      </c>
      <c r="D2240" s="4" t="s">
        <v>23</v>
      </c>
      <c r="E2240" s="4" t="s">
        <v>35</v>
      </c>
      <c r="F2240" s="4" t="s">
        <v>18</v>
      </c>
      <c r="G2240" s="4" t="s">
        <v>19</v>
      </c>
      <c r="H2240" s="4" t="s">
        <v>28</v>
      </c>
      <c r="I2240" s="4">
        <v>5</v>
      </c>
      <c r="J2240" s="5">
        <v>34.1</v>
      </c>
      <c r="K2240" s="6">
        <v>1.1599999999999999</v>
      </c>
      <c r="L2240" s="4">
        <v>0</v>
      </c>
      <c r="M2240" s="4">
        <v>112</v>
      </c>
      <c r="N2240" s="4">
        <v>86</v>
      </c>
      <c r="O2240" s="4" t="s">
        <v>26</v>
      </c>
      <c r="P2240" s="7" t="s">
        <v>19</v>
      </c>
    </row>
    <row r="2241" spans="2:16" x14ac:dyDescent="0.45">
      <c r="B2241" s="4">
        <v>2240</v>
      </c>
      <c r="C2241" s="4" t="s">
        <v>22</v>
      </c>
      <c r="D2241" s="4" t="s">
        <v>16</v>
      </c>
      <c r="E2241" s="4" t="s">
        <v>17</v>
      </c>
      <c r="F2241" s="4" t="s">
        <v>18</v>
      </c>
      <c r="G2241" s="4" t="s">
        <v>19</v>
      </c>
      <c r="H2241" s="4" t="s">
        <v>32</v>
      </c>
      <c r="I2241" s="4">
        <v>59</v>
      </c>
      <c r="J2241" s="5">
        <v>51.6</v>
      </c>
      <c r="K2241" s="6">
        <v>1.49</v>
      </c>
      <c r="L2241" s="4">
        <v>10</v>
      </c>
      <c r="M2241" s="4">
        <v>130</v>
      </c>
      <c r="N2241" s="4">
        <v>142</v>
      </c>
      <c r="O2241" s="4" t="s">
        <v>26</v>
      </c>
      <c r="P2241" s="7" t="s">
        <v>30</v>
      </c>
    </row>
    <row r="2242" spans="2:16" x14ac:dyDescent="0.45">
      <c r="B2242" s="4">
        <v>2241</v>
      </c>
      <c r="C2242" s="4" t="s">
        <v>22</v>
      </c>
      <c r="D2242" s="4" t="s">
        <v>16</v>
      </c>
      <c r="E2242" s="4" t="s">
        <v>35</v>
      </c>
      <c r="F2242" s="4" t="s">
        <v>24</v>
      </c>
      <c r="G2242" s="4" t="s">
        <v>19</v>
      </c>
      <c r="H2242" s="4" t="s">
        <v>32</v>
      </c>
      <c r="I2242" s="4">
        <v>16</v>
      </c>
      <c r="J2242" s="5">
        <v>64.400000000000006</v>
      </c>
      <c r="K2242" s="6">
        <v>1.48</v>
      </c>
      <c r="L2242" s="4">
        <v>10</v>
      </c>
      <c r="M2242" s="4">
        <v>100</v>
      </c>
      <c r="N2242" s="4">
        <v>161</v>
      </c>
      <c r="O2242" s="4" t="s">
        <v>26</v>
      </c>
      <c r="P2242" s="7" t="s">
        <v>19</v>
      </c>
    </row>
    <row r="2243" spans="2:16" x14ac:dyDescent="0.45">
      <c r="B2243" s="4">
        <v>2242</v>
      </c>
      <c r="C2243" s="4" t="s">
        <v>43</v>
      </c>
      <c r="D2243" s="4" t="s">
        <v>16</v>
      </c>
      <c r="E2243" s="4" t="s">
        <v>35</v>
      </c>
      <c r="F2243" s="4" t="s">
        <v>18</v>
      </c>
      <c r="G2243" s="4" t="s">
        <v>30</v>
      </c>
      <c r="H2243" s="4" t="s">
        <v>32</v>
      </c>
      <c r="I2243" s="4">
        <v>86</v>
      </c>
      <c r="J2243" s="5">
        <v>59</v>
      </c>
      <c r="K2243" s="6">
        <v>1.67</v>
      </c>
      <c r="L2243" s="4">
        <v>2</v>
      </c>
      <c r="M2243" s="4">
        <v>135</v>
      </c>
      <c r="N2243" s="4">
        <v>139</v>
      </c>
      <c r="O2243" s="4" t="s">
        <v>26</v>
      </c>
      <c r="P2243" s="7" t="s">
        <v>30</v>
      </c>
    </row>
    <row r="2244" spans="2:16" x14ac:dyDescent="0.45">
      <c r="B2244" s="4">
        <v>2243</v>
      </c>
      <c r="C2244" s="4" t="s">
        <v>39</v>
      </c>
      <c r="D2244" s="4" t="s">
        <v>23</v>
      </c>
      <c r="E2244" s="4" t="s">
        <v>35</v>
      </c>
      <c r="F2244" s="4" t="s">
        <v>24</v>
      </c>
      <c r="G2244" s="4" t="s">
        <v>19</v>
      </c>
      <c r="H2244" s="4" t="s">
        <v>25</v>
      </c>
      <c r="I2244" s="4">
        <v>21</v>
      </c>
      <c r="J2244" s="5">
        <v>78.599999999999994</v>
      </c>
      <c r="K2244" s="6">
        <v>1.85</v>
      </c>
      <c r="L2244" s="4">
        <v>1</v>
      </c>
      <c r="M2244" s="4">
        <v>106</v>
      </c>
      <c r="N2244" s="4">
        <v>88</v>
      </c>
      <c r="O2244" s="4" t="s">
        <v>21</v>
      </c>
      <c r="P2244" s="7" t="s">
        <v>19</v>
      </c>
    </row>
    <row r="2245" spans="2:16" x14ac:dyDescent="0.45">
      <c r="B2245" s="4">
        <v>2244</v>
      </c>
      <c r="C2245" s="4" t="s">
        <v>45</v>
      </c>
      <c r="D2245" s="4" t="s">
        <v>23</v>
      </c>
      <c r="E2245" s="4" t="s">
        <v>17</v>
      </c>
      <c r="F2245" s="4" t="s">
        <v>28</v>
      </c>
      <c r="G2245" s="4" t="s">
        <v>19</v>
      </c>
      <c r="H2245" s="4" t="s">
        <v>36</v>
      </c>
      <c r="I2245" s="4">
        <v>8</v>
      </c>
      <c r="J2245" s="5">
        <v>30</v>
      </c>
      <c r="K2245" s="6">
        <v>1.44</v>
      </c>
      <c r="L2245" s="4">
        <v>4</v>
      </c>
      <c r="M2245" s="4">
        <v>137</v>
      </c>
      <c r="N2245" s="4">
        <v>101</v>
      </c>
      <c r="O2245" s="4" t="s">
        <v>21</v>
      </c>
      <c r="P2245" s="7" t="s">
        <v>19</v>
      </c>
    </row>
    <row r="2246" spans="2:16" x14ac:dyDescent="0.45">
      <c r="B2246" s="4">
        <v>2245</v>
      </c>
      <c r="C2246" s="4" t="s">
        <v>45</v>
      </c>
      <c r="D2246" s="4" t="s">
        <v>23</v>
      </c>
      <c r="E2246" s="4" t="s">
        <v>17</v>
      </c>
      <c r="F2246" s="4" t="s">
        <v>24</v>
      </c>
      <c r="G2246" s="4" t="s">
        <v>30</v>
      </c>
      <c r="H2246" s="4" t="s">
        <v>38</v>
      </c>
      <c r="I2246" s="4">
        <v>46</v>
      </c>
      <c r="J2246" s="5">
        <v>83.1</v>
      </c>
      <c r="K2246" s="6">
        <v>1.55</v>
      </c>
      <c r="L2246" s="4">
        <v>0</v>
      </c>
      <c r="M2246" s="4">
        <v>138</v>
      </c>
      <c r="N2246" s="4">
        <v>87</v>
      </c>
      <c r="O2246" s="4" t="s">
        <v>21</v>
      </c>
      <c r="P2246" s="7" t="s">
        <v>30</v>
      </c>
    </row>
    <row r="2247" spans="2:16" x14ac:dyDescent="0.45">
      <c r="B2247" s="4">
        <v>2246</v>
      </c>
      <c r="C2247" s="4" t="s">
        <v>33</v>
      </c>
      <c r="D2247" s="4" t="s">
        <v>16</v>
      </c>
      <c r="E2247" s="4" t="s">
        <v>35</v>
      </c>
      <c r="F2247" s="4" t="s">
        <v>18</v>
      </c>
      <c r="G2247" s="4" t="s">
        <v>19</v>
      </c>
      <c r="H2247" s="4" t="s">
        <v>32</v>
      </c>
      <c r="I2247" s="4">
        <v>25</v>
      </c>
      <c r="J2247" s="5">
        <v>57.1</v>
      </c>
      <c r="K2247" s="6">
        <v>1.76</v>
      </c>
      <c r="L2247" s="4">
        <v>4</v>
      </c>
      <c r="M2247" s="4">
        <v>122</v>
      </c>
      <c r="N2247" s="4">
        <v>188</v>
      </c>
      <c r="O2247" s="4" t="s">
        <v>26</v>
      </c>
      <c r="P2247" s="7" t="s">
        <v>19</v>
      </c>
    </row>
    <row r="2248" spans="2:16" x14ac:dyDescent="0.45">
      <c r="B2248" s="4">
        <v>2247</v>
      </c>
      <c r="C2248" s="4" t="s">
        <v>22</v>
      </c>
      <c r="D2248" s="4" t="s">
        <v>23</v>
      </c>
      <c r="E2248" s="4" t="s">
        <v>35</v>
      </c>
      <c r="F2248" s="4" t="s">
        <v>18</v>
      </c>
      <c r="G2248" s="4" t="s">
        <v>19</v>
      </c>
      <c r="H2248" s="4" t="s">
        <v>36</v>
      </c>
      <c r="I2248" s="4">
        <v>9</v>
      </c>
      <c r="J2248" s="5">
        <v>29.7</v>
      </c>
      <c r="K2248" s="6">
        <v>1.18</v>
      </c>
      <c r="L2248" s="4">
        <v>3</v>
      </c>
      <c r="M2248" s="4">
        <v>123</v>
      </c>
      <c r="N2248" s="4">
        <v>75</v>
      </c>
      <c r="O2248" s="4" t="s">
        <v>26</v>
      </c>
      <c r="P2248" s="7" t="s">
        <v>19</v>
      </c>
    </row>
    <row r="2249" spans="2:16" x14ac:dyDescent="0.45">
      <c r="B2249" s="4">
        <v>2248</v>
      </c>
      <c r="C2249" s="4" t="s">
        <v>31</v>
      </c>
      <c r="D2249" s="4" t="s">
        <v>23</v>
      </c>
      <c r="E2249" s="4" t="s">
        <v>35</v>
      </c>
      <c r="F2249" s="4" t="s">
        <v>24</v>
      </c>
      <c r="G2249" s="4" t="s">
        <v>19</v>
      </c>
      <c r="H2249" s="4" t="s">
        <v>28</v>
      </c>
      <c r="I2249" s="4">
        <v>35</v>
      </c>
      <c r="J2249" s="5">
        <v>71.5</v>
      </c>
      <c r="K2249" s="6">
        <v>1.89</v>
      </c>
      <c r="L2249" s="4">
        <v>0</v>
      </c>
      <c r="M2249" s="4">
        <v>124</v>
      </c>
      <c r="N2249" s="4">
        <v>73</v>
      </c>
      <c r="O2249" s="4" t="s">
        <v>26</v>
      </c>
      <c r="P2249" s="7" t="s">
        <v>30</v>
      </c>
    </row>
    <row r="2250" spans="2:16" x14ac:dyDescent="0.45">
      <c r="B2250" s="4">
        <v>2249</v>
      </c>
      <c r="C2250" s="4" t="s">
        <v>22</v>
      </c>
      <c r="D2250" s="4" t="s">
        <v>23</v>
      </c>
      <c r="E2250" s="4" t="s">
        <v>35</v>
      </c>
      <c r="F2250" s="4" t="s">
        <v>24</v>
      </c>
      <c r="G2250" s="4" t="s">
        <v>19</v>
      </c>
      <c r="H2250" s="4" t="s">
        <v>20</v>
      </c>
      <c r="I2250" s="4">
        <v>9</v>
      </c>
      <c r="J2250" s="5">
        <v>30.6</v>
      </c>
      <c r="K2250" s="6">
        <v>1.42</v>
      </c>
      <c r="L2250" s="4">
        <v>2</v>
      </c>
      <c r="M2250" s="4">
        <v>105</v>
      </c>
      <c r="N2250" s="4">
        <v>96</v>
      </c>
      <c r="O2250" s="4" t="s">
        <v>26</v>
      </c>
      <c r="P2250" s="7" t="s">
        <v>19</v>
      </c>
    </row>
    <row r="2251" spans="2:16" x14ac:dyDescent="0.45">
      <c r="B2251" s="4">
        <v>2250</v>
      </c>
      <c r="C2251" s="4" t="s">
        <v>45</v>
      </c>
      <c r="D2251" s="4" t="s">
        <v>16</v>
      </c>
      <c r="E2251" s="4" t="s">
        <v>17</v>
      </c>
      <c r="F2251" s="4" t="s">
        <v>24</v>
      </c>
      <c r="G2251" s="4" t="s">
        <v>30</v>
      </c>
      <c r="H2251" s="4" t="s">
        <v>25</v>
      </c>
      <c r="I2251" s="4">
        <v>18</v>
      </c>
      <c r="J2251" s="5">
        <v>83.6</v>
      </c>
      <c r="K2251" s="6">
        <v>1.5</v>
      </c>
      <c r="L2251" s="4">
        <v>1</v>
      </c>
      <c r="M2251" s="4">
        <v>97</v>
      </c>
      <c r="N2251" s="4">
        <v>97</v>
      </c>
      <c r="O2251" s="4" t="s">
        <v>21</v>
      </c>
      <c r="P2251" s="7" t="s">
        <v>19</v>
      </c>
    </row>
    <row r="2252" spans="2:16" x14ac:dyDescent="0.45">
      <c r="B2252" s="4">
        <v>2251</v>
      </c>
      <c r="C2252" s="4" t="s">
        <v>31</v>
      </c>
      <c r="D2252" s="4" t="s">
        <v>16</v>
      </c>
      <c r="E2252" s="4" t="s">
        <v>17</v>
      </c>
      <c r="F2252" s="4" t="s">
        <v>18</v>
      </c>
      <c r="G2252" s="4" t="s">
        <v>19</v>
      </c>
      <c r="H2252" s="4" t="s">
        <v>38</v>
      </c>
      <c r="I2252" s="4">
        <v>82</v>
      </c>
      <c r="J2252" s="5">
        <v>89.9</v>
      </c>
      <c r="K2252" s="6">
        <v>1.58</v>
      </c>
      <c r="L2252" s="4">
        <v>2</v>
      </c>
      <c r="M2252" s="4">
        <v>128</v>
      </c>
      <c r="N2252" s="4">
        <v>86</v>
      </c>
      <c r="O2252" s="4" t="s">
        <v>26</v>
      </c>
      <c r="P2252" s="7" t="s">
        <v>19</v>
      </c>
    </row>
    <row r="2253" spans="2:16" x14ac:dyDescent="0.45">
      <c r="B2253" s="4">
        <v>2252</v>
      </c>
      <c r="C2253" s="4" t="s">
        <v>33</v>
      </c>
      <c r="D2253" s="4" t="s">
        <v>23</v>
      </c>
      <c r="E2253" s="4" t="s">
        <v>35</v>
      </c>
      <c r="F2253" s="4" t="s">
        <v>28</v>
      </c>
      <c r="G2253" s="4" t="s">
        <v>19</v>
      </c>
      <c r="H2253" s="4" t="s">
        <v>20</v>
      </c>
      <c r="I2253" s="4">
        <v>41</v>
      </c>
      <c r="J2253" s="5">
        <v>63.1</v>
      </c>
      <c r="K2253" s="6">
        <v>1.56</v>
      </c>
      <c r="L2253" s="4">
        <v>1</v>
      </c>
      <c r="M2253" s="4">
        <v>121</v>
      </c>
      <c r="N2253" s="4">
        <v>88</v>
      </c>
      <c r="O2253" s="4" t="s">
        <v>21</v>
      </c>
      <c r="P2253" s="7" t="s">
        <v>19</v>
      </c>
    </row>
    <row r="2254" spans="2:16" x14ac:dyDescent="0.45">
      <c r="B2254" s="4">
        <v>2253</v>
      </c>
      <c r="C2254" s="4" t="s">
        <v>41</v>
      </c>
      <c r="D2254" s="4" t="s">
        <v>23</v>
      </c>
      <c r="E2254" s="4" t="s">
        <v>35</v>
      </c>
      <c r="F2254" s="4" t="s">
        <v>24</v>
      </c>
      <c r="G2254" s="4" t="s">
        <v>19</v>
      </c>
      <c r="H2254" s="4" t="s">
        <v>20</v>
      </c>
      <c r="I2254" s="4">
        <v>37</v>
      </c>
      <c r="J2254" s="5">
        <v>45.8</v>
      </c>
      <c r="K2254" s="6">
        <v>1.56</v>
      </c>
      <c r="L2254" s="4">
        <v>2</v>
      </c>
      <c r="M2254" s="4">
        <v>116</v>
      </c>
      <c r="N2254" s="4">
        <v>92</v>
      </c>
      <c r="O2254" s="4" t="s">
        <v>26</v>
      </c>
      <c r="P2254" s="7" t="s">
        <v>30</v>
      </c>
    </row>
    <row r="2255" spans="2:16" x14ac:dyDescent="0.45">
      <c r="B2255" s="4">
        <v>2254</v>
      </c>
      <c r="C2255" s="4" t="s">
        <v>22</v>
      </c>
      <c r="D2255" s="4" t="s">
        <v>16</v>
      </c>
      <c r="E2255" s="4" t="s">
        <v>17</v>
      </c>
      <c r="F2255" s="4" t="s">
        <v>24</v>
      </c>
      <c r="G2255" s="4" t="s">
        <v>19</v>
      </c>
      <c r="H2255" s="4" t="s">
        <v>25</v>
      </c>
      <c r="I2255" s="4">
        <v>1</v>
      </c>
      <c r="J2255" s="5">
        <v>15.3</v>
      </c>
      <c r="K2255" s="6">
        <v>0.6</v>
      </c>
      <c r="L2255" s="4">
        <v>4</v>
      </c>
      <c r="M2255" s="4">
        <v>90</v>
      </c>
      <c r="N2255" s="4">
        <v>91</v>
      </c>
      <c r="O2255" s="4" t="s">
        <v>21</v>
      </c>
      <c r="P2255" s="7" t="s">
        <v>19</v>
      </c>
    </row>
    <row r="2256" spans="2:16" x14ac:dyDescent="0.45">
      <c r="B2256" s="4">
        <v>2255</v>
      </c>
      <c r="C2256" s="4" t="s">
        <v>41</v>
      </c>
      <c r="D2256" s="4" t="s">
        <v>16</v>
      </c>
      <c r="E2256" s="4" t="s">
        <v>35</v>
      </c>
      <c r="F2256" s="4" t="s">
        <v>28</v>
      </c>
      <c r="G2256" s="4" t="s">
        <v>19</v>
      </c>
      <c r="H2256" s="4" t="s">
        <v>25</v>
      </c>
      <c r="I2256" s="4">
        <v>38</v>
      </c>
      <c r="J2256" s="5">
        <v>81.2</v>
      </c>
      <c r="K2256" s="6">
        <v>1.75</v>
      </c>
      <c r="L2256" s="4">
        <v>4</v>
      </c>
      <c r="M2256" s="4">
        <v>109</v>
      </c>
      <c r="N2256" s="4">
        <v>74</v>
      </c>
      <c r="O2256" s="4" t="s">
        <v>26</v>
      </c>
      <c r="P2256" s="7" t="s">
        <v>19</v>
      </c>
    </row>
    <row r="2257" spans="2:16" x14ac:dyDescent="0.45">
      <c r="B2257" s="4">
        <v>2256</v>
      </c>
      <c r="C2257" s="4" t="s">
        <v>43</v>
      </c>
      <c r="D2257" s="4" t="s">
        <v>16</v>
      </c>
      <c r="E2257" s="4" t="s">
        <v>17</v>
      </c>
      <c r="F2257" s="4" t="s">
        <v>18</v>
      </c>
      <c r="G2257" s="4" t="s">
        <v>19</v>
      </c>
      <c r="H2257" s="4" t="s">
        <v>28</v>
      </c>
      <c r="I2257" s="4">
        <v>40</v>
      </c>
      <c r="J2257" s="5">
        <v>56.7</v>
      </c>
      <c r="K2257" s="6">
        <v>1.69</v>
      </c>
      <c r="L2257" s="4">
        <v>2</v>
      </c>
      <c r="M2257" s="4">
        <v>127</v>
      </c>
      <c r="N2257" s="4">
        <v>93</v>
      </c>
      <c r="O2257" s="4" t="s">
        <v>26</v>
      </c>
      <c r="P2257" s="7" t="s">
        <v>30</v>
      </c>
    </row>
    <row r="2258" spans="2:16" x14ac:dyDescent="0.45">
      <c r="B2258" s="4">
        <v>2257</v>
      </c>
      <c r="C2258" s="4" t="s">
        <v>31</v>
      </c>
      <c r="D2258" s="4" t="s">
        <v>16</v>
      </c>
      <c r="E2258" s="4" t="s">
        <v>17</v>
      </c>
      <c r="F2258" s="4" t="s">
        <v>24</v>
      </c>
      <c r="G2258" s="4" t="s">
        <v>19</v>
      </c>
      <c r="H2258" s="4" t="s">
        <v>20</v>
      </c>
      <c r="I2258" s="4">
        <v>18</v>
      </c>
      <c r="J2258" s="5">
        <v>74.400000000000006</v>
      </c>
      <c r="K2258" s="6">
        <v>1.73</v>
      </c>
      <c r="L2258" s="4">
        <v>5</v>
      </c>
      <c r="M2258" s="4">
        <v>126</v>
      </c>
      <c r="N2258" s="4">
        <v>94</v>
      </c>
      <c r="O2258" s="4" t="s">
        <v>21</v>
      </c>
      <c r="P2258" s="7" t="s">
        <v>30</v>
      </c>
    </row>
    <row r="2259" spans="2:16" x14ac:dyDescent="0.45">
      <c r="B2259" s="4">
        <v>2258</v>
      </c>
      <c r="C2259" s="4" t="s">
        <v>31</v>
      </c>
      <c r="D2259" s="4" t="s">
        <v>16</v>
      </c>
      <c r="E2259" s="4" t="s">
        <v>17</v>
      </c>
      <c r="F2259" s="4" t="s">
        <v>24</v>
      </c>
      <c r="G2259" s="4" t="s">
        <v>19</v>
      </c>
      <c r="H2259" s="4" t="s">
        <v>28</v>
      </c>
      <c r="I2259" s="4">
        <v>8</v>
      </c>
      <c r="J2259" s="5">
        <v>36.1</v>
      </c>
      <c r="K2259" s="6">
        <v>1.3</v>
      </c>
      <c r="L2259" s="4">
        <v>3</v>
      </c>
      <c r="M2259" s="4">
        <v>108</v>
      </c>
      <c r="N2259" s="4">
        <v>101</v>
      </c>
      <c r="O2259" s="4" t="s">
        <v>26</v>
      </c>
      <c r="P2259" s="7" t="s">
        <v>19</v>
      </c>
    </row>
    <row r="2260" spans="2:16" x14ac:dyDescent="0.45">
      <c r="B2260" s="4">
        <v>2259</v>
      </c>
      <c r="C2260" s="4" t="s">
        <v>29</v>
      </c>
      <c r="D2260" s="4" t="s">
        <v>23</v>
      </c>
      <c r="E2260" s="4" t="s">
        <v>17</v>
      </c>
      <c r="F2260" s="4" t="s">
        <v>28</v>
      </c>
      <c r="G2260" s="4" t="s">
        <v>19</v>
      </c>
      <c r="H2260" s="4" t="s">
        <v>34</v>
      </c>
      <c r="I2260" s="4">
        <v>20</v>
      </c>
      <c r="J2260" s="5">
        <v>73.7</v>
      </c>
      <c r="K2260" s="6">
        <v>1.76</v>
      </c>
      <c r="L2260" s="4">
        <v>10</v>
      </c>
      <c r="M2260" s="4">
        <v>109</v>
      </c>
      <c r="N2260" s="4">
        <v>98</v>
      </c>
      <c r="O2260" s="4" t="s">
        <v>26</v>
      </c>
      <c r="P2260" s="7" t="s">
        <v>19</v>
      </c>
    </row>
    <row r="2261" spans="2:16" x14ac:dyDescent="0.45">
      <c r="B2261" s="4">
        <v>2260</v>
      </c>
      <c r="C2261" s="4" t="s">
        <v>15</v>
      </c>
      <c r="D2261" s="4" t="s">
        <v>23</v>
      </c>
      <c r="E2261" s="4" t="s">
        <v>44</v>
      </c>
      <c r="F2261" s="4" t="s">
        <v>24</v>
      </c>
      <c r="G2261" s="4" t="s">
        <v>19</v>
      </c>
      <c r="H2261" s="4" t="s">
        <v>36</v>
      </c>
      <c r="I2261" s="4">
        <v>10</v>
      </c>
      <c r="J2261" s="5">
        <v>33.5</v>
      </c>
      <c r="K2261" s="6">
        <v>1.0900000000000001</v>
      </c>
      <c r="L2261" s="4">
        <v>1</v>
      </c>
      <c r="M2261" s="4">
        <v>112</v>
      </c>
      <c r="N2261" s="4">
        <v>71</v>
      </c>
      <c r="O2261" s="4" t="s">
        <v>26</v>
      </c>
      <c r="P2261" s="7" t="s">
        <v>19</v>
      </c>
    </row>
    <row r="2262" spans="2:16" x14ac:dyDescent="0.45">
      <c r="B2262" s="4">
        <v>2261</v>
      </c>
      <c r="C2262" s="4" t="s">
        <v>27</v>
      </c>
      <c r="D2262" s="4" t="s">
        <v>16</v>
      </c>
      <c r="E2262" s="4" t="s">
        <v>17</v>
      </c>
      <c r="F2262" s="4" t="s">
        <v>24</v>
      </c>
      <c r="G2262" s="4" t="s">
        <v>19</v>
      </c>
      <c r="H2262" s="4" t="s">
        <v>20</v>
      </c>
      <c r="I2262" s="4">
        <v>7</v>
      </c>
      <c r="J2262" s="5">
        <v>18.7</v>
      </c>
      <c r="K2262" s="6">
        <v>1.31</v>
      </c>
      <c r="L2262" s="4">
        <v>1</v>
      </c>
      <c r="M2262" s="4">
        <v>95</v>
      </c>
      <c r="N2262" s="4">
        <v>93</v>
      </c>
      <c r="O2262" s="4" t="s">
        <v>21</v>
      </c>
      <c r="P2262" s="7" t="s">
        <v>19</v>
      </c>
    </row>
    <row r="2263" spans="2:16" x14ac:dyDescent="0.45">
      <c r="B2263" s="4">
        <v>2262</v>
      </c>
      <c r="C2263" s="4" t="s">
        <v>27</v>
      </c>
      <c r="D2263" s="4" t="s">
        <v>16</v>
      </c>
      <c r="E2263" s="4" t="s">
        <v>35</v>
      </c>
      <c r="F2263" s="4" t="s">
        <v>28</v>
      </c>
      <c r="G2263" s="4" t="s">
        <v>19</v>
      </c>
      <c r="H2263" s="4" t="s">
        <v>36</v>
      </c>
      <c r="I2263" s="4">
        <v>59</v>
      </c>
      <c r="J2263" s="5">
        <v>60.3</v>
      </c>
      <c r="K2263" s="6">
        <v>1.51</v>
      </c>
      <c r="L2263" s="4">
        <v>5</v>
      </c>
      <c r="M2263" s="4">
        <v>141</v>
      </c>
      <c r="N2263" s="4">
        <v>90</v>
      </c>
      <c r="O2263" s="4" t="s">
        <v>26</v>
      </c>
      <c r="P2263" s="7" t="s">
        <v>19</v>
      </c>
    </row>
    <row r="2264" spans="2:16" x14ac:dyDescent="0.45">
      <c r="B2264" s="4">
        <v>2263</v>
      </c>
      <c r="C2264" s="4" t="s">
        <v>27</v>
      </c>
      <c r="D2264" s="4" t="s">
        <v>23</v>
      </c>
      <c r="E2264" s="4" t="s">
        <v>17</v>
      </c>
      <c r="F2264" s="4" t="s">
        <v>24</v>
      </c>
      <c r="G2264" s="4" t="s">
        <v>19</v>
      </c>
      <c r="H2264" s="4" t="s">
        <v>32</v>
      </c>
      <c r="I2264" s="4">
        <v>2</v>
      </c>
      <c r="J2264" s="5">
        <v>9.6999999999999993</v>
      </c>
      <c r="K2264" s="6">
        <v>0.69</v>
      </c>
      <c r="L2264" s="4">
        <v>1</v>
      </c>
      <c r="M2264" s="4">
        <v>101</v>
      </c>
      <c r="N2264" s="4">
        <v>146</v>
      </c>
      <c r="O2264" s="4" t="s">
        <v>26</v>
      </c>
      <c r="P2264" s="7" t="s">
        <v>19</v>
      </c>
    </row>
    <row r="2265" spans="2:16" x14ac:dyDescent="0.45">
      <c r="B2265" s="4">
        <v>2264</v>
      </c>
      <c r="C2265" s="4" t="s">
        <v>27</v>
      </c>
      <c r="D2265" s="4" t="s">
        <v>23</v>
      </c>
      <c r="E2265" s="4" t="s">
        <v>17</v>
      </c>
      <c r="F2265" s="4" t="s">
        <v>18</v>
      </c>
      <c r="G2265" s="4" t="s">
        <v>19</v>
      </c>
      <c r="H2265" s="4" t="s">
        <v>28</v>
      </c>
      <c r="I2265" s="4">
        <v>7</v>
      </c>
      <c r="J2265" s="5">
        <v>29</v>
      </c>
      <c r="K2265" s="6">
        <v>1.08</v>
      </c>
      <c r="L2265" s="4">
        <v>0</v>
      </c>
      <c r="M2265" s="4">
        <v>108</v>
      </c>
      <c r="N2265" s="4">
        <v>92</v>
      </c>
      <c r="O2265" s="4" t="s">
        <v>26</v>
      </c>
      <c r="P2265" s="7" t="s">
        <v>19</v>
      </c>
    </row>
    <row r="2266" spans="2:16" x14ac:dyDescent="0.45">
      <c r="B2266" s="4">
        <v>2265</v>
      </c>
      <c r="C2266" s="4" t="s">
        <v>27</v>
      </c>
      <c r="D2266" s="4" t="s">
        <v>16</v>
      </c>
      <c r="E2266" s="4" t="s">
        <v>17</v>
      </c>
      <c r="F2266" s="4" t="s">
        <v>18</v>
      </c>
      <c r="G2266" s="4" t="s">
        <v>19</v>
      </c>
      <c r="H2266" s="4" t="s">
        <v>34</v>
      </c>
      <c r="I2266" s="4">
        <v>58</v>
      </c>
      <c r="J2266" s="5">
        <v>56.7</v>
      </c>
      <c r="K2266" s="6">
        <v>1.73</v>
      </c>
      <c r="L2266" s="4">
        <v>0</v>
      </c>
      <c r="M2266" s="4">
        <v>114</v>
      </c>
      <c r="N2266" s="4">
        <v>85</v>
      </c>
      <c r="O2266" s="4" t="s">
        <v>26</v>
      </c>
      <c r="P2266" s="7" t="s">
        <v>19</v>
      </c>
    </row>
    <row r="2267" spans="2:16" x14ac:dyDescent="0.45">
      <c r="B2267" s="4">
        <v>2266</v>
      </c>
      <c r="C2267" s="4" t="s">
        <v>33</v>
      </c>
      <c r="D2267" s="4" t="s">
        <v>16</v>
      </c>
      <c r="E2267" s="4" t="s">
        <v>37</v>
      </c>
      <c r="F2267" s="4" t="s">
        <v>24</v>
      </c>
      <c r="G2267" s="4" t="s">
        <v>19</v>
      </c>
      <c r="H2267" s="4" t="s">
        <v>34</v>
      </c>
      <c r="I2267" s="4">
        <v>21</v>
      </c>
      <c r="J2267" s="5">
        <v>85.1</v>
      </c>
      <c r="K2267" s="6">
        <v>1.74</v>
      </c>
      <c r="L2267" s="4">
        <v>6</v>
      </c>
      <c r="M2267" s="4">
        <v>112</v>
      </c>
      <c r="N2267" s="4">
        <v>76</v>
      </c>
      <c r="O2267" s="4" t="s">
        <v>26</v>
      </c>
      <c r="P2267" s="7" t="s">
        <v>19</v>
      </c>
    </row>
    <row r="2268" spans="2:16" x14ac:dyDescent="0.45">
      <c r="B2268" s="4">
        <v>2267</v>
      </c>
      <c r="C2268" s="4" t="s">
        <v>27</v>
      </c>
      <c r="D2268" s="4" t="s">
        <v>23</v>
      </c>
      <c r="E2268" s="4" t="s">
        <v>35</v>
      </c>
      <c r="F2268" s="4" t="s">
        <v>24</v>
      </c>
      <c r="G2268" s="4" t="s">
        <v>30</v>
      </c>
      <c r="H2268" s="4" t="s">
        <v>36</v>
      </c>
      <c r="I2268" s="4">
        <v>38</v>
      </c>
      <c r="J2268" s="5">
        <v>59.9</v>
      </c>
      <c r="K2268" s="6">
        <v>1.69</v>
      </c>
      <c r="L2268" s="4">
        <v>10</v>
      </c>
      <c r="M2268" s="4">
        <v>145</v>
      </c>
      <c r="N2268" s="4">
        <v>97</v>
      </c>
      <c r="O2268" s="4" t="s">
        <v>21</v>
      </c>
      <c r="P2268" s="7" t="s">
        <v>30</v>
      </c>
    </row>
    <row r="2269" spans="2:16" x14ac:dyDescent="0.45">
      <c r="B2269" s="4">
        <v>2268</v>
      </c>
      <c r="C2269" s="4" t="s">
        <v>27</v>
      </c>
      <c r="D2269" s="4" t="s">
        <v>16</v>
      </c>
      <c r="E2269" s="4" t="s">
        <v>44</v>
      </c>
      <c r="F2269" s="4" t="s">
        <v>42</v>
      </c>
      <c r="G2269" s="4" t="s">
        <v>19</v>
      </c>
      <c r="H2269" s="4" t="s">
        <v>28</v>
      </c>
      <c r="I2269" s="4">
        <v>7</v>
      </c>
      <c r="J2269" s="5">
        <v>36.4</v>
      </c>
      <c r="K2269" s="6">
        <v>1.25</v>
      </c>
      <c r="L2269" s="4">
        <v>1</v>
      </c>
      <c r="M2269" s="4">
        <v>105</v>
      </c>
      <c r="N2269" s="4">
        <v>84</v>
      </c>
      <c r="O2269" s="4" t="s">
        <v>26</v>
      </c>
      <c r="P2269" s="7" t="s">
        <v>19</v>
      </c>
    </row>
    <row r="2270" spans="2:16" x14ac:dyDescent="0.45">
      <c r="B2270" s="4">
        <v>2269</v>
      </c>
      <c r="C2270" s="4" t="s">
        <v>22</v>
      </c>
      <c r="D2270" s="4" t="s">
        <v>16</v>
      </c>
      <c r="E2270" s="4" t="s">
        <v>35</v>
      </c>
      <c r="F2270" s="4" t="s">
        <v>18</v>
      </c>
      <c r="G2270" s="4" t="s">
        <v>19</v>
      </c>
      <c r="H2270" s="4" t="s">
        <v>36</v>
      </c>
      <c r="I2270" s="4">
        <v>43</v>
      </c>
      <c r="J2270" s="5">
        <v>90.8</v>
      </c>
      <c r="K2270" s="6">
        <v>1.77</v>
      </c>
      <c r="L2270" s="4">
        <v>3</v>
      </c>
      <c r="M2270" s="4">
        <v>138</v>
      </c>
      <c r="N2270" s="4">
        <v>101</v>
      </c>
      <c r="O2270" s="4" t="s">
        <v>21</v>
      </c>
      <c r="P2270" s="7" t="s">
        <v>19</v>
      </c>
    </row>
    <row r="2271" spans="2:16" x14ac:dyDescent="0.45">
      <c r="B2271" s="4">
        <v>2270</v>
      </c>
      <c r="C2271" s="4" t="s">
        <v>29</v>
      </c>
      <c r="D2271" s="4" t="s">
        <v>16</v>
      </c>
      <c r="E2271" s="4" t="s">
        <v>35</v>
      </c>
      <c r="F2271" s="4" t="s">
        <v>24</v>
      </c>
      <c r="G2271" s="4" t="s">
        <v>19</v>
      </c>
      <c r="H2271" s="4" t="s">
        <v>36</v>
      </c>
      <c r="I2271" s="4">
        <v>2</v>
      </c>
      <c r="J2271" s="5">
        <v>12.1</v>
      </c>
      <c r="K2271" s="6">
        <v>0.93</v>
      </c>
      <c r="L2271" s="4">
        <v>1</v>
      </c>
      <c r="M2271" s="4">
        <v>110</v>
      </c>
      <c r="N2271" s="4">
        <v>89</v>
      </c>
      <c r="O2271" s="4" t="s">
        <v>21</v>
      </c>
      <c r="P2271" s="7" t="s">
        <v>19</v>
      </c>
    </row>
    <row r="2272" spans="2:16" x14ac:dyDescent="0.45">
      <c r="B2272" s="4">
        <v>2271</v>
      </c>
      <c r="C2272" s="4" t="s">
        <v>22</v>
      </c>
      <c r="D2272" s="4" t="s">
        <v>16</v>
      </c>
      <c r="E2272" s="4" t="s">
        <v>17</v>
      </c>
      <c r="F2272" s="4" t="s">
        <v>42</v>
      </c>
      <c r="G2272" s="4" t="s">
        <v>19</v>
      </c>
      <c r="H2272" s="4" t="s">
        <v>20</v>
      </c>
      <c r="I2272" s="4">
        <v>12</v>
      </c>
      <c r="J2272" s="5">
        <v>56.4</v>
      </c>
      <c r="K2272" s="6">
        <v>1.59</v>
      </c>
      <c r="L2272" s="4">
        <v>5</v>
      </c>
      <c r="M2272" s="4">
        <v>109</v>
      </c>
      <c r="N2272" s="4">
        <v>99</v>
      </c>
      <c r="O2272" s="4" t="s">
        <v>21</v>
      </c>
      <c r="P2272" s="7" t="s">
        <v>19</v>
      </c>
    </row>
    <row r="2273" spans="2:16" x14ac:dyDescent="0.45">
      <c r="B2273" s="4">
        <v>2272</v>
      </c>
      <c r="C2273" s="4" t="s">
        <v>27</v>
      </c>
      <c r="D2273" s="4" t="s">
        <v>16</v>
      </c>
      <c r="E2273" s="4" t="s">
        <v>35</v>
      </c>
      <c r="F2273" s="4" t="s">
        <v>18</v>
      </c>
      <c r="G2273" s="4" t="s">
        <v>19</v>
      </c>
      <c r="H2273" s="4" t="s">
        <v>28</v>
      </c>
      <c r="I2273" s="4">
        <v>9</v>
      </c>
      <c r="J2273" s="5">
        <v>23.3</v>
      </c>
      <c r="K2273" s="6">
        <v>1.05</v>
      </c>
      <c r="L2273" s="4">
        <v>1</v>
      </c>
      <c r="M2273" s="4">
        <v>109</v>
      </c>
      <c r="N2273" s="4">
        <v>87</v>
      </c>
      <c r="O2273" s="4" t="s">
        <v>21</v>
      </c>
      <c r="P2273" s="7" t="s">
        <v>19</v>
      </c>
    </row>
    <row r="2274" spans="2:16" x14ac:dyDescent="0.45">
      <c r="B2274" s="4">
        <v>2273</v>
      </c>
      <c r="C2274" s="4" t="s">
        <v>22</v>
      </c>
      <c r="D2274" s="4" t="s">
        <v>23</v>
      </c>
      <c r="E2274" s="4" t="s">
        <v>44</v>
      </c>
      <c r="F2274" s="4" t="s">
        <v>24</v>
      </c>
      <c r="G2274" s="4" t="s">
        <v>19</v>
      </c>
      <c r="H2274" s="4" t="s">
        <v>28</v>
      </c>
      <c r="I2274" s="4">
        <v>18</v>
      </c>
      <c r="J2274" s="5">
        <v>45.2</v>
      </c>
      <c r="K2274" s="6">
        <v>1.52</v>
      </c>
      <c r="L2274" s="4">
        <v>6</v>
      </c>
      <c r="M2274" s="4">
        <v>117</v>
      </c>
      <c r="N2274" s="4">
        <v>86</v>
      </c>
      <c r="O2274" s="4" t="s">
        <v>21</v>
      </c>
      <c r="P2274" s="7" t="s">
        <v>19</v>
      </c>
    </row>
    <row r="2275" spans="2:16" x14ac:dyDescent="0.45">
      <c r="B2275" s="4">
        <v>2274</v>
      </c>
      <c r="C2275" s="4" t="s">
        <v>45</v>
      </c>
      <c r="D2275" s="4" t="s">
        <v>16</v>
      </c>
      <c r="E2275" s="4" t="s">
        <v>17</v>
      </c>
      <c r="F2275" s="4" t="s">
        <v>18</v>
      </c>
      <c r="G2275" s="4" t="s">
        <v>19</v>
      </c>
      <c r="H2275" s="4" t="s">
        <v>20</v>
      </c>
      <c r="I2275" s="4">
        <v>14</v>
      </c>
      <c r="J2275" s="5">
        <v>38.700000000000003</v>
      </c>
      <c r="K2275" s="6">
        <v>1.49</v>
      </c>
      <c r="L2275" s="4">
        <v>10</v>
      </c>
      <c r="M2275" s="4">
        <v>99</v>
      </c>
      <c r="N2275" s="4">
        <v>102</v>
      </c>
      <c r="O2275" s="4" t="s">
        <v>21</v>
      </c>
      <c r="P2275" s="7" t="s">
        <v>19</v>
      </c>
    </row>
    <row r="2276" spans="2:16" x14ac:dyDescent="0.45">
      <c r="B2276" s="4">
        <v>2275</v>
      </c>
      <c r="C2276" s="4" t="s">
        <v>41</v>
      </c>
      <c r="D2276" s="4" t="s">
        <v>16</v>
      </c>
      <c r="E2276" s="4" t="s">
        <v>17</v>
      </c>
      <c r="F2276" s="4" t="s">
        <v>18</v>
      </c>
      <c r="G2276" s="4" t="s">
        <v>19</v>
      </c>
      <c r="H2276" s="4" t="s">
        <v>36</v>
      </c>
      <c r="I2276" s="4">
        <v>3</v>
      </c>
      <c r="J2276" s="5">
        <v>7.8</v>
      </c>
      <c r="K2276" s="6">
        <v>1.04</v>
      </c>
      <c r="L2276" s="4">
        <v>5</v>
      </c>
      <c r="M2276" s="4">
        <v>130</v>
      </c>
      <c r="N2276" s="4">
        <v>86</v>
      </c>
      <c r="O2276" s="4" t="s">
        <v>21</v>
      </c>
      <c r="P2276" s="7" t="s">
        <v>19</v>
      </c>
    </row>
    <row r="2277" spans="2:16" x14ac:dyDescent="0.45">
      <c r="B2277" s="4">
        <v>2276</v>
      </c>
      <c r="C2277" s="4" t="s">
        <v>31</v>
      </c>
      <c r="D2277" s="4" t="s">
        <v>23</v>
      </c>
      <c r="E2277" s="4" t="s">
        <v>35</v>
      </c>
      <c r="F2277" s="4" t="s">
        <v>24</v>
      </c>
      <c r="G2277" s="4" t="s">
        <v>19</v>
      </c>
      <c r="H2277" s="4" t="s">
        <v>34</v>
      </c>
      <c r="I2277" s="4">
        <v>1</v>
      </c>
      <c r="J2277" s="5">
        <v>11.6</v>
      </c>
      <c r="K2277" s="6">
        <v>0.91</v>
      </c>
      <c r="L2277" s="4">
        <v>0</v>
      </c>
      <c r="M2277" s="4">
        <v>106</v>
      </c>
      <c r="N2277" s="4">
        <v>86</v>
      </c>
      <c r="O2277" s="4" t="s">
        <v>26</v>
      </c>
      <c r="P2277" s="7" t="s">
        <v>19</v>
      </c>
    </row>
    <row r="2278" spans="2:16" x14ac:dyDescent="0.45">
      <c r="B2278" s="4">
        <v>2277</v>
      </c>
      <c r="C2278" s="4" t="s">
        <v>33</v>
      </c>
      <c r="D2278" s="4" t="s">
        <v>23</v>
      </c>
      <c r="E2278" s="4" t="s">
        <v>17</v>
      </c>
      <c r="F2278" s="4" t="s">
        <v>24</v>
      </c>
      <c r="G2278" s="4" t="s">
        <v>19</v>
      </c>
      <c r="H2278" s="4" t="s">
        <v>20</v>
      </c>
      <c r="I2278" s="4">
        <v>2</v>
      </c>
      <c r="J2278" s="5">
        <v>12.6</v>
      </c>
      <c r="K2278" s="6">
        <v>0.76</v>
      </c>
      <c r="L2278" s="4">
        <v>8</v>
      </c>
      <c r="M2278" s="4">
        <v>113</v>
      </c>
      <c r="N2278" s="4">
        <v>102</v>
      </c>
      <c r="O2278" s="4" t="s">
        <v>21</v>
      </c>
      <c r="P2278" s="7" t="s">
        <v>19</v>
      </c>
    </row>
    <row r="2279" spans="2:16" x14ac:dyDescent="0.45">
      <c r="B2279" s="4">
        <v>2278</v>
      </c>
      <c r="C2279" s="4" t="s">
        <v>29</v>
      </c>
      <c r="D2279" s="4" t="s">
        <v>23</v>
      </c>
      <c r="E2279" s="4" t="s">
        <v>17</v>
      </c>
      <c r="F2279" s="4" t="s">
        <v>24</v>
      </c>
      <c r="G2279" s="4" t="s">
        <v>19</v>
      </c>
      <c r="H2279" s="4" t="s">
        <v>20</v>
      </c>
      <c r="I2279" s="4">
        <v>14</v>
      </c>
      <c r="J2279" s="5">
        <v>41.4</v>
      </c>
      <c r="K2279" s="6">
        <v>1.46</v>
      </c>
      <c r="L2279" s="4">
        <v>2</v>
      </c>
      <c r="M2279" s="4">
        <v>129</v>
      </c>
      <c r="N2279" s="4">
        <v>83</v>
      </c>
      <c r="O2279" s="4" t="s">
        <v>26</v>
      </c>
      <c r="P2279" s="7" t="s">
        <v>30</v>
      </c>
    </row>
    <row r="2280" spans="2:16" x14ac:dyDescent="0.45">
      <c r="B2280" s="4">
        <v>2279</v>
      </c>
      <c r="C2280" s="4" t="s">
        <v>45</v>
      </c>
      <c r="D2280" s="4" t="s">
        <v>23</v>
      </c>
      <c r="E2280" s="4" t="s">
        <v>44</v>
      </c>
      <c r="F2280" s="4" t="s">
        <v>18</v>
      </c>
      <c r="G2280" s="4" t="s">
        <v>30</v>
      </c>
      <c r="H2280" s="4" t="s">
        <v>28</v>
      </c>
      <c r="I2280" s="4">
        <v>43</v>
      </c>
      <c r="J2280" s="5">
        <v>70.3</v>
      </c>
      <c r="K2280" s="6">
        <v>1.88</v>
      </c>
      <c r="L2280" s="4">
        <v>5</v>
      </c>
      <c r="M2280" s="4">
        <v>109</v>
      </c>
      <c r="N2280" s="4">
        <v>87</v>
      </c>
      <c r="O2280" s="4" t="s">
        <v>26</v>
      </c>
      <c r="P2280" s="7" t="s">
        <v>19</v>
      </c>
    </row>
    <row r="2281" spans="2:16" x14ac:dyDescent="0.45">
      <c r="B2281" s="4">
        <v>2280</v>
      </c>
      <c r="C2281" s="4" t="s">
        <v>39</v>
      </c>
      <c r="D2281" s="4" t="s">
        <v>16</v>
      </c>
      <c r="E2281" s="4" t="s">
        <v>17</v>
      </c>
      <c r="F2281" s="4" t="s">
        <v>24</v>
      </c>
      <c r="G2281" s="4" t="s">
        <v>19</v>
      </c>
      <c r="H2281" s="4" t="s">
        <v>36</v>
      </c>
      <c r="I2281" s="4">
        <v>41</v>
      </c>
      <c r="J2281" s="5">
        <v>59.7</v>
      </c>
      <c r="K2281" s="6">
        <v>1.7</v>
      </c>
      <c r="L2281" s="4">
        <v>1</v>
      </c>
      <c r="M2281" s="4">
        <v>140</v>
      </c>
      <c r="N2281" s="4">
        <v>81</v>
      </c>
      <c r="O2281" s="4" t="s">
        <v>26</v>
      </c>
      <c r="P2281" s="7" t="s">
        <v>30</v>
      </c>
    </row>
    <row r="2282" spans="2:16" x14ac:dyDescent="0.45">
      <c r="B2282" s="4">
        <v>2281</v>
      </c>
      <c r="C2282" s="4" t="s">
        <v>40</v>
      </c>
      <c r="D2282" s="4" t="s">
        <v>16</v>
      </c>
      <c r="E2282" s="4" t="s">
        <v>17</v>
      </c>
      <c r="F2282" s="4" t="s">
        <v>28</v>
      </c>
      <c r="G2282" s="4" t="s">
        <v>19</v>
      </c>
      <c r="H2282" s="4" t="s">
        <v>25</v>
      </c>
      <c r="I2282" s="4">
        <v>44</v>
      </c>
      <c r="J2282" s="5">
        <v>88.4</v>
      </c>
      <c r="K2282" s="6">
        <v>1.77</v>
      </c>
      <c r="L2282" s="4">
        <v>9</v>
      </c>
      <c r="M2282" s="4">
        <v>119</v>
      </c>
      <c r="N2282" s="4">
        <v>93</v>
      </c>
      <c r="O2282" s="4" t="s">
        <v>21</v>
      </c>
      <c r="P2282" s="7" t="s">
        <v>19</v>
      </c>
    </row>
    <row r="2283" spans="2:16" x14ac:dyDescent="0.45">
      <c r="B2283" s="4">
        <v>2282</v>
      </c>
      <c r="C2283" s="4" t="s">
        <v>41</v>
      </c>
      <c r="D2283" s="4" t="s">
        <v>23</v>
      </c>
      <c r="E2283" s="4" t="s">
        <v>35</v>
      </c>
      <c r="F2283" s="4" t="s">
        <v>24</v>
      </c>
      <c r="G2283" s="4" t="s">
        <v>30</v>
      </c>
      <c r="H2283" s="4" t="s">
        <v>25</v>
      </c>
      <c r="I2283" s="4">
        <v>80</v>
      </c>
      <c r="J2283" s="5">
        <v>80.5</v>
      </c>
      <c r="K2283" s="6">
        <v>1.7</v>
      </c>
      <c r="L2283" s="4">
        <v>2</v>
      </c>
      <c r="M2283" s="4">
        <v>139</v>
      </c>
      <c r="N2283" s="4">
        <v>76</v>
      </c>
      <c r="O2283" s="4" t="s">
        <v>21</v>
      </c>
      <c r="P2283" s="7" t="s">
        <v>30</v>
      </c>
    </row>
    <row r="2284" spans="2:16" x14ac:dyDescent="0.45">
      <c r="B2284" s="4">
        <v>2283</v>
      </c>
      <c r="C2284" s="4" t="s">
        <v>33</v>
      </c>
      <c r="D2284" s="4" t="s">
        <v>16</v>
      </c>
      <c r="E2284" s="4" t="s">
        <v>37</v>
      </c>
      <c r="F2284" s="4" t="s">
        <v>18</v>
      </c>
      <c r="G2284" s="4" t="s">
        <v>19</v>
      </c>
      <c r="H2284" s="4" t="s">
        <v>25</v>
      </c>
      <c r="I2284" s="4">
        <v>5</v>
      </c>
      <c r="J2284" s="5">
        <v>26.6</v>
      </c>
      <c r="K2284" s="6">
        <v>1.32</v>
      </c>
      <c r="L2284" s="4">
        <v>2</v>
      </c>
      <c r="M2284" s="4">
        <v>93</v>
      </c>
      <c r="N2284" s="4">
        <v>85</v>
      </c>
      <c r="O2284" s="4" t="s">
        <v>21</v>
      </c>
      <c r="P2284" s="7" t="s">
        <v>19</v>
      </c>
    </row>
    <row r="2285" spans="2:16" x14ac:dyDescent="0.45">
      <c r="B2285" s="4">
        <v>2284</v>
      </c>
      <c r="C2285" s="4" t="s">
        <v>31</v>
      </c>
      <c r="D2285" s="4" t="s">
        <v>16</v>
      </c>
      <c r="E2285" s="4" t="s">
        <v>35</v>
      </c>
      <c r="F2285" s="4" t="s">
        <v>24</v>
      </c>
      <c r="G2285" s="4" t="s">
        <v>19</v>
      </c>
      <c r="H2285" s="4" t="s">
        <v>34</v>
      </c>
      <c r="I2285" s="4">
        <v>23</v>
      </c>
      <c r="J2285" s="5">
        <v>90.7</v>
      </c>
      <c r="K2285" s="6">
        <v>1.88</v>
      </c>
      <c r="L2285" s="4">
        <v>3</v>
      </c>
      <c r="M2285" s="4">
        <v>113</v>
      </c>
      <c r="N2285" s="4">
        <v>97</v>
      </c>
      <c r="O2285" s="4" t="s">
        <v>26</v>
      </c>
      <c r="P2285" s="7" t="s">
        <v>19</v>
      </c>
    </row>
    <row r="2286" spans="2:16" x14ac:dyDescent="0.45">
      <c r="B2286" s="4">
        <v>2285</v>
      </c>
      <c r="C2286" s="4" t="s">
        <v>43</v>
      </c>
      <c r="D2286" s="4" t="s">
        <v>16</v>
      </c>
      <c r="E2286" s="4" t="s">
        <v>17</v>
      </c>
      <c r="F2286" s="4" t="s">
        <v>18</v>
      </c>
      <c r="G2286" s="4" t="s">
        <v>30</v>
      </c>
      <c r="H2286" s="4" t="s">
        <v>32</v>
      </c>
      <c r="I2286" s="4">
        <v>22</v>
      </c>
      <c r="J2286" s="5">
        <v>92.9</v>
      </c>
      <c r="K2286" s="6">
        <v>1.6</v>
      </c>
      <c r="L2286" s="4">
        <v>1</v>
      </c>
      <c r="M2286" s="4">
        <v>115</v>
      </c>
      <c r="N2286" s="4">
        <v>174</v>
      </c>
      <c r="O2286" s="4" t="s">
        <v>21</v>
      </c>
      <c r="P2286" s="7" t="s">
        <v>19</v>
      </c>
    </row>
    <row r="2287" spans="2:16" x14ac:dyDescent="0.45">
      <c r="B2287" s="4">
        <v>2286</v>
      </c>
      <c r="C2287" s="4" t="s">
        <v>29</v>
      </c>
      <c r="D2287" s="4" t="s">
        <v>16</v>
      </c>
      <c r="E2287" s="4" t="s">
        <v>37</v>
      </c>
      <c r="F2287" s="4" t="s">
        <v>24</v>
      </c>
      <c r="G2287" s="4" t="s">
        <v>30</v>
      </c>
      <c r="H2287" s="4" t="s">
        <v>34</v>
      </c>
      <c r="I2287" s="4">
        <v>24</v>
      </c>
      <c r="J2287" s="5">
        <v>64.900000000000006</v>
      </c>
      <c r="K2287" s="6">
        <v>1.62</v>
      </c>
      <c r="L2287" s="4">
        <v>7</v>
      </c>
      <c r="M2287" s="4">
        <v>107</v>
      </c>
      <c r="N2287" s="4">
        <v>104</v>
      </c>
      <c r="O2287" s="4" t="s">
        <v>21</v>
      </c>
      <c r="P2287" s="7" t="s">
        <v>19</v>
      </c>
    </row>
    <row r="2288" spans="2:16" x14ac:dyDescent="0.45">
      <c r="B2288" s="4">
        <v>2287</v>
      </c>
      <c r="C2288" s="4" t="s">
        <v>39</v>
      </c>
      <c r="D2288" s="4" t="s">
        <v>16</v>
      </c>
      <c r="E2288" s="4" t="s">
        <v>35</v>
      </c>
      <c r="F2288" s="4" t="s">
        <v>18</v>
      </c>
      <c r="G2288" s="4" t="s">
        <v>19</v>
      </c>
      <c r="H2288" s="4" t="s">
        <v>36</v>
      </c>
      <c r="I2288" s="4">
        <v>12</v>
      </c>
      <c r="J2288" s="5">
        <v>56.7</v>
      </c>
      <c r="K2288" s="6">
        <v>1.58</v>
      </c>
      <c r="L2288" s="4">
        <v>3</v>
      </c>
      <c r="M2288" s="4">
        <v>125</v>
      </c>
      <c r="N2288" s="4">
        <v>70</v>
      </c>
      <c r="O2288" s="4" t="s">
        <v>26</v>
      </c>
      <c r="P2288" s="7" t="s">
        <v>19</v>
      </c>
    </row>
    <row r="2289" spans="2:16" x14ac:dyDescent="0.45">
      <c r="B2289" s="4">
        <v>2288</v>
      </c>
      <c r="C2289" s="4" t="s">
        <v>39</v>
      </c>
      <c r="D2289" s="4" t="s">
        <v>16</v>
      </c>
      <c r="E2289" s="4" t="s">
        <v>44</v>
      </c>
      <c r="F2289" s="4" t="s">
        <v>42</v>
      </c>
      <c r="G2289" s="4" t="s">
        <v>19</v>
      </c>
      <c r="H2289" s="4" t="s">
        <v>38</v>
      </c>
      <c r="I2289" s="4">
        <v>4</v>
      </c>
      <c r="J2289" s="5">
        <v>6.1</v>
      </c>
      <c r="K2289" s="6">
        <v>0.75</v>
      </c>
      <c r="L2289" s="4">
        <v>8</v>
      </c>
      <c r="M2289" s="4">
        <v>103</v>
      </c>
      <c r="N2289" s="4">
        <v>103</v>
      </c>
      <c r="O2289" s="4" t="s">
        <v>21</v>
      </c>
      <c r="P2289" s="7" t="s">
        <v>19</v>
      </c>
    </row>
    <row r="2290" spans="2:16" x14ac:dyDescent="0.45">
      <c r="B2290" s="4">
        <v>2289</v>
      </c>
      <c r="C2290" s="4" t="s">
        <v>39</v>
      </c>
      <c r="D2290" s="4" t="s">
        <v>16</v>
      </c>
      <c r="E2290" s="4" t="s">
        <v>17</v>
      </c>
      <c r="F2290" s="4" t="s">
        <v>18</v>
      </c>
      <c r="G2290" s="4" t="s">
        <v>19</v>
      </c>
      <c r="H2290" s="4" t="s">
        <v>34</v>
      </c>
      <c r="I2290" s="4">
        <v>11</v>
      </c>
      <c r="J2290" s="5">
        <v>18.399999999999999</v>
      </c>
      <c r="K2290" s="6">
        <v>1.34</v>
      </c>
      <c r="L2290" s="4">
        <v>3</v>
      </c>
      <c r="M2290" s="4">
        <v>113</v>
      </c>
      <c r="N2290" s="4">
        <v>94</v>
      </c>
      <c r="O2290" s="4" t="s">
        <v>26</v>
      </c>
      <c r="P2290" s="7" t="s">
        <v>19</v>
      </c>
    </row>
    <row r="2291" spans="2:16" x14ac:dyDescent="0.45">
      <c r="B2291" s="4">
        <v>2290</v>
      </c>
      <c r="C2291" s="4" t="s">
        <v>39</v>
      </c>
      <c r="D2291" s="4" t="s">
        <v>16</v>
      </c>
      <c r="E2291" s="4" t="s">
        <v>17</v>
      </c>
      <c r="F2291" s="4" t="s">
        <v>18</v>
      </c>
      <c r="G2291" s="4" t="s">
        <v>19</v>
      </c>
      <c r="H2291" s="4" t="s">
        <v>38</v>
      </c>
      <c r="I2291" s="4">
        <v>8</v>
      </c>
      <c r="J2291" s="5">
        <v>20.9</v>
      </c>
      <c r="K2291" s="6">
        <v>1.2</v>
      </c>
      <c r="L2291" s="4">
        <v>2</v>
      </c>
      <c r="M2291" s="4">
        <v>111</v>
      </c>
      <c r="N2291" s="4">
        <v>88</v>
      </c>
      <c r="O2291" s="4" t="s">
        <v>26</v>
      </c>
      <c r="P2291" s="7" t="s">
        <v>19</v>
      </c>
    </row>
    <row r="2292" spans="2:16" x14ac:dyDescent="0.45">
      <c r="B2292" s="4">
        <v>2291</v>
      </c>
      <c r="C2292" s="4" t="s">
        <v>43</v>
      </c>
      <c r="D2292" s="4" t="s">
        <v>16</v>
      </c>
      <c r="E2292" s="4" t="s">
        <v>17</v>
      </c>
      <c r="F2292" s="4" t="s">
        <v>24</v>
      </c>
      <c r="G2292" s="4" t="s">
        <v>30</v>
      </c>
      <c r="H2292" s="4" t="s">
        <v>36</v>
      </c>
      <c r="I2292" s="4">
        <v>47</v>
      </c>
      <c r="J2292" s="5">
        <v>91.2</v>
      </c>
      <c r="K2292" s="6">
        <v>1.75</v>
      </c>
      <c r="L2292" s="4">
        <v>2</v>
      </c>
      <c r="M2292" s="4">
        <v>140</v>
      </c>
      <c r="N2292" s="4">
        <v>96</v>
      </c>
      <c r="O2292" s="4" t="s">
        <v>21</v>
      </c>
      <c r="P2292" s="7" t="s">
        <v>19</v>
      </c>
    </row>
    <row r="2293" spans="2:16" x14ac:dyDescent="0.45">
      <c r="B2293" s="4">
        <v>2292</v>
      </c>
      <c r="C2293" s="4" t="s">
        <v>15</v>
      </c>
      <c r="D2293" s="4" t="s">
        <v>23</v>
      </c>
      <c r="E2293" s="4" t="s">
        <v>17</v>
      </c>
      <c r="F2293" s="4" t="s">
        <v>18</v>
      </c>
      <c r="G2293" s="4" t="s">
        <v>30</v>
      </c>
      <c r="H2293" s="4" t="s">
        <v>36</v>
      </c>
      <c r="I2293" s="4">
        <v>16</v>
      </c>
      <c r="J2293" s="5">
        <v>64.7</v>
      </c>
      <c r="K2293" s="6">
        <v>1.73</v>
      </c>
      <c r="L2293" s="4">
        <v>1</v>
      </c>
      <c r="M2293" s="4">
        <v>118</v>
      </c>
      <c r="N2293" s="4">
        <v>98</v>
      </c>
      <c r="O2293" s="4" t="s">
        <v>26</v>
      </c>
      <c r="P2293" s="7" t="s">
        <v>19</v>
      </c>
    </row>
    <row r="2294" spans="2:16" x14ac:dyDescent="0.45">
      <c r="B2294" s="4">
        <v>2293</v>
      </c>
      <c r="C2294" s="4" t="s">
        <v>45</v>
      </c>
      <c r="D2294" s="4" t="s">
        <v>16</v>
      </c>
      <c r="E2294" s="4" t="s">
        <v>35</v>
      </c>
      <c r="F2294" s="4" t="s">
        <v>18</v>
      </c>
      <c r="G2294" s="4" t="s">
        <v>30</v>
      </c>
      <c r="H2294" s="4" t="s">
        <v>28</v>
      </c>
      <c r="I2294" s="4">
        <v>5</v>
      </c>
      <c r="J2294" s="5">
        <v>23.2</v>
      </c>
      <c r="K2294" s="6">
        <v>1.0900000000000001</v>
      </c>
      <c r="L2294" s="4">
        <v>2</v>
      </c>
      <c r="M2294" s="4">
        <v>94</v>
      </c>
      <c r="N2294" s="4">
        <v>89</v>
      </c>
      <c r="O2294" s="4" t="s">
        <v>26</v>
      </c>
      <c r="P2294" s="7" t="s">
        <v>19</v>
      </c>
    </row>
    <row r="2295" spans="2:16" x14ac:dyDescent="0.45">
      <c r="B2295" s="4">
        <v>2294</v>
      </c>
      <c r="C2295" s="4" t="s">
        <v>39</v>
      </c>
      <c r="D2295" s="4" t="s">
        <v>23</v>
      </c>
      <c r="E2295" s="4" t="s">
        <v>17</v>
      </c>
      <c r="F2295" s="4" t="s">
        <v>18</v>
      </c>
      <c r="G2295" s="4" t="s">
        <v>30</v>
      </c>
      <c r="H2295" s="4" t="s">
        <v>32</v>
      </c>
      <c r="I2295" s="4">
        <v>25</v>
      </c>
      <c r="J2295" s="5">
        <v>69.599999999999994</v>
      </c>
      <c r="K2295" s="6">
        <v>1.72</v>
      </c>
      <c r="L2295" s="4">
        <v>3</v>
      </c>
      <c r="M2295" s="4">
        <v>119</v>
      </c>
      <c r="N2295" s="4">
        <v>150</v>
      </c>
      <c r="O2295" s="4" t="s">
        <v>26</v>
      </c>
      <c r="P2295" s="7" t="s">
        <v>19</v>
      </c>
    </row>
    <row r="2296" spans="2:16" x14ac:dyDescent="0.45">
      <c r="B2296" s="4">
        <v>2295</v>
      </c>
      <c r="C2296" s="4" t="s">
        <v>22</v>
      </c>
      <c r="D2296" s="4" t="s">
        <v>23</v>
      </c>
      <c r="E2296" s="4" t="s">
        <v>17</v>
      </c>
      <c r="F2296" s="4" t="s">
        <v>24</v>
      </c>
      <c r="G2296" s="4" t="s">
        <v>19</v>
      </c>
      <c r="H2296" s="4" t="s">
        <v>28</v>
      </c>
      <c r="I2296" s="4">
        <v>21</v>
      </c>
      <c r="J2296" s="5">
        <v>63.5</v>
      </c>
      <c r="K2296" s="6">
        <v>1.51</v>
      </c>
      <c r="L2296" s="4">
        <v>1</v>
      </c>
      <c r="M2296" s="4">
        <v>108</v>
      </c>
      <c r="N2296" s="4">
        <v>97</v>
      </c>
      <c r="O2296" s="4" t="s">
        <v>26</v>
      </c>
      <c r="P2296" s="7" t="s">
        <v>19</v>
      </c>
    </row>
    <row r="2297" spans="2:16" x14ac:dyDescent="0.45">
      <c r="B2297" s="4">
        <v>2296</v>
      </c>
      <c r="C2297" s="4" t="s">
        <v>45</v>
      </c>
      <c r="D2297" s="4" t="s">
        <v>23</v>
      </c>
      <c r="E2297" s="4" t="s">
        <v>35</v>
      </c>
      <c r="F2297" s="4" t="s">
        <v>28</v>
      </c>
      <c r="G2297" s="4" t="s">
        <v>19</v>
      </c>
      <c r="H2297" s="4" t="s">
        <v>28</v>
      </c>
      <c r="I2297" s="4">
        <v>36</v>
      </c>
      <c r="J2297" s="5">
        <v>75.8</v>
      </c>
      <c r="K2297" s="6">
        <v>1.85</v>
      </c>
      <c r="L2297" s="4">
        <v>2</v>
      </c>
      <c r="M2297" s="4">
        <v>120</v>
      </c>
      <c r="N2297" s="4">
        <v>82</v>
      </c>
      <c r="O2297" s="4" t="s">
        <v>26</v>
      </c>
      <c r="P2297" s="7" t="s">
        <v>19</v>
      </c>
    </row>
    <row r="2298" spans="2:16" x14ac:dyDescent="0.45">
      <c r="B2298" s="4">
        <v>2297</v>
      </c>
      <c r="C2298" s="4" t="s">
        <v>15</v>
      </c>
      <c r="D2298" s="4" t="s">
        <v>23</v>
      </c>
      <c r="E2298" s="4" t="s">
        <v>17</v>
      </c>
      <c r="F2298" s="4" t="s">
        <v>28</v>
      </c>
      <c r="G2298" s="4" t="s">
        <v>19</v>
      </c>
      <c r="H2298" s="4" t="s">
        <v>28</v>
      </c>
      <c r="I2298" s="4">
        <v>83</v>
      </c>
      <c r="J2298" s="5">
        <v>67.2</v>
      </c>
      <c r="K2298" s="6">
        <v>1.75</v>
      </c>
      <c r="L2298" s="4">
        <v>1</v>
      </c>
      <c r="M2298" s="4">
        <v>146</v>
      </c>
      <c r="N2298" s="4">
        <v>93</v>
      </c>
      <c r="O2298" s="4" t="s">
        <v>21</v>
      </c>
      <c r="P2298" s="7" t="s">
        <v>30</v>
      </c>
    </row>
    <row r="2299" spans="2:16" x14ac:dyDescent="0.45">
      <c r="B2299" s="4">
        <v>2298</v>
      </c>
      <c r="C2299" s="4" t="s">
        <v>39</v>
      </c>
      <c r="D2299" s="4" t="s">
        <v>16</v>
      </c>
      <c r="E2299" s="4" t="s">
        <v>44</v>
      </c>
      <c r="F2299" s="4" t="s">
        <v>24</v>
      </c>
      <c r="G2299" s="4" t="s">
        <v>19</v>
      </c>
      <c r="H2299" s="4" t="s">
        <v>25</v>
      </c>
      <c r="I2299" s="4">
        <v>16</v>
      </c>
      <c r="J2299" s="5">
        <v>43</v>
      </c>
      <c r="K2299" s="6">
        <v>1.6</v>
      </c>
      <c r="L2299" s="4">
        <v>4</v>
      </c>
      <c r="M2299" s="4">
        <v>118</v>
      </c>
      <c r="N2299" s="4">
        <v>105</v>
      </c>
      <c r="O2299" s="4" t="s">
        <v>26</v>
      </c>
      <c r="P2299" s="7" t="s">
        <v>30</v>
      </c>
    </row>
    <row r="2300" spans="2:16" x14ac:dyDescent="0.45">
      <c r="B2300" s="4">
        <v>2299</v>
      </c>
      <c r="C2300" s="4" t="s">
        <v>29</v>
      </c>
      <c r="D2300" s="4" t="s">
        <v>23</v>
      </c>
      <c r="E2300" s="4" t="s">
        <v>17</v>
      </c>
      <c r="F2300" s="4" t="s">
        <v>42</v>
      </c>
      <c r="G2300" s="4" t="s">
        <v>19</v>
      </c>
      <c r="H2300" s="4" t="s">
        <v>34</v>
      </c>
      <c r="I2300" s="4">
        <v>4</v>
      </c>
      <c r="J2300" s="5">
        <v>8.4</v>
      </c>
      <c r="K2300" s="6">
        <v>0.61</v>
      </c>
      <c r="L2300" s="4">
        <v>3</v>
      </c>
      <c r="M2300" s="4">
        <v>110</v>
      </c>
      <c r="N2300" s="4">
        <v>82</v>
      </c>
      <c r="O2300" s="4" t="s">
        <v>21</v>
      </c>
      <c r="P2300" s="7" t="s">
        <v>19</v>
      </c>
    </row>
    <row r="2301" spans="2:16" x14ac:dyDescent="0.45">
      <c r="B2301" s="4">
        <v>2300</v>
      </c>
      <c r="C2301" s="4" t="s">
        <v>31</v>
      </c>
      <c r="D2301" s="4" t="s">
        <v>23</v>
      </c>
      <c r="E2301" s="4" t="s">
        <v>17</v>
      </c>
      <c r="F2301" s="4" t="s">
        <v>18</v>
      </c>
      <c r="G2301" s="4" t="s">
        <v>19</v>
      </c>
      <c r="H2301" s="4" t="s">
        <v>32</v>
      </c>
      <c r="I2301" s="4">
        <v>11</v>
      </c>
      <c r="J2301" s="5">
        <v>36.9</v>
      </c>
      <c r="K2301" s="6">
        <v>1.33</v>
      </c>
      <c r="L2301" s="4">
        <v>2</v>
      </c>
      <c r="M2301" s="4">
        <v>105</v>
      </c>
      <c r="N2301" s="4">
        <v>187</v>
      </c>
      <c r="O2301" s="4" t="s">
        <v>21</v>
      </c>
      <c r="P2301" s="7" t="s">
        <v>30</v>
      </c>
    </row>
    <row r="2302" spans="2:16" x14ac:dyDescent="0.45">
      <c r="B2302" s="4">
        <v>2301</v>
      </c>
      <c r="C2302" s="4" t="s">
        <v>43</v>
      </c>
      <c r="D2302" s="4" t="s">
        <v>16</v>
      </c>
      <c r="E2302" s="4" t="s">
        <v>17</v>
      </c>
      <c r="F2302" s="4" t="s">
        <v>24</v>
      </c>
      <c r="G2302" s="4" t="s">
        <v>19</v>
      </c>
      <c r="H2302" s="4" t="s">
        <v>20</v>
      </c>
      <c r="I2302" s="4">
        <v>11</v>
      </c>
      <c r="J2302" s="5">
        <v>37.799999999999997</v>
      </c>
      <c r="K2302" s="6">
        <v>1.17</v>
      </c>
      <c r="L2302" s="4">
        <v>3</v>
      </c>
      <c r="M2302" s="4">
        <v>117</v>
      </c>
      <c r="N2302" s="4">
        <v>72</v>
      </c>
      <c r="O2302" s="4" t="s">
        <v>26</v>
      </c>
      <c r="P2302" s="7" t="s">
        <v>19</v>
      </c>
    </row>
    <row r="2303" spans="2:16" x14ac:dyDescent="0.45">
      <c r="B2303" s="4">
        <v>2302</v>
      </c>
      <c r="C2303" s="4" t="s">
        <v>27</v>
      </c>
      <c r="D2303" s="4" t="s">
        <v>16</v>
      </c>
      <c r="E2303" s="4" t="s">
        <v>17</v>
      </c>
      <c r="F2303" s="4" t="s">
        <v>24</v>
      </c>
      <c r="G2303" s="4" t="s">
        <v>19</v>
      </c>
      <c r="H2303" s="4" t="s">
        <v>36</v>
      </c>
      <c r="I2303" s="4">
        <v>65</v>
      </c>
      <c r="J2303" s="5">
        <v>86</v>
      </c>
      <c r="K2303" s="6">
        <v>1.54</v>
      </c>
      <c r="L2303" s="4">
        <v>3</v>
      </c>
      <c r="M2303" s="4">
        <v>134</v>
      </c>
      <c r="N2303" s="4">
        <v>90</v>
      </c>
      <c r="O2303" s="4" t="s">
        <v>26</v>
      </c>
      <c r="P2303" s="7" t="s">
        <v>19</v>
      </c>
    </row>
    <row r="2304" spans="2:16" x14ac:dyDescent="0.45">
      <c r="B2304" s="4">
        <v>2303</v>
      </c>
      <c r="C2304" s="4" t="s">
        <v>22</v>
      </c>
      <c r="D2304" s="4" t="s">
        <v>16</v>
      </c>
      <c r="E2304" s="4" t="s">
        <v>35</v>
      </c>
      <c r="F2304" s="4" t="s">
        <v>24</v>
      </c>
      <c r="G2304" s="4" t="s">
        <v>19</v>
      </c>
      <c r="H2304" s="4" t="s">
        <v>32</v>
      </c>
      <c r="I2304" s="4">
        <v>5</v>
      </c>
      <c r="J2304" s="5">
        <v>27.6</v>
      </c>
      <c r="K2304" s="6">
        <v>1.17</v>
      </c>
      <c r="L2304" s="4">
        <v>5</v>
      </c>
      <c r="M2304" s="4">
        <v>99</v>
      </c>
      <c r="N2304" s="4">
        <v>120</v>
      </c>
      <c r="O2304" s="4" t="s">
        <v>26</v>
      </c>
      <c r="P2304" s="7" t="s">
        <v>19</v>
      </c>
    </row>
    <row r="2305" spans="2:16" x14ac:dyDescent="0.45">
      <c r="B2305" s="4">
        <v>2304</v>
      </c>
      <c r="C2305" s="4" t="s">
        <v>31</v>
      </c>
      <c r="D2305" s="4" t="s">
        <v>16</v>
      </c>
      <c r="E2305" s="4" t="s">
        <v>35</v>
      </c>
      <c r="F2305" s="4" t="s">
        <v>24</v>
      </c>
      <c r="G2305" s="4" t="s">
        <v>19</v>
      </c>
      <c r="H2305" s="4" t="s">
        <v>20</v>
      </c>
      <c r="I2305" s="4">
        <v>31</v>
      </c>
      <c r="J2305" s="5">
        <v>73.5</v>
      </c>
      <c r="K2305" s="6">
        <v>1.73</v>
      </c>
      <c r="L2305" s="4">
        <v>5</v>
      </c>
      <c r="M2305" s="4">
        <v>106</v>
      </c>
      <c r="N2305" s="4">
        <v>74</v>
      </c>
      <c r="O2305" s="4" t="s">
        <v>26</v>
      </c>
      <c r="P2305" s="7" t="s">
        <v>19</v>
      </c>
    </row>
    <row r="2306" spans="2:16" x14ac:dyDescent="0.45">
      <c r="B2306" s="4">
        <v>2305</v>
      </c>
      <c r="C2306" s="4" t="s">
        <v>39</v>
      </c>
      <c r="D2306" s="4" t="s">
        <v>16</v>
      </c>
      <c r="E2306" s="4" t="s">
        <v>35</v>
      </c>
      <c r="F2306" s="4" t="s">
        <v>28</v>
      </c>
      <c r="G2306" s="4" t="s">
        <v>19</v>
      </c>
      <c r="H2306" s="4" t="s">
        <v>36</v>
      </c>
      <c r="I2306" s="4">
        <v>24</v>
      </c>
      <c r="J2306" s="5">
        <v>63</v>
      </c>
      <c r="K2306" s="6">
        <v>1.51</v>
      </c>
      <c r="L2306" s="4">
        <v>0</v>
      </c>
      <c r="M2306" s="4">
        <v>122</v>
      </c>
      <c r="N2306" s="4">
        <v>104</v>
      </c>
      <c r="O2306" s="4" t="s">
        <v>26</v>
      </c>
      <c r="P2306" s="7" t="s">
        <v>19</v>
      </c>
    </row>
    <row r="2307" spans="2:16" x14ac:dyDescent="0.45">
      <c r="B2307" s="4">
        <v>2306</v>
      </c>
      <c r="C2307" s="4" t="s">
        <v>40</v>
      </c>
      <c r="D2307" s="4" t="s">
        <v>23</v>
      </c>
      <c r="E2307" s="4" t="s">
        <v>35</v>
      </c>
      <c r="F2307" s="4" t="s">
        <v>28</v>
      </c>
      <c r="G2307" s="4" t="s">
        <v>19</v>
      </c>
      <c r="H2307" s="4" t="s">
        <v>28</v>
      </c>
      <c r="I2307" s="4">
        <v>15</v>
      </c>
      <c r="J2307" s="5">
        <v>60.8</v>
      </c>
      <c r="K2307" s="6">
        <v>1.6</v>
      </c>
      <c r="L2307" s="4">
        <v>8</v>
      </c>
      <c r="M2307" s="4">
        <v>123</v>
      </c>
      <c r="N2307" s="4">
        <v>87</v>
      </c>
      <c r="O2307" s="4" t="s">
        <v>26</v>
      </c>
      <c r="P2307" s="7" t="s">
        <v>30</v>
      </c>
    </row>
    <row r="2308" spans="2:16" x14ac:dyDescent="0.45">
      <c r="B2308" s="4">
        <v>2307</v>
      </c>
      <c r="C2308" s="4" t="s">
        <v>45</v>
      </c>
      <c r="D2308" s="4" t="s">
        <v>23</v>
      </c>
      <c r="E2308" s="4" t="s">
        <v>17</v>
      </c>
      <c r="F2308" s="4" t="s">
        <v>28</v>
      </c>
      <c r="G2308" s="4" t="s">
        <v>19</v>
      </c>
      <c r="H2308" s="4" t="s">
        <v>20</v>
      </c>
      <c r="I2308" s="4">
        <v>8</v>
      </c>
      <c r="J2308" s="5">
        <v>32.200000000000003</v>
      </c>
      <c r="K2308" s="6">
        <v>1.33</v>
      </c>
      <c r="L2308" s="4">
        <v>5</v>
      </c>
      <c r="M2308" s="4">
        <v>116</v>
      </c>
      <c r="N2308" s="4">
        <v>82</v>
      </c>
      <c r="O2308" s="4" t="s">
        <v>26</v>
      </c>
      <c r="P2308" s="7" t="s">
        <v>19</v>
      </c>
    </row>
    <row r="2309" spans="2:16" x14ac:dyDescent="0.45">
      <c r="B2309" s="4">
        <v>2308</v>
      </c>
      <c r="C2309" s="4" t="s">
        <v>31</v>
      </c>
      <c r="D2309" s="4" t="s">
        <v>23</v>
      </c>
      <c r="E2309" s="4" t="s">
        <v>35</v>
      </c>
      <c r="F2309" s="4" t="s">
        <v>28</v>
      </c>
      <c r="G2309" s="4" t="s">
        <v>19</v>
      </c>
      <c r="H2309" s="4" t="s">
        <v>20</v>
      </c>
      <c r="I2309" s="4">
        <v>37</v>
      </c>
      <c r="J2309" s="5">
        <v>72.2</v>
      </c>
      <c r="K2309" s="6">
        <v>1.73</v>
      </c>
      <c r="L2309" s="4">
        <v>4</v>
      </c>
      <c r="M2309" s="4">
        <v>126</v>
      </c>
      <c r="N2309" s="4">
        <v>82</v>
      </c>
      <c r="O2309" s="4" t="s">
        <v>26</v>
      </c>
      <c r="P2309" s="7" t="s">
        <v>19</v>
      </c>
    </row>
    <row r="2310" spans="2:16" x14ac:dyDescent="0.45">
      <c r="B2310" s="4">
        <v>2309</v>
      </c>
      <c r="C2310" s="4" t="s">
        <v>22</v>
      </c>
      <c r="D2310" s="4" t="s">
        <v>23</v>
      </c>
      <c r="E2310" s="4" t="s">
        <v>35</v>
      </c>
      <c r="F2310" s="4" t="s">
        <v>24</v>
      </c>
      <c r="G2310" s="4" t="s">
        <v>19</v>
      </c>
      <c r="H2310" s="4" t="s">
        <v>34</v>
      </c>
      <c r="I2310" s="4">
        <v>42</v>
      </c>
      <c r="J2310" s="5">
        <v>83.9</v>
      </c>
      <c r="K2310" s="6">
        <v>1.87</v>
      </c>
      <c r="L2310" s="4">
        <v>2</v>
      </c>
      <c r="M2310" s="4">
        <v>121</v>
      </c>
      <c r="N2310" s="4">
        <v>105</v>
      </c>
      <c r="O2310" s="4" t="s">
        <v>21</v>
      </c>
      <c r="P2310" s="7" t="s">
        <v>30</v>
      </c>
    </row>
    <row r="2311" spans="2:16" x14ac:dyDescent="0.45">
      <c r="B2311" s="4">
        <v>2310</v>
      </c>
      <c r="C2311" s="4" t="s">
        <v>27</v>
      </c>
      <c r="D2311" s="4" t="s">
        <v>23</v>
      </c>
      <c r="E2311" s="4" t="s">
        <v>17</v>
      </c>
      <c r="F2311" s="4" t="s">
        <v>28</v>
      </c>
      <c r="G2311" s="4" t="s">
        <v>19</v>
      </c>
      <c r="H2311" s="4" t="s">
        <v>28</v>
      </c>
      <c r="I2311" s="4">
        <v>12</v>
      </c>
      <c r="J2311" s="5">
        <v>60.1</v>
      </c>
      <c r="K2311" s="6">
        <v>1.7</v>
      </c>
      <c r="L2311" s="4">
        <v>2</v>
      </c>
      <c r="M2311" s="4">
        <v>101</v>
      </c>
      <c r="N2311" s="4">
        <v>98</v>
      </c>
      <c r="O2311" s="4" t="s">
        <v>26</v>
      </c>
      <c r="P2311" s="7" t="s">
        <v>19</v>
      </c>
    </row>
    <row r="2312" spans="2:16" x14ac:dyDescent="0.45">
      <c r="B2312" s="4">
        <v>2311</v>
      </c>
      <c r="C2312" s="4" t="s">
        <v>43</v>
      </c>
      <c r="D2312" s="4" t="s">
        <v>23</v>
      </c>
      <c r="E2312" s="4" t="s">
        <v>35</v>
      </c>
      <c r="F2312" s="4" t="s">
        <v>28</v>
      </c>
      <c r="G2312" s="4" t="s">
        <v>30</v>
      </c>
      <c r="H2312" s="4" t="s">
        <v>28</v>
      </c>
      <c r="I2312" s="4">
        <v>51</v>
      </c>
      <c r="J2312" s="5">
        <v>91.9</v>
      </c>
      <c r="K2312" s="6">
        <v>1.56</v>
      </c>
      <c r="L2312" s="4">
        <v>1</v>
      </c>
      <c r="M2312" s="4">
        <v>126</v>
      </c>
      <c r="N2312" s="4">
        <v>77</v>
      </c>
      <c r="O2312" s="4" t="s">
        <v>26</v>
      </c>
      <c r="P2312" s="7" t="s">
        <v>19</v>
      </c>
    </row>
    <row r="2313" spans="2:16" x14ac:dyDescent="0.45">
      <c r="B2313" s="4">
        <v>2312</v>
      </c>
      <c r="C2313" s="4" t="s">
        <v>22</v>
      </c>
      <c r="D2313" s="4" t="s">
        <v>23</v>
      </c>
      <c r="E2313" s="4" t="s">
        <v>17</v>
      </c>
      <c r="F2313" s="4" t="s">
        <v>18</v>
      </c>
      <c r="G2313" s="4" t="s">
        <v>19</v>
      </c>
      <c r="H2313" s="4" t="s">
        <v>28</v>
      </c>
      <c r="I2313" s="4">
        <v>17</v>
      </c>
      <c r="J2313" s="5">
        <v>61.9</v>
      </c>
      <c r="K2313" s="6">
        <v>1.64</v>
      </c>
      <c r="L2313" s="4">
        <v>6</v>
      </c>
      <c r="M2313" s="4">
        <v>103</v>
      </c>
      <c r="N2313" s="4">
        <v>81</v>
      </c>
      <c r="O2313" s="4" t="s">
        <v>21</v>
      </c>
      <c r="P2313" s="7" t="s">
        <v>19</v>
      </c>
    </row>
    <row r="2314" spans="2:16" x14ac:dyDescent="0.45">
      <c r="B2314" s="4">
        <v>2313</v>
      </c>
      <c r="C2314" s="4" t="s">
        <v>27</v>
      </c>
      <c r="D2314" s="4" t="s">
        <v>16</v>
      </c>
      <c r="E2314" s="4" t="s">
        <v>17</v>
      </c>
      <c r="F2314" s="4" t="s">
        <v>24</v>
      </c>
      <c r="G2314" s="4" t="s">
        <v>19</v>
      </c>
      <c r="H2314" s="4" t="s">
        <v>25</v>
      </c>
      <c r="I2314" s="4">
        <v>25</v>
      </c>
      <c r="J2314" s="5">
        <v>57.5</v>
      </c>
      <c r="K2314" s="6">
        <v>1.86</v>
      </c>
      <c r="L2314" s="4">
        <v>1</v>
      </c>
      <c r="M2314" s="4">
        <v>122</v>
      </c>
      <c r="N2314" s="4">
        <v>94</v>
      </c>
      <c r="O2314" s="4" t="s">
        <v>21</v>
      </c>
      <c r="P2314" s="7" t="s">
        <v>19</v>
      </c>
    </row>
    <row r="2315" spans="2:16" x14ac:dyDescent="0.45">
      <c r="B2315" s="4">
        <v>2314</v>
      </c>
      <c r="C2315" s="4" t="s">
        <v>41</v>
      </c>
      <c r="D2315" s="4" t="s">
        <v>16</v>
      </c>
      <c r="E2315" s="4" t="s">
        <v>17</v>
      </c>
      <c r="F2315" s="4" t="s">
        <v>18</v>
      </c>
      <c r="G2315" s="4" t="s">
        <v>19</v>
      </c>
      <c r="H2315" s="4" t="s">
        <v>20</v>
      </c>
      <c r="I2315" s="4">
        <v>82</v>
      </c>
      <c r="J2315" s="5">
        <v>84.2</v>
      </c>
      <c r="K2315" s="6">
        <v>1.61</v>
      </c>
      <c r="L2315" s="4">
        <v>2</v>
      </c>
      <c r="M2315" s="4">
        <v>135</v>
      </c>
      <c r="N2315" s="4">
        <v>78</v>
      </c>
      <c r="O2315" s="4" t="s">
        <v>21</v>
      </c>
      <c r="P2315" s="7" t="s">
        <v>30</v>
      </c>
    </row>
    <row r="2316" spans="2:16" x14ac:dyDescent="0.45">
      <c r="B2316" s="4">
        <v>2315</v>
      </c>
      <c r="C2316" s="4" t="s">
        <v>39</v>
      </c>
      <c r="D2316" s="4" t="s">
        <v>16</v>
      </c>
      <c r="E2316" s="4" t="s">
        <v>35</v>
      </c>
      <c r="F2316" s="4" t="s">
        <v>24</v>
      </c>
      <c r="G2316" s="4" t="s">
        <v>19</v>
      </c>
      <c r="H2316" s="4" t="s">
        <v>28</v>
      </c>
      <c r="I2316" s="4">
        <v>3</v>
      </c>
      <c r="J2316" s="5">
        <v>16.7</v>
      </c>
      <c r="K2316" s="6">
        <v>0.92</v>
      </c>
      <c r="L2316" s="4">
        <v>3</v>
      </c>
      <c r="M2316" s="4">
        <v>92</v>
      </c>
      <c r="N2316" s="4">
        <v>101</v>
      </c>
      <c r="O2316" s="4" t="s">
        <v>21</v>
      </c>
      <c r="P2316" s="7" t="s">
        <v>19</v>
      </c>
    </row>
    <row r="2317" spans="2:16" x14ac:dyDescent="0.45">
      <c r="B2317" s="4">
        <v>2316</v>
      </c>
      <c r="C2317" s="4" t="s">
        <v>39</v>
      </c>
      <c r="D2317" s="4" t="s">
        <v>23</v>
      </c>
      <c r="E2317" s="4" t="s">
        <v>17</v>
      </c>
      <c r="F2317" s="4" t="s">
        <v>42</v>
      </c>
      <c r="G2317" s="4" t="s">
        <v>19</v>
      </c>
      <c r="H2317" s="4" t="s">
        <v>34</v>
      </c>
      <c r="I2317" s="4">
        <v>1</v>
      </c>
      <c r="J2317" s="5">
        <v>16.399999999999999</v>
      </c>
      <c r="K2317" s="6">
        <v>0.81</v>
      </c>
      <c r="L2317" s="4">
        <v>5</v>
      </c>
      <c r="M2317" s="4">
        <v>97</v>
      </c>
      <c r="N2317" s="4">
        <v>73</v>
      </c>
      <c r="O2317" s="4" t="s">
        <v>21</v>
      </c>
      <c r="P2317" s="7" t="s">
        <v>30</v>
      </c>
    </row>
    <row r="2318" spans="2:16" x14ac:dyDescent="0.45">
      <c r="B2318" s="4">
        <v>2317</v>
      </c>
      <c r="C2318" s="4" t="s">
        <v>22</v>
      </c>
      <c r="D2318" s="4" t="s">
        <v>23</v>
      </c>
      <c r="E2318" s="4" t="s">
        <v>17</v>
      </c>
      <c r="F2318" s="4" t="s">
        <v>18</v>
      </c>
      <c r="G2318" s="4" t="s">
        <v>30</v>
      </c>
      <c r="H2318" s="4" t="s">
        <v>32</v>
      </c>
      <c r="I2318" s="4">
        <v>20</v>
      </c>
      <c r="J2318" s="5">
        <v>64.400000000000006</v>
      </c>
      <c r="K2318" s="6">
        <v>1.89</v>
      </c>
      <c r="L2318" s="4">
        <v>2</v>
      </c>
      <c r="M2318" s="4">
        <v>107</v>
      </c>
      <c r="N2318" s="4">
        <v>162</v>
      </c>
      <c r="O2318" s="4" t="s">
        <v>26</v>
      </c>
      <c r="P2318" s="7" t="s">
        <v>19</v>
      </c>
    </row>
    <row r="2319" spans="2:16" x14ac:dyDescent="0.45">
      <c r="B2319" s="4">
        <v>2318</v>
      </c>
      <c r="C2319" s="4" t="s">
        <v>22</v>
      </c>
      <c r="D2319" s="4" t="s">
        <v>23</v>
      </c>
      <c r="E2319" s="4" t="s">
        <v>37</v>
      </c>
      <c r="F2319" s="4" t="s">
        <v>24</v>
      </c>
      <c r="G2319" s="4" t="s">
        <v>30</v>
      </c>
      <c r="H2319" s="4" t="s">
        <v>36</v>
      </c>
      <c r="I2319" s="4">
        <v>3</v>
      </c>
      <c r="J2319" s="5">
        <v>17.5</v>
      </c>
      <c r="K2319" s="6">
        <v>0.82</v>
      </c>
      <c r="L2319" s="4">
        <v>1</v>
      </c>
      <c r="M2319" s="4">
        <v>122</v>
      </c>
      <c r="N2319" s="4">
        <v>73</v>
      </c>
      <c r="O2319" s="4" t="s">
        <v>21</v>
      </c>
      <c r="P2319" s="7" t="s">
        <v>19</v>
      </c>
    </row>
    <row r="2320" spans="2:16" x14ac:dyDescent="0.45">
      <c r="B2320" s="4">
        <v>2319</v>
      </c>
      <c r="C2320" s="4" t="s">
        <v>40</v>
      </c>
      <c r="D2320" s="4" t="s">
        <v>23</v>
      </c>
      <c r="E2320" s="4" t="s">
        <v>35</v>
      </c>
      <c r="F2320" s="4" t="s">
        <v>24</v>
      </c>
      <c r="G2320" s="4" t="s">
        <v>19</v>
      </c>
      <c r="H2320" s="4" t="s">
        <v>20</v>
      </c>
      <c r="I2320" s="4">
        <v>28</v>
      </c>
      <c r="J2320" s="5">
        <v>83.2</v>
      </c>
      <c r="K2320" s="6">
        <v>1.51</v>
      </c>
      <c r="L2320" s="4">
        <v>2</v>
      </c>
      <c r="M2320" s="4">
        <v>106</v>
      </c>
      <c r="N2320" s="4">
        <v>74</v>
      </c>
      <c r="O2320" s="4" t="s">
        <v>26</v>
      </c>
      <c r="P2320" s="7" t="s">
        <v>19</v>
      </c>
    </row>
    <row r="2321" spans="2:16" x14ac:dyDescent="0.45">
      <c r="B2321" s="4">
        <v>2320</v>
      </c>
      <c r="C2321" s="4" t="s">
        <v>31</v>
      </c>
      <c r="D2321" s="4" t="s">
        <v>23</v>
      </c>
      <c r="E2321" s="4" t="s">
        <v>17</v>
      </c>
      <c r="F2321" s="4" t="s">
        <v>18</v>
      </c>
      <c r="G2321" s="4" t="s">
        <v>19</v>
      </c>
      <c r="H2321" s="4" t="s">
        <v>20</v>
      </c>
      <c r="I2321" s="4">
        <v>0</v>
      </c>
      <c r="J2321" s="5">
        <v>10.9</v>
      </c>
      <c r="K2321" s="6">
        <v>0.74</v>
      </c>
      <c r="L2321" s="4">
        <v>4</v>
      </c>
      <c r="M2321" s="4">
        <v>105</v>
      </c>
      <c r="N2321" s="4">
        <v>91</v>
      </c>
      <c r="O2321" s="4" t="s">
        <v>21</v>
      </c>
      <c r="P2321" s="7" t="s">
        <v>30</v>
      </c>
    </row>
    <row r="2322" spans="2:16" x14ac:dyDescent="0.45">
      <c r="B2322" s="4">
        <v>2321</v>
      </c>
      <c r="C2322" s="4" t="s">
        <v>41</v>
      </c>
      <c r="D2322" s="4" t="s">
        <v>16</v>
      </c>
      <c r="E2322" s="4" t="s">
        <v>35</v>
      </c>
      <c r="F2322" s="4" t="s">
        <v>28</v>
      </c>
      <c r="G2322" s="4" t="s">
        <v>19</v>
      </c>
      <c r="H2322" s="4" t="s">
        <v>36</v>
      </c>
      <c r="I2322" s="4">
        <v>24</v>
      </c>
      <c r="J2322" s="5">
        <v>92.8</v>
      </c>
      <c r="K2322" s="6">
        <v>1.49</v>
      </c>
      <c r="L2322" s="4">
        <v>1</v>
      </c>
      <c r="M2322" s="4">
        <v>120</v>
      </c>
      <c r="N2322" s="4">
        <v>81</v>
      </c>
      <c r="O2322" s="4" t="s">
        <v>26</v>
      </c>
      <c r="P2322" s="7" t="s">
        <v>19</v>
      </c>
    </row>
    <row r="2323" spans="2:16" x14ac:dyDescent="0.45">
      <c r="B2323" s="4">
        <v>2322</v>
      </c>
      <c r="C2323" s="4" t="s">
        <v>31</v>
      </c>
      <c r="D2323" s="4" t="s">
        <v>23</v>
      </c>
      <c r="E2323" s="4" t="s">
        <v>17</v>
      </c>
      <c r="F2323" s="4" t="s">
        <v>18</v>
      </c>
      <c r="G2323" s="4" t="s">
        <v>19</v>
      </c>
      <c r="H2323" s="4" t="s">
        <v>28</v>
      </c>
      <c r="I2323" s="4">
        <v>0</v>
      </c>
      <c r="J2323" s="5">
        <v>6.2</v>
      </c>
      <c r="K2323" s="6">
        <v>0.8</v>
      </c>
      <c r="L2323" s="4">
        <v>5</v>
      </c>
      <c r="M2323" s="4">
        <v>103</v>
      </c>
      <c r="N2323" s="4">
        <v>84</v>
      </c>
      <c r="O2323" s="4" t="s">
        <v>26</v>
      </c>
      <c r="P2323" s="7" t="s">
        <v>19</v>
      </c>
    </row>
    <row r="2324" spans="2:16" x14ac:dyDescent="0.45">
      <c r="B2324" s="4">
        <v>2323</v>
      </c>
      <c r="C2324" s="4" t="s">
        <v>27</v>
      </c>
      <c r="D2324" s="4" t="s">
        <v>16</v>
      </c>
      <c r="E2324" s="4" t="s">
        <v>44</v>
      </c>
      <c r="F2324" s="4" t="s">
        <v>24</v>
      </c>
      <c r="G2324" s="4" t="s">
        <v>19</v>
      </c>
      <c r="H2324" s="4" t="s">
        <v>25</v>
      </c>
      <c r="I2324" s="4">
        <v>18</v>
      </c>
      <c r="J2324" s="5">
        <v>75.099999999999994</v>
      </c>
      <c r="K2324" s="6">
        <v>1.78</v>
      </c>
      <c r="L2324" s="4">
        <v>0</v>
      </c>
      <c r="M2324" s="4">
        <v>96</v>
      </c>
      <c r="N2324" s="4">
        <v>73</v>
      </c>
      <c r="O2324" s="4" t="s">
        <v>26</v>
      </c>
      <c r="P2324" s="7" t="s">
        <v>19</v>
      </c>
    </row>
    <row r="2325" spans="2:16" x14ac:dyDescent="0.45">
      <c r="B2325" s="4">
        <v>2324</v>
      </c>
      <c r="C2325" s="4" t="s">
        <v>31</v>
      </c>
      <c r="D2325" s="4" t="s">
        <v>23</v>
      </c>
      <c r="E2325" s="4" t="s">
        <v>35</v>
      </c>
      <c r="F2325" s="4" t="s">
        <v>24</v>
      </c>
      <c r="G2325" s="4" t="s">
        <v>19</v>
      </c>
      <c r="H2325" s="4" t="s">
        <v>46</v>
      </c>
      <c r="I2325" s="4">
        <v>30</v>
      </c>
      <c r="J2325" s="5">
        <v>78.5</v>
      </c>
      <c r="K2325" s="6">
        <v>1.51</v>
      </c>
      <c r="L2325" s="4">
        <v>0</v>
      </c>
      <c r="M2325" s="4">
        <v>112</v>
      </c>
      <c r="N2325" s="4">
        <v>83</v>
      </c>
      <c r="O2325" s="4" t="s">
        <v>21</v>
      </c>
      <c r="P2325" s="7" t="s">
        <v>30</v>
      </c>
    </row>
    <row r="2326" spans="2:16" x14ac:dyDescent="0.45">
      <c r="B2326" s="4">
        <v>2325</v>
      </c>
      <c r="C2326" s="4" t="s">
        <v>29</v>
      </c>
      <c r="D2326" s="4" t="s">
        <v>23</v>
      </c>
      <c r="E2326" s="4" t="s">
        <v>17</v>
      </c>
      <c r="F2326" s="4" t="s">
        <v>28</v>
      </c>
      <c r="G2326" s="4" t="s">
        <v>19</v>
      </c>
      <c r="H2326" s="4" t="s">
        <v>28</v>
      </c>
      <c r="I2326" s="4">
        <v>45</v>
      </c>
      <c r="J2326" s="5">
        <v>50.8</v>
      </c>
      <c r="K2326" s="6">
        <v>1.51</v>
      </c>
      <c r="L2326" s="4">
        <v>4</v>
      </c>
      <c r="M2326" s="4">
        <v>127</v>
      </c>
      <c r="N2326" s="4">
        <v>74</v>
      </c>
      <c r="O2326" s="4" t="s">
        <v>21</v>
      </c>
      <c r="P2326" s="7" t="s">
        <v>30</v>
      </c>
    </row>
    <row r="2327" spans="2:16" x14ac:dyDescent="0.45">
      <c r="B2327" s="4">
        <v>2326</v>
      </c>
      <c r="C2327" s="4" t="s">
        <v>31</v>
      </c>
      <c r="D2327" s="4" t="s">
        <v>23</v>
      </c>
      <c r="E2327" s="4" t="s">
        <v>35</v>
      </c>
      <c r="F2327" s="4" t="s">
        <v>24</v>
      </c>
      <c r="G2327" s="4" t="s">
        <v>30</v>
      </c>
      <c r="H2327" s="4" t="s">
        <v>20</v>
      </c>
      <c r="I2327" s="4">
        <v>1</v>
      </c>
      <c r="J2327" s="5">
        <v>12</v>
      </c>
      <c r="K2327" s="6">
        <v>0.87</v>
      </c>
      <c r="L2327" s="4">
        <v>0</v>
      </c>
      <c r="M2327" s="4">
        <v>109</v>
      </c>
      <c r="N2327" s="4">
        <v>75</v>
      </c>
      <c r="O2327" s="4" t="s">
        <v>21</v>
      </c>
      <c r="P2327" s="7" t="s">
        <v>19</v>
      </c>
    </row>
    <row r="2328" spans="2:16" x14ac:dyDescent="0.45">
      <c r="B2328" s="4">
        <v>2327</v>
      </c>
      <c r="C2328" s="4" t="s">
        <v>39</v>
      </c>
      <c r="D2328" s="4" t="s">
        <v>16</v>
      </c>
      <c r="E2328" s="4" t="s">
        <v>35</v>
      </c>
      <c r="F2328" s="4" t="s">
        <v>24</v>
      </c>
      <c r="G2328" s="4" t="s">
        <v>30</v>
      </c>
      <c r="H2328" s="4" t="s">
        <v>36</v>
      </c>
      <c r="I2328" s="4">
        <v>20</v>
      </c>
      <c r="J2328" s="5">
        <v>92.9</v>
      </c>
      <c r="K2328" s="6">
        <v>1.86</v>
      </c>
      <c r="L2328" s="4">
        <v>9</v>
      </c>
      <c r="M2328" s="4">
        <v>139</v>
      </c>
      <c r="N2328" s="4">
        <v>72</v>
      </c>
      <c r="O2328" s="4" t="s">
        <v>26</v>
      </c>
      <c r="P2328" s="7" t="s">
        <v>19</v>
      </c>
    </row>
    <row r="2329" spans="2:16" x14ac:dyDescent="0.45">
      <c r="B2329" s="4">
        <v>2328</v>
      </c>
      <c r="C2329" s="4" t="s">
        <v>43</v>
      </c>
      <c r="D2329" s="4" t="s">
        <v>23</v>
      </c>
      <c r="E2329" s="4" t="s">
        <v>35</v>
      </c>
      <c r="F2329" s="4" t="s">
        <v>18</v>
      </c>
      <c r="G2329" s="4" t="s">
        <v>19</v>
      </c>
      <c r="H2329" s="4" t="s">
        <v>34</v>
      </c>
      <c r="I2329" s="4">
        <v>13</v>
      </c>
      <c r="J2329" s="5">
        <v>43.8</v>
      </c>
      <c r="K2329" s="6">
        <v>1.64</v>
      </c>
      <c r="L2329" s="4">
        <v>0</v>
      </c>
      <c r="M2329" s="4">
        <v>111</v>
      </c>
      <c r="N2329" s="4">
        <v>83</v>
      </c>
      <c r="O2329" s="4" t="s">
        <v>26</v>
      </c>
      <c r="P2329" s="7" t="s">
        <v>19</v>
      </c>
    </row>
    <row r="2330" spans="2:16" x14ac:dyDescent="0.45">
      <c r="B2330" s="4">
        <v>2329</v>
      </c>
      <c r="C2330" s="4" t="s">
        <v>45</v>
      </c>
      <c r="D2330" s="4" t="s">
        <v>23</v>
      </c>
      <c r="E2330" s="4" t="s">
        <v>35</v>
      </c>
      <c r="F2330" s="4" t="s">
        <v>24</v>
      </c>
      <c r="G2330" s="4" t="s">
        <v>19</v>
      </c>
      <c r="H2330" s="4" t="s">
        <v>34</v>
      </c>
      <c r="I2330" s="4">
        <v>10</v>
      </c>
      <c r="J2330" s="5">
        <v>36</v>
      </c>
      <c r="K2330" s="6">
        <v>1.34</v>
      </c>
      <c r="L2330" s="4">
        <v>4</v>
      </c>
      <c r="M2330" s="4">
        <v>109</v>
      </c>
      <c r="N2330" s="4">
        <v>80</v>
      </c>
      <c r="O2330" s="4" t="s">
        <v>26</v>
      </c>
      <c r="P2330" s="7" t="s">
        <v>19</v>
      </c>
    </row>
    <row r="2331" spans="2:16" x14ac:dyDescent="0.45">
      <c r="B2331" s="4">
        <v>2330</v>
      </c>
      <c r="C2331" s="4" t="s">
        <v>15</v>
      </c>
      <c r="D2331" s="4" t="s">
        <v>23</v>
      </c>
      <c r="E2331" s="4" t="s">
        <v>37</v>
      </c>
      <c r="F2331" s="4" t="s">
        <v>24</v>
      </c>
      <c r="G2331" s="4" t="s">
        <v>19</v>
      </c>
      <c r="H2331" s="4" t="s">
        <v>38</v>
      </c>
      <c r="I2331" s="4">
        <v>2</v>
      </c>
      <c r="J2331" s="5">
        <v>14.6</v>
      </c>
      <c r="K2331" s="6">
        <v>0.96</v>
      </c>
      <c r="L2331" s="4">
        <v>1</v>
      </c>
      <c r="M2331" s="4">
        <v>94</v>
      </c>
      <c r="N2331" s="4">
        <v>100</v>
      </c>
      <c r="O2331" s="4" t="s">
        <v>26</v>
      </c>
      <c r="P2331" s="7" t="s">
        <v>19</v>
      </c>
    </row>
    <row r="2332" spans="2:16" x14ac:dyDescent="0.45">
      <c r="B2332" s="4">
        <v>2331</v>
      </c>
      <c r="C2332" s="4" t="s">
        <v>31</v>
      </c>
      <c r="D2332" s="4" t="s">
        <v>23</v>
      </c>
      <c r="E2332" s="4" t="s">
        <v>17</v>
      </c>
      <c r="F2332" s="4" t="s">
        <v>18</v>
      </c>
      <c r="G2332" s="4" t="s">
        <v>19</v>
      </c>
      <c r="H2332" s="4" t="s">
        <v>20</v>
      </c>
      <c r="I2332" s="4">
        <v>7</v>
      </c>
      <c r="J2332" s="5">
        <v>20.8</v>
      </c>
      <c r="K2332" s="6">
        <v>1.21</v>
      </c>
      <c r="L2332" s="4">
        <v>2</v>
      </c>
      <c r="M2332" s="4">
        <v>106</v>
      </c>
      <c r="N2332" s="4">
        <v>96</v>
      </c>
      <c r="O2332" s="4" t="s">
        <v>21</v>
      </c>
      <c r="P2332" s="7" t="s">
        <v>30</v>
      </c>
    </row>
    <row r="2333" spans="2:16" x14ac:dyDescent="0.45">
      <c r="B2333" s="4">
        <v>2332</v>
      </c>
      <c r="C2333" s="4" t="s">
        <v>41</v>
      </c>
      <c r="D2333" s="4" t="s">
        <v>16</v>
      </c>
      <c r="E2333" s="4" t="s">
        <v>17</v>
      </c>
      <c r="F2333" s="4" t="s">
        <v>28</v>
      </c>
      <c r="G2333" s="4" t="s">
        <v>19</v>
      </c>
      <c r="H2333" s="4" t="s">
        <v>20</v>
      </c>
      <c r="I2333" s="4">
        <v>42</v>
      </c>
      <c r="J2333" s="5">
        <v>55.1</v>
      </c>
      <c r="K2333" s="6">
        <v>1.86</v>
      </c>
      <c r="L2333" s="4">
        <v>0</v>
      </c>
      <c r="M2333" s="4">
        <v>131</v>
      </c>
      <c r="N2333" s="4">
        <v>86</v>
      </c>
      <c r="O2333" s="4" t="s">
        <v>26</v>
      </c>
      <c r="P2333" s="7" t="s">
        <v>30</v>
      </c>
    </row>
    <row r="2334" spans="2:16" x14ac:dyDescent="0.45">
      <c r="B2334" s="4">
        <v>2333</v>
      </c>
      <c r="C2334" s="4" t="s">
        <v>22</v>
      </c>
      <c r="D2334" s="4" t="s">
        <v>16</v>
      </c>
      <c r="E2334" s="4" t="s">
        <v>35</v>
      </c>
      <c r="F2334" s="4" t="s">
        <v>18</v>
      </c>
      <c r="G2334" s="4" t="s">
        <v>19</v>
      </c>
      <c r="H2334" s="4" t="s">
        <v>20</v>
      </c>
      <c r="I2334" s="4">
        <v>11</v>
      </c>
      <c r="J2334" s="5">
        <v>19.399999999999999</v>
      </c>
      <c r="K2334" s="6">
        <v>1.3</v>
      </c>
      <c r="L2334" s="4">
        <v>2</v>
      </c>
      <c r="M2334" s="4">
        <v>99</v>
      </c>
      <c r="N2334" s="4">
        <v>74</v>
      </c>
      <c r="O2334" s="4" t="s">
        <v>21</v>
      </c>
      <c r="P2334" s="7" t="s">
        <v>19</v>
      </c>
    </row>
    <row r="2335" spans="2:16" x14ac:dyDescent="0.45">
      <c r="B2335" s="4">
        <v>2334</v>
      </c>
      <c r="C2335" s="4" t="s">
        <v>27</v>
      </c>
      <c r="D2335" s="4" t="s">
        <v>23</v>
      </c>
      <c r="E2335" s="4" t="s">
        <v>17</v>
      </c>
      <c r="F2335" s="4" t="s">
        <v>28</v>
      </c>
      <c r="G2335" s="4" t="s">
        <v>19</v>
      </c>
      <c r="H2335" s="4" t="s">
        <v>25</v>
      </c>
      <c r="I2335" s="4">
        <v>2</v>
      </c>
      <c r="J2335" s="5">
        <v>11.6</v>
      </c>
      <c r="K2335" s="6">
        <v>0.83</v>
      </c>
      <c r="L2335" s="4">
        <v>1</v>
      </c>
      <c r="M2335" s="4">
        <v>115</v>
      </c>
      <c r="N2335" s="4">
        <v>75</v>
      </c>
      <c r="O2335" s="4" t="s">
        <v>26</v>
      </c>
      <c r="P2335" s="7" t="s">
        <v>19</v>
      </c>
    </row>
    <row r="2336" spans="2:16" x14ac:dyDescent="0.45">
      <c r="B2336" s="4">
        <v>2335</v>
      </c>
      <c r="C2336" s="4" t="s">
        <v>15</v>
      </c>
      <c r="D2336" s="4" t="s">
        <v>23</v>
      </c>
      <c r="E2336" s="4" t="s">
        <v>17</v>
      </c>
      <c r="F2336" s="4" t="s">
        <v>28</v>
      </c>
      <c r="G2336" s="4" t="s">
        <v>19</v>
      </c>
      <c r="H2336" s="4" t="s">
        <v>28</v>
      </c>
      <c r="I2336" s="4">
        <v>6</v>
      </c>
      <c r="J2336" s="5">
        <v>18</v>
      </c>
      <c r="K2336" s="6">
        <v>1.19</v>
      </c>
      <c r="L2336" s="4">
        <v>4</v>
      </c>
      <c r="M2336" s="4">
        <v>102</v>
      </c>
      <c r="N2336" s="4">
        <v>75</v>
      </c>
      <c r="O2336" s="4" t="s">
        <v>21</v>
      </c>
      <c r="P2336" s="7" t="s">
        <v>19</v>
      </c>
    </row>
    <row r="2337" spans="2:16" x14ac:dyDescent="0.45">
      <c r="B2337" s="4">
        <v>2336</v>
      </c>
      <c r="C2337" s="4" t="s">
        <v>15</v>
      </c>
      <c r="D2337" s="4" t="s">
        <v>16</v>
      </c>
      <c r="E2337" s="4" t="s">
        <v>17</v>
      </c>
      <c r="F2337" s="4" t="s">
        <v>18</v>
      </c>
      <c r="G2337" s="4" t="s">
        <v>19</v>
      </c>
      <c r="H2337" s="4" t="s">
        <v>36</v>
      </c>
      <c r="I2337" s="4">
        <v>18</v>
      </c>
      <c r="J2337" s="5">
        <v>93.5</v>
      </c>
      <c r="K2337" s="6">
        <v>1.62</v>
      </c>
      <c r="L2337" s="4">
        <v>2</v>
      </c>
      <c r="M2337" s="4">
        <v>124</v>
      </c>
      <c r="N2337" s="4">
        <v>96</v>
      </c>
      <c r="O2337" s="4" t="s">
        <v>26</v>
      </c>
      <c r="P2337" s="7" t="s">
        <v>19</v>
      </c>
    </row>
    <row r="2338" spans="2:16" x14ac:dyDescent="0.45">
      <c r="B2338" s="4">
        <v>2337</v>
      </c>
      <c r="C2338" s="4" t="s">
        <v>41</v>
      </c>
      <c r="D2338" s="4" t="s">
        <v>23</v>
      </c>
      <c r="E2338" s="4" t="s">
        <v>35</v>
      </c>
      <c r="F2338" s="4" t="s">
        <v>24</v>
      </c>
      <c r="G2338" s="4" t="s">
        <v>19</v>
      </c>
      <c r="H2338" s="4" t="s">
        <v>38</v>
      </c>
      <c r="I2338" s="4">
        <v>26</v>
      </c>
      <c r="J2338" s="5">
        <v>91.5</v>
      </c>
      <c r="K2338" s="6">
        <v>1.56</v>
      </c>
      <c r="L2338" s="4">
        <v>10</v>
      </c>
      <c r="M2338" s="4">
        <v>115</v>
      </c>
      <c r="N2338" s="4">
        <v>102</v>
      </c>
      <c r="O2338" s="4" t="s">
        <v>26</v>
      </c>
      <c r="P2338" s="7" t="s">
        <v>19</v>
      </c>
    </row>
    <row r="2339" spans="2:16" x14ac:dyDescent="0.45">
      <c r="B2339" s="4">
        <v>2338</v>
      </c>
      <c r="C2339" s="4" t="s">
        <v>39</v>
      </c>
      <c r="D2339" s="4" t="s">
        <v>23</v>
      </c>
      <c r="E2339" s="4" t="s">
        <v>17</v>
      </c>
      <c r="F2339" s="4" t="s">
        <v>24</v>
      </c>
      <c r="G2339" s="4" t="s">
        <v>19</v>
      </c>
      <c r="H2339" s="4" t="s">
        <v>32</v>
      </c>
      <c r="I2339" s="4">
        <v>18</v>
      </c>
      <c r="J2339" s="5">
        <v>61.4</v>
      </c>
      <c r="K2339" s="6">
        <v>1.54</v>
      </c>
      <c r="L2339" s="4">
        <v>4</v>
      </c>
      <c r="M2339" s="4">
        <v>96</v>
      </c>
      <c r="N2339" s="4">
        <v>132</v>
      </c>
      <c r="O2339" s="4" t="s">
        <v>26</v>
      </c>
      <c r="P2339" s="7" t="s">
        <v>19</v>
      </c>
    </row>
    <row r="2340" spans="2:16" x14ac:dyDescent="0.45">
      <c r="B2340" s="4">
        <v>2339</v>
      </c>
      <c r="C2340" s="4" t="s">
        <v>31</v>
      </c>
      <c r="D2340" s="4" t="s">
        <v>16</v>
      </c>
      <c r="E2340" s="4" t="s">
        <v>35</v>
      </c>
      <c r="F2340" s="4" t="s">
        <v>18</v>
      </c>
      <c r="G2340" s="4" t="s">
        <v>19</v>
      </c>
      <c r="H2340" s="4" t="s">
        <v>20</v>
      </c>
      <c r="I2340" s="4">
        <v>13</v>
      </c>
      <c r="J2340" s="5">
        <v>41</v>
      </c>
      <c r="K2340" s="6">
        <v>1.59</v>
      </c>
      <c r="L2340" s="4">
        <v>7</v>
      </c>
      <c r="M2340" s="4">
        <v>106</v>
      </c>
      <c r="N2340" s="4">
        <v>100</v>
      </c>
      <c r="O2340" s="4" t="s">
        <v>26</v>
      </c>
      <c r="P2340" s="7" t="s">
        <v>19</v>
      </c>
    </row>
    <row r="2341" spans="2:16" x14ac:dyDescent="0.45">
      <c r="B2341" s="4">
        <v>2340</v>
      </c>
      <c r="C2341" s="4" t="s">
        <v>39</v>
      </c>
      <c r="D2341" s="4" t="s">
        <v>16</v>
      </c>
      <c r="E2341" s="4" t="s">
        <v>17</v>
      </c>
      <c r="F2341" s="4" t="s">
        <v>24</v>
      </c>
      <c r="G2341" s="4" t="s">
        <v>19</v>
      </c>
      <c r="H2341" s="4" t="s">
        <v>25</v>
      </c>
      <c r="I2341" s="4">
        <v>11</v>
      </c>
      <c r="J2341" s="5">
        <v>26.3</v>
      </c>
      <c r="K2341" s="6">
        <v>1.32</v>
      </c>
      <c r="L2341" s="4">
        <v>6</v>
      </c>
      <c r="M2341" s="4">
        <v>98</v>
      </c>
      <c r="N2341" s="4">
        <v>83</v>
      </c>
      <c r="O2341" s="4" t="s">
        <v>26</v>
      </c>
      <c r="P2341" s="7" t="s">
        <v>19</v>
      </c>
    </row>
    <row r="2342" spans="2:16" x14ac:dyDescent="0.45">
      <c r="B2342" s="4">
        <v>2341</v>
      </c>
      <c r="C2342" s="4" t="s">
        <v>31</v>
      </c>
      <c r="D2342" s="4" t="s">
        <v>23</v>
      </c>
      <c r="E2342" s="4" t="s">
        <v>35</v>
      </c>
      <c r="F2342" s="4" t="s">
        <v>28</v>
      </c>
      <c r="G2342" s="4" t="s">
        <v>19</v>
      </c>
      <c r="H2342" s="4" t="s">
        <v>28</v>
      </c>
      <c r="I2342" s="4">
        <v>10</v>
      </c>
      <c r="J2342" s="5">
        <v>21.1</v>
      </c>
      <c r="K2342" s="6">
        <v>1.22</v>
      </c>
      <c r="L2342" s="4">
        <v>0</v>
      </c>
      <c r="M2342" s="4">
        <v>94</v>
      </c>
      <c r="N2342" s="4">
        <v>97</v>
      </c>
      <c r="O2342" s="4" t="s">
        <v>21</v>
      </c>
      <c r="P2342" s="7" t="s">
        <v>19</v>
      </c>
    </row>
    <row r="2343" spans="2:16" x14ac:dyDescent="0.45">
      <c r="B2343" s="4">
        <v>2342</v>
      </c>
      <c r="C2343" s="4" t="s">
        <v>41</v>
      </c>
      <c r="D2343" s="4" t="s">
        <v>23</v>
      </c>
      <c r="E2343" s="4" t="s">
        <v>17</v>
      </c>
      <c r="F2343" s="4" t="s">
        <v>42</v>
      </c>
      <c r="G2343" s="4" t="s">
        <v>19</v>
      </c>
      <c r="H2343" s="4" t="s">
        <v>28</v>
      </c>
      <c r="I2343" s="4">
        <v>9</v>
      </c>
      <c r="J2343" s="5">
        <v>21.9</v>
      </c>
      <c r="K2343" s="6">
        <v>1.41</v>
      </c>
      <c r="L2343" s="4">
        <v>2</v>
      </c>
      <c r="M2343" s="4">
        <v>106</v>
      </c>
      <c r="N2343" s="4">
        <v>100</v>
      </c>
      <c r="O2343" s="4" t="s">
        <v>26</v>
      </c>
      <c r="P2343" s="7" t="s">
        <v>30</v>
      </c>
    </row>
    <row r="2344" spans="2:16" x14ac:dyDescent="0.45">
      <c r="B2344" s="4">
        <v>2343</v>
      </c>
      <c r="C2344" s="4" t="s">
        <v>33</v>
      </c>
      <c r="D2344" s="4" t="s">
        <v>16</v>
      </c>
      <c r="E2344" s="4" t="s">
        <v>35</v>
      </c>
      <c r="F2344" s="4" t="s">
        <v>24</v>
      </c>
      <c r="G2344" s="4" t="s">
        <v>30</v>
      </c>
      <c r="H2344" s="4" t="s">
        <v>25</v>
      </c>
      <c r="I2344" s="4">
        <v>64</v>
      </c>
      <c r="J2344" s="5">
        <v>63.1</v>
      </c>
      <c r="K2344" s="6">
        <v>1.69</v>
      </c>
      <c r="L2344" s="4">
        <v>2</v>
      </c>
      <c r="M2344" s="4">
        <v>125</v>
      </c>
      <c r="N2344" s="4">
        <v>87</v>
      </c>
      <c r="O2344" s="4" t="s">
        <v>26</v>
      </c>
      <c r="P2344" s="7" t="s">
        <v>30</v>
      </c>
    </row>
    <row r="2345" spans="2:16" x14ac:dyDescent="0.45">
      <c r="B2345" s="4">
        <v>2344</v>
      </c>
      <c r="C2345" s="4" t="s">
        <v>15</v>
      </c>
      <c r="D2345" s="4" t="s">
        <v>16</v>
      </c>
      <c r="E2345" s="4" t="s">
        <v>35</v>
      </c>
      <c r="F2345" s="4" t="s">
        <v>24</v>
      </c>
      <c r="G2345" s="4" t="s">
        <v>30</v>
      </c>
      <c r="H2345" s="4" t="s">
        <v>28</v>
      </c>
      <c r="I2345" s="4">
        <v>6</v>
      </c>
      <c r="J2345" s="5">
        <v>24.2</v>
      </c>
      <c r="K2345" s="6">
        <v>1.1100000000000001</v>
      </c>
      <c r="L2345" s="4">
        <v>4</v>
      </c>
      <c r="M2345" s="4">
        <v>111</v>
      </c>
      <c r="N2345" s="4">
        <v>99</v>
      </c>
      <c r="O2345" s="4" t="s">
        <v>26</v>
      </c>
      <c r="P2345" s="7" t="s">
        <v>19</v>
      </c>
    </row>
    <row r="2346" spans="2:16" x14ac:dyDescent="0.45">
      <c r="B2346" s="4">
        <v>2345</v>
      </c>
      <c r="C2346" s="4" t="s">
        <v>22</v>
      </c>
      <c r="D2346" s="4" t="s">
        <v>16</v>
      </c>
      <c r="E2346" s="4" t="s">
        <v>37</v>
      </c>
      <c r="F2346" s="4" t="s">
        <v>24</v>
      </c>
      <c r="G2346" s="4" t="s">
        <v>19</v>
      </c>
      <c r="H2346" s="4" t="s">
        <v>36</v>
      </c>
      <c r="I2346" s="4">
        <v>34</v>
      </c>
      <c r="J2346" s="5">
        <v>45.8</v>
      </c>
      <c r="K2346" s="6">
        <v>1.61</v>
      </c>
      <c r="L2346" s="4">
        <v>4</v>
      </c>
      <c r="M2346" s="4">
        <v>133</v>
      </c>
      <c r="N2346" s="4">
        <v>78</v>
      </c>
      <c r="O2346" s="4" t="s">
        <v>26</v>
      </c>
      <c r="P2346" s="7" t="s">
        <v>19</v>
      </c>
    </row>
    <row r="2347" spans="2:16" x14ac:dyDescent="0.45">
      <c r="B2347" s="4">
        <v>2346</v>
      </c>
      <c r="C2347" s="4" t="s">
        <v>27</v>
      </c>
      <c r="D2347" s="4" t="s">
        <v>23</v>
      </c>
      <c r="E2347" s="4" t="s">
        <v>35</v>
      </c>
      <c r="F2347" s="4" t="s">
        <v>18</v>
      </c>
      <c r="G2347" s="4" t="s">
        <v>19</v>
      </c>
      <c r="H2347" s="4" t="s">
        <v>20</v>
      </c>
      <c r="I2347" s="4">
        <v>33</v>
      </c>
      <c r="J2347" s="5">
        <v>65.900000000000006</v>
      </c>
      <c r="K2347" s="6">
        <v>1.73</v>
      </c>
      <c r="L2347" s="4">
        <v>4</v>
      </c>
      <c r="M2347" s="4">
        <v>129</v>
      </c>
      <c r="N2347" s="4">
        <v>97</v>
      </c>
      <c r="O2347" s="4" t="s">
        <v>26</v>
      </c>
      <c r="P2347" s="7" t="s">
        <v>30</v>
      </c>
    </row>
    <row r="2348" spans="2:16" x14ac:dyDescent="0.45">
      <c r="B2348" s="4">
        <v>2347</v>
      </c>
      <c r="C2348" s="4" t="s">
        <v>29</v>
      </c>
      <c r="D2348" s="4" t="s">
        <v>23</v>
      </c>
      <c r="E2348" s="4" t="s">
        <v>37</v>
      </c>
      <c r="F2348" s="4" t="s">
        <v>18</v>
      </c>
      <c r="G2348" s="4" t="s">
        <v>19</v>
      </c>
      <c r="H2348" s="4" t="s">
        <v>20</v>
      </c>
      <c r="I2348" s="4">
        <v>39</v>
      </c>
      <c r="J2348" s="5">
        <v>89.2</v>
      </c>
      <c r="K2348" s="6">
        <v>1.66</v>
      </c>
      <c r="L2348" s="4">
        <v>1</v>
      </c>
      <c r="M2348" s="4">
        <v>111</v>
      </c>
      <c r="N2348" s="4">
        <v>89</v>
      </c>
      <c r="O2348" s="4" t="s">
        <v>26</v>
      </c>
      <c r="P2348" s="7" t="s">
        <v>19</v>
      </c>
    </row>
    <row r="2349" spans="2:16" x14ac:dyDescent="0.45">
      <c r="B2349" s="4">
        <v>2348</v>
      </c>
      <c r="C2349" s="4" t="s">
        <v>29</v>
      </c>
      <c r="D2349" s="4" t="s">
        <v>23</v>
      </c>
      <c r="E2349" s="4" t="s">
        <v>35</v>
      </c>
      <c r="F2349" s="4" t="s">
        <v>18</v>
      </c>
      <c r="G2349" s="4" t="s">
        <v>30</v>
      </c>
      <c r="H2349" s="4" t="s">
        <v>38</v>
      </c>
      <c r="I2349" s="4">
        <v>3</v>
      </c>
      <c r="J2349" s="5">
        <v>7.1</v>
      </c>
      <c r="K2349" s="6">
        <v>0.93</v>
      </c>
      <c r="L2349" s="4">
        <v>0</v>
      </c>
      <c r="M2349" s="4">
        <v>108</v>
      </c>
      <c r="N2349" s="4">
        <v>101</v>
      </c>
      <c r="O2349" s="4" t="s">
        <v>26</v>
      </c>
      <c r="P2349" s="7" t="s">
        <v>19</v>
      </c>
    </row>
    <row r="2350" spans="2:16" x14ac:dyDescent="0.45">
      <c r="B2350" s="4">
        <v>2349</v>
      </c>
      <c r="C2350" s="4" t="s">
        <v>45</v>
      </c>
      <c r="D2350" s="4" t="s">
        <v>23</v>
      </c>
      <c r="E2350" s="4" t="s">
        <v>44</v>
      </c>
      <c r="F2350" s="4" t="s">
        <v>42</v>
      </c>
      <c r="G2350" s="4" t="s">
        <v>19</v>
      </c>
      <c r="H2350" s="4" t="s">
        <v>38</v>
      </c>
      <c r="I2350" s="4">
        <v>19</v>
      </c>
      <c r="J2350" s="5">
        <v>72.599999999999994</v>
      </c>
      <c r="K2350" s="6">
        <v>1.53</v>
      </c>
      <c r="L2350" s="4">
        <v>3</v>
      </c>
      <c r="M2350" s="4">
        <v>109</v>
      </c>
      <c r="N2350" s="4">
        <v>96</v>
      </c>
      <c r="O2350" s="4" t="s">
        <v>26</v>
      </c>
      <c r="P2350" s="7" t="s">
        <v>19</v>
      </c>
    </row>
    <row r="2351" spans="2:16" x14ac:dyDescent="0.45">
      <c r="B2351" s="4">
        <v>2350</v>
      </c>
      <c r="C2351" s="4" t="s">
        <v>27</v>
      </c>
      <c r="D2351" s="4" t="s">
        <v>23</v>
      </c>
      <c r="E2351" s="4" t="s">
        <v>37</v>
      </c>
      <c r="F2351" s="4" t="s">
        <v>24</v>
      </c>
      <c r="G2351" s="4" t="s">
        <v>19</v>
      </c>
      <c r="H2351" s="4" t="s">
        <v>25</v>
      </c>
      <c r="I2351" s="4">
        <v>12</v>
      </c>
      <c r="J2351" s="5">
        <v>41.8</v>
      </c>
      <c r="K2351" s="6">
        <v>1.69</v>
      </c>
      <c r="L2351" s="4">
        <v>4</v>
      </c>
      <c r="M2351" s="4">
        <v>114</v>
      </c>
      <c r="N2351" s="4">
        <v>83</v>
      </c>
      <c r="O2351" s="4" t="s">
        <v>21</v>
      </c>
      <c r="P2351" s="7" t="s">
        <v>19</v>
      </c>
    </row>
    <row r="2352" spans="2:16" x14ac:dyDescent="0.45">
      <c r="B2352" s="4">
        <v>2351</v>
      </c>
      <c r="C2352" s="4" t="s">
        <v>33</v>
      </c>
      <c r="D2352" s="4" t="s">
        <v>23</v>
      </c>
      <c r="E2352" s="4" t="s">
        <v>17</v>
      </c>
      <c r="F2352" s="4" t="s">
        <v>28</v>
      </c>
      <c r="G2352" s="4" t="s">
        <v>19</v>
      </c>
      <c r="H2352" s="4" t="s">
        <v>46</v>
      </c>
      <c r="I2352" s="4">
        <v>2</v>
      </c>
      <c r="J2352" s="5">
        <v>17.3</v>
      </c>
      <c r="K2352" s="6">
        <v>0.95</v>
      </c>
      <c r="L2352" s="4">
        <v>1</v>
      </c>
      <c r="M2352" s="4">
        <v>114</v>
      </c>
      <c r="N2352" s="4">
        <v>102</v>
      </c>
      <c r="O2352" s="4" t="s">
        <v>26</v>
      </c>
      <c r="P2352" s="7" t="s">
        <v>19</v>
      </c>
    </row>
    <row r="2353" spans="2:16" x14ac:dyDescent="0.45">
      <c r="B2353" s="4">
        <v>2352</v>
      </c>
      <c r="C2353" s="4" t="s">
        <v>40</v>
      </c>
      <c r="D2353" s="4" t="s">
        <v>23</v>
      </c>
      <c r="E2353" s="4" t="s">
        <v>17</v>
      </c>
      <c r="F2353" s="4" t="s">
        <v>24</v>
      </c>
      <c r="G2353" s="4" t="s">
        <v>19</v>
      </c>
      <c r="H2353" s="4" t="s">
        <v>25</v>
      </c>
      <c r="I2353" s="4">
        <v>4</v>
      </c>
      <c r="J2353" s="5">
        <v>14.8</v>
      </c>
      <c r="K2353" s="6">
        <v>0.96</v>
      </c>
      <c r="L2353" s="4">
        <v>0</v>
      </c>
      <c r="M2353" s="4">
        <v>101</v>
      </c>
      <c r="N2353" s="4">
        <v>77</v>
      </c>
      <c r="O2353" s="4" t="s">
        <v>21</v>
      </c>
      <c r="P2353" s="7" t="s">
        <v>30</v>
      </c>
    </row>
    <row r="2354" spans="2:16" x14ac:dyDescent="0.45">
      <c r="B2354" s="4">
        <v>2353</v>
      </c>
      <c r="C2354" s="4" t="s">
        <v>22</v>
      </c>
      <c r="D2354" s="4" t="s">
        <v>23</v>
      </c>
      <c r="E2354" s="4" t="s">
        <v>35</v>
      </c>
      <c r="F2354" s="4" t="s">
        <v>42</v>
      </c>
      <c r="G2354" s="4" t="s">
        <v>19</v>
      </c>
      <c r="H2354" s="4" t="s">
        <v>20</v>
      </c>
      <c r="I2354" s="4">
        <v>2</v>
      </c>
      <c r="J2354" s="5">
        <v>15.8</v>
      </c>
      <c r="K2354" s="6">
        <v>0.68</v>
      </c>
      <c r="L2354" s="4">
        <v>0</v>
      </c>
      <c r="M2354" s="4">
        <v>107</v>
      </c>
      <c r="N2354" s="4">
        <v>90</v>
      </c>
      <c r="O2354" s="4" t="s">
        <v>26</v>
      </c>
      <c r="P2354" s="7" t="s">
        <v>19</v>
      </c>
    </row>
    <row r="2355" spans="2:16" x14ac:dyDescent="0.45">
      <c r="B2355" s="4">
        <v>2354</v>
      </c>
      <c r="C2355" s="4" t="s">
        <v>22</v>
      </c>
      <c r="D2355" s="4" t="s">
        <v>16</v>
      </c>
      <c r="E2355" s="4" t="s">
        <v>44</v>
      </c>
      <c r="F2355" s="4" t="s">
        <v>28</v>
      </c>
      <c r="G2355" s="4" t="s">
        <v>30</v>
      </c>
      <c r="H2355" s="4" t="s">
        <v>32</v>
      </c>
      <c r="I2355" s="4">
        <v>13</v>
      </c>
      <c r="J2355" s="5">
        <v>59.5</v>
      </c>
      <c r="K2355" s="6">
        <v>1.67</v>
      </c>
      <c r="L2355" s="4">
        <v>5</v>
      </c>
      <c r="M2355" s="4">
        <v>104</v>
      </c>
      <c r="N2355" s="4">
        <v>137</v>
      </c>
      <c r="O2355" s="4" t="s">
        <v>26</v>
      </c>
      <c r="P2355" s="7" t="s">
        <v>19</v>
      </c>
    </row>
    <row r="2356" spans="2:16" x14ac:dyDescent="0.45">
      <c r="B2356" s="4">
        <v>2355</v>
      </c>
      <c r="C2356" s="4" t="s">
        <v>43</v>
      </c>
      <c r="D2356" s="4" t="s">
        <v>16</v>
      </c>
      <c r="E2356" s="4" t="s">
        <v>17</v>
      </c>
      <c r="F2356" s="4" t="s">
        <v>18</v>
      </c>
      <c r="G2356" s="4" t="s">
        <v>19</v>
      </c>
      <c r="H2356" s="4" t="s">
        <v>20</v>
      </c>
      <c r="I2356" s="4">
        <v>39</v>
      </c>
      <c r="J2356" s="5">
        <v>45.7</v>
      </c>
      <c r="K2356" s="6">
        <v>1.85</v>
      </c>
      <c r="L2356" s="4">
        <v>2</v>
      </c>
      <c r="M2356" s="4">
        <v>114</v>
      </c>
      <c r="N2356" s="4">
        <v>102</v>
      </c>
      <c r="O2356" s="4" t="s">
        <v>21</v>
      </c>
      <c r="P2356" s="7" t="s">
        <v>19</v>
      </c>
    </row>
    <row r="2357" spans="2:16" x14ac:dyDescent="0.45">
      <c r="B2357" s="4">
        <v>2356</v>
      </c>
      <c r="C2357" s="4" t="s">
        <v>41</v>
      </c>
      <c r="D2357" s="4" t="s">
        <v>23</v>
      </c>
      <c r="E2357" s="4" t="s">
        <v>17</v>
      </c>
      <c r="F2357" s="4" t="s">
        <v>18</v>
      </c>
      <c r="G2357" s="4" t="s">
        <v>19</v>
      </c>
      <c r="H2357" s="4" t="s">
        <v>28</v>
      </c>
      <c r="I2357" s="4">
        <v>7</v>
      </c>
      <c r="J2357" s="5">
        <v>20.8</v>
      </c>
      <c r="K2357" s="6">
        <v>1.45</v>
      </c>
      <c r="L2357" s="4">
        <v>2</v>
      </c>
      <c r="M2357" s="4">
        <v>112</v>
      </c>
      <c r="N2357" s="4">
        <v>84</v>
      </c>
      <c r="O2357" s="4" t="s">
        <v>26</v>
      </c>
      <c r="P2357" s="7" t="s">
        <v>19</v>
      </c>
    </row>
    <row r="2358" spans="2:16" x14ac:dyDescent="0.45">
      <c r="B2358" s="4">
        <v>2357</v>
      </c>
      <c r="C2358" s="4" t="s">
        <v>27</v>
      </c>
      <c r="D2358" s="4" t="s">
        <v>23</v>
      </c>
      <c r="E2358" s="4" t="s">
        <v>17</v>
      </c>
      <c r="F2358" s="4" t="s">
        <v>24</v>
      </c>
      <c r="G2358" s="4" t="s">
        <v>19</v>
      </c>
      <c r="H2358" s="4" t="s">
        <v>36</v>
      </c>
      <c r="I2358" s="4">
        <v>10</v>
      </c>
      <c r="J2358" s="5">
        <v>20.6</v>
      </c>
      <c r="K2358" s="6">
        <v>1.42</v>
      </c>
      <c r="L2358" s="4">
        <v>1</v>
      </c>
      <c r="M2358" s="4">
        <v>128</v>
      </c>
      <c r="N2358" s="4">
        <v>105</v>
      </c>
      <c r="O2358" s="4" t="s">
        <v>21</v>
      </c>
      <c r="P2358" s="7" t="s">
        <v>19</v>
      </c>
    </row>
    <row r="2359" spans="2:16" x14ac:dyDescent="0.45">
      <c r="B2359" s="4">
        <v>2358</v>
      </c>
      <c r="C2359" s="4" t="s">
        <v>40</v>
      </c>
      <c r="D2359" s="4" t="s">
        <v>16</v>
      </c>
      <c r="E2359" s="4" t="s">
        <v>17</v>
      </c>
      <c r="F2359" s="4" t="s">
        <v>24</v>
      </c>
      <c r="G2359" s="4" t="s">
        <v>30</v>
      </c>
      <c r="H2359" s="4" t="s">
        <v>20</v>
      </c>
      <c r="I2359" s="4">
        <v>25</v>
      </c>
      <c r="J2359" s="5">
        <v>60</v>
      </c>
      <c r="K2359" s="6">
        <v>1.89</v>
      </c>
      <c r="L2359" s="4">
        <v>2</v>
      </c>
      <c r="M2359" s="4">
        <v>111</v>
      </c>
      <c r="N2359" s="4">
        <v>70</v>
      </c>
      <c r="O2359" s="4" t="s">
        <v>21</v>
      </c>
      <c r="P2359" s="7" t="s">
        <v>19</v>
      </c>
    </row>
    <row r="2360" spans="2:16" x14ac:dyDescent="0.45">
      <c r="B2360" s="4">
        <v>2359</v>
      </c>
      <c r="C2360" s="4" t="s">
        <v>40</v>
      </c>
      <c r="D2360" s="4" t="s">
        <v>23</v>
      </c>
      <c r="E2360" s="4" t="s">
        <v>35</v>
      </c>
      <c r="F2360" s="4" t="s">
        <v>24</v>
      </c>
      <c r="G2360" s="4" t="s">
        <v>19</v>
      </c>
      <c r="H2360" s="4" t="s">
        <v>28</v>
      </c>
      <c r="I2360" s="4">
        <v>24</v>
      </c>
      <c r="J2360" s="5">
        <v>86.5</v>
      </c>
      <c r="K2360" s="6">
        <v>1.59</v>
      </c>
      <c r="L2360" s="4">
        <v>1</v>
      </c>
      <c r="M2360" s="4">
        <v>104</v>
      </c>
      <c r="N2360" s="4">
        <v>73</v>
      </c>
      <c r="O2360" s="4" t="s">
        <v>26</v>
      </c>
      <c r="P2360" s="7" t="s">
        <v>30</v>
      </c>
    </row>
    <row r="2361" spans="2:16" x14ac:dyDescent="0.45">
      <c r="B2361" s="4">
        <v>2360</v>
      </c>
      <c r="C2361" s="4" t="s">
        <v>27</v>
      </c>
      <c r="D2361" s="4" t="s">
        <v>16</v>
      </c>
      <c r="E2361" s="4" t="s">
        <v>17</v>
      </c>
      <c r="F2361" s="4" t="s">
        <v>18</v>
      </c>
      <c r="G2361" s="4" t="s">
        <v>30</v>
      </c>
      <c r="H2361" s="4" t="s">
        <v>28</v>
      </c>
      <c r="I2361" s="4">
        <v>24</v>
      </c>
      <c r="J2361" s="5">
        <v>91.2</v>
      </c>
      <c r="K2361" s="6">
        <v>1.89</v>
      </c>
      <c r="L2361" s="4">
        <v>0</v>
      </c>
      <c r="M2361" s="4">
        <v>106</v>
      </c>
      <c r="N2361" s="4">
        <v>97</v>
      </c>
      <c r="O2361" s="4" t="s">
        <v>21</v>
      </c>
      <c r="P2361" s="7" t="s">
        <v>19</v>
      </c>
    </row>
    <row r="2362" spans="2:16" x14ac:dyDescent="0.45">
      <c r="B2362" s="4">
        <v>2361</v>
      </c>
      <c r="C2362" s="4" t="s">
        <v>22</v>
      </c>
      <c r="D2362" s="4" t="s">
        <v>23</v>
      </c>
      <c r="E2362" s="4" t="s">
        <v>44</v>
      </c>
      <c r="F2362" s="4" t="s">
        <v>24</v>
      </c>
      <c r="G2362" s="4" t="s">
        <v>30</v>
      </c>
      <c r="H2362" s="4" t="s">
        <v>34</v>
      </c>
      <c r="I2362" s="4">
        <v>10</v>
      </c>
      <c r="J2362" s="5">
        <v>31.5</v>
      </c>
      <c r="K2362" s="6">
        <v>1.38</v>
      </c>
      <c r="L2362" s="4">
        <v>3</v>
      </c>
      <c r="M2362" s="4">
        <v>102</v>
      </c>
      <c r="N2362" s="4">
        <v>82</v>
      </c>
      <c r="O2362" s="4" t="s">
        <v>21</v>
      </c>
      <c r="P2362" s="7" t="s">
        <v>19</v>
      </c>
    </row>
    <row r="2363" spans="2:16" x14ac:dyDescent="0.45">
      <c r="B2363" s="4">
        <v>2362</v>
      </c>
      <c r="C2363" s="4" t="s">
        <v>43</v>
      </c>
      <c r="D2363" s="4" t="s">
        <v>23</v>
      </c>
      <c r="E2363" s="4" t="s">
        <v>35</v>
      </c>
      <c r="F2363" s="4" t="s">
        <v>24</v>
      </c>
      <c r="G2363" s="4" t="s">
        <v>19</v>
      </c>
      <c r="H2363" s="4" t="s">
        <v>34</v>
      </c>
      <c r="I2363" s="4">
        <v>5</v>
      </c>
      <c r="J2363" s="5">
        <v>30.8</v>
      </c>
      <c r="K2363" s="6">
        <v>1.1100000000000001</v>
      </c>
      <c r="L2363" s="4">
        <v>1</v>
      </c>
      <c r="M2363" s="4">
        <v>94</v>
      </c>
      <c r="N2363" s="4">
        <v>89</v>
      </c>
      <c r="O2363" s="4" t="s">
        <v>26</v>
      </c>
      <c r="P2363" s="7" t="s">
        <v>19</v>
      </c>
    </row>
    <row r="2364" spans="2:16" x14ac:dyDescent="0.45">
      <c r="B2364" s="4">
        <v>2363</v>
      </c>
      <c r="C2364" s="4" t="s">
        <v>41</v>
      </c>
      <c r="D2364" s="4" t="s">
        <v>23</v>
      </c>
      <c r="E2364" s="4" t="s">
        <v>17</v>
      </c>
      <c r="F2364" s="4" t="s">
        <v>18</v>
      </c>
      <c r="G2364" s="4" t="s">
        <v>30</v>
      </c>
      <c r="H2364" s="4" t="s">
        <v>20</v>
      </c>
      <c r="I2364" s="4">
        <v>0</v>
      </c>
      <c r="J2364" s="5">
        <v>8.8000000000000007</v>
      </c>
      <c r="K2364" s="6">
        <v>0.82</v>
      </c>
      <c r="L2364" s="4">
        <v>1</v>
      </c>
      <c r="M2364" s="4">
        <v>118</v>
      </c>
      <c r="N2364" s="4">
        <v>76</v>
      </c>
      <c r="O2364" s="4" t="s">
        <v>21</v>
      </c>
      <c r="P2364" s="7" t="s">
        <v>30</v>
      </c>
    </row>
    <row r="2365" spans="2:16" x14ac:dyDescent="0.45">
      <c r="B2365" s="4">
        <v>2364</v>
      </c>
      <c r="C2365" s="4" t="s">
        <v>22</v>
      </c>
      <c r="D2365" s="4" t="s">
        <v>23</v>
      </c>
      <c r="E2365" s="4" t="s">
        <v>35</v>
      </c>
      <c r="F2365" s="4" t="s">
        <v>24</v>
      </c>
      <c r="G2365" s="4" t="s">
        <v>19</v>
      </c>
      <c r="H2365" s="4" t="s">
        <v>28</v>
      </c>
      <c r="I2365" s="4">
        <v>2</v>
      </c>
      <c r="J2365" s="5">
        <v>13.9</v>
      </c>
      <c r="K2365" s="6">
        <v>0.88</v>
      </c>
      <c r="L2365" s="4">
        <v>2</v>
      </c>
      <c r="M2365" s="4">
        <v>100</v>
      </c>
      <c r="N2365" s="4">
        <v>91</v>
      </c>
      <c r="O2365" s="4" t="s">
        <v>21</v>
      </c>
      <c r="P2365" s="7" t="s">
        <v>19</v>
      </c>
    </row>
    <row r="2366" spans="2:16" x14ac:dyDescent="0.45">
      <c r="B2366" s="4">
        <v>2365</v>
      </c>
      <c r="C2366" s="4" t="s">
        <v>27</v>
      </c>
      <c r="D2366" s="4" t="s">
        <v>23</v>
      </c>
      <c r="E2366" s="4" t="s">
        <v>35</v>
      </c>
      <c r="F2366" s="4" t="s">
        <v>24</v>
      </c>
      <c r="G2366" s="4" t="s">
        <v>19</v>
      </c>
      <c r="H2366" s="4" t="s">
        <v>32</v>
      </c>
      <c r="I2366" s="4">
        <v>77</v>
      </c>
      <c r="J2366" s="5">
        <v>45.9</v>
      </c>
      <c r="K2366" s="6">
        <v>1.59</v>
      </c>
      <c r="L2366" s="4">
        <v>1</v>
      </c>
      <c r="M2366" s="4">
        <v>138</v>
      </c>
      <c r="N2366" s="4">
        <v>164</v>
      </c>
      <c r="O2366" s="4" t="s">
        <v>21</v>
      </c>
      <c r="P2366" s="7" t="s">
        <v>19</v>
      </c>
    </row>
    <row r="2367" spans="2:16" x14ac:dyDescent="0.45">
      <c r="B2367" s="4">
        <v>2366</v>
      </c>
      <c r="C2367" s="4" t="s">
        <v>40</v>
      </c>
      <c r="D2367" s="4" t="s">
        <v>16</v>
      </c>
      <c r="E2367" s="4" t="s">
        <v>35</v>
      </c>
      <c r="F2367" s="4" t="s">
        <v>18</v>
      </c>
      <c r="G2367" s="4" t="s">
        <v>19</v>
      </c>
      <c r="H2367" s="4" t="s">
        <v>20</v>
      </c>
      <c r="I2367" s="4">
        <v>15</v>
      </c>
      <c r="J2367" s="5">
        <v>46.8</v>
      </c>
      <c r="K2367" s="6">
        <v>1.71</v>
      </c>
      <c r="L2367" s="4">
        <v>3</v>
      </c>
      <c r="M2367" s="4">
        <v>96</v>
      </c>
      <c r="N2367" s="4">
        <v>78</v>
      </c>
      <c r="O2367" s="4" t="s">
        <v>21</v>
      </c>
      <c r="P2367" s="7" t="s">
        <v>19</v>
      </c>
    </row>
    <row r="2368" spans="2:16" x14ac:dyDescent="0.45">
      <c r="B2368" s="4">
        <v>2367</v>
      </c>
      <c r="C2368" s="4" t="s">
        <v>27</v>
      </c>
      <c r="D2368" s="4" t="s">
        <v>16</v>
      </c>
      <c r="E2368" s="4" t="s">
        <v>35</v>
      </c>
      <c r="F2368" s="4" t="s">
        <v>28</v>
      </c>
      <c r="G2368" s="4" t="s">
        <v>30</v>
      </c>
      <c r="H2368" s="4" t="s">
        <v>20</v>
      </c>
      <c r="I2368" s="4">
        <v>43</v>
      </c>
      <c r="J2368" s="5">
        <v>49.7</v>
      </c>
      <c r="K2368" s="6">
        <v>1.82</v>
      </c>
      <c r="L2368" s="4">
        <v>4</v>
      </c>
      <c r="M2368" s="4">
        <v>103</v>
      </c>
      <c r="N2368" s="4">
        <v>101</v>
      </c>
      <c r="O2368" s="4" t="s">
        <v>21</v>
      </c>
      <c r="P2368" s="7" t="s">
        <v>19</v>
      </c>
    </row>
    <row r="2369" spans="2:16" x14ac:dyDescent="0.45">
      <c r="B2369" s="4">
        <v>2368</v>
      </c>
      <c r="C2369" s="4" t="s">
        <v>15</v>
      </c>
      <c r="D2369" s="4" t="s">
        <v>16</v>
      </c>
      <c r="E2369" s="4" t="s">
        <v>35</v>
      </c>
      <c r="F2369" s="4" t="s">
        <v>28</v>
      </c>
      <c r="G2369" s="4" t="s">
        <v>30</v>
      </c>
      <c r="H2369" s="4" t="s">
        <v>46</v>
      </c>
      <c r="I2369" s="4">
        <v>19</v>
      </c>
      <c r="J2369" s="5">
        <v>45.4</v>
      </c>
      <c r="K2369" s="6">
        <v>1.69</v>
      </c>
      <c r="L2369" s="4">
        <v>2</v>
      </c>
      <c r="M2369" s="4">
        <v>101</v>
      </c>
      <c r="N2369" s="4">
        <v>81</v>
      </c>
      <c r="O2369" s="4" t="s">
        <v>21</v>
      </c>
      <c r="P2369" s="7" t="s">
        <v>19</v>
      </c>
    </row>
    <row r="2370" spans="2:16" x14ac:dyDescent="0.45">
      <c r="B2370" s="4">
        <v>2369</v>
      </c>
      <c r="C2370" s="4" t="s">
        <v>15</v>
      </c>
      <c r="D2370" s="4" t="s">
        <v>16</v>
      </c>
      <c r="E2370" s="4" t="s">
        <v>35</v>
      </c>
      <c r="F2370" s="4" t="s">
        <v>24</v>
      </c>
      <c r="G2370" s="4" t="s">
        <v>30</v>
      </c>
      <c r="H2370" s="4" t="s">
        <v>38</v>
      </c>
      <c r="I2370" s="4">
        <v>19</v>
      </c>
      <c r="J2370" s="5">
        <v>59.8</v>
      </c>
      <c r="K2370" s="6">
        <v>1.64</v>
      </c>
      <c r="L2370" s="4">
        <v>1</v>
      </c>
      <c r="M2370" s="4">
        <v>114</v>
      </c>
      <c r="N2370" s="4">
        <v>89</v>
      </c>
      <c r="O2370" s="4" t="s">
        <v>21</v>
      </c>
      <c r="P2370" s="7" t="s">
        <v>19</v>
      </c>
    </row>
    <row r="2371" spans="2:16" x14ac:dyDescent="0.45">
      <c r="B2371" s="4">
        <v>2370</v>
      </c>
      <c r="C2371" s="4" t="s">
        <v>22</v>
      </c>
      <c r="D2371" s="4" t="s">
        <v>16</v>
      </c>
      <c r="E2371" s="4" t="s">
        <v>17</v>
      </c>
      <c r="F2371" s="4" t="s">
        <v>24</v>
      </c>
      <c r="G2371" s="4" t="s">
        <v>19</v>
      </c>
      <c r="H2371" s="4" t="s">
        <v>20</v>
      </c>
      <c r="I2371" s="4">
        <v>27</v>
      </c>
      <c r="J2371" s="5">
        <v>62.1</v>
      </c>
      <c r="K2371" s="6">
        <v>1.54</v>
      </c>
      <c r="L2371" s="4">
        <v>1</v>
      </c>
      <c r="M2371" s="4">
        <v>118</v>
      </c>
      <c r="N2371" s="4">
        <v>100</v>
      </c>
      <c r="O2371" s="4" t="s">
        <v>26</v>
      </c>
      <c r="P2371" s="7" t="s">
        <v>19</v>
      </c>
    </row>
    <row r="2372" spans="2:16" x14ac:dyDescent="0.45">
      <c r="B2372" s="4">
        <v>2371</v>
      </c>
      <c r="C2372" s="4" t="s">
        <v>40</v>
      </c>
      <c r="D2372" s="4" t="s">
        <v>23</v>
      </c>
      <c r="E2372" s="4" t="s">
        <v>35</v>
      </c>
      <c r="F2372" s="4" t="s">
        <v>24</v>
      </c>
      <c r="G2372" s="4" t="s">
        <v>30</v>
      </c>
      <c r="H2372" s="4" t="s">
        <v>25</v>
      </c>
      <c r="I2372" s="4">
        <v>7</v>
      </c>
      <c r="J2372" s="5">
        <v>26.5</v>
      </c>
      <c r="K2372" s="6">
        <v>1.22</v>
      </c>
      <c r="L2372" s="4">
        <v>6</v>
      </c>
      <c r="M2372" s="4">
        <v>101</v>
      </c>
      <c r="N2372" s="4">
        <v>70</v>
      </c>
      <c r="O2372" s="4" t="s">
        <v>26</v>
      </c>
      <c r="P2372" s="7" t="s">
        <v>19</v>
      </c>
    </row>
    <row r="2373" spans="2:16" x14ac:dyDescent="0.45">
      <c r="B2373" s="4">
        <v>2372</v>
      </c>
      <c r="C2373" s="4" t="s">
        <v>31</v>
      </c>
      <c r="D2373" s="4" t="s">
        <v>16</v>
      </c>
      <c r="E2373" s="4" t="s">
        <v>17</v>
      </c>
      <c r="F2373" s="4" t="s">
        <v>28</v>
      </c>
      <c r="G2373" s="4" t="s">
        <v>19</v>
      </c>
      <c r="H2373" s="4" t="s">
        <v>34</v>
      </c>
      <c r="I2373" s="4">
        <v>22</v>
      </c>
      <c r="J2373" s="5">
        <v>89.8</v>
      </c>
      <c r="K2373" s="6">
        <v>1.69</v>
      </c>
      <c r="L2373" s="4">
        <v>0</v>
      </c>
      <c r="M2373" s="4">
        <v>128</v>
      </c>
      <c r="N2373" s="4">
        <v>71</v>
      </c>
      <c r="O2373" s="4" t="s">
        <v>26</v>
      </c>
      <c r="P2373" s="7" t="s">
        <v>30</v>
      </c>
    </row>
    <row r="2374" spans="2:16" x14ac:dyDescent="0.45">
      <c r="B2374" s="4">
        <v>2373</v>
      </c>
      <c r="C2374" s="4" t="s">
        <v>41</v>
      </c>
      <c r="D2374" s="4" t="s">
        <v>23</v>
      </c>
      <c r="E2374" s="4" t="s">
        <v>44</v>
      </c>
      <c r="F2374" s="4" t="s">
        <v>28</v>
      </c>
      <c r="G2374" s="4" t="s">
        <v>19</v>
      </c>
      <c r="H2374" s="4" t="s">
        <v>28</v>
      </c>
      <c r="I2374" s="4">
        <v>17</v>
      </c>
      <c r="J2374" s="5">
        <v>38.4</v>
      </c>
      <c r="K2374" s="6">
        <v>1.68</v>
      </c>
      <c r="L2374" s="4">
        <v>6</v>
      </c>
      <c r="M2374" s="4">
        <v>106</v>
      </c>
      <c r="N2374" s="4">
        <v>102</v>
      </c>
      <c r="O2374" s="4" t="s">
        <v>26</v>
      </c>
      <c r="P2374" s="7" t="s">
        <v>30</v>
      </c>
    </row>
    <row r="2375" spans="2:16" x14ac:dyDescent="0.45">
      <c r="B2375" s="4">
        <v>2374</v>
      </c>
      <c r="C2375" s="4" t="s">
        <v>29</v>
      </c>
      <c r="D2375" s="4" t="s">
        <v>16</v>
      </c>
      <c r="E2375" s="4" t="s">
        <v>17</v>
      </c>
      <c r="F2375" s="4" t="s">
        <v>18</v>
      </c>
      <c r="G2375" s="4" t="s">
        <v>30</v>
      </c>
      <c r="H2375" s="4" t="s">
        <v>38</v>
      </c>
      <c r="I2375" s="4">
        <v>76</v>
      </c>
      <c r="J2375" s="5">
        <v>76.900000000000006</v>
      </c>
      <c r="K2375" s="6">
        <v>1.84</v>
      </c>
      <c r="L2375" s="4">
        <v>4</v>
      </c>
      <c r="M2375" s="4">
        <v>133</v>
      </c>
      <c r="N2375" s="4">
        <v>89</v>
      </c>
      <c r="O2375" s="4" t="s">
        <v>21</v>
      </c>
      <c r="P2375" s="7" t="s">
        <v>19</v>
      </c>
    </row>
    <row r="2376" spans="2:16" x14ac:dyDescent="0.45">
      <c r="B2376" s="4">
        <v>2375</v>
      </c>
      <c r="C2376" s="4" t="s">
        <v>22</v>
      </c>
      <c r="D2376" s="4" t="s">
        <v>23</v>
      </c>
      <c r="E2376" s="4" t="s">
        <v>35</v>
      </c>
      <c r="F2376" s="4" t="s">
        <v>18</v>
      </c>
      <c r="G2376" s="4" t="s">
        <v>19</v>
      </c>
      <c r="H2376" s="4" t="s">
        <v>20</v>
      </c>
      <c r="I2376" s="4">
        <v>7</v>
      </c>
      <c r="J2376" s="5">
        <v>18.100000000000001</v>
      </c>
      <c r="K2376" s="6">
        <v>1.07</v>
      </c>
      <c r="L2376" s="4">
        <v>9</v>
      </c>
      <c r="M2376" s="4">
        <v>102</v>
      </c>
      <c r="N2376" s="4">
        <v>92</v>
      </c>
      <c r="O2376" s="4" t="s">
        <v>21</v>
      </c>
      <c r="P2376" s="7" t="s">
        <v>19</v>
      </c>
    </row>
    <row r="2377" spans="2:16" x14ac:dyDescent="0.45">
      <c r="B2377" s="4">
        <v>2376</v>
      </c>
      <c r="C2377" s="4" t="s">
        <v>22</v>
      </c>
      <c r="D2377" s="4" t="s">
        <v>16</v>
      </c>
      <c r="E2377" s="4" t="s">
        <v>37</v>
      </c>
      <c r="F2377" s="4" t="s">
        <v>28</v>
      </c>
      <c r="G2377" s="4" t="s">
        <v>19</v>
      </c>
      <c r="H2377" s="4" t="s">
        <v>36</v>
      </c>
      <c r="I2377" s="4">
        <v>0</v>
      </c>
      <c r="J2377" s="5">
        <v>15.2</v>
      </c>
      <c r="K2377" s="6">
        <v>0.92</v>
      </c>
      <c r="L2377" s="4">
        <v>10</v>
      </c>
      <c r="M2377" s="4">
        <v>120</v>
      </c>
      <c r="N2377" s="4">
        <v>86</v>
      </c>
      <c r="O2377" s="4" t="s">
        <v>26</v>
      </c>
      <c r="P2377" s="7" t="s">
        <v>19</v>
      </c>
    </row>
    <row r="2378" spans="2:16" x14ac:dyDescent="0.45">
      <c r="B2378" s="4">
        <v>2377</v>
      </c>
      <c r="C2378" s="4" t="s">
        <v>39</v>
      </c>
      <c r="D2378" s="4" t="s">
        <v>23</v>
      </c>
      <c r="E2378" s="4" t="s">
        <v>35</v>
      </c>
      <c r="F2378" s="4" t="s">
        <v>24</v>
      </c>
      <c r="G2378" s="4" t="s">
        <v>30</v>
      </c>
      <c r="H2378" s="4" t="s">
        <v>20</v>
      </c>
      <c r="I2378" s="4">
        <v>31</v>
      </c>
      <c r="J2378" s="5">
        <v>89.8</v>
      </c>
      <c r="K2378" s="6">
        <v>1.83</v>
      </c>
      <c r="L2378" s="4">
        <v>1</v>
      </c>
      <c r="M2378" s="4">
        <v>127</v>
      </c>
      <c r="N2378" s="4">
        <v>90</v>
      </c>
      <c r="O2378" s="4" t="s">
        <v>21</v>
      </c>
      <c r="P2378" s="7" t="s">
        <v>30</v>
      </c>
    </row>
    <row r="2379" spans="2:16" x14ac:dyDescent="0.45">
      <c r="B2379" s="4">
        <v>2378</v>
      </c>
      <c r="C2379" s="4" t="s">
        <v>31</v>
      </c>
      <c r="D2379" s="4" t="s">
        <v>23</v>
      </c>
      <c r="E2379" s="4" t="s">
        <v>35</v>
      </c>
      <c r="F2379" s="4" t="s">
        <v>24</v>
      </c>
      <c r="G2379" s="4" t="s">
        <v>19</v>
      </c>
      <c r="H2379" s="4" t="s">
        <v>20</v>
      </c>
      <c r="I2379" s="4">
        <v>33</v>
      </c>
      <c r="J2379" s="5">
        <v>61.7</v>
      </c>
      <c r="K2379" s="6">
        <v>1.61</v>
      </c>
      <c r="L2379" s="4">
        <v>3</v>
      </c>
      <c r="M2379" s="4">
        <v>116</v>
      </c>
      <c r="N2379" s="4">
        <v>103</v>
      </c>
      <c r="O2379" s="4" t="s">
        <v>26</v>
      </c>
      <c r="P2379" s="7" t="s">
        <v>19</v>
      </c>
    </row>
    <row r="2380" spans="2:16" x14ac:dyDescent="0.45">
      <c r="B2380" s="4">
        <v>2379</v>
      </c>
      <c r="C2380" s="4" t="s">
        <v>22</v>
      </c>
      <c r="D2380" s="4" t="s">
        <v>23</v>
      </c>
      <c r="E2380" s="4" t="s">
        <v>17</v>
      </c>
      <c r="F2380" s="4" t="s">
        <v>28</v>
      </c>
      <c r="G2380" s="4" t="s">
        <v>19</v>
      </c>
      <c r="H2380" s="4" t="s">
        <v>46</v>
      </c>
      <c r="I2380" s="4">
        <v>9</v>
      </c>
      <c r="J2380" s="5">
        <v>30.4</v>
      </c>
      <c r="K2380" s="6">
        <v>1.1499999999999999</v>
      </c>
      <c r="L2380" s="4">
        <v>2</v>
      </c>
      <c r="M2380" s="4">
        <v>114</v>
      </c>
      <c r="N2380" s="4">
        <v>99</v>
      </c>
      <c r="O2380" s="4" t="s">
        <v>21</v>
      </c>
      <c r="P2380" s="7" t="s">
        <v>19</v>
      </c>
    </row>
    <row r="2381" spans="2:16" x14ac:dyDescent="0.45">
      <c r="B2381" s="4">
        <v>2380</v>
      </c>
      <c r="C2381" s="4" t="s">
        <v>22</v>
      </c>
      <c r="D2381" s="4" t="s">
        <v>23</v>
      </c>
      <c r="E2381" s="4" t="s">
        <v>44</v>
      </c>
      <c r="F2381" s="4" t="s">
        <v>28</v>
      </c>
      <c r="G2381" s="4" t="s">
        <v>19</v>
      </c>
      <c r="H2381" s="4" t="s">
        <v>36</v>
      </c>
      <c r="I2381" s="4">
        <v>11</v>
      </c>
      <c r="J2381" s="5">
        <v>24.1</v>
      </c>
      <c r="K2381" s="6">
        <v>1.34</v>
      </c>
      <c r="L2381" s="4">
        <v>3</v>
      </c>
      <c r="M2381" s="4">
        <v>132</v>
      </c>
      <c r="N2381" s="4">
        <v>81</v>
      </c>
      <c r="O2381" s="4" t="s">
        <v>21</v>
      </c>
      <c r="P2381" s="7" t="s">
        <v>19</v>
      </c>
    </row>
    <row r="2382" spans="2:16" x14ac:dyDescent="0.45">
      <c r="B2382" s="4">
        <v>2381</v>
      </c>
      <c r="C2382" s="4" t="s">
        <v>27</v>
      </c>
      <c r="D2382" s="4" t="s">
        <v>23</v>
      </c>
      <c r="E2382" s="4" t="s">
        <v>35</v>
      </c>
      <c r="F2382" s="4" t="s">
        <v>24</v>
      </c>
      <c r="G2382" s="4" t="s">
        <v>19</v>
      </c>
      <c r="H2382" s="4" t="s">
        <v>36</v>
      </c>
      <c r="I2382" s="4">
        <v>13</v>
      </c>
      <c r="J2382" s="5">
        <v>60.2</v>
      </c>
      <c r="K2382" s="6">
        <v>1.63</v>
      </c>
      <c r="L2382" s="4">
        <v>5</v>
      </c>
      <c r="M2382" s="4">
        <v>131</v>
      </c>
      <c r="N2382" s="4">
        <v>84</v>
      </c>
      <c r="O2382" s="4" t="s">
        <v>26</v>
      </c>
      <c r="P2382" s="7" t="s">
        <v>30</v>
      </c>
    </row>
    <row r="2383" spans="2:16" x14ac:dyDescent="0.45">
      <c r="B2383" s="4">
        <v>2382</v>
      </c>
      <c r="C2383" s="4" t="s">
        <v>40</v>
      </c>
      <c r="D2383" s="4" t="s">
        <v>16</v>
      </c>
      <c r="E2383" s="4" t="s">
        <v>17</v>
      </c>
      <c r="F2383" s="4" t="s">
        <v>24</v>
      </c>
      <c r="G2383" s="4" t="s">
        <v>19</v>
      </c>
      <c r="H2383" s="4" t="s">
        <v>38</v>
      </c>
      <c r="I2383" s="4">
        <v>60</v>
      </c>
      <c r="J2383" s="5">
        <v>68.900000000000006</v>
      </c>
      <c r="K2383" s="6">
        <v>1.72</v>
      </c>
      <c r="L2383" s="4">
        <v>1</v>
      </c>
      <c r="M2383" s="4">
        <v>130</v>
      </c>
      <c r="N2383" s="4">
        <v>98</v>
      </c>
      <c r="O2383" s="4" t="s">
        <v>26</v>
      </c>
      <c r="P2383" s="7" t="s">
        <v>19</v>
      </c>
    </row>
    <row r="2384" spans="2:16" x14ac:dyDescent="0.45">
      <c r="B2384" s="4">
        <v>2383</v>
      </c>
      <c r="C2384" s="4" t="s">
        <v>15</v>
      </c>
      <c r="D2384" s="4" t="s">
        <v>16</v>
      </c>
      <c r="E2384" s="4" t="s">
        <v>44</v>
      </c>
      <c r="F2384" s="4" t="s">
        <v>28</v>
      </c>
      <c r="G2384" s="4" t="s">
        <v>19</v>
      </c>
      <c r="H2384" s="4" t="s">
        <v>36</v>
      </c>
      <c r="I2384" s="4">
        <v>25</v>
      </c>
      <c r="J2384" s="5">
        <v>70.7</v>
      </c>
      <c r="K2384" s="6">
        <v>1.51</v>
      </c>
      <c r="L2384" s="4">
        <v>6</v>
      </c>
      <c r="M2384" s="4">
        <v>127</v>
      </c>
      <c r="N2384" s="4">
        <v>83</v>
      </c>
      <c r="O2384" s="4" t="s">
        <v>26</v>
      </c>
      <c r="P2384" s="7" t="s">
        <v>30</v>
      </c>
    </row>
    <row r="2385" spans="2:16" x14ac:dyDescent="0.45">
      <c r="B2385" s="4">
        <v>2384</v>
      </c>
      <c r="C2385" s="4" t="s">
        <v>33</v>
      </c>
      <c r="D2385" s="4" t="s">
        <v>23</v>
      </c>
      <c r="E2385" s="4" t="s">
        <v>35</v>
      </c>
      <c r="F2385" s="4" t="s">
        <v>42</v>
      </c>
      <c r="G2385" s="4" t="s">
        <v>19</v>
      </c>
      <c r="H2385" s="4" t="s">
        <v>36</v>
      </c>
      <c r="I2385" s="4">
        <v>16</v>
      </c>
      <c r="J2385" s="5">
        <v>49</v>
      </c>
      <c r="K2385" s="6">
        <v>1.59</v>
      </c>
      <c r="L2385" s="4">
        <v>4</v>
      </c>
      <c r="M2385" s="4">
        <v>130</v>
      </c>
      <c r="N2385" s="4">
        <v>94</v>
      </c>
      <c r="O2385" s="4" t="s">
        <v>26</v>
      </c>
      <c r="P2385" s="7" t="s">
        <v>19</v>
      </c>
    </row>
    <row r="2386" spans="2:16" x14ac:dyDescent="0.45">
      <c r="B2386" s="4">
        <v>2385</v>
      </c>
      <c r="C2386" s="4" t="s">
        <v>27</v>
      </c>
      <c r="D2386" s="4" t="s">
        <v>16</v>
      </c>
      <c r="E2386" s="4" t="s">
        <v>17</v>
      </c>
      <c r="F2386" s="4" t="s">
        <v>24</v>
      </c>
      <c r="G2386" s="4" t="s">
        <v>19</v>
      </c>
      <c r="H2386" s="4" t="s">
        <v>25</v>
      </c>
      <c r="I2386" s="4">
        <v>43</v>
      </c>
      <c r="J2386" s="5">
        <v>80.599999999999994</v>
      </c>
      <c r="K2386" s="6">
        <v>1.49</v>
      </c>
      <c r="L2386" s="4">
        <v>1</v>
      </c>
      <c r="M2386" s="4">
        <v>116</v>
      </c>
      <c r="N2386" s="4">
        <v>82</v>
      </c>
      <c r="O2386" s="4" t="s">
        <v>26</v>
      </c>
      <c r="P2386" s="7" t="s">
        <v>19</v>
      </c>
    </row>
    <row r="2387" spans="2:16" x14ac:dyDescent="0.45">
      <c r="B2387" s="4">
        <v>2386</v>
      </c>
      <c r="C2387" s="4" t="s">
        <v>39</v>
      </c>
      <c r="D2387" s="4" t="s">
        <v>23</v>
      </c>
      <c r="E2387" s="4" t="s">
        <v>35</v>
      </c>
      <c r="F2387" s="4" t="s">
        <v>42</v>
      </c>
      <c r="G2387" s="4" t="s">
        <v>19</v>
      </c>
      <c r="H2387" s="4" t="s">
        <v>32</v>
      </c>
      <c r="I2387" s="4">
        <v>13</v>
      </c>
      <c r="J2387" s="5">
        <v>57.6</v>
      </c>
      <c r="K2387" s="6">
        <v>1.59</v>
      </c>
      <c r="L2387" s="4">
        <v>4</v>
      </c>
      <c r="M2387" s="4">
        <v>105</v>
      </c>
      <c r="N2387" s="4">
        <v>157</v>
      </c>
      <c r="O2387" s="4" t="s">
        <v>26</v>
      </c>
      <c r="P2387" s="7" t="s">
        <v>19</v>
      </c>
    </row>
    <row r="2388" spans="2:16" x14ac:dyDescent="0.45">
      <c r="B2388" s="4">
        <v>2387</v>
      </c>
      <c r="C2388" s="4" t="s">
        <v>22</v>
      </c>
      <c r="D2388" s="4" t="s">
        <v>16</v>
      </c>
      <c r="E2388" s="4" t="s">
        <v>35</v>
      </c>
      <c r="F2388" s="4" t="s">
        <v>24</v>
      </c>
      <c r="G2388" s="4" t="s">
        <v>30</v>
      </c>
      <c r="H2388" s="4" t="s">
        <v>20</v>
      </c>
      <c r="I2388" s="4">
        <v>21</v>
      </c>
      <c r="J2388" s="5">
        <v>91.4</v>
      </c>
      <c r="K2388" s="6">
        <v>1.54</v>
      </c>
      <c r="L2388" s="4">
        <v>5</v>
      </c>
      <c r="M2388" s="4">
        <v>113</v>
      </c>
      <c r="N2388" s="4">
        <v>81</v>
      </c>
      <c r="O2388" s="4" t="s">
        <v>21</v>
      </c>
      <c r="P2388" s="7" t="s">
        <v>19</v>
      </c>
    </row>
    <row r="2389" spans="2:16" x14ac:dyDescent="0.45">
      <c r="B2389" s="4">
        <v>2388</v>
      </c>
      <c r="C2389" s="4" t="s">
        <v>45</v>
      </c>
      <c r="D2389" s="4" t="s">
        <v>16</v>
      </c>
      <c r="E2389" s="4" t="s">
        <v>17</v>
      </c>
      <c r="F2389" s="4" t="s">
        <v>28</v>
      </c>
      <c r="G2389" s="4" t="s">
        <v>19</v>
      </c>
      <c r="H2389" s="4" t="s">
        <v>25</v>
      </c>
      <c r="I2389" s="4">
        <v>24</v>
      </c>
      <c r="J2389" s="5">
        <v>64.599999999999994</v>
      </c>
      <c r="K2389" s="6">
        <v>1.74</v>
      </c>
      <c r="L2389" s="4">
        <v>5</v>
      </c>
      <c r="M2389" s="4">
        <v>107</v>
      </c>
      <c r="N2389" s="4">
        <v>78</v>
      </c>
      <c r="O2389" s="4" t="s">
        <v>26</v>
      </c>
      <c r="P2389" s="7" t="s">
        <v>19</v>
      </c>
    </row>
    <row r="2390" spans="2:16" x14ac:dyDescent="0.45">
      <c r="B2390" s="4">
        <v>2389</v>
      </c>
      <c r="C2390" s="4" t="s">
        <v>45</v>
      </c>
      <c r="D2390" s="4" t="s">
        <v>23</v>
      </c>
      <c r="E2390" s="4" t="s">
        <v>35</v>
      </c>
      <c r="F2390" s="4" t="s">
        <v>24</v>
      </c>
      <c r="G2390" s="4" t="s">
        <v>19</v>
      </c>
      <c r="H2390" s="4" t="s">
        <v>36</v>
      </c>
      <c r="I2390" s="4">
        <v>56</v>
      </c>
      <c r="J2390" s="5">
        <v>56.5</v>
      </c>
      <c r="K2390" s="6">
        <v>1.67</v>
      </c>
      <c r="L2390" s="4">
        <v>2</v>
      </c>
      <c r="M2390" s="4">
        <v>127</v>
      </c>
      <c r="N2390" s="4">
        <v>101</v>
      </c>
      <c r="O2390" s="4" t="s">
        <v>26</v>
      </c>
      <c r="P2390" s="7" t="s">
        <v>19</v>
      </c>
    </row>
    <row r="2391" spans="2:16" x14ac:dyDescent="0.45">
      <c r="B2391" s="4">
        <v>2390</v>
      </c>
      <c r="C2391" s="4" t="s">
        <v>43</v>
      </c>
      <c r="D2391" s="4" t="s">
        <v>16</v>
      </c>
      <c r="E2391" s="4" t="s">
        <v>17</v>
      </c>
      <c r="F2391" s="4" t="s">
        <v>18</v>
      </c>
      <c r="G2391" s="4" t="s">
        <v>19</v>
      </c>
      <c r="H2391" s="4" t="s">
        <v>28</v>
      </c>
      <c r="I2391" s="4">
        <v>7</v>
      </c>
      <c r="J2391" s="5">
        <v>20.9</v>
      </c>
      <c r="K2391" s="6">
        <v>1.1200000000000001</v>
      </c>
      <c r="L2391" s="4">
        <v>7</v>
      </c>
      <c r="M2391" s="4">
        <v>100</v>
      </c>
      <c r="N2391" s="4">
        <v>87</v>
      </c>
      <c r="O2391" s="4" t="s">
        <v>26</v>
      </c>
      <c r="P2391" s="7" t="s">
        <v>19</v>
      </c>
    </row>
    <row r="2392" spans="2:16" x14ac:dyDescent="0.45">
      <c r="B2392" s="4">
        <v>2391</v>
      </c>
      <c r="C2392" s="4" t="s">
        <v>27</v>
      </c>
      <c r="D2392" s="4" t="s">
        <v>16</v>
      </c>
      <c r="E2392" s="4" t="s">
        <v>17</v>
      </c>
      <c r="F2392" s="4" t="s">
        <v>24</v>
      </c>
      <c r="G2392" s="4" t="s">
        <v>19</v>
      </c>
      <c r="H2392" s="4" t="s">
        <v>25</v>
      </c>
      <c r="I2392" s="4">
        <v>2</v>
      </c>
      <c r="J2392" s="5">
        <v>14.4</v>
      </c>
      <c r="K2392" s="6">
        <v>0.82</v>
      </c>
      <c r="L2392" s="4">
        <v>5</v>
      </c>
      <c r="M2392" s="4">
        <v>91</v>
      </c>
      <c r="N2392" s="4">
        <v>99</v>
      </c>
      <c r="O2392" s="4" t="s">
        <v>26</v>
      </c>
      <c r="P2392" s="7" t="s">
        <v>19</v>
      </c>
    </row>
    <row r="2393" spans="2:16" x14ac:dyDescent="0.45">
      <c r="B2393" s="4">
        <v>2392</v>
      </c>
      <c r="C2393" s="4" t="s">
        <v>41</v>
      </c>
      <c r="D2393" s="4" t="s">
        <v>23</v>
      </c>
      <c r="E2393" s="4" t="s">
        <v>35</v>
      </c>
      <c r="F2393" s="4" t="s">
        <v>42</v>
      </c>
      <c r="G2393" s="4" t="s">
        <v>19</v>
      </c>
      <c r="H2393" s="4" t="s">
        <v>34</v>
      </c>
      <c r="I2393" s="4">
        <v>4</v>
      </c>
      <c r="J2393" s="5">
        <v>12.9</v>
      </c>
      <c r="K2393" s="6">
        <v>1.02</v>
      </c>
      <c r="L2393" s="4">
        <v>5</v>
      </c>
      <c r="M2393" s="4">
        <v>101</v>
      </c>
      <c r="N2393" s="4">
        <v>93</v>
      </c>
      <c r="O2393" s="4" t="s">
        <v>21</v>
      </c>
      <c r="P2393" s="7" t="s">
        <v>19</v>
      </c>
    </row>
    <row r="2394" spans="2:16" x14ac:dyDescent="0.45">
      <c r="B2394" s="4">
        <v>2393</v>
      </c>
      <c r="C2394" s="4" t="s">
        <v>40</v>
      </c>
      <c r="D2394" s="4" t="s">
        <v>23</v>
      </c>
      <c r="E2394" s="4" t="s">
        <v>37</v>
      </c>
      <c r="F2394" s="4" t="s">
        <v>28</v>
      </c>
      <c r="G2394" s="4" t="s">
        <v>19</v>
      </c>
      <c r="H2394" s="4" t="s">
        <v>36</v>
      </c>
      <c r="I2394" s="4">
        <v>36</v>
      </c>
      <c r="J2394" s="5">
        <v>75.8</v>
      </c>
      <c r="K2394" s="6">
        <v>1.86</v>
      </c>
      <c r="L2394" s="4">
        <v>7</v>
      </c>
      <c r="M2394" s="4">
        <v>138</v>
      </c>
      <c r="N2394" s="4">
        <v>84</v>
      </c>
      <c r="O2394" s="4" t="s">
        <v>26</v>
      </c>
      <c r="P2394" s="7" t="s">
        <v>19</v>
      </c>
    </row>
    <row r="2395" spans="2:16" x14ac:dyDescent="0.45">
      <c r="B2395" s="4">
        <v>2394</v>
      </c>
      <c r="C2395" s="4" t="s">
        <v>15</v>
      </c>
      <c r="D2395" s="4" t="s">
        <v>23</v>
      </c>
      <c r="E2395" s="4" t="s">
        <v>35</v>
      </c>
      <c r="F2395" s="4" t="s">
        <v>18</v>
      </c>
      <c r="G2395" s="4" t="s">
        <v>19</v>
      </c>
      <c r="H2395" s="4" t="s">
        <v>38</v>
      </c>
      <c r="I2395" s="4">
        <v>30</v>
      </c>
      <c r="J2395" s="5">
        <v>68.599999999999994</v>
      </c>
      <c r="K2395" s="6">
        <v>1.64</v>
      </c>
      <c r="L2395" s="4">
        <v>2</v>
      </c>
      <c r="M2395" s="4">
        <v>113</v>
      </c>
      <c r="N2395" s="4">
        <v>95</v>
      </c>
      <c r="O2395" s="4" t="s">
        <v>21</v>
      </c>
      <c r="P2395" s="7" t="s">
        <v>19</v>
      </c>
    </row>
    <row r="2396" spans="2:16" x14ac:dyDescent="0.45">
      <c r="B2396" s="4">
        <v>2395</v>
      </c>
      <c r="C2396" s="4" t="s">
        <v>29</v>
      </c>
      <c r="D2396" s="4" t="s">
        <v>23</v>
      </c>
      <c r="E2396" s="4" t="s">
        <v>17</v>
      </c>
      <c r="F2396" s="4" t="s">
        <v>24</v>
      </c>
      <c r="G2396" s="4" t="s">
        <v>30</v>
      </c>
      <c r="H2396" s="4" t="s">
        <v>28</v>
      </c>
      <c r="I2396" s="4">
        <v>29</v>
      </c>
      <c r="J2396" s="5">
        <v>78.599999999999994</v>
      </c>
      <c r="K2396" s="6">
        <v>1.73</v>
      </c>
      <c r="L2396" s="4">
        <v>1</v>
      </c>
      <c r="M2396" s="4">
        <v>108</v>
      </c>
      <c r="N2396" s="4">
        <v>103</v>
      </c>
      <c r="O2396" s="4" t="s">
        <v>21</v>
      </c>
      <c r="P2396" s="7" t="s">
        <v>30</v>
      </c>
    </row>
    <row r="2397" spans="2:16" x14ac:dyDescent="0.45">
      <c r="B2397" s="4">
        <v>2396</v>
      </c>
      <c r="C2397" s="4" t="s">
        <v>40</v>
      </c>
      <c r="D2397" s="4" t="s">
        <v>23</v>
      </c>
      <c r="E2397" s="4" t="s">
        <v>17</v>
      </c>
      <c r="F2397" s="4" t="s">
        <v>24</v>
      </c>
      <c r="G2397" s="4" t="s">
        <v>30</v>
      </c>
      <c r="H2397" s="4" t="s">
        <v>28</v>
      </c>
      <c r="I2397" s="4">
        <v>24</v>
      </c>
      <c r="J2397" s="5">
        <v>56.9</v>
      </c>
      <c r="K2397" s="6">
        <v>1.69</v>
      </c>
      <c r="L2397" s="4">
        <v>2</v>
      </c>
      <c r="M2397" s="4">
        <v>110</v>
      </c>
      <c r="N2397" s="4">
        <v>72</v>
      </c>
      <c r="O2397" s="4" t="s">
        <v>21</v>
      </c>
      <c r="P2397" s="7" t="s">
        <v>30</v>
      </c>
    </row>
    <row r="2398" spans="2:16" x14ac:dyDescent="0.45">
      <c r="B2398" s="4">
        <v>2397</v>
      </c>
      <c r="C2398" s="4" t="s">
        <v>27</v>
      </c>
      <c r="D2398" s="4" t="s">
        <v>23</v>
      </c>
      <c r="E2398" s="4" t="s">
        <v>35</v>
      </c>
      <c r="F2398" s="4" t="s">
        <v>18</v>
      </c>
      <c r="G2398" s="4" t="s">
        <v>19</v>
      </c>
      <c r="H2398" s="4" t="s">
        <v>20</v>
      </c>
      <c r="I2398" s="4">
        <v>22</v>
      </c>
      <c r="J2398" s="5">
        <v>77.099999999999994</v>
      </c>
      <c r="K2398" s="6">
        <v>1.68</v>
      </c>
      <c r="L2398" s="4">
        <v>9</v>
      </c>
      <c r="M2398" s="4">
        <v>117</v>
      </c>
      <c r="N2398" s="4">
        <v>99</v>
      </c>
      <c r="O2398" s="4" t="s">
        <v>26</v>
      </c>
      <c r="P2398" s="7" t="s">
        <v>30</v>
      </c>
    </row>
    <row r="2399" spans="2:16" x14ac:dyDescent="0.45">
      <c r="B2399" s="4">
        <v>2398</v>
      </c>
      <c r="C2399" s="4" t="s">
        <v>45</v>
      </c>
      <c r="D2399" s="4" t="s">
        <v>16</v>
      </c>
      <c r="E2399" s="4" t="s">
        <v>35</v>
      </c>
      <c r="F2399" s="4" t="s">
        <v>18</v>
      </c>
      <c r="G2399" s="4" t="s">
        <v>19</v>
      </c>
      <c r="H2399" s="4" t="s">
        <v>32</v>
      </c>
      <c r="I2399" s="4">
        <v>48</v>
      </c>
      <c r="J2399" s="5">
        <v>51.5</v>
      </c>
      <c r="K2399" s="6">
        <v>1.6</v>
      </c>
      <c r="L2399" s="4">
        <v>1</v>
      </c>
      <c r="M2399" s="4">
        <v>127</v>
      </c>
      <c r="N2399" s="4">
        <v>145</v>
      </c>
      <c r="O2399" s="4" t="s">
        <v>26</v>
      </c>
      <c r="P2399" s="7" t="s">
        <v>19</v>
      </c>
    </row>
    <row r="2400" spans="2:16" x14ac:dyDescent="0.45">
      <c r="B2400" s="4">
        <v>2399</v>
      </c>
      <c r="C2400" s="4" t="s">
        <v>45</v>
      </c>
      <c r="D2400" s="4" t="s">
        <v>16</v>
      </c>
      <c r="E2400" s="4" t="s">
        <v>35</v>
      </c>
      <c r="F2400" s="4" t="s">
        <v>24</v>
      </c>
      <c r="G2400" s="4" t="s">
        <v>19</v>
      </c>
      <c r="H2400" s="4" t="s">
        <v>38</v>
      </c>
      <c r="I2400" s="4">
        <v>35</v>
      </c>
      <c r="J2400" s="5">
        <v>71.2</v>
      </c>
      <c r="K2400" s="6">
        <v>1.65</v>
      </c>
      <c r="L2400" s="4">
        <v>7</v>
      </c>
      <c r="M2400" s="4">
        <v>115</v>
      </c>
      <c r="N2400" s="4">
        <v>92</v>
      </c>
      <c r="O2400" s="4" t="s">
        <v>26</v>
      </c>
      <c r="P2400" s="7" t="s">
        <v>19</v>
      </c>
    </row>
    <row r="2401" spans="2:16" x14ac:dyDescent="0.45">
      <c r="B2401" s="4">
        <v>2400</v>
      </c>
      <c r="C2401" s="4" t="s">
        <v>31</v>
      </c>
      <c r="D2401" s="4" t="s">
        <v>23</v>
      </c>
      <c r="E2401" s="4" t="s">
        <v>17</v>
      </c>
      <c r="F2401" s="4" t="s">
        <v>28</v>
      </c>
      <c r="G2401" s="4" t="s">
        <v>19</v>
      </c>
      <c r="H2401" s="4" t="s">
        <v>20</v>
      </c>
      <c r="I2401" s="4">
        <v>16</v>
      </c>
      <c r="J2401" s="5">
        <v>43.6</v>
      </c>
      <c r="K2401" s="6">
        <v>1.52</v>
      </c>
      <c r="L2401" s="4">
        <v>8</v>
      </c>
      <c r="M2401" s="4">
        <v>104</v>
      </c>
      <c r="N2401" s="4">
        <v>85</v>
      </c>
      <c r="O2401" s="4" t="s">
        <v>21</v>
      </c>
      <c r="P2401" s="7" t="s">
        <v>19</v>
      </c>
    </row>
    <row r="2402" spans="2:16" x14ac:dyDescent="0.45">
      <c r="B2402" s="4">
        <v>2401</v>
      </c>
      <c r="C2402" s="4" t="s">
        <v>15</v>
      </c>
      <c r="D2402" s="4" t="s">
        <v>16</v>
      </c>
      <c r="E2402" s="4" t="s">
        <v>37</v>
      </c>
      <c r="F2402" s="4" t="s">
        <v>28</v>
      </c>
      <c r="G2402" s="4" t="s">
        <v>19</v>
      </c>
      <c r="H2402" s="4" t="s">
        <v>32</v>
      </c>
      <c r="I2402" s="4">
        <v>41</v>
      </c>
      <c r="J2402" s="5">
        <v>78.2</v>
      </c>
      <c r="K2402" s="6">
        <v>1.62</v>
      </c>
      <c r="L2402" s="4">
        <v>5</v>
      </c>
      <c r="M2402" s="4">
        <v>108</v>
      </c>
      <c r="N2402" s="4">
        <v>122</v>
      </c>
      <c r="O2402" s="4" t="s">
        <v>26</v>
      </c>
      <c r="P2402" s="7" t="s">
        <v>19</v>
      </c>
    </row>
    <row r="2403" spans="2:16" x14ac:dyDescent="0.45">
      <c r="B2403" s="4">
        <v>2402</v>
      </c>
      <c r="C2403" s="4" t="s">
        <v>22</v>
      </c>
      <c r="D2403" s="4" t="s">
        <v>23</v>
      </c>
      <c r="E2403" s="4" t="s">
        <v>17</v>
      </c>
      <c r="F2403" s="4" t="s">
        <v>18</v>
      </c>
      <c r="G2403" s="4" t="s">
        <v>19</v>
      </c>
      <c r="H2403" s="4" t="s">
        <v>38</v>
      </c>
      <c r="I2403" s="4">
        <v>25</v>
      </c>
      <c r="J2403" s="5">
        <v>77.099999999999994</v>
      </c>
      <c r="K2403" s="6">
        <v>1.86</v>
      </c>
      <c r="L2403" s="4">
        <v>2</v>
      </c>
      <c r="M2403" s="4">
        <v>119</v>
      </c>
      <c r="N2403" s="4">
        <v>100</v>
      </c>
      <c r="O2403" s="4" t="s">
        <v>26</v>
      </c>
      <c r="P2403" s="7" t="s">
        <v>19</v>
      </c>
    </row>
    <row r="2404" spans="2:16" x14ac:dyDescent="0.45">
      <c r="B2404" s="4">
        <v>2403</v>
      </c>
      <c r="C2404" s="4" t="s">
        <v>22</v>
      </c>
      <c r="D2404" s="4" t="s">
        <v>16</v>
      </c>
      <c r="E2404" s="4" t="s">
        <v>17</v>
      </c>
      <c r="F2404" s="4" t="s">
        <v>18</v>
      </c>
      <c r="G2404" s="4" t="s">
        <v>19</v>
      </c>
      <c r="H2404" s="4" t="s">
        <v>36</v>
      </c>
      <c r="I2404" s="4">
        <v>33</v>
      </c>
      <c r="J2404" s="5">
        <v>91.7</v>
      </c>
      <c r="K2404" s="6">
        <v>1.68</v>
      </c>
      <c r="L2404" s="4">
        <v>1</v>
      </c>
      <c r="M2404" s="4">
        <v>135</v>
      </c>
      <c r="N2404" s="4">
        <v>80</v>
      </c>
      <c r="O2404" s="4" t="s">
        <v>21</v>
      </c>
      <c r="P2404" s="7" t="s">
        <v>19</v>
      </c>
    </row>
    <row r="2405" spans="2:16" x14ac:dyDescent="0.45">
      <c r="B2405" s="4">
        <v>2404</v>
      </c>
      <c r="C2405" s="4" t="s">
        <v>27</v>
      </c>
      <c r="D2405" s="4" t="s">
        <v>23</v>
      </c>
      <c r="E2405" s="4" t="s">
        <v>17</v>
      </c>
      <c r="F2405" s="4" t="s">
        <v>24</v>
      </c>
      <c r="G2405" s="4" t="s">
        <v>19</v>
      </c>
      <c r="H2405" s="4" t="s">
        <v>20</v>
      </c>
      <c r="I2405" s="4">
        <v>63</v>
      </c>
      <c r="J2405" s="5">
        <v>46.3</v>
      </c>
      <c r="K2405" s="6">
        <v>1.87</v>
      </c>
      <c r="L2405" s="4">
        <v>6</v>
      </c>
      <c r="M2405" s="4">
        <v>118</v>
      </c>
      <c r="N2405" s="4">
        <v>84</v>
      </c>
      <c r="O2405" s="4" t="s">
        <v>26</v>
      </c>
      <c r="P2405" s="7" t="s">
        <v>19</v>
      </c>
    </row>
    <row r="2406" spans="2:16" x14ac:dyDescent="0.45">
      <c r="B2406" s="4">
        <v>2405</v>
      </c>
      <c r="C2406" s="4" t="s">
        <v>22</v>
      </c>
      <c r="D2406" s="4" t="s">
        <v>23</v>
      </c>
      <c r="E2406" s="4" t="s">
        <v>17</v>
      </c>
      <c r="F2406" s="4" t="s">
        <v>28</v>
      </c>
      <c r="G2406" s="4" t="s">
        <v>19</v>
      </c>
      <c r="H2406" s="4" t="s">
        <v>36</v>
      </c>
      <c r="I2406" s="4">
        <v>13</v>
      </c>
      <c r="J2406" s="5">
        <v>46</v>
      </c>
      <c r="K2406" s="6">
        <v>1.59</v>
      </c>
      <c r="L2406" s="4">
        <v>3</v>
      </c>
      <c r="M2406" s="4">
        <v>129</v>
      </c>
      <c r="N2406" s="4">
        <v>88</v>
      </c>
      <c r="O2406" s="4" t="s">
        <v>26</v>
      </c>
      <c r="P2406" s="7" t="s">
        <v>19</v>
      </c>
    </row>
    <row r="2407" spans="2:16" x14ac:dyDescent="0.45">
      <c r="B2407" s="4">
        <v>2406</v>
      </c>
      <c r="C2407" s="4" t="s">
        <v>45</v>
      </c>
      <c r="D2407" s="4" t="s">
        <v>16</v>
      </c>
      <c r="E2407" s="4" t="s">
        <v>17</v>
      </c>
      <c r="F2407" s="4" t="s">
        <v>28</v>
      </c>
      <c r="G2407" s="4" t="s">
        <v>19</v>
      </c>
      <c r="H2407" s="4" t="s">
        <v>20</v>
      </c>
      <c r="I2407" s="4">
        <v>9</v>
      </c>
      <c r="J2407" s="5">
        <v>25.1</v>
      </c>
      <c r="K2407" s="6">
        <v>1.41</v>
      </c>
      <c r="L2407" s="4">
        <v>8</v>
      </c>
      <c r="M2407" s="4">
        <v>115</v>
      </c>
      <c r="N2407" s="4">
        <v>102</v>
      </c>
      <c r="O2407" s="4" t="s">
        <v>21</v>
      </c>
      <c r="P2407" s="7" t="s">
        <v>19</v>
      </c>
    </row>
    <row r="2408" spans="2:16" x14ac:dyDescent="0.45">
      <c r="B2408" s="4">
        <v>2407</v>
      </c>
      <c r="C2408" s="4" t="s">
        <v>27</v>
      </c>
      <c r="D2408" s="4" t="s">
        <v>23</v>
      </c>
      <c r="E2408" s="4" t="s">
        <v>35</v>
      </c>
      <c r="F2408" s="4" t="s">
        <v>18</v>
      </c>
      <c r="G2408" s="4" t="s">
        <v>19</v>
      </c>
      <c r="H2408" s="4" t="s">
        <v>20</v>
      </c>
      <c r="I2408" s="4">
        <v>42</v>
      </c>
      <c r="J2408" s="5">
        <v>55.2</v>
      </c>
      <c r="K2408" s="6">
        <v>1.49</v>
      </c>
      <c r="L2408" s="4">
        <v>2</v>
      </c>
      <c r="M2408" s="4">
        <v>119</v>
      </c>
      <c r="N2408" s="4">
        <v>74</v>
      </c>
      <c r="O2408" s="4" t="s">
        <v>21</v>
      </c>
      <c r="P2408" s="7" t="s">
        <v>30</v>
      </c>
    </row>
    <row r="2409" spans="2:16" x14ac:dyDescent="0.45">
      <c r="B2409" s="4">
        <v>2408</v>
      </c>
      <c r="C2409" s="4" t="s">
        <v>22</v>
      </c>
      <c r="D2409" s="4" t="s">
        <v>16</v>
      </c>
      <c r="E2409" s="4" t="s">
        <v>17</v>
      </c>
      <c r="F2409" s="4" t="s">
        <v>18</v>
      </c>
      <c r="G2409" s="4" t="s">
        <v>19</v>
      </c>
      <c r="H2409" s="4" t="s">
        <v>20</v>
      </c>
      <c r="I2409" s="4">
        <v>42</v>
      </c>
      <c r="J2409" s="5">
        <v>83.8</v>
      </c>
      <c r="K2409" s="6">
        <v>1.55</v>
      </c>
      <c r="L2409" s="4">
        <v>2</v>
      </c>
      <c r="M2409" s="4">
        <v>112</v>
      </c>
      <c r="N2409" s="4">
        <v>82</v>
      </c>
      <c r="O2409" s="4" t="s">
        <v>21</v>
      </c>
      <c r="P2409" s="7" t="s">
        <v>19</v>
      </c>
    </row>
    <row r="2410" spans="2:16" x14ac:dyDescent="0.45">
      <c r="B2410" s="4">
        <v>2409</v>
      </c>
      <c r="C2410" s="4" t="s">
        <v>39</v>
      </c>
      <c r="D2410" s="4" t="s">
        <v>23</v>
      </c>
      <c r="E2410" s="4" t="s">
        <v>17</v>
      </c>
      <c r="F2410" s="4" t="s">
        <v>24</v>
      </c>
      <c r="G2410" s="4" t="s">
        <v>19</v>
      </c>
      <c r="H2410" s="4" t="s">
        <v>20</v>
      </c>
      <c r="I2410" s="4">
        <v>7</v>
      </c>
      <c r="J2410" s="5">
        <v>32.299999999999997</v>
      </c>
      <c r="K2410" s="6">
        <v>1.05</v>
      </c>
      <c r="L2410" s="4">
        <v>0</v>
      </c>
      <c r="M2410" s="4">
        <v>101</v>
      </c>
      <c r="N2410" s="4">
        <v>82</v>
      </c>
      <c r="O2410" s="4" t="s">
        <v>21</v>
      </c>
      <c r="P2410" s="7" t="s">
        <v>19</v>
      </c>
    </row>
    <row r="2411" spans="2:16" x14ac:dyDescent="0.45">
      <c r="B2411" s="4">
        <v>2410</v>
      </c>
      <c r="C2411" s="4" t="s">
        <v>22</v>
      </c>
      <c r="D2411" s="4" t="s">
        <v>16</v>
      </c>
      <c r="E2411" s="4" t="s">
        <v>35</v>
      </c>
      <c r="F2411" s="4" t="s">
        <v>28</v>
      </c>
      <c r="G2411" s="4" t="s">
        <v>19</v>
      </c>
      <c r="H2411" s="4" t="s">
        <v>38</v>
      </c>
      <c r="I2411" s="4">
        <v>51</v>
      </c>
      <c r="J2411" s="5">
        <v>74</v>
      </c>
      <c r="K2411" s="6">
        <v>1.76</v>
      </c>
      <c r="L2411" s="4">
        <v>4</v>
      </c>
      <c r="M2411" s="4">
        <v>121</v>
      </c>
      <c r="N2411" s="4">
        <v>97</v>
      </c>
      <c r="O2411" s="4" t="s">
        <v>21</v>
      </c>
      <c r="P2411" s="7" t="s">
        <v>19</v>
      </c>
    </row>
    <row r="2412" spans="2:16" x14ac:dyDescent="0.45">
      <c r="B2412" s="4">
        <v>2411</v>
      </c>
      <c r="C2412" s="4" t="s">
        <v>41</v>
      </c>
      <c r="D2412" s="4" t="s">
        <v>23</v>
      </c>
      <c r="E2412" s="4" t="s">
        <v>17</v>
      </c>
      <c r="F2412" s="4" t="s">
        <v>18</v>
      </c>
      <c r="G2412" s="4" t="s">
        <v>19</v>
      </c>
      <c r="H2412" s="4" t="s">
        <v>36</v>
      </c>
      <c r="I2412" s="4">
        <v>61</v>
      </c>
      <c r="J2412" s="5">
        <v>89.7</v>
      </c>
      <c r="K2412" s="6">
        <v>1.72</v>
      </c>
      <c r="L2412" s="4">
        <v>1</v>
      </c>
      <c r="M2412" s="4">
        <v>154</v>
      </c>
      <c r="N2412" s="4">
        <v>101</v>
      </c>
      <c r="O2412" s="4" t="s">
        <v>26</v>
      </c>
      <c r="P2412" s="7" t="s">
        <v>19</v>
      </c>
    </row>
    <row r="2413" spans="2:16" x14ac:dyDescent="0.45">
      <c r="B2413" s="4">
        <v>2412</v>
      </c>
      <c r="C2413" s="4" t="s">
        <v>27</v>
      </c>
      <c r="D2413" s="4" t="s">
        <v>23</v>
      </c>
      <c r="E2413" s="4" t="s">
        <v>35</v>
      </c>
      <c r="F2413" s="4" t="s">
        <v>18</v>
      </c>
      <c r="G2413" s="4" t="s">
        <v>30</v>
      </c>
      <c r="H2413" s="4" t="s">
        <v>36</v>
      </c>
      <c r="I2413" s="4">
        <v>83</v>
      </c>
      <c r="J2413" s="5">
        <v>92.3</v>
      </c>
      <c r="K2413" s="6">
        <v>1.81</v>
      </c>
      <c r="L2413" s="4">
        <v>5</v>
      </c>
      <c r="M2413" s="4">
        <v>152</v>
      </c>
      <c r="N2413" s="4">
        <v>83</v>
      </c>
      <c r="O2413" s="4" t="s">
        <v>26</v>
      </c>
      <c r="P2413" s="7" t="s">
        <v>30</v>
      </c>
    </row>
    <row r="2414" spans="2:16" x14ac:dyDescent="0.45">
      <c r="B2414" s="4">
        <v>2413</v>
      </c>
      <c r="C2414" s="4" t="s">
        <v>29</v>
      </c>
      <c r="D2414" s="4" t="s">
        <v>23</v>
      </c>
      <c r="E2414" s="4" t="s">
        <v>35</v>
      </c>
      <c r="F2414" s="4" t="s">
        <v>24</v>
      </c>
      <c r="G2414" s="4" t="s">
        <v>19</v>
      </c>
      <c r="H2414" s="4" t="s">
        <v>20</v>
      </c>
      <c r="I2414" s="4">
        <v>22</v>
      </c>
      <c r="J2414" s="5">
        <v>80.7</v>
      </c>
      <c r="K2414" s="6">
        <v>1.87</v>
      </c>
      <c r="L2414" s="4">
        <v>3</v>
      </c>
      <c r="M2414" s="4">
        <v>120</v>
      </c>
      <c r="N2414" s="4">
        <v>78</v>
      </c>
      <c r="O2414" s="4" t="s">
        <v>26</v>
      </c>
      <c r="P2414" s="7" t="s">
        <v>19</v>
      </c>
    </row>
    <row r="2415" spans="2:16" x14ac:dyDescent="0.45">
      <c r="B2415" s="4">
        <v>2414</v>
      </c>
      <c r="C2415" s="4" t="s">
        <v>41</v>
      </c>
      <c r="D2415" s="4" t="s">
        <v>23</v>
      </c>
      <c r="E2415" s="4" t="s">
        <v>35</v>
      </c>
      <c r="F2415" s="4" t="s">
        <v>18</v>
      </c>
      <c r="G2415" s="4" t="s">
        <v>19</v>
      </c>
      <c r="H2415" s="4" t="s">
        <v>28</v>
      </c>
      <c r="I2415" s="4">
        <v>22</v>
      </c>
      <c r="J2415" s="5">
        <v>94</v>
      </c>
      <c r="K2415" s="6">
        <v>1.64</v>
      </c>
      <c r="L2415" s="4">
        <v>3</v>
      </c>
      <c r="M2415" s="4">
        <v>115</v>
      </c>
      <c r="N2415" s="4">
        <v>95</v>
      </c>
      <c r="O2415" s="4" t="s">
        <v>26</v>
      </c>
      <c r="P2415" s="7" t="s">
        <v>30</v>
      </c>
    </row>
    <row r="2416" spans="2:16" x14ac:dyDescent="0.45">
      <c r="B2416" s="4">
        <v>2415</v>
      </c>
      <c r="C2416" s="4" t="s">
        <v>27</v>
      </c>
      <c r="D2416" s="4" t="s">
        <v>16</v>
      </c>
      <c r="E2416" s="4" t="s">
        <v>37</v>
      </c>
      <c r="F2416" s="4" t="s">
        <v>24</v>
      </c>
      <c r="G2416" s="4" t="s">
        <v>19</v>
      </c>
      <c r="H2416" s="4" t="s">
        <v>20</v>
      </c>
      <c r="I2416" s="4">
        <v>37</v>
      </c>
      <c r="J2416" s="5">
        <v>64.2</v>
      </c>
      <c r="K2416" s="6">
        <v>1.78</v>
      </c>
      <c r="L2416" s="4">
        <v>2</v>
      </c>
      <c r="M2416" s="4">
        <v>110</v>
      </c>
      <c r="N2416" s="4">
        <v>89</v>
      </c>
      <c r="O2416" s="4" t="s">
        <v>26</v>
      </c>
      <c r="P2416" s="7" t="s">
        <v>19</v>
      </c>
    </row>
    <row r="2417" spans="2:16" x14ac:dyDescent="0.45">
      <c r="B2417" s="4">
        <v>2416</v>
      </c>
      <c r="C2417" s="4" t="s">
        <v>43</v>
      </c>
      <c r="D2417" s="4" t="s">
        <v>23</v>
      </c>
      <c r="E2417" s="4" t="s">
        <v>37</v>
      </c>
      <c r="F2417" s="4" t="s">
        <v>24</v>
      </c>
      <c r="G2417" s="4" t="s">
        <v>30</v>
      </c>
      <c r="H2417" s="4" t="s">
        <v>28</v>
      </c>
      <c r="I2417" s="4">
        <v>17</v>
      </c>
      <c r="J2417" s="5">
        <v>57.1</v>
      </c>
      <c r="K2417" s="6">
        <v>1.64</v>
      </c>
      <c r="L2417" s="4">
        <v>10</v>
      </c>
      <c r="M2417" s="4">
        <v>118</v>
      </c>
      <c r="N2417" s="4">
        <v>89</v>
      </c>
      <c r="O2417" s="4" t="s">
        <v>21</v>
      </c>
      <c r="P2417" s="7" t="s">
        <v>19</v>
      </c>
    </row>
    <row r="2418" spans="2:16" x14ac:dyDescent="0.45">
      <c r="B2418" s="4">
        <v>2417</v>
      </c>
      <c r="C2418" s="4" t="s">
        <v>31</v>
      </c>
      <c r="D2418" s="4" t="s">
        <v>16</v>
      </c>
      <c r="E2418" s="4" t="s">
        <v>35</v>
      </c>
      <c r="F2418" s="4" t="s">
        <v>18</v>
      </c>
      <c r="G2418" s="4" t="s">
        <v>30</v>
      </c>
      <c r="H2418" s="4" t="s">
        <v>28</v>
      </c>
      <c r="I2418" s="4">
        <v>56</v>
      </c>
      <c r="J2418" s="5">
        <v>45.5</v>
      </c>
      <c r="K2418" s="6">
        <v>1.78</v>
      </c>
      <c r="L2418" s="4">
        <v>6</v>
      </c>
      <c r="M2418" s="4">
        <v>112</v>
      </c>
      <c r="N2418" s="4">
        <v>89</v>
      </c>
      <c r="O2418" s="4" t="s">
        <v>21</v>
      </c>
      <c r="P2418" s="7" t="s">
        <v>19</v>
      </c>
    </row>
    <row r="2419" spans="2:16" x14ac:dyDescent="0.45">
      <c r="B2419" s="4">
        <v>2418</v>
      </c>
      <c r="C2419" s="4" t="s">
        <v>31</v>
      </c>
      <c r="D2419" s="4" t="s">
        <v>23</v>
      </c>
      <c r="E2419" s="4" t="s">
        <v>35</v>
      </c>
      <c r="F2419" s="4" t="s">
        <v>18</v>
      </c>
      <c r="G2419" s="4" t="s">
        <v>30</v>
      </c>
      <c r="H2419" s="4" t="s">
        <v>20</v>
      </c>
      <c r="I2419" s="4">
        <v>41</v>
      </c>
      <c r="J2419" s="5">
        <v>67.7</v>
      </c>
      <c r="K2419" s="6">
        <v>1.54</v>
      </c>
      <c r="L2419" s="4">
        <v>6</v>
      </c>
      <c r="M2419" s="4">
        <v>112</v>
      </c>
      <c r="N2419" s="4">
        <v>87</v>
      </c>
      <c r="O2419" s="4" t="s">
        <v>26</v>
      </c>
      <c r="P2419" s="7" t="s">
        <v>30</v>
      </c>
    </row>
    <row r="2420" spans="2:16" x14ac:dyDescent="0.45">
      <c r="B2420" s="4">
        <v>2419</v>
      </c>
      <c r="C2420" s="4" t="s">
        <v>41</v>
      </c>
      <c r="D2420" s="4" t="s">
        <v>16</v>
      </c>
      <c r="E2420" s="4" t="s">
        <v>35</v>
      </c>
      <c r="F2420" s="4" t="s">
        <v>28</v>
      </c>
      <c r="G2420" s="4" t="s">
        <v>30</v>
      </c>
      <c r="H2420" s="4" t="s">
        <v>32</v>
      </c>
      <c r="I2420" s="4">
        <v>0</v>
      </c>
      <c r="J2420" s="5">
        <v>16.7</v>
      </c>
      <c r="K2420" s="6">
        <v>0.74</v>
      </c>
      <c r="L2420" s="4">
        <v>1</v>
      </c>
      <c r="M2420" s="4">
        <v>92</v>
      </c>
      <c r="N2420" s="4">
        <v>153</v>
      </c>
      <c r="O2420" s="4" t="s">
        <v>21</v>
      </c>
      <c r="P2420" s="7" t="s">
        <v>19</v>
      </c>
    </row>
    <row r="2421" spans="2:16" x14ac:dyDescent="0.45">
      <c r="B2421" s="4">
        <v>2420</v>
      </c>
      <c r="C2421" s="4" t="s">
        <v>33</v>
      </c>
      <c r="D2421" s="4" t="s">
        <v>23</v>
      </c>
      <c r="E2421" s="4" t="s">
        <v>17</v>
      </c>
      <c r="F2421" s="4" t="s">
        <v>28</v>
      </c>
      <c r="G2421" s="4" t="s">
        <v>30</v>
      </c>
      <c r="H2421" s="4" t="s">
        <v>28</v>
      </c>
      <c r="I2421" s="4">
        <v>9</v>
      </c>
      <c r="J2421" s="5">
        <v>27.8</v>
      </c>
      <c r="K2421" s="6">
        <v>1.1399999999999999</v>
      </c>
      <c r="L2421" s="4">
        <v>0</v>
      </c>
      <c r="M2421" s="4">
        <v>116</v>
      </c>
      <c r="N2421" s="4">
        <v>83</v>
      </c>
      <c r="O2421" s="4" t="s">
        <v>21</v>
      </c>
      <c r="P2421" s="7" t="s">
        <v>19</v>
      </c>
    </row>
    <row r="2422" spans="2:16" x14ac:dyDescent="0.45">
      <c r="B2422" s="4">
        <v>2421</v>
      </c>
      <c r="C2422" s="4" t="s">
        <v>41</v>
      </c>
      <c r="D2422" s="4" t="s">
        <v>16</v>
      </c>
      <c r="E2422" s="4" t="s">
        <v>37</v>
      </c>
      <c r="F2422" s="4" t="s">
        <v>28</v>
      </c>
      <c r="G2422" s="4" t="s">
        <v>19</v>
      </c>
      <c r="H2422" s="4" t="s">
        <v>20</v>
      </c>
      <c r="I2422" s="4">
        <v>18</v>
      </c>
      <c r="J2422" s="5">
        <v>75.8</v>
      </c>
      <c r="K2422" s="6">
        <v>1.86</v>
      </c>
      <c r="L2422" s="4">
        <v>3</v>
      </c>
      <c r="M2422" s="4">
        <v>96</v>
      </c>
      <c r="N2422" s="4">
        <v>74</v>
      </c>
      <c r="O2422" s="4" t="s">
        <v>21</v>
      </c>
      <c r="P2422" s="7" t="s">
        <v>19</v>
      </c>
    </row>
    <row r="2423" spans="2:16" x14ac:dyDescent="0.45">
      <c r="B2423" s="4">
        <v>2422</v>
      </c>
      <c r="C2423" s="4" t="s">
        <v>45</v>
      </c>
      <c r="D2423" s="4" t="s">
        <v>23</v>
      </c>
      <c r="E2423" s="4" t="s">
        <v>35</v>
      </c>
      <c r="F2423" s="4" t="s">
        <v>18</v>
      </c>
      <c r="G2423" s="4" t="s">
        <v>19</v>
      </c>
      <c r="H2423" s="4" t="s">
        <v>20</v>
      </c>
      <c r="I2423" s="4">
        <v>27</v>
      </c>
      <c r="J2423" s="5">
        <v>46.3</v>
      </c>
      <c r="K2423" s="6">
        <v>1.75</v>
      </c>
      <c r="L2423" s="4">
        <v>6</v>
      </c>
      <c r="M2423" s="4">
        <v>101</v>
      </c>
      <c r="N2423" s="4">
        <v>100</v>
      </c>
      <c r="O2423" s="4" t="s">
        <v>21</v>
      </c>
      <c r="P2423" s="7" t="s">
        <v>19</v>
      </c>
    </row>
    <row r="2424" spans="2:16" x14ac:dyDescent="0.45">
      <c r="B2424" s="4">
        <v>2423</v>
      </c>
      <c r="C2424" s="4" t="s">
        <v>43</v>
      </c>
      <c r="D2424" s="4" t="s">
        <v>23</v>
      </c>
      <c r="E2424" s="4" t="s">
        <v>17</v>
      </c>
      <c r="F2424" s="4" t="s">
        <v>28</v>
      </c>
      <c r="G2424" s="4" t="s">
        <v>19</v>
      </c>
      <c r="H2424" s="4" t="s">
        <v>32</v>
      </c>
      <c r="I2424" s="4">
        <v>19</v>
      </c>
      <c r="J2424" s="5">
        <v>89.2</v>
      </c>
      <c r="K2424" s="6">
        <v>1.73</v>
      </c>
      <c r="L2424" s="4">
        <v>5</v>
      </c>
      <c r="M2424" s="4">
        <v>110</v>
      </c>
      <c r="N2424" s="4">
        <v>178</v>
      </c>
      <c r="O2424" s="4" t="s">
        <v>26</v>
      </c>
      <c r="P2424" s="7" t="s">
        <v>19</v>
      </c>
    </row>
    <row r="2425" spans="2:16" x14ac:dyDescent="0.45">
      <c r="B2425" s="4">
        <v>2424</v>
      </c>
      <c r="C2425" s="4" t="s">
        <v>29</v>
      </c>
      <c r="D2425" s="4" t="s">
        <v>23</v>
      </c>
      <c r="E2425" s="4" t="s">
        <v>17</v>
      </c>
      <c r="F2425" s="4" t="s">
        <v>24</v>
      </c>
      <c r="G2425" s="4" t="s">
        <v>19</v>
      </c>
      <c r="H2425" s="4" t="s">
        <v>38</v>
      </c>
      <c r="I2425" s="4">
        <v>87</v>
      </c>
      <c r="J2425" s="5">
        <v>88.1</v>
      </c>
      <c r="K2425" s="6">
        <v>1.74</v>
      </c>
      <c r="L2425" s="4">
        <v>3</v>
      </c>
      <c r="M2425" s="4">
        <v>131</v>
      </c>
      <c r="N2425" s="4">
        <v>94</v>
      </c>
      <c r="O2425" s="4" t="s">
        <v>26</v>
      </c>
      <c r="P2425" s="7" t="s">
        <v>19</v>
      </c>
    </row>
    <row r="2426" spans="2:16" x14ac:dyDescent="0.45">
      <c r="B2426" s="4">
        <v>2425</v>
      </c>
      <c r="C2426" s="4" t="s">
        <v>31</v>
      </c>
      <c r="D2426" s="4" t="s">
        <v>23</v>
      </c>
      <c r="E2426" s="4" t="s">
        <v>35</v>
      </c>
      <c r="F2426" s="4" t="s">
        <v>24</v>
      </c>
      <c r="G2426" s="4" t="s">
        <v>19</v>
      </c>
      <c r="H2426" s="4" t="s">
        <v>32</v>
      </c>
      <c r="I2426" s="4">
        <v>19</v>
      </c>
      <c r="J2426" s="5">
        <v>52.2</v>
      </c>
      <c r="K2426" s="6">
        <v>1.87</v>
      </c>
      <c r="L2426" s="4">
        <v>1</v>
      </c>
      <c r="M2426" s="4">
        <v>124</v>
      </c>
      <c r="N2426" s="4">
        <v>151</v>
      </c>
      <c r="O2426" s="4" t="s">
        <v>26</v>
      </c>
      <c r="P2426" s="7" t="s">
        <v>30</v>
      </c>
    </row>
    <row r="2427" spans="2:16" x14ac:dyDescent="0.45">
      <c r="B2427" s="4">
        <v>2426</v>
      </c>
      <c r="C2427" s="4" t="s">
        <v>41</v>
      </c>
      <c r="D2427" s="4" t="s">
        <v>23</v>
      </c>
      <c r="E2427" s="4" t="s">
        <v>17</v>
      </c>
      <c r="F2427" s="4" t="s">
        <v>24</v>
      </c>
      <c r="G2427" s="4" t="s">
        <v>30</v>
      </c>
      <c r="H2427" s="4" t="s">
        <v>38</v>
      </c>
      <c r="I2427" s="4">
        <v>0</v>
      </c>
      <c r="J2427" s="5">
        <v>14.7</v>
      </c>
      <c r="K2427" s="6">
        <v>0.86</v>
      </c>
      <c r="L2427" s="4">
        <v>6</v>
      </c>
      <c r="M2427" s="4">
        <v>95</v>
      </c>
      <c r="N2427" s="4">
        <v>96</v>
      </c>
      <c r="O2427" s="4" t="s">
        <v>21</v>
      </c>
      <c r="P2427" s="7" t="s">
        <v>19</v>
      </c>
    </row>
    <row r="2428" spans="2:16" x14ac:dyDescent="0.45">
      <c r="B2428" s="4">
        <v>2427</v>
      </c>
      <c r="C2428" s="4" t="s">
        <v>22</v>
      </c>
      <c r="D2428" s="4" t="s">
        <v>16</v>
      </c>
      <c r="E2428" s="4" t="s">
        <v>35</v>
      </c>
      <c r="F2428" s="4" t="s">
        <v>18</v>
      </c>
      <c r="G2428" s="4" t="s">
        <v>19</v>
      </c>
      <c r="H2428" s="4" t="s">
        <v>38</v>
      </c>
      <c r="I2428" s="4">
        <v>7</v>
      </c>
      <c r="J2428" s="5">
        <v>26</v>
      </c>
      <c r="K2428" s="6">
        <v>1.37</v>
      </c>
      <c r="L2428" s="4">
        <v>7</v>
      </c>
      <c r="M2428" s="4">
        <v>99</v>
      </c>
      <c r="N2428" s="4">
        <v>71</v>
      </c>
      <c r="O2428" s="4" t="s">
        <v>26</v>
      </c>
      <c r="P2428" s="7" t="s">
        <v>19</v>
      </c>
    </row>
    <row r="2429" spans="2:16" x14ac:dyDescent="0.45">
      <c r="B2429" s="4">
        <v>2428</v>
      </c>
      <c r="C2429" s="4" t="s">
        <v>43</v>
      </c>
      <c r="D2429" s="4" t="s">
        <v>16</v>
      </c>
      <c r="E2429" s="4" t="s">
        <v>44</v>
      </c>
      <c r="F2429" s="4" t="s">
        <v>28</v>
      </c>
      <c r="G2429" s="4" t="s">
        <v>19</v>
      </c>
      <c r="H2429" s="4" t="s">
        <v>28</v>
      </c>
      <c r="I2429" s="4">
        <v>8</v>
      </c>
      <c r="J2429" s="5">
        <v>35.1</v>
      </c>
      <c r="K2429" s="6">
        <v>1.28</v>
      </c>
      <c r="L2429" s="4">
        <v>2</v>
      </c>
      <c r="M2429" s="4">
        <v>114</v>
      </c>
      <c r="N2429" s="4">
        <v>96</v>
      </c>
      <c r="O2429" s="4" t="s">
        <v>26</v>
      </c>
      <c r="P2429" s="7" t="s">
        <v>19</v>
      </c>
    </row>
    <row r="2430" spans="2:16" x14ac:dyDescent="0.45">
      <c r="B2430" s="4">
        <v>2429</v>
      </c>
      <c r="C2430" s="4" t="s">
        <v>39</v>
      </c>
      <c r="D2430" s="4" t="s">
        <v>16</v>
      </c>
      <c r="E2430" s="4" t="s">
        <v>17</v>
      </c>
      <c r="F2430" s="4" t="s">
        <v>24</v>
      </c>
      <c r="G2430" s="4" t="s">
        <v>19</v>
      </c>
      <c r="H2430" s="4" t="s">
        <v>25</v>
      </c>
      <c r="I2430" s="4">
        <v>8</v>
      </c>
      <c r="J2430" s="5">
        <v>25.1</v>
      </c>
      <c r="K2430" s="6">
        <v>1.4</v>
      </c>
      <c r="L2430" s="4">
        <v>6</v>
      </c>
      <c r="M2430" s="4">
        <v>94</v>
      </c>
      <c r="N2430" s="4">
        <v>98</v>
      </c>
      <c r="O2430" s="4" t="s">
        <v>21</v>
      </c>
      <c r="P2430" s="7" t="s">
        <v>19</v>
      </c>
    </row>
    <row r="2431" spans="2:16" x14ac:dyDescent="0.45">
      <c r="B2431" s="4">
        <v>2430</v>
      </c>
      <c r="C2431" s="4" t="s">
        <v>29</v>
      </c>
      <c r="D2431" s="4" t="s">
        <v>16</v>
      </c>
      <c r="E2431" s="4" t="s">
        <v>17</v>
      </c>
      <c r="F2431" s="4" t="s">
        <v>28</v>
      </c>
      <c r="G2431" s="4" t="s">
        <v>30</v>
      </c>
      <c r="H2431" s="4" t="s">
        <v>36</v>
      </c>
      <c r="I2431" s="4">
        <v>42</v>
      </c>
      <c r="J2431" s="5">
        <v>58.7</v>
      </c>
      <c r="K2431" s="6">
        <v>1.73</v>
      </c>
      <c r="L2431" s="4">
        <v>2</v>
      </c>
      <c r="M2431" s="4">
        <v>140</v>
      </c>
      <c r="N2431" s="4">
        <v>76</v>
      </c>
      <c r="O2431" s="4" t="s">
        <v>21</v>
      </c>
      <c r="P2431" s="7" t="s">
        <v>19</v>
      </c>
    </row>
    <row r="2432" spans="2:16" x14ac:dyDescent="0.45">
      <c r="B2432" s="4">
        <v>2431</v>
      </c>
      <c r="C2432" s="4" t="s">
        <v>27</v>
      </c>
      <c r="D2432" s="4" t="s">
        <v>16</v>
      </c>
      <c r="E2432" s="4" t="s">
        <v>37</v>
      </c>
      <c r="F2432" s="4" t="s">
        <v>24</v>
      </c>
      <c r="G2432" s="4" t="s">
        <v>19</v>
      </c>
      <c r="H2432" s="4" t="s">
        <v>36</v>
      </c>
      <c r="I2432" s="4">
        <v>21</v>
      </c>
      <c r="J2432" s="5">
        <v>74.2</v>
      </c>
      <c r="K2432" s="6">
        <v>1.62</v>
      </c>
      <c r="L2432" s="4">
        <v>1</v>
      </c>
      <c r="M2432" s="4">
        <v>134</v>
      </c>
      <c r="N2432" s="4">
        <v>71</v>
      </c>
      <c r="O2432" s="4" t="s">
        <v>21</v>
      </c>
      <c r="P2432" s="7" t="s">
        <v>19</v>
      </c>
    </row>
    <row r="2433" spans="2:16" x14ac:dyDescent="0.45">
      <c r="B2433" s="4">
        <v>2432</v>
      </c>
      <c r="C2433" s="4" t="s">
        <v>22</v>
      </c>
      <c r="D2433" s="4" t="s">
        <v>16</v>
      </c>
      <c r="E2433" s="4" t="s">
        <v>44</v>
      </c>
      <c r="F2433" s="4" t="s">
        <v>24</v>
      </c>
      <c r="G2433" s="4" t="s">
        <v>19</v>
      </c>
      <c r="H2433" s="4" t="s">
        <v>20</v>
      </c>
      <c r="I2433" s="4">
        <v>26</v>
      </c>
      <c r="J2433" s="5">
        <v>73.3</v>
      </c>
      <c r="K2433" s="6">
        <v>1.58</v>
      </c>
      <c r="L2433" s="4">
        <v>0</v>
      </c>
      <c r="M2433" s="4">
        <v>103</v>
      </c>
      <c r="N2433" s="4">
        <v>87</v>
      </c>
      <c r="O2433" s="4" t="s">
        <v>26</v>
      </c>
      <c r="P2433" s="7" t="s">
        <v>19</v>
      </c>
    </row>
    <row r="2434" spans="2:16" x14ac:dyDescent="0.45">
      <c r="B2434" s="4">
        <v>2433</v>
      </c>
      <c r="C2434" s="4" t="s">
        <v>29</v>
      </c>
      <c r="D2434" s="4" t="s">
        <v>16</v>
      </c>
      <c r="E2434" s="4" t="s">
        <v>17</v>
      </c>
      <c r="F2434" s="4" t="s">
        <v>18</v>
      </c>
      <c r="G2434" s="4" t="s">
        <v>19</v>
      </c>
      <c r="H2434" s="4" t="s">
        <v>20</v>
      </c>
      <c r="I2434" s="4">
        <v>23</v>
      </c>
      <c r="J2434" s="5">
        <v>58.1</v>
      </c>
      <c r="K2434" s="6">
        <v>1.79</v>
      </c>
      <c r="L2434" s="4">
        <v>0</v>
      </c>
      <c r="M2434" s="4">
        <v>104</v>
      </c>
      <c r="N2434" s="4">
        <v>74</v>
      </c>
      <c r="O2434" s="4" t="s">
        <v>21</v>
      </c>
      <c r="P2434" s="7" t="s">
        <v>19</v>
      </c>
    </row>
    <row r="2435" spans="2:16" x14ac:dyDescent="0.45">
      <c r="B2435" s="4">
        <v>2434</v>
      </c>
      <c r="C2435" s="4" t="s">
        <v>15</v>
      </c>
      <c r="D2435" s="4" t="s">
        <v>23</v>
      </c>
      <c r="E2435" s="4" t="s">
        <v>37</v>
      </c>
      <c r="F2435" s="4" t="s">
        <v>24</v>
      </c>
      <c r="G2435" s="4" t="s">
        <v>19</v>
      </c>
      <c r="H2435" s="4" t="s">
        <v>38</v>
      </c>
      <c r="I2435" s="4">
        <v>13</v>
      </c>
      <c r="J2435" s="5">
        <v>59.6</v>
      </c>
      <c r="K2435" s="6">
        <v>1.54</v>
      </c>
      <c r="L2435" s="4">
        <v>0</v>
      </c>
      <c r="M2435" s="4">
        <v>114</v>
      </c>
      <c r="N2435" s="4">
        <v>89</v>
      </c>
      <c r="O2435" s="4" t="s">
        <v>21</v>
      </c>
      <c r="P2435" s="7" t="s">
        <v>19</v>
      </c>
    </row>
    <row r="2436" spans="2:16" x14ac:dyDescent="0.45">
      <c r="B2436" s="4">
        <v>2435</v>
      </c>
      <c r="C2436" s="4" t="s">
        <v>15</v>
      </c>
      <c r="D2436" s="4" t="s">
        <v>16</v>
      </c>
      <c r="E2436" s="4" t="s">
        <v>35</v>
      </c>
      <c r="F2436" s="4" t="s">
        <v>24</v>
      </c>
      <c r="G2436" s="4" t="s">
        <v>30</v>
      </c>
      <c r="H2436" s="4" t="s">
        <v>38</v>
      </c>
      <c r="I2436" s="4">
        <v>80</v>
      </c>
      <c r="J2436" s="5">
        <v>64.099999999999994</v>
      </c>
      <c r="K2436" s="6">
        <v>1.84</v>
      </c>
      <c r="L2436" s="4">
        <v>6</v>
      </c>
      <c r="M2436" s="4">
        <v>121</v>
      </c>
      <c r="N2436" s="4">
        <v>75</v>
      </c>
      <c r="O2436" s="4" t="s">
        <v>21</v>
      </c>
      <c r="P2436" s="7" t="s">
        <v>19</v>
      </c>
    </row>
    <row r="2437" spans="2:16" x14ac:dyDescent="0.45">
      <c r="B2437" s="4">
        <v>2436</v>
      </c>
      <c r="C2437" s="4" t="s">
        <v>29</v>
      </c>
      <c r="D2437" s="4" t="s">
        <v>16</v>
      </c>
      <c r="E2437" s="4" t="s">
        <v>17</v>
      </c>
      <c r="F2437" s="4" t="s">
        <v>18</v>
      </c>
      <c r="G2437" s="4" t="s">
        <v>19</v>
      </c>
      <c r="H2437" s="4" t="s">
        <v>25</v>
      </c>
      <c r="I2437" s="4">
        <v>52</v>
      </c>
      <c r="J2437" s="5">
        <v>85.3</v>
      </c>
      <c r="K2437" s="6">
        <v>1.51</v>
      </c>
      <c r="L2437" s="4">
        <v>1</v>
      </c>
      <c r="M2437" s="4">
        <v>108</v>
      </c>
      <c r="N2437" s="4">
        <v>88</v>
      </c>
      <c r="O2437" s="4" t="s">
        <v>21</v>
      </c>
      <c r="P2437" s="7" t="s">
        <v>19</v>
      </c>
    </row>
    <row r="2438" spans="2:16" x14ac:dyDescent="0.45">
      <c r="B2438" s="4">
        <v>2437</v>
      </c>
      <c r="C2438" s="4" t="s">
        <v>15</v>
      </c>
      <c r="D2438" s="4" t="s">
        <v>23</v>
      </c>
      <c r="E2438" s="4" t="s">
        <v>35</v>
      </c>
      <c r="F2438" s="4" t="s">
        <v>28</v>
      </c>
      <c r="G2438" s="4" t="s">
        <v>19</v>
      </c>
      <c r="H2438" s="4" t="s">
        <v>34</v>
      </c>
      <c r="I2438" s="4">
        <v>49</v>
      </c>
      <c r="J2438" s="5">
        <v>92</v>
      </c>
      <c r="K2438" s="6">
        <v>1.64</v>
      </c>
      <c r="L2438" s="4">
        <v>9</v>
      </c>
      <c r="M2438" s="4">
        <v>124</v>
      </c>
      <c r="N2438" s="4">
        <v>84</v>
      </c>
      <c r="O2438" s="4" t="s">
        <v>26</v>
      </c>
      <c r="P2438" s="7" t="s">
        <v>19</v>
      </c>
    </row>
    <row r="2439" spans="2:16" x14ac:dyDescent="0.45">
      <c r="B2439" s="4">
        <v>2438</v>
      </c>
      <c r="C2439" s="4" t="s">
        <v>43</v>
      </c>
      <c r="D2439" s="4" t="s">
        <v>16</v>
      </c>
      <c r="E2439" s="4" t="s">
        <v>17</v>
      </c>
      <c r="F2439" s="4" t="s">
        <v>24</v>
      </c>
      <c r="G2439" s="4" t="s">
        <v>30</v>
      </c>
      <c r="H2439" s="4" t="s">
        <v>36</v>
      </c>
      <c r="I2439" s="4">
        <v>30</v>
      </c>
      <c r="J2439" s="5">
        <v>76.7</v>
      </c>
      <c r="K2439" s="6">
        <v>1.64</v>
      </c>
      <c r="L2439" s="4">
        <v>2</v>
      </c>
      <c r="M2439" s="4">
        <v>127</v>
      </c>
      <c r="N2439" s="4">
        <v>89</v>
      </c>
      <c r="O2439" s="4" t="s">
        <v>21</v>
      </c>
      <c r="P2439" s="7" t="s">
        <v>19</v>
      </c>
    </row>
    <row r="2440" spans="2:16" x14ac:dyDescent="0.45">
      <c r="B2440" s="4">
        <v>2439</v>
      </c>
      <c r="C2440" s="4" t="s">
        <v>27</v>
      </c>
      <c r="D2440" s="4" t="s">
        <v>23</v>
      </c>
      <c r="E2440" s="4" t="s">
        <v>35</v>
      </c>
      <c r="F2440" s="4" t="s">
        <v>18</v>
      </c>
      <c r="G2440" s="4" t="s">
        <v>19</v>
      </c>
      <c r="H2440" s="4" t="s">
        <v>25</v>
      </c>
      <c r="I2440" s="4">
        <v>38</v>
      </c>
      <c r="J2440" s="5">
        <v>65.5</v>
      </c>
      <c r="K2440" s="6">
        <v>1.56</v>
      </c>
      <c r="L2440" s="4">
        <v>1</v>
      </c>
      <c r="M2440" s="4">
        <v>106</v>
      </c>
      <c r="N2440" s="4">
        <v>76</v>
      </c>
      <c r="O2440" s="4" t="s">
        <v>21</v>
      </c>
      <c r="P2440" s="7" t="s">
        <v>19</v>
      </c>
    </row>
    <row r="2441" spans="2:16" x14ac:dyDescent="0.45">
      <c r="B2441" s="4">
        <v>2440</v>
      </c>
      <c r="C2441" s="4" t="s">
        <v>27</v>
      </c>
      <c r="D2441" s="4" t="s">
        <v>16</v>
      </c>
      <c r="E2441" s="4" t="s">
        <v>35</v>
      </c>
      <c r="F2441" s="4" t="s">
        <v>42</v>
      </c>
      <c r="G2441" s="4" t="s">
        <v>19</v>
      </c>
      <c r="H2441" s="4" t="s">
        <v>38</v>
      </c>
      <c r="I2441" s="4">
        <v>54</v>
      </c>
      <c r="J2441" s="5">
        <v>61.8</v>
      </c>
      <c r="K2441" s="6">
        <v>1.57</v>
      </c>
      <c r="L2441" s="4">
        <v>1</v>
      </c>
      <c r="M2441" s="4">
        <v>118</v>
      </c>
      <c r="N2441" s="4">
        <v>99</v>
      </c>
      <c r="O2441" s="4" t="s">
        <v>21</v>
      </c>
      <c r="P2441" s="7" t="s">
        <v>19</v>
      </c>
    </row>
    <row r="2442" spans="2:16" x14ac:dyDescent="0.45">
      <c r="B2442" s="4">
        <v>2441</v>
      </c>
      <c r="C2442" s="4" t="s">
        <v>45</v>
      </c>
      <c r="D2442" s="4" t="s">
        <v>16</v>
      </c>
      <c r="E2442" s="4" t="s">
        <v>35</v>
      </c>
      <c r="F2442" s="4" t="s">
        <v>42</v>
      </c>
      <c r="G2442" s="4" t="s">
        <v>19</v>
      </c>
      <c r="H2442" s="4" t="s">
        <v>28</v>
      </c>
      <c r="I2442" s="4">
        <v>10</v>
      </c>
      <c r="J2442" s="5">
        <v>20.100000000000001</v>
      </c>
      <c r="K2442" s="6">
        <v>1.21</v>
      </c>
      <c r="L2442" s="4">
        <v>6</v>
      </c>
      <c r="M2442" s="4">
        <v>107</v>
      </c>
      <c r="N2442" s="4">
        <v>100</v>
      </c>
      <c r="O2442" s="4" t="s">
        <v>26</v>
      </c>
      <c r="P2442" s="7" t="s">
        <v>19</v>
      </c>
    </row>
    <row r="2443" spans="2:16" x14ac:dyDescent="0.45">
      <c r="B2443" s="4">
        <v>2442</v>
      </c>
      <c r="C2443" s="4" t="s">
        <v>15</v>
      </c>
      <c r="D2443" s="4" t="s">
        <v>23</v>
      </c>
      <c r="E2443" s="4" t="s">
        <v>17</v>
      </c>
      <c r="F2443" s="4" t="s">
        <v>28</v>
      </c>
      <c r="G2443" s="4" t="s">
        <v>19</v>
      </c>
      <c r="H2443" s="4" t="s">
        <v>20</v>
      </c>
      <c r="I2443" s="4">
        <v>4</v>
      </c>
      <c r="J2443" s="5">
        <v>17.2</v>
      </c>
      <c r="K2443" s="6">
        <v>0.83</v>
      </c>
      <c r="L2443" s="4">
        <v>2</v>
      </c>
      <c r="M2443" s="4">
        <v>112</v>
      </c>
      <c r="N2443" s="4">
        <v>96</v>
      </c>
      <c r="O2443" s="4" t="s">
        <v>26</v>
      </c>
      <c r="P2443" s="7" t="s">
        <v>19</v>
      </c>
    </row>
    <row r="2444" spans="2:16" x14ac:dyDescent="0.45">
      <c r="B2444" s="4">
        <v>2443</v>
      </c>
      <c r="C2444" s="4" t="s">
        <v>39</v>
      </c>
      <c r="D2444" s="4" t="s">
        <v>23</v>
      </c>
      <c r="E2444" s="4" t="s">
        <v>37</v>
      </c>
      <c r="F2444" s="4" t="s">
        <v>24</v>
      </c>
      <c r="G2444" s="4" t="s">
        <v>19</v>
      </c>
      <c r="H2444" s="4" t="s">
        <v>25</v>
      </c>
      <c r="I2444" s="4">
        <v>33</v>
      </c>
      <c r="J2444" s="5">
        <v>88.5</v>
      </c>
      <c r="K2444" s="6">
        <v>1.65</v>
      </c>
      <c r="L2444" s="4">
        <v>1</v>
      </c>
      <c r="M2444" s="4">
        <v>112</v>
      </c>
      <c r="N2444" s="4">
        <v>72</v>
      </c>
      <c r="O2444" s="4" t="s">
        <v>26</v>
      </c>
      <c r="P2444" s="7" t="s">
        <v>30</v>
      </c>
    </row>
    <row r="2445" spans="2:16" x14ac:dyDescent="0.45">
      <c r="B2445" s="4">
        <v>2444</v>
      </c>
      <c r="C2445" s="4" t="s">
        <v>22</v>
      </c>
      <c r="D2445" s="4" t="s">
        <v>23</v>
      </c>
      <c r="E2445" s="4" t="s">
        <v>17</v>
      </c>
      <c r="F2445" s="4" t="s">
        <v>24</v>
      </c>
      <c r="G2445" s="4" t="s">
        <v>19</v>
      </c>
      <c r="H2445" s="4" t="s">
        <v>32</v>
      </c>
      <c r="I2445" s="4">
        <v>11</v>
      </c>
      <c r="J2445" s="5">
        <v>29.5</v>
      </c>
      <c r="K2445" s="6">
        <v>1.1200000000000001</v>
      </c>
      <c r="L2445" s="4">
        <v>6</v>
      </c>
      <c r="M2445" s="4">
        <v>94</v>
      </c>
      <c r="N2445" s="4">
        <v>120</v>
      </c>
      <c r="O2445" s="4" t="s">
        <v>26</v>
      </c>
      <c r="P2445" s="7" t="s">
        <v>19</v>
      </c>
    </row>
    <row r="2446" spans="2:16" x14ac:dyDescent="0.45">
      <c r="B2446" s="4">
        <v>2445</v>
      </c>
      <c r="C2446" s="4" t="s">
        <v>41</v>
      </c>
      <c r="D2446" s="4" t="s">
        <v>16</v>
      </c>
      <c r="E2446" s="4" t="s">
        <v>17</v>
      </c>
      <c r="F2446" s="4" t="s">
        <v>24</v>
      </c>
      <c r="G2446" s="4" t="s">
        <v>19</v>
      </c>
      <c r="H2446" s="4" t="s">
        <v>20</v>
      </c>
      <c r="I2446" s="4">
        <v>55</v>
      </c>
      <c r="J2446" s="5">
        <v>72.7</v>
      </c>
      <c r="K2446" s="6">
        <v>1.75</v>
      </c>
      <c r="L2446" s="4">
        <v>5</v>
      </c>
      <c r="M2446" s="4">
        <v>124</v>
      </c>
      <c r="N2446" s="4">
        <v>97</v>
      </c>
      <c r="O2446" s="4" t="s">
        <v>21</v>
      </c>
      <c r="P2446" s="7" t="s">
        <v>19</v>
      </c>
    </row>
    <row r="2447" spans="2:16" x14ac:dyDescent="0.45">
      <c r="B2447" s="4">
        <v>2446</v>
      </c>
      <c r="C2447" s="4" t="s">
        <v>41</v>
      </c>
      <c r="D2447" s="4" t="s">
        <v>23</v>
      </c>
      <c r="E2447" s="4" t="s">
        <v>35</v>
      </c>
      <c r="F2447" s="4" t="s">
        <v>24</v>
      </c>
      <c r="G2447" s="4" t="s">
        <v>19</v>
      </c>
      <c r="H2447" s="4" t="s">
        <v>34</v>
      </c>
      <c r="I2447" s="4">
        <v>42</v>
      </c>
      <c r="J2447" s="5">
        <v>71.599999999999994</v>
      </c>
      <c r="K2447" s="6">
        <v>1.9</v>
      </c>
      <c r="L2447" s="4">
        <v>2</v>
      </c>
      <c r="M2447" s="4">
        <v>105</v>
      </c>
      <c r="N2447" s="4">
        <v>97</v>
      </c>
      <c r="O2447" s="4" t="s">
        <v>26</v>
      </c>
      <c r="P2447" s="7" t="s">
        <v>19</v>
      </c>
    </row>
    <row r="2448" spans="2:16" x14ac:dyDescent="0.45">
      <c r="B2448" s="4">
        <v>2447</v>
      </c>
      <c r="C2448" s="4" t="s">
        <v>39</v>
      </c>
      <c r="D2448" s="4" t="s">
        <v>23</v>
      </c>
      <c r="E2448" s="4" t="s">
        <v>17</v>
      </c>
      <c r="F2448" s="4" t="s">
        <v>18</v>
      </c>
      <c r="G2448" s="4" t="s">
        <v>30</v>
      </c>
      <c r="H2448" s="4" t="s">
        <v>28</v>
      </c>
      <c r="I2448" s="4">
        <v>16</v>
      </c>
      <c r="J2448" s="5">
        <v>64.099999999999994</v>
      </c>
      <c r="K2448" s="6">
        <v>1.66</v>
      </c>
      <c r="L2448" s="4">
        <v>3</v>
      </c>
      <c r="M2448" s="4">
        <v>119</v>
      </c>
      <c r="N2448" s="4">
        <v>104</v>
      </c>
      <c r="O2448" s="4" t="s">
        <v>21</v>
      </c>
      <c r="P2448" s="7" t="s">
        <v>19</v>
      </c>
    </row>
    <row r="2449" spans="2:16" x14ac:dyDescent="0.45">
      <c r="B2449" s="4">
        <v>2448</v>
      </c>
      <c r="C2449" s="4" t="s">
        <v>41</v>
      </c>
      <c r="D2449" s="4" t="s">
        <v>23</v>
      </c>
      <c r="E2449" s="4" t="s">
        <v>17</v>
      </c>
      <c r="F2449" s="4" t="s">
        <v>18</v>
      </c>
      <c r="G2449" s="4" t="s">
        <v>19</v>
      </c>
      <c r="H2449" s="4" t="s">
        <v>32</v>
      </c>
      <c r="I2449" s="4">
        <v>16</v>
      </c>
      <c r="J2449" s="5">
        <v>57.2</v>
      </c>
      <c r="K2449" s="6">
        <v>1.65</v>
      </c>
      <c r="L2449" s="4">
        <v>9</v>
      </c>
      <c r="M2449" s="4">
        <v>113</v>
      </c>
      <c r="N2449" s="4">
        <v>125</v>
      </c>
      <c r="O2449" s="4" t="s">
        <v>26</v>
      </c>
      <c r="P2449" s="7" t="s">
        <v>19</v>
      </c>
    </row>
    <row r="2450" spans="2:16" x14ac:dyDescent="0.45">
      <c r="B2450" s="4">
        <v>2449</v>
      </c>
      <c r="C2450" s="4" t="s">
        <v>39</v>
      </c>
      <c r="D2450" s="4" t="s">
        <v>23</v>
      </c>
      <c r="E2450" s="4" t="s">
        <v>35</v>
      </c>
      <c r="F2450" s="4" t="s">
        <v>24</v>
      </c>
      <c r="G2450" s="4" t="s">
        <v>19</v>
      </c>
      <c r="H2450" s="4" t="s">
        <v>36</v>
      </c>
      <c r="I2450" s="4">
        <v>18</v>
      </c>
      <c r="J2450" s="5">
        <v>47.5</v>
      </c>
      <c r="K2450" s="6">
        <v>1.75</v>
      </c>
      <c r="L2450" s="4">
        <v>2</v>
      </c>
      <c r="M2450" s="4">
        <v>133</v>
      </c>
      <c r="N2450" s="4">
        <v>94</v>
      </c>
      <c r="O2450" s="4" t="s">
        <v>21</v>
      </c>
      <c r="P2450" s="7" t="s">
        <v>19</v>
      </c>
    </row>
    <row r="2451" spans="2:16" x14ac:dyDescent="0.45">
      <c r="B2451" s="4">
        <v>2450</v>
      </c>
      <c r="C2451" s="4" t="s">
        <v>27</v>
      </c>
      <c r="D2451" s="4" t="s">
        <v>16</v>
      </c>
      <c r="E2451" s="4" t="s">
        <v>37</v>
      </c>
      <c r="F2451" s="4" t="s">
        <v>24</v>
      </c>
      <c r="G2451" s="4" t="s">
        <v>19</v>
      </c>
      <c r="H2451" s="4" t="s">
        <v>36</v>
      </c>
      <c r="I2451" s="4">
        <v>19</v>
      </c>
      <c r="J2451" s="5">
        <v>66.599999999999994</v>
      </c>
      <c r="K2451" s="6">
        <v>1.5</v>
      </c>
      <c r="L2451" s="4">
        <v>4</v>
      </c>
      <c r="M2451" s="4">
        <v>129</v>
      </c>
      <c r="N2451" s="4">
        <v>98</v>
      </c>
      <c r="O2451" s="4" t="s">
        <v>26</v>
      </c>
      <c r="P2451" s="7" t="s">
        <v>19</v>
      </c>
    </row>
    <row r="2452" spans="2:16" x14ac:dyDescent="0.45">
      <c r="B2452" s="4">
        <v>2451</v>
      </c>
      <c r="C2452" s="4" t="s">
        <v>43</v>
      </c>
      <c r="D2452" s="4" t="s">
        <v>16</v>
      </c>
      <c r="E2452" s="4" t="s">
        <v>17</v>
      </c>
      <c r="F2452" s="4" t="s">
        <v>18</v>
      </c>
      <c r="G2452" s="4" t="s">
        <v>19</v>
      </c>
      <c r="H2452" s="4" t="s">
        <v>38</v>
      </c>
      <c r="I2452" s="4">
        <v>32</v>
      </c>
      <c r="J2452" s="5">
        <v>89.8</v>
      </c>
      <c r="K2452" s="6">
        <v>1.86</v>
      </c>
      <c r="L2452" s="4">
        <v>2</v>
      </c>
      <c r="M2452" s="4">
        <v>104</v>
      </c>
      <c r="N2452" s="4">
        <v>73</v>
      </c>
      <c r="O2452" s="4" t="s">
        <v>21</v>
      </c>
      <c r="P2452" s="7" t="s">
        <v>19</v>
      </c>
    </row>
    <row r="2453" spans="2:16" x14ac:dyDescent="0.45">
      <c r="B2453" s="4">
        <v>2452</v>
      </c>
      <c r="C2453" s="4" t="s">
        <v>15</v>
      </c>
      <c r="D2453" s="4" t="s">
        <v>16</v>
      </c>
      <c r="E2453" s="4" t="s">
        <v>17</v>
      </c>
      <c r="F2453" s="4" t="s">
        <v>24</v>
      </c>
      <c r="G2453" s="4" t="s">
        <v>19</v>
      </c>
      <c r="H2453" s="4" t="s">
        <v>28</v>
      </c>
      <c r="I2453" s="4">
        <v>19</v>
      </c>
      <c r="J2453" s="5">
        <v>58.8</v>
      </c>
      <c r="K2453" s="6">
        <v>1.8</v>
      </c>
      <c r="L2453" s="4">
        <v>3</v>
      </c>
      <c r="M2453" s="4">
        <v>120</v>
      </c>
      <c r="N2453" s="4">
        <v>76</v>
      </c>
      <c r="O2453" s="4" t="s">
        <v>21</v>
      </c>
      <c r="P2453" s="7" t="s">
        <v>19</v>
      </c>
    </row>
    <row r="2454" spans="2:16" x14ac:dyDescent="0.45">
      <c r="B2454" s="4">
        <v>2453</v>
      </c>
      <c r="C2454" s="4" t="s">
        <v>27</v>
      </c>
      <c r="D2454" s="4" t="s">
        <v>16</v>
      </c>
      <c r="E2454" s="4" t="s">
        <v>17</v>
      </c>
      <c r="F2454" s="4" t="s">
        <v>24</v>
      </c>
      <c r="G2454" s="4" t="s">
        <v>19</v>
      </c>
      <c r="H2454" s="4" t="s">
        <v>46</v>
      </c>
      <c r="I2454" s="4">
        <v>6</v>
      </c>
      <c r="J2454" s="5">
        <v>27.8</v>
      </c>
      <c r="K2454" s="6">
        <v>1.2</v>
      </c>
      <c r="L2454" s="4">
        <v>6</v>
      </c>
      <c r="M2454" s="4">
        <v>112</v>
      </c>
      <c r="N2454" s="4">
        <v>101</v>
      </c>
      <c r="O2454" s="4" t="s">
        <v>26</v>
      </c>
      <c r="P2454" s="7" t="s">
        <v>19</v>
      </c>
    </row>
    <row r="2455" spans="2:16" x14ac:dyDescent="0.45">
      <c r="B2455" s="4">
        <v>2454</v>
      </c>
      <c r="C2455" s="4" t="s">
        <v>41</v>
      </c>
      <c r="D2455" s="4" t="s">
        <v>16</v>
      </c>
      <c r="E2455" s="4" t="s">
        <v>35</v>
      </c>
      <c r="F2455" s="4" t="s">
        <v>18</v>
      </c>
      <c r="G2455" s="4" t="s">
        <v>19</v>
      </c>
      <c r="H2455" s="4" t="s">
        <v>34</v>
      </c>
      <c r="I2455" s="4">
        <v>20</v>
      </c>
      <c r="J2455" s="5">
        <v>62.8</v>
      </c>
      <c r="K2455" s="6">
        <v>1.8</v>
      </c>
      <c r="L2455" s="4">
        <v>0</v>
      </c>
      <c r="M2455" s="4">
        <v>115</v>
      </c>
      <c r="N2455" s="4">
        <v>88</v>
      </c>
      <c r="O2455" s="4" t="s">
        <v>21</v>
      </c>
      <c r="P2455" s="7" t="s">
        <v>19</v>
      </c>
    </row>
    <row r="2456" spans="2:16" x14ac:dyDescent="0.45">
      <c r="B2456" s="4">
        <v>2455</v>
      </c>
      <c r="C2456" s="4" t="s">
        <v>31</v>
      </c>
      <c r="D2456" s="4" t="s">
        <v>16</v>
      </c>
      <c r="E2456" s="4" t="s">
        <v>35</v>
      </c>
      <c r="F2456" s="4" t="s">
        <v>18</v>
      </c>
      <c r="G2456" s="4" t="s">
        <v>30</v>
      </c>
      <c r="H2456" s="4" t="s">
        <v>20</v>
      </c>
      <c r="I2456" s="4">
        <v>21</v>
      </c>
      <c r="J2456" s="5">
        <v>70.599999999999994</v>
      </c>
      <c r="K2456" s="6">
        <v>1.51</v>
      </c>
      <c r="L2456" s="4">
        <v>2</v>
      </c>
      <c r="M2456" s="4">
        <v>110</v>
      </c>
      <c r="N2456" s="4">
        <v>88</v>
      </c>
      <c r="O2456" s="4" t="s">
        <v>26</v>
      </c>
      <c r="P2456" s="7" t="s">
        <v>30</v>
      </c>
    </row>
    <row r="2457" spans="2:16" x14ac:dyDescent="0.45">
      <c r="B2457" s="4">
        <v>2456</v>
      </c>
      <c r="C2457" s="4" t="s">
        <v>33</v>
      </c>
      <c r="D2457" s="4" t="s">
        <v>23</v>
      </c>
      <c r="E2457" s="4" t="s">
        <v>37</v>
      </c>
      <c r="F2457" s="4" t="s">
        <v>24</v>
      </c>
      <c r="G2457" s="4" t="s">
        <v>19</v>
      </c>
      <c r="H2457" s="4" t="s">
        <v>28</v>
      </c>
      <c r="I2457" s="4">
        <v>14</v>
      </c>
      <c r="J2457" s="5">
        <v>61.3</v>
      </c>
      <c r="K2457" s="6">
        <v>1.55</v>
      </c>
      <c r="L2457" s="4">
        <v>7</v>
      </c>
      <c r="M2457" s="4">
        <v>110</v>
      </c>
      <c r="N2457" s="4">
        <v>73</v>
      </c>
      <c r="O2457" s="4" t="s">
        <v>21</v>
      </c>
      <c r="P2457" s="7" t="s">
        <v>19</v>
      </c>
    </row>
    <row r="2458" spans="2:16" x14ac:dyDescent="0.45">
      <c r="B2458" s="4">
        <v>2457</v>
      </c>
      <c r="C2458" s="4" t="s">
        <v>22</v>
      </c>
      <c r="D2458" s="4" t="s">
        <v>23</v>
      </c>
      <c r="E2458" s="4" t="s">
        <v>44</v>
      </c>
      <c r="F2458" s="4" t="s">
        <v>24</v>
      </c>
      <c r="G2458" s="4" t="s">
        <v>19</v>
      </c>
      <c r="H2458" s="4" t="s">
        <v>28</v>
      </c>
      <c r="I2458" s="4">
        <v>10</v>
      </c>
      <c r="J2458" s="5">
        <v>33.799999999999997</v>
      </c>
      <c r="K2458" s="6">
        <v>1.4</v>
      </c>
      <c r="L2458" s="4">
        <v>4</v>
      </c>
      <c r="M2458" s="4">
        <v>114</v>
      </c>
      <c r="N2458" s="4">
        <v>74</v>
      </c>
      <c r="O2458" s="4" t="s">
        <v>26</v>
      </c>
      <c r="P2458" s="7" t="s">
        <v>19</v>
      </c>
    </row>
    <row r="2459" spans="2:16" x14ac:dyDescent="0.45">
      <c r="B2459" s="4">
        <v>2458</v>
      </c>
      <c r="C2459" s="4" t="s">
        <v>15</v>
      </c>
      <c r="D2459" s="4" t="s">
        <v>16</v>
      </c>
      <c r="E2459" s="4" t="s">
        <v>17</v>
      </c>
      <c r="F2459" s="4" t="s">
        <v>24</v>
      </c>
      <c r="G2459" s="4" t="s">
        <v>30</v>
      </c>
      <c r="H2459" s="4" t="s">
        <v>36</v>
      </c>
      <c r="I2459" s="4">
        <v>14</v>
      </c>
      <c r="J2459" s="5">
        <v>61.7</v>
      </c>
      <c r="K2459" s="6">
        <v>1.48</v>
      </c>
      <c r="L2459" s="4">
        <v>1</v>
      </c>
      <c r="M2459" s="4">
        <v>128</v>
      </c>
      <c r="N2459" s="4">
        <v>82</v>
      </c>
      <c r="O2459" s="4" t="s">
        <v>21</v>
      </c>
      <c r="P2459" s="7" t="s">
        <v>19</v>
      </c>
    </row>
    <row r="2460" spans="2:16" x14ac:dyDescent="0.45">
      <c r="B2460" s="4">
        <v>2459</v>
      </c>
      <c r="C2460" s="4" t="s">
        <v>41</v>
      </c>
      <c r="D2460" s="4" t="s">
        <v>16</v>
      </c>
      <c r="E2460" s="4" t="s">
        <v>17</v>
      </c>
      <c r="F2460" s="4" t="s">
        <v>24</v>
      </c>
      <c r="G2460" s="4" t="s">
        <v>30</v>
      </c>
      <c r="H2460" s="4" t="s">
        <v>28</v>
      </c>
      <c r="I2460" s="4">
        <v>31</v>
      </c>
      <c r="J2460" s="5">
        <v>73.900000000000006</v>
      </c>
      <c r="K2460" s="6">
        <v>1.64</v>
      </c>
      <c r="L2460" s="4">
        <v>0</v>
      </c>
      <c r="M2460" s="4">
        <v>101</v>
      </c>
      <c r="N2460" s="4">
        <v>89</v>
      </c>
      <c r="O2460" s="4" t="s">
        <v>26</v>
      </c>
      <c r="P2460" s="7" t="s">
        <v>19</v>
      </c>
    </row>
    <row r="2461" spans="2:16" x14ac:dyDescent="0.45">
      <c r="B2461" s="4">
        <v>2460</v>
      </c>
      <c r="C2461" s="4" t="s">
        <v>29</v>
      </c>
      <c r="D2461" s="4" t="s">
        <v>16</v>
      </c>
      <c r="E2461" s="4" t="s">
        <v>17</v>
      </c>
      <c r="F2461" s="4" t="s">
        <v>18</v>
      </c>
      <c r="G2461" s="4" t="s">
        <v>19</v>
      </c>
      <c r="H2461" s="4" t="s">
        <v>34</v>
      </c>
      <c r="I2461" s="4">
        <v>11</v>
      </c>
      <c r="J2461" s="5">
        <v>32</v>
      </c>
      <c r="K2461" s="6">
        <v>1.33</v>
      </c>
      <c r="L2461" s="4">
        <v>1</v>
      </c>
      <c r="M2461" s="4">
        <v>106</v>
      </c>
      <c r="N2461" s="4">
        <v>81</v>
      </c>
      <c r="O2461" s="4" t="s">
        <v>21</v>
      </c>
      <c r="P2461" s="7" t="s">
        <v>19</v>
      </c>
    </row>
    <row r="2462" spans="2:16" x14ac:dyDescent="0.45">
      <c r="B2462" s="4">
        <v>2461</v>
      </c>
      <c r="C2462" s="4" t="s">
        <v>43</v>
      </c>
      <c r="D2462" s="4" t="s">
        <v>23</v>
      </c>
      <c r="E2462" s="4" t="s">
        <v>35</v>
      </c>
      <c r="F2462" s="4" t="s">
        <v>18</v>
      </c>
      <c r="G2462" s="4" t="s">
        <v>19</v>
      </c>
      <c r="H2462" s="4" t="s">
        <v>25</v>
      </c>
      <c r="I2462" s="4">
        <v>29</v>
      </c>
      <c r="J2462" s="5">
        <v>48.7</v>
      </c>
      <c r="K2462" s="6">
        <v>1.51</v>
      </c>
      <c r="L2462" s="4">
        <v>6</v>
      </c>
      <c r="M2462" s="4">
        <v>127</v>
      </c>
      <c r="N2462" s="4">
        <v>82</v>
      </c>
      <c r="O2462" s="4" t="s">
        <v>26</v>
      </c>
      <c r="P2462" s="7" t="s">
        <v>30</v>
      </c>
    </row>
    <row r="2463" spans="2:16" x14ac:dyDescent="0.45">
      <c r="B2463" s="4">
        <v>2462</v>
      </c>
      <c r="C2463" s="4" t="s">
        <v>22</v>
      </c>
      <c r="D2463" s="4" t="s">
        <v>16</v>
      </c>
      <c r="E2463" s="4" t="s">
        <v>35</v>
      </c>
      <c r="F2463" s="4" t="s">
        <v>24</v>
      </c>
      <c r="G2463" s="4" t="s">
        <v>19</v>
      </c>
      <c r="H2463" s="4" t="s">
        <v>28</v>
      </c>
      <c r="I2463" s="4">
        <v>27</v>
      </c>
      <c r="J2463" s="5">
        <v>78.400000000000006</v>
      </c>
      <c r="K2463" s="6">
        <v>1.65</v>
      </c>
      <c r="L2463" s="4">
        <v>4</v>
      </c>
      <c r="M2463" s="4">
        <v>119</v>
      </c>
      <c r="N2463" s="4">
        <v>83</v>
      </c>
      <c r="O2463" s="4" t="s">
        <v>21</v>
      </c>
      <c r="P2463" s="7" t="s">
        <v>30</v>
      </c>
    </row>
    <row r="2464" spans="2:16" x14ac:dyDescent="0.45">
      <c r="B2464" s="4">
        <v>2463</v>
      </c>
      <c r="C2464" s="4" t="s">
        <v>43</v>
      </c>
      <c r="D2464" s="4" t="s">
        <v>23</v>
      </c>
      <c r="E2464" s="4" t="s">
        <v>17</v>
      </c>
      <c r="F2464" s="4" t="s">
        <v>18</v>
      </c>
      <c r="G2464" s="4" t="s">
        <v>19</v>
      </c>
      <c r="H2464" s="4" t="s">
        <v>28</v>
      </c>
      <c r="I2464" s="4">
        <v>31</v>
      </c>
      <c r="J2464" s="5">
        <v>74.3</v>
      </c>
      <c r="K2464" s="6">
        <v>1.66</v>
      </c>
      <c r="L2464" s="4">
        <v>1</v>
      </c>
      <c r="M2464" s="4">
        <v>106</v>
      </c>
      <c r="N2464" s="4">
        <v>86</v>
      </c>
      <c r="O2464" s="4" t="s">
        <v>26</v>
      </c>
      <c r="P2464" s="7" t="s">
        <v>19</v>
      </c>
    </row>
    <row r="2465" spans="2:16" x14ac:dyDescent="0.45">
      <c r="B2465" s="4">
        <v>2464</v>
      </c>
      <c r="C2465" s="4" t="s">
        <v>15</v>
      </c>
      <c r="D2465" s="4" t="s">
        <v>16</v>
      </c>
      <c r="E2465" s="4" t="s">
        <v>17</v>
      </c>
      <c r="F2465" s="4" t="s">
        <v>24</v>
      </c>
      <c r="G2465" s="4" t="s">
        <v>19</v>
      </c>
      <c r="H2465" s="4" t="s">
        <v>25</v>
      </c>
      <c r="I2465" s="4">
        <v>15</v>
      </c>
      <c r="J2465" s="5">
        <v>63.1</v>
      </c>
      <c r="K2465" s="6">
        <v>1.46</v>
      </c>
      <c r="L2465" s="4">
        <v>0</v>
      </c>
      <c r="M2465" s="4">
        <v>112</v>
      </c>
      <c r="N2465" s="4">
        <v>84</v>
      </c>
      <c r="O2465" s="4" t="s">
        <v>26</v>
      </c>
      <c r="P2465" s="7" t="s">
        <v>19</v>
      </c>
    </row>
    <row r="2466" spans="2:16" x14ac:dyDescent="0.45">
      <c r="B2466" s="4">
        <v>2465</v>
      </c>
      <c r="C2466" s="4" t="s">
        <v>33</v>
      </c>
      <c r="D2466" s="4" t="s">
        <v>16</v>
      </c>
      <c r="E2466" s="4" t="s">
        <v>35</v>
      </c>
      <c r="F2466" s="4" t="s">
        <v>18</v>
      </c>
      <c r="G2466" s="4" t="s">
        <v>30</v>
      </c>
      <c r="H2466" s="4" t="s">
        <v>36</v>
      </c>
      <c r="I2466" s="4">
        <v>34</v>
      </c>
      <c r="J2466" s="5">
        <v>71.2</v>
      </c>
      <c r="K2466" s="6">
        <v>1.7</v>
      </c>
      <c r="L2466" s="4">
        <v>2</v>
      </c>
      <c r="M2466" s="4">
        <v>134</v>
      </c>
      <c r="N2466" s="4">
        <v>99</v>
      </c>
      <c r="O2466" s="4" t="s">
        <v>26</v>
      </c>
      <c r="P2466" s="7" t="s">
        <v>19</v>
      </c>
    </row>
    <row r="2467" spans="2:16" x14ac:dyDescent="0.45">
      <c r="B2467" s="4">
        <v>2466</v>
      </c>
      <c r="C2467" s="4" t="s">
        <v>43</v>
      </c>
      <c r="D2467" s="4" t="s">
        <v>16</v>
      </c>
      <c r="E2467" s="4" t="s">
        <v>35</v>
      </c>
      <c r="F2467" s="4" t="s">
        <v>24</v>
      </c>
      <c r="G2467" s="4" t="s">
        <v>19</v>
      </c>
      <c r="H2467" s="4" t="s">
        <v>25</v>
      </c>
      <c r="I2467" s="4">
        <v>24</v>
      </c>
      <c r="J2467" s="5">
        <v>45.3</v>
      </c>
      <c r="K2467" s="6">
        <v>1.85</v>
      </c>
      <c r="L2467" s="4">
        <v>4</v>
      </c>
      <c r="M2467" s="4">
        <v>103</v>
      </c>
      <c r="N2467" s="4">
        <v>102</v>
      </c>
      <c r="O2467" s="4" t="s">
        <v>26</v>
      </c>
      <c r="P2467" s="7" t="s">
        <v>19</v>
      </c>
    </row>
    <row r="2468" spans="2:16" x14ac:dyDescent="0.45">
      <c r="B2468" s="4">
        <v>2467</v>
      </c>
      <c r="C2468" s="4" t="s">
        <v>45</v>
      </c>
      <c r="D2468" s="4" t="s">
        <v>16</v>
      </c>
      <c r="E2468" s="4" t="s">
        <v>17</v>
      </c>
      <c r="F2468" s="4" t="s">
        <v>28</v>
      </c>
      <c r="G2468" s="4" t="s">
        <v>19</v>
      </c>
      <c r="H2468" s="4" t="s">
        <v>36</v>
      </c>
      <c r="I2468" s="4">
        <v>43</v>
      </c>
      <c r="J2468" s="5">
        <v>94.8</v>
      </c>
      <c r="K2468" s="6">
        <v>1.6</v>
      </c>
      <c r="L2468" s="4">
        <v>2</v>
      </c>
      <c r="M2468" s="4">
        <v>142</v>
      </c>
      <c r="N2468" s="4">
        <v>101</v>
      </c>
      <c r="O2468" s="4" t="s">
        <v>21</v>
      </c>
      <c r="P2468" s="7" t="s">
        <v>19</v>
      </c>
    </row>
    <row r="2469" spans="2:16" x14ac:dyDescent="0.45">
      <c r="B2469" s="4">
        <v>2468</v>
      </c>
      <c r="C2469" s="4" t="s">
        <v>45</v>
      </c>
      <c r="D2469" s="4" t="s">
        <v>23</v>
      </c>
      <c r="E2469" s="4" t="s">
        <v>35</v>
      </c>
      <c r="F2469" s="4" t="s">
        <v>18</v>
      </c>
      <c r="G2469" s="4" t="s">
        <v>19</v>
      </c>
      <c r="H2469" s="4" t="s">
        <v>32</v>
      </c>
      <c r="I2469" s="4">
        <v>28</v>
      </c>
      <c r="J2469" s="5">
        <v>58.1</v>
      </c>
      <c r="K2469" s="6">
        <v>1.49</v>
      </c>
      <c r="L2469" s="4">
        <v>6</v>
      </c>
      <c r="M2469" s="4">
        <v>113</v>
      </c>
      <c r="N2469" s="4">
        <v>172</v>
      </c>
      <c r="O2469" s="4" t="s">
        <v>26</v>
      </c>
      <c r="P2469" s="7" t="s">
        <v>30</v>
      </c>
    </row>
    <row r="2470" spans="2:16" x14ac:dyDescent="0.45">
      <c r="B2470" s="4">
        <v>2469</v>
      </c>
      <c r="C2470" s="4" t="s">
        <v>41</v>
      </c>
      <c r="D2470" s="4" t="s">
        <v>16</v>
      </c>
      <c r="E2470" s="4" t="s">
        <v>17</v>
      </c>
      <c r="F2470" s="4" t="s">
        <v>24</v>
      </c>
      <c r="G2470" s="4" t="s">
        <v>19</v>
      </c>
      <c r="H2470" s="4" t="s">
        <v>34</v>
      </c>
      <c r="I2470" s="4">
        <v>1</v>
      </c>
      <c r="J2470" s="5">
        <v>12.6</v>
      </c>
      <c r="K2470" s="6">
        <v>0.92</v>
      </c>
      <c r="L2470" s="4">
        <v>6</v>
      </c>
      <c r="M2470" s="4">
        <v>110</v>
      </c>
      <c r="N2470" s="4">
        <v>87</v>
      </c>
      <c r="O2470" s="4" t="s">
        <v>21</v>
      </c>
      <c r="P2470" s="7" t="s">
        <v>19</v>
      </c>
    </row>
    <row r="2471" spans="2:16" x14ac:dyDescent="0.45">
      <c r="B2471" s="4">
        <v>2470</v>
      </c>
      <c r="C2471" s="4" t="s">
        <v>40</v>
      </c>
      <c r="D2471" s="4" t="s">
        <v>23</v>
      </c>
      <c r="E2471" s="4" t="s">
        <v>17</v>
      </c>
      <c r="F2471" s="4" t="s">
        <v>18</v>
      </c>
      <c r="G2471" s="4" t="s">
        <v>30</v>
      </c>
      <c r="H2471" s="4" t="s">
        <v>46</v>
      </c>
      <c r="I2471" s="4">
        <v>22</v>
      </c>
      <c r="J2471" s="5">
        <v>74.7</v>
      </c>
      <c r="K2471" s="6">
        <v>1.63</v>
      </c>
      <c r="L2471" s="4">
        <v>5</v>
      </c>
      <c r="M2471" s="4">
        <v>112</v>
      </c>
      <c r="N2471" s="4">
        <v>103</v>
      </c>
      <c r="O2471" s="4" t="s">
        <v>26</v>
      </c>
      <c r="P2471" s="7" t="s">
        <v>19</v>
      </c>
    </row>
    <row r="2472" spans="2:16" x14ac:dyDescent="0.45">
      <c r="B2472" s="4">
        <v>2471</v>
      </c>
      <c r="C2472" s="4" t="s">
        <v>41</v>
      </c>
      <c r="D2472" s="4" t="s">
        <v>23</v>
      </c>
      <c r="E2472" s="4" t="s">
        <v>17</v>
      </c>
      <c r="F2472" s="4" t="s">
        <v>42</v>
      </c>
      <c r="G2472" s="4" t="s">
        <v>19</v>
      </c>
      <c r="H2472" s="4" t="s">
        <v>36</v>
      </c>
      <c r="I2472" s="4">
        <v>5</v>
      </c>
      <c r="J2472" s="5">
        <v>30.4</v>
      </c>
      <c r="K2472" s="6">
        <v>1.41</v>
      </c>
      <c r="L2472" s="4">
        <v>9</v>
      </c>
      <c r="M2472" s="4">
        <v>122</v>
      </c>
      <c r="N2472" s="4">
        <v>90</v>
      </c>
      <c r="O2472" s="4" t="s">
        <v>26</v>
      </c>
      <c r="P2472" s="7" t="s">
        <v>19</v>
      </c>
    </row>
    <row r="2473" spans="2:16" x14ac:dyDescent="0.45">
      <c r="B2473" s="4">
        <v>2472</v>
      </c>
      <c r="C2473" s="4" t="s">
        <v>41</v>
      </c>
      <c r="D2473" s="4" t="s">
        <v>23</v>
      </c>
      <c r="E2473" s="4" t="s">
        <v>35</v>
      </c>
      <c r="F2473" s="4" t="s">
        <v>24</v>
      </c>
      <c r="G2473" s="4" t="s">
        <v>19</v>
      </c>
      <c r="H2473" s="4" t="s">
        <v>28</v>
      </c>
      <c r="I2473" s="4">
        <v>8</v>
      </c>
      <c r="J2473" s="5">
        <v>33.799999999999997</v>
      </c>
      <c r="K2473" s="6">
        <v>1.21</v>
      </c>
      <c r="L2473" s="4">
        <v>2</v>
      </c>
      <c r="M2473" s="4">
        <v>117</v>
      </c>
      <c r="N2473" s="4">
        <v>99</v>
      </c>
      <c r="O2473" s="4" t="s">
        <v>26</v>
      </c>
      <c r="P2473" s="7" t="s">
        <v>19</v>
      </c>
    </row>
    <row r="2474" spans="2:16" x14ac:dyDescent="0.45">
      <c r="B2474" s="4">
        <v>2473</v>
      </c>
      <c r="C2474" s="4" t="s">
        <v>40</v>
      </c>
      <c r="D2474" s="4" t="s">
        <v>16</v>
      </c>
      <c r="E2474" s="4" t="s">
        <v>35</v>
      </c>
      <c r="F2474" s="4" t="s">
        <v>24</v>
      </c>
      <c r="G2474" s="4" t="s">
        <v>19</v>
      </c>
      <c r="H2474" s="4" t="s">
        <v>25</v>
      </c>
      <c r="I2474" s="4">
        <v>7</v>
      </c>
      <c r="J2474" s="5">
        <v>18.8</v>
      </c>
      <c r="K2474" s="6">
        <v>1.42</v>
      </c>
      <c r="L2474" s="4">
        <v>2</v>
      </c>
      <c r="M2474" s="4">
        <v>99</v>
      </c>
      <c r="N2474" s="4">
        <v>97</v>
      </c>
      <c r="O2474" s="4" t="s">
        <v>21</v>
      </c>
      <c r="P2474" s="7" t="s">
        <v>19</v>
      </c>
    </row>
    <row r="2475" spans="2:16" x14ac:dyDescent="0.45">
      <c r="B2475" s="4">
        <v>2474</v>
      </c>
      <c r="C2475" s="4" t="s">
        <v>43</v>
      </c>
      <c r="D2475" s="4" t="s">
        <v>16</v>
      </c>
      <c r="E2475" s="4" t="s">
        <v>37</v>
      </c>
      <c r="F2475" s="4" t="s">
        <v>24</v>
      </c>
      <c r="G2475" s="4" t="s">
        <v>30</v>
      </c>
      <c r="H2475" s="4" t="s">
        <v>25</v>
      </c>
      <c r="I2475" s="4">
        <v>59</v>
      </c>
      <c r="J2475" s="5">
        <v>59.5</v>
      </c>
      <c r="K2475" s="6">
        <v>1.78</v>
      </c>
      <c r="L2475" s="4">
        <v>0</v>
      </c>
      <c r="M2475" s="4">
        <v>119</v>
      </c>
      <c r="N2475" s="4">
        <v>71</v>
      </c>
      <c r="O2475" s="4" t="s">
        <v>26</v>
      </c>
      <c r="P2475" s="7" t="s">
        <v>19</v>
      </c>
    </row>
    <row r="2476" spans="2:16" x14ac:dyDescent="0.45">
      <c r="B2476" s="4">
        <v>2475</v>
      </c>
      <c r="C2476" s="4" t="s">
        <v>27</v>
      </c>
      <c r="D2476" s="4" t="s">
        <v>23</v>
      </c>
      <c r="E2476" s="4" t="s">
        <v>17</v>
      </c>
      <c r="F2476" s="4" t="s">
        <v>28</v>
      </c>
      <c r="G2476" s="4" t="s">
        <v>30</v>
      </c>
      <c r="H2476" s="4" t="s">
        <v>28</v>
      </c>
      <c r="I2476" s="4">
        <v>51</v>
      </c>
      <c r="J2476" s="5">
        <v>81.099999999999994</v>
      </c>
      <c r="K2476" s="6">
        <v>1.73</v>
      </c>
      <c r="L2476" s="4">
        <v>3</v>
      </c>
      <c r="M2476" s="4">
        <v>113</v>
      </c>
      <c r="N2476" s="4">
        <v>103</v>
      </c>
      <c r="O2476" s="4" t="s">
        <v>21</v>
      </c>
      <c r="P2476" s="7" t="s">
        <v>19</v>
      </c>
    </row>
    <row r="2477" spans="2:16" x14ac:dyDescent="0.45">
      <c r="B2477" s="4">
        <v>2476</v>
      </c>
      <c r="C2477" s="4" t="s">
        <v>27</v>
      </c>
      <c r="D2477" s="4" t="s">
        <v>16</v>
      </c>
      <c r="E2477" s="4" t="s">
        <v>35</v>
      </c>
      <c r="F2477" s="4" t="s">
        <v>18</v>
      </c>
      <c r="G2477" s="4" t="s">
        <v>19</v>
      </c>
      <c r="H2477" s="4" t="s">
        <v>28</v>
      </c>
      <c r="I2477" s="4">
        <v>37</v>
      </c>
      <c r="J2477" s="5">
        <v>89.8</v>
      </c>
      <c r="K2477" s="6">
        <v>1.86</v>
      </c>
      <c r="L2477" s="4">
        <v>10</v>
      </c>
      <c r="M2477" s="4">
        <v>119</v>
      </c>
      <c r="N2477" s="4">
        <v>71</v>
      </c>
      <c r="O2477" s="4" t="s">
        <v>26</v>
      </c>
      <c r="P2477" s="7" t="s">
        <v>19</v>
      </c>
    </row>
    <row r="2478" spans="2:16" x14ac:dyDescent="0.45">
      <c r="B2478" s="4">
        <v>2477</v>
      </c>
      <c r="C2478" s="4" t="s">
        <v>31</v>
      </c>
      <c r="D2478" s="4" t="s">
        <v>23</v>
      </c>
      <c r="E2478" s="4" t="s">
        <v>17</v>
      </c>
      <c r="F2478" s="4" t="s">
        <v>28</v>
      </c>
      <c r="G2478" s="4" t="s">
        <v>19</v>
      </c>
      <c r="H2478" s="4" t="s">
        <v>38</v>
      </c>
      <c r="I2478" s="4">
        <v>12</v>
      </c>
      <c r="J2478" s="5">
        <v>51.4</v>
      </c>
      <c r="K2478" s="6">
        <v>1.65</v>
      </c>
      <c r="L2478" s="4">
        <v>2</v>
      </c>
      <c r="M2478" s="4">
        <v>105</v>
      </c>
      <c r="N2478" s="4">
        <v>82</v>
      </c>
      <c r="O2478" s="4" t="s">
        <v>21</v>
      </c>
      <c r="P2478" s="7" t="s">
        <v>30</v>
      </c>
    </row>
    <row r="2479" spans="2:16" x14ac:dyDescent="0.45">
      <c r="B2479" s="4">
        <v>2478</v>
      </c>
      <c r="C2479" s="4" t="s">
        <v>29</v>
      </c>
      <c r="D2479" s="4" t="s">
        <v>23</v>
      </c>
      <c r="E2479" s="4" t="s">
        <v>35</v>
      </c>
      <c r="F2479" s="4" t="s">
        <v>24</v>
      </c>
      <c r="G2479" s="4" t="s">
        <v>19</v>
      </c>
      <c r="H2479" s="4" t="s">
        <v>20</v>
      </c>
      <c r="I2479" s="4">
        <v>6</v>
      </c>
      <c r="J2479" s="5">
        <v>22.6</v>
      </c>
      <c r="K2479" s="6">
        <v>1.37</v>
      </c>
      <c r="L2479" s="4">
        <v>3</v>
      </c>
      <c r="M2479" s="4">
        <v>105</v>
      </c>
      <c r="N2479" s="4">
        <v>74</v>
      </c>
      <c r="O2479" s="4" t="s">
        <v>26</v>
      </c>
      <c r="P2479" s="7" t="s">
        <v>30</v>
      </c>
    </row>
    <row r="2480" spans="2:16" x14ac:dyDescent="0.45">
      <c r="B2480" s="4">
        <v>2479</v>
      </c>
      <c r="C2480" s="4" t="s">
        <v>31</v>
      </c>
      <c r="D2480" s="4" t="s">
        <v>23</v>
      </c>
      <c r="E2480" s="4" t="s">
        <v>35</v>
      </c>
      <c r="F2480" s="4" t="s">
        <v>24</v>
      </c>
      <c r="G2480" s="4" t="s">
        <v>30</v>
      </c>
      <c r="H2480" s="4" t="s">
        <v>25</v>
      </c>
      <c r="I2480" s="4">
        <v>28</v>
      </c>
      <c r="J2480" s="5">
        <v>61.7</v>
      </c>
      <c r="K2480" s="6">
        <v>1.64</v>
      </c>
      <c r="L2480" s="4">
        <v>4</v>
      </c>
      <c r="M2480" s="4">
        <v>116</v>
      </c>
      <c r="N2480" s="4">
        <v>72</v>
      </c>
      <c r="O2480" s="4" t="s">
        <v>21</v>
      </c>
      <c r="P2480" s="7" t="s">
        <v>19</v>
      </c>
    </row>
    <row r="2481" spans="2:16" x14ac:dyDescent="0.45">
      <c r="B2481" s="4">
        <v>2480</v>
      </c>
      <c r="C2481" s="4" t="s">
        <v>45</v>
      </c>
      <c r="D2481" s="4" t="s">
        <v>16</v>
      </c>
      <c r="E2481" s="4" t="s">
        <v>37</v>
      </c>
      <c r="F2481" s="4" t="s">
        <v>24</v>
      </c>
      <c r="G2481" s="4" t="s">
        <v>19</v>
      </c>
      <c r="H2481" s="4" t="s">
        <v>20</v>
      </c>
      <c r="I2481" s="4">
        <v>35</v>
      </c>
      <c r="J2481" s="5">
        <v>88.7</v>
      </c>
      <c r="K2481" s="6">
        <v>1.86</v>
      </c>
      <c r="L2481" s="4">
        <v>2</v>
      </c>
      <c r="M2481" s="4">
        <v>124</v>
      </c>
      <c r="N2481" s="4">
        <v>87</v>
      </c>
      <c r="O2481" s="4" t="s">
        <v>26</v>
      </c>
      <c r="P2481" s="7" t="s">
        <v>19</v>
      </c>
    </row>
    <row r="2482" spans="2:16" x14ac:dyDescent="0.45">
      <c r="B2482" s="4">
        <v>2481</v>
      </c>
      <c r="C2482" s="4" t="s">
        <v>31</v>
      </c>
      <c r="D2482" s="4" t="s">
        <v>16</v>
      </c>
      <c r="E2482" s="4" t="s">
        <v>37</v>
      </c>
      <c r="F2482" s="4" t="s">
        <v>24</v>
      </c>
      <c r="G2482" s="4" t="s">
        <v>19</v>
      </c>
      <c r="H2482" s="4" t="s">
        <v>32</v>
      </c>
      <c r="I2482" s="4">
        <v>27</v>
      </c>
      <c r="J2482" s="5">
        <v>46.9</v>
      </c>
      <c r="K2482" s="6">
        <v>1.8</v>
      </c>
      <c r="L2482" s="4">
        <v>3</v>
      </c>
      <c r="M2482" s="4">
        <v>103</v>
      </c>
      <c r="N2482" s="4">
        <v>163</v>
      </c>
      <c r="O2482" s="4" t="s">
        <v>26</v>
      </c>
      <c r="P2482" s="7" t="s">
        <v>19</v>
      </c>
    </row>
    <row r="2483" spans="2:16" x14ac:dyDescent="0.45">
      <c r="B2483" s="4">
        <v>2482</v>
      </c>
      <c r="C2483" s="4" t="s">
        <v>31</v>
      </c>
      <c r="D2483" s="4" t="s">
        <v>23</v>
      </c>
      <c r="E2483" s="4" t="s">
        <v>35</v>
      </c>
      <c r="F2483" s="4" t="s">
        <v>24</v>
      </c>
      <c r="G2483" s="4" t="s">
        <v>19</v>
      </c>
      <c r="H2483" s="4" t="s">
        <v>20</v>
      </c>
      <c r="I2483" s="4">
        <v>21</v>
      </c>
      <c r="J2483" s="5">
        <v>64.900000000000006</v>
      </c>
      <c r="K2483" s="6">
        <v>1.69</v>
      </c>
      <c r="L2483" s="4">
        <v>4</v>
      </c>
      <c r="M2483" s="4">
        <v>111</v>
      </c>
      <c r="N2483" s="4">
        <v>80</v>
      </c>
      <c r="O2483" s="4" t="s">
        <v>21</v>
      </c>
      <c r="P2483" s="7" t="s">
        <v>19</v>
      </c>
    </row>
    <row r="2484" spans="2:16" x14ac:dyDescent="0.45">
      <c r="B2484" s="4">
        <v>2483</v>
      </c>
      <c r="C2484" s="4" t="s">
        <v>40</v>
      </c>
      <c r="D2484" s="4" t="s">
        <v>16</v>
      </c>
      <c r="E2484" s="4" t="s">
        <v>37</v>
      </c>
      <c r="F2484" s="4" t="s">
        <v>28</v>
      </c>
      <c r="G2484" s="4" t="s">
        <v>19</v>
      </c>
      <c r="H2484" s="4" t="s">
        <v>20</v>
      </c>
      <c r="I2484" s="4">
        <v>21</v>
      </c>
      <c r="J2484" s="5">
        <v>73.8</v>
      </c>
      <c r="K2484" s="6">
        <v>1.79</v>
      </c>
      <c r="L2484" s="4">
        <v>5</v>
      </c>
      <c r="M2484" s="4">
        <v>112</v>
      </c>
      <c r="N2484" s="4">
        <v>104</v>
      </c>
      <c r="O2484" s="4" t="s">
        <v>26</v>
      </c>
      <c r="P2484" s="7" t="s">
        <v>19</v>
      </c>
    </row>
    <row r="2485" spans="2:16" x14ac:dyDescent="0.45">
      <c r="B2485" s="4">
        <v>2484</v>
      </c>
      <c r="C2485" s="4" t="s">
        <v>22</v>
      </c>
      <c r="D2485" s="4" t="s">
        <v>16</v>
      </c>
      <c r="E2485" s="4" t="s">
        <v>17</v>
      </c>
      <c r="F2485" s="4" t="s">
        <v>18</v>
      </c>
      <c r="G2485" s="4" t="s">
        <v>19</v>
      </c>
      <c r="H2485" s="4" t="s">
        <v>20</v>
      </c>
      <c r="I2485" s="4">
        <v>35</v>
      </c>
      <c r="J2485" s="5">
        <v>78.900000000000006</v>
      </c>
      <c r="K2485" s="6">
        <v>1.58</v>
      </c>
      <c r="L2485" s="4">
        <v>2</v>
      </c>
      <c r="M2485" s="4">
        <v>109</v>
      </c>
      <c r="N2485" s="4">
        <v>104</v>
      </c>
      <c r="O2485" s="4" t="s">
        <v>21</v>
      </c>
      <c r="P2485" s="7" t="s">
        <v>19</v>
      </c>
    </row>
    <row r="2486" spans="2:16" x14ac:dyDescent="0.45">
      <c r="B2486" s="4">
        <v>2485</v>
      </c>
      <c r="C2486" s="4" t="s">
        <v>29</v>
      </c>
      <c r="D2486" s="4" t="s">
        <v>16</v>
      </c>
      <c r="E2486" s="4" t="s">
        <v>35</v>
      </c>
      <c r="F2486" s="4" t="s">
        <v>18</v>
      </c>
      <c r="G2486" s="4" t="s">
        <v>19</v>
      </c>
      <c r="H2486" s="4" t="s">
        <v>20</v>
      </c>
      <c r="I2486" s="4">
        <v>24</v>
      </c>
      <c r="J2486" s="5">
        <v>91.4</v>
      </c>
      <c r="K2486" s="6">
        <v>1.67</v>
      </c>
      <c r="L2486" s="4">
        <v>8</v>
      </c>
      <c r="M2486" s="4">
        <v>98</v>
      </c>
      <c r="N2486" s="4">
        <v>99</v>
      </c>
      <c r="O2486" s="4" t="s">
        <v>26</v>
      </c>
      <c r="P2486" s="7" t="s">
        <v>19</v>
      </c>
    </row>
    <row r="2487" spans="2:16" x14ac:dyDescent="0.45">
      <c r="B2487" s="4">
        <v>2486</v>
      </c>
      <c r="C2487" s="4" t="s">
        <v>45</v>
      </c>
      <c r="D2487" s="4" t="s">
        <v>16</v>
      </c>
      <c r="E2487" s="4" t="s">
        <v>44</v>
      </c>
      <c r="F2487" s="4" t="s">
        <v>24</v>
      </c>
      <c r="G2487" s="4" t="s">
        <v>30</v>
      </c>
      <c r="H2487" s="4" t="s">
        <v>20</v>
      </c>
      <c r="I2487" s="4">
        <v>55</v>
      </c>
      <c r="J2487" s="5">
        <v>59.8</v>
      </c>
      <c r="K2487" s="6">
        <v>1.89</v>
      </c>
      <c r="L2487" s="4">
        <v>3</v>
      </c>
      <c r="M2487" s="4">
        <v>125</v>
      </c>
      <c r="N2487" s="4">
        <v>91</v>
      </c>
      <c r="O2487" s="4" t="s">
        <v>21</v>
      </c>
      <c r="P2487" s="7" t="s">
        <v>19</v>
      </c>
    </row>
    <row r="2488" spans="2:16" x14ac:dyDescent="0.45">
      <c r="B2488" s="4">
        <v>2487</v>
      </c>
      <c r="C2488" s="4" t="s">
        <v>41</v>
      </c>
      <c r="D2488" s="4" t="s">
        <v>23</v>
      </c>
      <c r="E2488" s="4" t="s">
        <v>35</v>
      </c>
      <c r="F2488" s="4" t="s">
        <v>18</v>
      </c>
      <c r="G2488" s="4" t="s">
        <v>19</v>
      </c>
      <c r="H2488" s="4" t="s">
        <v>32</v>
      </c>
      <c r="I2488" s="4">
        <v>60</v>
      </c>
      <c r="J2488" s="5">
        <v>52.6</v>
      </c>
      <c r="K2488" s="6">
        <v>1.71</v>
      </c>
      <c r="L2488" s="4">
        <v>3</v>
      </c>
      <c r="M2488" s="4">
        <v>121</v>
      </c>
      <c r="N2488" s="4">
        <v>184</v>
      </c>
      <c r="O2488" s="4" t="s">
        <v>26</v>
      </c>
      <c r="P2488" s="7" t="s">
        <v>30</v>
      </c>
    </row>
    <row r="2489" spans="2:16" x14ac:dyDescent="0.45">
      <c r="B2489" s="4">
        <v>2488</v>
      </c>
      <c r="C2489" s="4" t="s">
        <v>33</v>
      </c>
      <c r="D2489" s="4" t="s">
        <v>16</v>
      </c>
      <c r="E2489" s="4" t="s">
        <v>44</v>
      </c>
      <c r="F2489" s="4" t="s">
        <v>18</v>
      </c>
      <c r="G2489" s="4" t="s">
        <v>30</v>
      </c>
      <c r="H2489" s="4" t="s">
        <v>38</v>
      </c>
      <c r="I2489" s="4">
        <v>32</v>
      </c>
      <c r="J2489" s="5">
        <v>76</v>
      </c>
      <c r="K2489" s="6">
        <v>1.86</v>
      </c>
      <c r="L2489" s="4">
        <v>1</v>
      </c>
      <c r="M2489" s="4">
        <v>116</v>
      </c>
      <c r="N2489" s="4">
        <v>80</v>
      </c>
      <c r="O2489" s="4" t="s">
        <v>21</v>
      </c>
      <c r="P2489" s="7" t="s">
        <v>19</v>
      </c>
    </row>
    <row r="2490" spans="2:16" x14ac:dyDescent="0.45">
      <c r="B2490" s="4">
        <v>2489</v>
      </c>
      <c r="C2490" s="4" t="s">
        <v>27</v>
      </c>
      <c r="D2490" s="4" t="s">
        <v>23</v>
      </c>
      <c r="E2490" s="4" t="s">
        <v>44</v>
      </c>
      <c r="F2490" s="4" t="s">
        <v>18</v>
      </c>
      <c r="G2490" s="4" t="s">
        <v>30</v>
      </c>
      <c r="H2490" s="4" t="s">
        <v>20</v>
      </c>
      <c r="I2490" s="4">
        <v>48</v>
      </c>
      <c r="J2490" s="5">
        <v>45.2</v>
      </c>
      <c r="K2490" s="6">
        <v>1.59</v>
      </c>
      <c r="L2490" s="4">
        <v>0</v>
      </c>
      <c r="M2490" s="4">
        <v>120</v>
      </c>
      <c r="N2490" s="4">
        <v>96</v>
      </c>
      <c r="O2490" s="4" t="s">
        <v>21</v>
      </c>
      <c r="P2490" s="7" t="s">
        <v>19</v>
      </c>
    </row>
    <row r="2491" spans="2:16" x14ac:dyDescent="0.45">
      <c r="B2491" s="4">
        <v>2490</v>
      </c>
      <c r="C2491" s="4" t="s">
        <v>27</v>
      </c>
      <c r="D2491" s="4" t="s">
        <v>23</v>
      </c>
      <c r="E2491" s="4" t="s">
        <v>17</v>
      </c>
      <c r="F2491" s="4" t="s">
        <v>24</v>
      </c>
      <c r="G2491" s="4" t="s">
        <v>30</v>
      </c>
      <c r="H2491" s="4" t="s">
        <v>20</v>
      </c>
      <c r="I2491" s="4">
        <v>42</v>
      </c>
      <c r="J2491" s="5">
        <v>88.5</v>
      </c>
      <c r="K2491" s="6">
        <v>1.49</v>
      </c>
      <c r="L2491" s="4">
        <v>2</v>
      </c>
      <c r="M2491" s="4">
        <v>113</v>
      </c>
      <c r="N2491" s="4">
        <v>81</v>
      </c>
      <c r="O2491" s="4" t="s">
        <v>21</v>
      </c>
      <c r="P2491" s="7" t="s">
        <v>30</v>
      </c>
    </row>
    <row r="2492" spans="2:16" x14ac:dyDescent="0.45">
      <c r="B2492" s="4">
        <v>2491</v>
      </c>
      <c r="C2492" s="4" t="s">
        <v>41</v>
      </c>
      <c r="D2492" s="4" t="s">
        <v>16</v>
      </c>
      <c r="E2492" s="4" t="s">
        <v>17</v>
      </c>
      <c r="F2492" s="4" t="s">
        <v>18</v>
      </c>
      <c r="G2492" s="4" t="s">
        <v>19</v>
      </c>
      <c r="H2492" s="4" t="s">
        <v>38</v>
      </c>
      <c r="I2492" s="4">
        <v>41</v>
      </c>
      <c r="J2492" s="5">
        <v>75</v>
      </c>
      <c r="K2492" s="6">
        <v>1.57</v>
      </c>
      <c r="L2492" s="4">
        <v>6</v>
      </c>
      <c r="M2492" s="4">
        <v>110</v>
      </c>
      <c r="N2492" s="4">
        <v>98</v>
      </c>
      <c r="O2492" s="4" t="s">
        <v>21</v>
      </c>
      <c r="P2492" s="7" t="s">
        <v>19</v>
      </c>
    </row>
    <row r="2493" spans="2:16" x14ac:dyDescent="0.45">
      <c r="B2493" s="4">
        <v>2492</v>
      </c>
      <c r="C2493" s="4" t="s">
        <v>45</v>
      </c>
      <c r="D2493" s="4" t="s">
        <v>23</v>
      </c>
      <c r="E2493" s="4" t="s">
        <v>44</v>
      </c>
      <c r="F2493" s="4" t="s">
        <v>28</v>
      </c>
      <c r="G2493" s="4" t="s">
        <v>30</v>
      </c>
      <c r="H2493" s="4" t="s">
        <v>34</v>
      </c>
      <c r="I2493" s="4">
        <v>4</v>
      </c>
      <c r="J2493" s="5">
        <v>18</v>
      </c>
      <c r="K2493" s="6">
        <v>0.68</v>
      </c>
      <c r="L2493" s="4">
        <v>7</v>
      </c>
      <c r="M2493" s="4">
        <v>107</v>
      </c>
      <c r="N2493" s="4">
        <v>100</v>
      </c>
      <c r="O2493" s="4" t="s">
        <v>26</v>
      </c>
      <c r="P2493" s="7" t="s">
        <v>19</v>
      </c>
    </row>
    <row r="2494" spans="2:16" x14ac:dyDescent="0.45">
      <c r="B2494" s="4">
        <v>2493</v>
      </c>
      <c r="C2494" s="4" t="s">
        <v>22</v>
      </c>
      <c r="D2494" s="4" t="s">
        <v>23</v>
      </c>
      <c r="E2494" s="4" t="s">
        <v>35</v>
      </c>
      <c r="F2494" s="4" t="s">
        <v>24</v>
      </c>
      <c r="G2494" s="4" t="s">
        <v>19</v>
      </c>
      <c r="H2494" s="4" t="s">
        <v>36</v>
      </c>
      <c r="I2494" s="4">
        <v>32</v>
      </c>
      <c r="J2494" s="5">
        <v>46.5</v>
      </c>
      <c r="K2494" s="6">
        <v>1.84</v>
      </c>
      <c r="L2494" s="4">
        <v>10</v>
      </c>
      <c r="M2494" s="4">
        <v>135</v>
      </c>
      <c r="N2494" s="4">
        <v>71</v>
      </c>
      <c r="O2494" s="4" t="s">
        <v>21</v>
      </c>
      <c r="P2494" s="7" t="s">
        <v>30</v>
      </c>
    </row>
    <row r="2495" spans="2:16" x14ac:dyDescent="0.45">
      <c r="B2495" s="4">
        <v>2494</v>
      </c>
      <c r="C2495" s="4" t="s">
        <v>29</v>
      </c>
      <c r="D2495" s="4" t="s">
        <v>23</v>
      </c>
      <c r="E2495" s="4" t="s">
        <v>35</v>
      </c>
      <c r="F2495" s="4" t="s">
        <v>24</v>
      </c>
      <c r="G2495" s="4" t="s">
        <v>19</v>
      </c>
      <c r="H2495" s="4" t="s">
        <v>34</v>
      </c>
      <c r="I2495" s="4">
        <v>21</v>
      </c>
      <c r="J2495" s="5">
        <v>65.3</v>
      </c>
      <c r="K2495" s="6">
        <v>1.65</v>
      </c>
      <c r="L2495" s="4">
        <v>3</v>
      </c>
      <c r="M2495" s="4">
        <v>99</v>
      </c>
      <c r="N2495" s="4">
        <v>101</v>
      </c>
      <c r="O2495" s="4" t="s">
        <v>21</v>
      </c>
      <c r="P2495" s="7" t="s">
        <v>19</v>
      </c>
    </row>
    <row r="2496" spans="2:16" x14ac:dyDescent="0.45">
      <c r="B2496" s="4">
        <v>2495</v>
      </c>
      <c r="C2496" s="4" t="s">
        <v>15</v>
      </c>
      <c r="D2496" s="4" t="s">
        <v>16</v>
      </c>
      <c r="E2496" s="4" t="s">
        <v>17</v>
      </c>
      <c r="F2496" s="4" t="s">
        <v>28</v>
      </c>
      <c r="G2496" s="4" t="s">
        <v>19</v>
      </c>
      <c r="H2496" s="4" t="s">
        <v>20</v>
      </c>
      <c r="I2496" s="4">
        <v>50</v>
      </c>
      <c r="J2496" s="5">
        <v>81.400000000000006</v>
      </c>
      <c r="K2496" s="6">
        <v>1.5</v>
      </c>
      <c r="L2496" s="4">
        <v>3</v>
      </c>
      <c r="M2496" s="4">
        <v>108</v>
      </c>
      <c r="N2496" s="4">
        <v>84</v>
      </c>
      <c r="O2496" s="4" t="s">
        <v>21</v>
      </c>
      <c r="P2496" s="7" t="s">
        <v>19</v>
      </c>
    </row>
    <row r="2497" spans="2:16" x14ac:dyDescent="0.45">
      <c r="B2497" s="4">
        <v>2496</v>
      </c>
      <c r="C2497" s="4" t="s">
        <v>27</v>
      </c>
      <c r="D2497" s="4" t="s">
        <v>16</v>
      </c>
      <c r="E2497" s="4" t="s">
        <v>35</v>
      </c>
      <c r="F2497" s="4" t="s">
        <v>28</v>
      </c>
      <c r="G2497" s="4" t="s">
        <v>19</v>
      </c>
      <c r="H2497" s="4" t="s">
        <v>28</v>
      </c>
      <c r="I2497" s="4">
        <v>18</v>
      </c>
      <c r="J2497" s="5">
        <v>45.7</v>
      </c>
      <c r="K2497" s="6">
        <v>1.82</v>
      </c>
      <c r="L2497" s="4">
        <v>2</v>
      </c>
      <c r="M2497" s="4">
        <v>103</v>
      </c>
      <c r="N2497" s="4">
        <v>103</v>
      </c>
      <c r="O2497" s="4" t="s">
        <v>26</v>
      </c>
      <c r="P2497" s="7" t="s">
        <v>19</v>
      </c>
    </row>
    <row r="2498" spans="2:16" x14ac:dyDescent="0.45">
      <c r="B2498" s="4">
        <v>2497</v>
      </c>
      <c r="C2498" s="4" t="s">
        <v>39</v>
      </c>
      <c r="D2498" s="4" t="s">
        <v>16</v>
      </c>
      <c r="E2498" s="4" t="s">
        <v>35</v>
      </c>
      <c r="F2498" s="4" t="s">
        <v>28</v>
      </c>
      <c r="G2498" s="4" t="s">
        <v>19</v>
      </c>
      <c r="H2498" s="4" t="s">
        <v>32</v>
      </c>
      <c r="I2498" s="4">
        <v>15</v>
      </c>
      <c r="J2498" s="5">
        <v>42.1</v>
      </c>
      <c r="K2498" s="6">
        <v>1.46</v>
      </c>
      <c r="L2498" s="4">
        <v>5</v>
      </c>
      <c r="M2498" s="4">
        <v>100</v>
      </c>
      <c r="N2498" s="4">
        <v>163</v>
      </c>
      <c r="O2498" s="4" t="s">
        <v>26</v>
      </c>
      <c r="P2498" s="7" t="s">
        <v>19</v>
      </c>
    </row>
    <row r="2499" spans="2:16" x14ac:dyDescent="0.45">
      <c r="B2499" s="4">
        <v>2498</v>
      </c>
      <c r="C2499" s="4" t="s">
        <v>41</v>
      </c>
      <c r="D2499" s="4" t="s">
        <v>23</v>
      </c>
      <c r="E2499" s="4" t="s">
        <v>17</v>
      </c>
      <c r="F2499" s="4" t="s">
        <v>28</v>
      </c>
      <c r="G2499" s="4" t="s">
        <v>19</v>
      </c>
      <c r="H2499" s="4" t="s">
        <v>28</v>
      </c>
      <c r="I2499" s="4">
        <v>19</v>
      </c>
      <c r="J2499" s="5">
        <v>94.6</v>
      </c>
      <c r="K2499" s="6">
        <v>1.55</v>
      </c>
      <c r="L2499" s="4">
        <v>4</v>
      </c>
      <c r="M2499" s="4">
        <v>103</v>
      </c>
      <c r="N2499" s="4">
        <v>84</v>
      </c>
      <c r="O2499" s="4" t="s">
        <v>26</v>
      </c>
      <c r="P2499" s="7" t="s">
        <v>19</v>
      </c>
    </row>
    <row r="2500" spans="2:16" x14ac:dyDescent="0.45">
      <c r="B2500" s="4">
        <v>2499</v>
      </c>
      <c r="C2500" s="4" t="s">
        <v>41</v>
      </c>
      <c r="D2500" s="4" t="s">
        <v>16</v>
      </c>
      <c r="E2500" s="4" t="s">
        <v>17</v>
      </c>
      <c r="F2500" s="4" t="s">
        <v>24</v>
      </c>
      <c r="G2500" s="4" t="s">
        <v>19</v>
      </c>
      <c r="H2500" s="4" t="s">
        <v>36</v>
      </c>
      <c r="I2500" s="4">
        <v>12</v>
      </c>
      <c r="J2500" s="5">
        <v>58.3</v>
      </c>
      <c r="K2500" s="6">
        <v>1.64</v>
      </c>
      <c r="L2500" s="4">
        <v>5</v>
      </c>
      <c r="M2500" s="4">
        <v>126</v>
      </c>
      <c r="N2500" s="4">
        <v>73</v>
      </c>
      <c r="O2500" s="4" t="s">
        <v>21</v>
      </c>
      <c r="P2500" s="7" t="s">
        <v>19</v>
      </c>
    </row>
    <row r="2501" spans="2:16" x14ac:dyDescent="0.45">
      <c r="B2501" s="8">
        <v>2500</v>
      </c>
      <c r="C2501" s="8" t="s">
        <v>40</v>
      </c>
      <c r="D2501" s="8" t="s">
        <v>23</v>
      </c>
      <c r="E2501" s="8" t="s">
        <v>35</v>
      </c>
      <c r="F2501" s="8" t="s">
        <v>18</v>
      </c>
      <c r="G2501" s="8" t="s">
        <v>19</v>
      </c>
      <c r="H2501" s="8" t="s">
        <v>28</v>
      </c>
      <c r="I2501" s="8">
        <v>22</v>
      </c>
      <c r="J2501" s="9">
        <v>47.8</v>
      </c>
      <c r="K2501" s="10">
        <v>1.78</v>
      </c>
      <c r="L2501" s="8">
        <v>0</v>
      </c>
      <c r="M2501" s="8">
        <v>98</v>
      </c>
      <c r="N2501" s="8">
        <v>100</v>
      </c>
      <c r="O2501" s="8" t="s">
        <v>26</v>
      </c>
      <c r="P2501" s="11" t="s">
        <v>19</v>
      </c>
    </row>
  </sheetData>
  <autoFilter ref="B1:P2501" xr:uid="{93211E52-67EE-4FE1-8B2F-55EB422B183F}"/>
  <dataValidations count="2">
    <dataValidation type="list" allowBlank="1" showInputMessage="1" showErrorMessage="1" sqref="S3" xr:uid="{AE000F1A-9E2F-41F7-80CD-87A11AF34D42}">
      <formula1>$D$2:$D$2501</formula1>
    </dataValidation>
    <dataValidation type="list" allowBlank="1" showInputMessage="1" showErrorMessage="1" sqref="S2" xr:uid="{452B3C8E-0108-42B1-8F60-7D341FA03861}">
      <formula1>$H$2:$H$2501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Dados_Filter</vt:lpstr>
      <vt:lpstr>Dados_Raw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Agostinho Zeinadine Carlos</dc:creator>
  <cp:lastModifiedBy>Agostinho Zeinadine Carlos</cp:lastModifiedBy>
  <dcterms:created xsi:type="dcterms:W3CDTF">2026-07-23T16:55:47Z</dcterms:created>
  <dcterms:modified xsi:type="dcterms:W3CDTF">2026-07-23T19:44:05Z</dcterms:modified>
</cp:coreProperties>
</file>